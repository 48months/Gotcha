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8" name="CPY TOC" state="visible" r:id="rId4"/>
    <sheet sheetId="6" name="Summary" state="visible" r:id="rId5"/>
    <sheet sheetId="1" name="CPY" state="visible" r:id="rId6"/>
    <sheet sheetId="7" name="Support_allowance_Entries" state="visible" r:id="rId7"/>
    <sheet sheetId="10" name="Shift_allowance_Entries" state="visible" r:id="rId8"/>
    <sheet sheetId="3" name="OOH Activities" state="visible" r:id="rId9"/>
    <sheet sheetId="5" name="ON Call_Call Out Activities" state="visible" r:id="rId10"/>
    <sheet sheetId="2" name="MD" state="visible" r:id="rId11"/>
    <sheet sheetId="9" name="Guidelines" state="visible" r:id="rId12"/>
  </sheets>
  <definedNames>
    <definedName name="_xlnm._FilterDatabase">'Support_allowance_Entries'!$A$1:$J$1</definedName>
  </definedName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I1" authorId="0">
      <text>
        <r>
          <rPr>
            <b/>
            <color indexed="81"/>
            <family val="2"/>
            <sz val="9"/>
            <rFont val="Tahoma"/>
          </rPr>
          <t>Sentheel Kumaran C:</t>
        </r>
        <r>
          <rPr>
            <color indexed="81"/>
            <family val="2"/>
            <sz val="9"/>
            <rFont val="Tahoma"/>
          </rPr>
          <t xml:space="preserve">
</t>
        </r>
        <r>
          <rPr>
            <b/>
            <u/>
            <color indexed="81"/>
            <family val="2"/>
            <sz val="12"/>
            <rFont val="Tahoma"/>
          </rPr>
          <t>Time Format:</t>
        </r>
        <r>
          <rPr>
            <b/>
            <color indexed="81"/>
            <family val="2"/>
            <sz val="12"/>
            <rFont val="Tahoma"/>
          </rPr>
          <t xml:space="preserve">
HH:MM AM/PM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J1" authorId="0">
      <text>
        <r>
          <rPr>
            <b/>
            <color indexed="81"/>
            <family val="2"/>
            <sz val="9"/>
            <rFont val="Tahoma"/>
          </rPr>
          <t>Sentheel Kumaran C:</t>
        </r>
        <r>
          <rPr>
            <color indexed="81"/>
            <family val="2"/>
            <sz val="9"/>
            <rFont val="Tahoma"/>
          </rPr>
          <t xml:space="preserve">
</t>
        </r>
        <r>
          <rPr>
            <b/>
            <color indexed="81"/>
            <family val="2"/>
            <sz val="12"/>
            <rFont val="Tahoma"/>
          </rPr>
          <t xml:space="preserve">Time Format:
HH:MM AM/PM</t>
        </r>
      </text>
    </comment>
  </commentList>
</comments>
</file>

<file path=xl/sharedStrings.xml><?xml version="1.0" encoding="utf-8"?>
<sst xmlns="http://schemas.openxmlformats.org/spreadsheetml/2006/main" count="4197" uniqueCount="2106">
  <si>
    <t>Monthly CPY Sheet</t>
  </si>
  <si>
    <t>CPY Calculation Period</t>
  </si>
  <si>
    <t>Month of CPY</t>
  </si>
  <si>
    <t>Start Date</t>
  </si>
  <si>
    <t>End Date</t>
  </si>
  <si>
    <t>Template Version</t>
  </si>
  <si>
    <t>Prepared By</t>
  </si>
  <si>
    <t>xxxxxxx</t>
  </si>
  <si>
    <t>Sentheel</t>
  </si>
  <si>
    <t>Updated by</t>
  </si>
  <si>
    <t>BU Name</t>
  </si>
  <si>
    <t>Updated date</t>
  </si>
  <si>
    <t>Domain Manager/DH</t>
  </si>
  <si>
    <t>Review details</t>
  </si>
  <si>
    <t>Re-review details</t>
  </si>
  <si>
    <t>Version No.</t>
  </si>
  <si>
    <t>Date</t>
  </si>
  <si>
    <t>Reviewed by</t>
  </si>
  <si>
    <t>Payment on</t>
  </si>
  <si>
    <t>No. of Resources</t>
  </si>
  <si>
    <t>Amount</t>
  </si>
  <si>
    <t>Support Allowance</t>
  </si>
  <si>
    <t>Shift Allowance</t>
  </si>
  <si>
    <t>OOH</t>
  </si>
  <si>
    <t>On Call</t>
  </si>
  <si>
    <t>Call Out</t>
  </si>
  <si>
    <t>Cab Expense</t>
  </si>
  <si>
    <t>Total</t>
  </si>
  <si>
    <t>Sl .No</t>
  </si>
  <si>
    <t>Emp ID</t>
  </si>
  <si>
    <t>Employee Name</t>
  </si>
  <si>
    <t>Level</t>
  </si>
  <si>
    <t>Srikar S S</t>
  </si>
  <si>
    <t>M1</t>
  </si>
  <si>
    <t>Niranjana Devi G</t>
  </si>
  <si>
    <t>M2</t>
  </si>
  <si>
    <t>Karthik T S</t>
  </si>
  <si>
    <t>Sujay B N</t>
  </si>
  <si>
    <t>A1</t>
  </si>
  <si>
    <t>Nagendra K N</t>
  </si>
  <si>
    <t>T1</t>
  </si>
  <si>
    <t>Shuba Sridhar</t>
  </si>
  <si>
    <t>Ranganath GM</t>
  </si>
  <si>
    <t>Rashmi S Uttarkar</t>
  </si>
  <si>
    <t>Ramananda Govindappa</t>
  </si>
  <si>
    <t>Ommer Shamreez</t>
  </si>
  <si>
    <t>D4</t>
  </si>
  <si>
    <t>Nasirul Haque</t>
  </si>
  <si>
    <t>Uma Gangadharaiah</t>
  </si>
  <si>
    <t>Ramappa Nashi</t>
  </si>
  <si>
    <t>Joffey C</t>
  </si>
  <si>
    <t>D5</t>
  </si>
  <si>
    <t>S G Sripathi Acharya</t>
  </si>
  <si>
    <t>Ramesh B Bashetti</t>
  </si>
  <si>
    <t>Jyoti Narasimha Mallya</t>
  </si>
  <si>
    <t>Lakshmi Murali</t>
  </si>
  <si>
    <t>Mohammed Kashif Ahmed</t>
  </si>
  <si>
    <t>Pradeep G</t>
  </si>
  <si>
    <t>Gangappa M Hanasi</t>
  </si>
  <si>
    <t>Sentheel Kumaran C</t>
  </si>
  <si>
    <t>Prabakar N</t>
  </si>
  <si>
    <t>Mayank Sharma</t>
  </si>
  <si>
    <t>Anand S R</t>
  </si>
  <si>
    <t>Dinesh C G B</t>
  </si>
  <si>
    <t>Srinivasan P</t>
  </si>
  <si>
    <t>Anita Rakiv</t>
  </si>
  <si>
    <t>Manikanda Prabhu K</t>
  </si>
  <si>
    <t>Praveen Srivastava</t>
  </si>
  <si>
    <t>Chandrashekara A M</t>
  </si>
  <si>
    <t>D2</t>
  </si>
  <si>
    <t>Srivastava C M</t>
  </si>
  <si>
    <t>Surej S</t>
  </si>
  <si>
    <t>Vishal Mishra</t>
  </si>
  <si>
    <t>Mousumi Nayak</t>
  </si>
  <si>
    <t>Pronisa Baruah</t>
  </si>
  <si>
    <t>Prasidhya Sridhar</t>
  </si>
  <si>
    <t>Rajesh Joshi</t>
  </si>
  <si>
    <t>Vinay Geeth Shanker A</t>
  </si>
  <si>
    <t>D3</t>
  </si>
  <si>
    <t>Bhanu Shivalingaiah</t>
  </si>
  <si>
    <t>Vinod Thiyyari</t>
  </si>
  <si>
    <t>Mazhar Shaik</t>
  </si>
  <si>
    <t>Aisha Banu R</t>
  </si>
  <si>
    <t>Bharath Raj</t>
  </si>
  <si>
    <t>Krishnamurthy N S</t>
  </si>
  <si>
    <t>D1</t>
  </si>
  <si>
    <t>Surabhi Hegde H</t>
  </si>
  <si>
    <t>Madhu S</t>
  </si>
  <si>
    <t>Shivdayal Charan G</t>
  </si>
  <si>
    <t>Susanta Bose</t>
  </si>
  <si>
    <t>Praveena K R</t>
  </si>
  <si>
    <t>Madhu Krishnaiah Parike</t>
  </si>
  <si>
    <t>Bijinepalli Srikanth</t>
  </si>
  <si>
    <t>Shravanakumar B</t>
  </si>
  <si>
    <t>Praveen C</t>
  </si>
  <si>
    <t>Sunil Kumar C M</t>
  </si>
  <si>
    <t>Soumen Dutta</t>
  </si>
  <si>
    <t>Raghu B</t>
  </si>
  <si>
    <t>Ramakrishna Vempati S</t>
  </si>
  <si>
    <t>Sivakumar C D G</t>
  </si>
  <si>
    <t>Anand Narayanan</t>
  </si>
  <si>
    <t>Mahesh Muniraju</t>
  </si>
  <si>
    <t>Rakshith Koppa Ravindranatha</t>
  </si>
  <si>
    <t>Syed Tayyib Ahmed</t>
  </si>
  <si>
    <t>Dolly Khurana</t>
  </si>
  <si>
    <t>Muthunayaki Thirumavalavan</t>
  </si>
  <si>
    <t>Kavitha Rajendran</t>
  </si>
  <si>
    <t>Lavanya Shankar Rao</t>
  </si>
  <si>
    <t>Madhusudan Joshi</t>
  </si>
  <si>
    <t>Surendar S</t>
  </si>
  <si>
    <t>Ashwini S V</t>
  </si>
  <si>
    <t>Kumar Saumya Suman</t>
  </si>
  <si>
    <t>Arunkumar Prusothaman</t>
  </si>
  <si>
    <t>Pramitha Baliga Bantwal</t>
  </si>
  <si>
    <t>Lalit Prasad Shah</t>
  </si>
  <si>
    <t>Shanmugapriya  Vasu</t>
  </si>
  <si>
    <t>Loganathan B</t>
  </si>
  <si>
    <t>Sourav Ghatak</t>
  </si>
  <si>
    <t>Sidhartha Sankar Rout</t>
  </si>
  <si>
    <t>Amaresh Satapathy</t>
  </si>
  <si>
    <t>Sandeep C P</t>
  </si>
  <si>
    <t>Kumari Sushmita</t>
  </si>
  <si>
    <t>Bibhuti Sharan Agarwal</t>
  </si>
  <si>
    <t>Yogesh  Kumar Srivastava</t>
  </si>
  <si>
    <t>Ritimukta Behera</t>
  </si>
  <si>
    <t>Jaishree Amit Mohite</t>
  </si>
  <si>
    <t>Shobha Mudivedu</t>
  </si>
  <si>
    <t>Balaji Ravilla</t>
  </si>
  <si>
    <t>Dipali Patidar</t>
  </si>
  <si>
    <t>Anand Kumar</t>
  </si>
  <si>
    <t>Gaurav Verma</t>
  </si>
  <si>
    <t>Midhun Rajeevan</t>
  </si>
  <si>
    <t>Nageena Banu</t>
  </si>
  <si>
    <t>Hemant Balgi</t>
  </si>
  <si>
    <t>Rajendra Rao V</t>
  </si>
  <si>
    <t>Blesson Mathew</t>
  </si>
  <si>
    <t>Niva Palei</t>
  </si>
  <si>
    <t>Prashanth Kumar J</t>
  </si>
  <si>
    <t>Likhin T</t>
  </si>
  <si>
    <t>Gayathri M</t>
  </si>
  <si>
    <t>Keisham Memthoibi</t>
  </si>
  <si>
    <t>Akhilesh N</t>
  </si>
  <si>
    <t>Nithin HL</t>
  </si>
  <si>
    <t>Chitravathi A</t>
  </si>
  <si>
    <t>Riyaz Pasha</t>
  </si>
  <si>
    <t>Pushpendra Kumar Singh</t>
  </si>
  <si>
    <t>Satish Khodanapur</t>
  </si>
  <si>
    <t>Prema T</t>
  </si>
  <si>
    <t>Rameshkumar</t>
  </si>
  <si>
    <t>Amar Sudha</t>
  </si>
  <si>
    <t>Manjunath Dixit</t>
  </si>
  <si>
    <t>Abhirup Bhattacharjee</t>
  </si>
  <si>
    <t>Anita M Kukunda</t>
  </si>
  <si>
    <t>Roopa K</t>
  </si>
  <si>
    <t>Chaithra H</t>
  </si>
  <si>
    <t>Abinanthana Vivekananthan</t>
  </si>
  <si>
    <t>Lovely Thomas</t>
  </si>
  <si>
    <t>Kavita Vinayak Palankar</t>
  </si>
  <si>
    <t>Sudheer Repala</t>
  </si>
  <si>
    <t>Rashmi Patil</t>
  </si>
  <si>
    <t>Mahantesh Ishwar Boragannavar</t>
  </si>
  <si>
    <t>Hemalatha Ramesh</t>
  </si>
  <si>
    <t>Archana Anirudh</t>
  </si>
  <si>
    <t>Ashish Nelson Abraham</t>
  </si>
  <si>
    <t>Mallela Kuruba Ramachandra</t>
  </si>
  <si>
    <t>Bhavya Govindrao</t>
  </si>
  <si>
    <t>Pooja Iyer</t>
  </si>
  <si>
    <t>Manoj Purushothama</t>
  </si>
  <si>
    <t>Kiran Kumar M R</t>
  </si>
  <si>
    <t>Iranna Basavaraj Telasang</t>
  </si>
  <si>
    <t>Aswathi Mavila Kuniyidath</t>
  </si>
  <si>
    <t>Ajith Kumar V</t>
  </si>
  <si>
    <t>Pushkar Sinha</t>
  </si>
  <si>
    <t>Syam Kumar Repala</t>
  </si>
  <si>
    <t>Deepika Mukherjee</t>
  </si>
  <si>
    <t>Ramya Sugumaran</t>
  </si>
  <si>
    <t>Nawaz Pasha Imtiyaz</t>
  </si>
  <si>
    <t>Sudhanshu Shankar</t>
  </si>
  <si>
    <t>Deepika Vyramudi</t>
  </si>
  <si>
    <t>Karthik Michel</t>
  </si>
  <si>
    <t>Megha Khodanapur</t>
  </si>
  <si>
    <t>Santosh Bhat</t>
  </si>
  <si>
    <t>Rohith Kumar</t>
  </si>
  <si>
    <t>Abhishek Kumar Nayak</t>
  </si>
  <si>
    <t>Yuvaraj Kumar</t>
  </si>
  <si>
    <t>Mukta Kori</t>
  </si>
  <si>
    <t>Farooq Syed Mehboob</t>
  </si>
  <si>
    <t>Manjunath Wali</t>
  </si>
  <si>
    <t>Neethu Nair</t>
  </si>
  <si>
    <t>Santhosh Srinivaspur Jayarao</t>
  </si>
  <si>
    <t>Princy Bojjangada Mudappa</t>
  </si>
  <si>
    <t>Vidya Venkatesharaju</t>
  </si>
  <si>
    <t>Raveendra Parameshwar Bhat</t>
  </si>
  <si>
    <t>Geetha V</t>
  </si>
  <si>
    <t>Shobhitha Padival</t>
  </si>
  <si>
    <t>Aravind Nagaraj Heggannanavar</t>
  </si>
  <si>
    <t>Harish Kumar M Chandrashekaraiah</t>
  </si>
  <si>
    <t>Suchismita Sethy</t>
  </si>
  <si>
    <t>Gaurav Vasdev</t>
  </si>
  <si>
    <t>Umeshkumar H  V</t>
  </si>
  <si>
    <t>Hemalatha Dayalan</t>
  </si>
  <si>
    <t>Shabana Sharief</t>
  </si>
  <si>
    <t>Vishal kulkarni</t>
  </si>
  <si>
    <t>Priyanka Kannapala</t>
  </si>
  <si>
    <t>Sudheer Kumar Ponnam</t>
  </si>
  <si>
    <t>Chikeruru Subhash Chaya</t>
  </si>
  <si>
    <t>Arun Kumar Chandrasekar</t>
  </si>
  <si>
    <t>Rajan Prakash</t>
  </si>
  <si>
    <t>Ashish Kumar Shukla</t>
  </si>
  <si>
    <t>Pradeep Gopal</t>
  </si>
  <si>
    <t>Devender Kumar</t>
  </si>
  <si>
    <t>Deepan Ramachandran</t>
  </si>
  <si>
    <t>Prachi Satish Malpathak</t>
  </si>
  <si>
    <t>Hamsa V S</t>
  </si>
  <si>
    <t>Vinayashree M Vageesh</t>
  </si>
  <si>
    <t>Aniyaliya Nareshbhai</t>
  </si>
  <si>
    <t>K V Naga Sharan</t>
  </si>
  <si>
    <t>Swetha S</t>
  </si>
  <si>
    <t>Surbhi Gupta</t>
  </si>
  <si>
    <t>Lalithanjali BV</t>
  </si>
  <si>
    <t>Chethan R</t>
  </si>
  <si>
    <t>Rampriya Kathirvel</t>
  </si>
  <si>
    <t>Pooja Ravi</t>
  </si>
  <si>
    <t>Mimansa Ohja</t>
  </si>
  <si>
    <t>Diganta Kumar Barooah</t>
  </si>
  <si>
    <t>Sneha Rajanikanth</t>
  </si>
  <si>
    <t>Charan K Malleshappa</t>
  </si>
  <si>
    <t>Manjunath Bennur</t>
  </si>
  <si>
    <t>Smriti Priya</t>
  </si>
  <si>
    <t>Shrinidhi P R</t>
  </si>
  <si>
    <t>Sunil M M</t>
  </si>
  <si>
    <t>Shreepad Naragund</t>
  </si>
  <si>
    <t>Shruti Deogharia</t>
  </si>
  <si>
    <t>Abhilasha G N</t>
  </si>
  <si>
    <t>Priyadarshini S</t>
  </si>
  <si>
    <t>Kamal Anand M J</t>
  </si>
  <si>
    <t>Vidyashree M</t>
  </si>
  <si>
    <t>Praveen Khade</t>
  </si>
  <si>
    <t>Girish B Gajria</t>
  </si>
  <si>
    <t>Nethala Shankar Rao</t>
  </si>
  <si>
    <t>Suresh Babu Kantharaj</t>
  </si>
  <si>
    <t>Sushil Sarraf</t>
  </si>
  <si>
    <t>Savita M Nandi</t>
  </si>
  <si>
    <t>Uttam Basumatry</t>
  </si>
  <si>
    <t>Suchismita Biswasray</t>
  </si>
  <si>
    <t>Mohammad Aquib Jawed</t>
  </si>
  <si>
    <t>Deepak Raja Sakaran Joseph</t>
  </si>
  <si>
    <t>Pavan Kumar V</t>
  </si>
  <si>
    <t>Maheshwari</t>
  </si>
  <si>
    <t>Mohammad Mujeeb</t>
  </si>
  <si>
    <t>Anupama S Gudaganavar</t>
  </si>
  <si>
    <t>Deeksha Kamath</t>
  </si>
  <si>
    <t>Tanjila Bagawan</t>
  </si>
  <si>
    <t>Varsha M</t>
  </si>
  <si>
    <t>Kavyashree C</t>
  </si>
  <si>
    <t>Archana S</t>
  </si>
  <si>
    <t>Tejashwini S</t>
  </si>
  <si>
    <t>Aditi Gandhi</t>
  </si>
  <si>
    <t>Navita Yadav</t>
  </si>
  <si>
    <t>Paarul Madaan</t>
  </si>
  <si>
    <t>Nikhil Mohandas</t>
  </si>
  <si>
    <t>Ashok M E</t>
  </si>
  <si>
    <t>Navneet Kumar</t>
  </si>
  <si>
    <t>Ashwin Kumar Satyanarayana</t>
  </si>
  <si>
    <t>Manohara</t>
  </si>
  <si>
    <t>Avinash N</t>
  </si>
  <si>
    <t>Arijit Ghosh</t>
  </si>
  <si>
    <t>Pramodh Somayaji</t>
  </si>
  <si>
    <t>Amit Kumar Sinha</t>
  </si>
  <si>
    <t>Shruthi P B</t>
  </si>
  <si>
    <t>Meghana P K</t>
  </si>
  <si>
    <t>Namratha P</t>
  </si>
  <si>
    <t>Meghana P</t>
  </si>
  <si>
    <t>Sowmya K</t>
  </si>
  <si>
    <t>Ravi Ruban</t>
  </si>
  <si>
    <t>Sunil Kumar R</t>
  </si>
  <si>
    <t>Ramanjaneyulu R</t>
  </si>
  <si>
    <t>Mohit Raj</t>
  </si>
  <si>
    <t>Prajna Sirgamane Kashi</t>
  </si>
  <si>
    <t>Chaitra Shivanna</t>
  </si>
  <si>
    <t>Pavadi Swetha</t>
  </si>
  <si>
    <t>Guruprakash Chinnasamy</t>
  </si>
  <si>
    <t>Bharathi Sandhya Rani Kalla</t>
  </si>
  <si>
    <t>Priyanka Krishna Naik</t>
  </si>
  <si>
    <t>Chaithra Ravikumar</t>
  </si>
  <si>
    <t>Ravi Kumar</t>
  </si>
  <si>
    <t>Prathibha R</t>
  </si>
  <si>
    <t>Paras Pokhrel</t>
  </si>
  <si>
    <t>Yashaswini C M</t>
  </si>
  <si>
    <t>Samudrala Acharya Dilip</t>
  </si>
  <si>
    <t>Vijay Kumar K C</t>
  </si>
  <si>
    <t>Rajesh Kurakalva</t>
  </si>
  <si>
    <t>Swati Sharma</t>
  </si>
  <si>
    <t>Anusha Paras</t>
  </si>
  <si>
    <t>Sakshi Mishra</t>
  </si>
  <si>
    <t>Bavana Venkata Rangaiah</t>
  </si>
  <si>
    <t>Abhishek Kumar Jha</t>
  </si>
  <si>
    <t>Lakshanaa Elansezhiyan</t>
  </si>
  <si>
    <t>Valarmathi Vadivel</t>
  </si>
  <si>
    <t>Kavya Gowda Ujjappa</t>
  </si>
  <si>
    <t>Parvathi Kenchareddy</t>
  </si>
  <si>
    <t>Akshatha Madhire</t>
  </si>
  <si>
    <t>Bodam Chandra Mohan Reddy</t>
  </si>
  <si>
    <t>Rafiya Begum</t>
  </si>
  <si>
    <t>Komal S Jain</t>
  </si>
  <si>
    <t>Lakshmi Sai Lokesh Vutukuri</t>
  </si>
  <si>
    <t>Anil Kumar</t>
  </si>
  <si>
    <t>Manjunath Halkarni</t>
  </si>
  <si>
    <t>Arijit Roy</t>
  </si>
  <si>
    <t>Aamir Ashfaq Khan</t>
  </si>
  <si>
    <t>Ayushi Goyal</t>
  </si>
  <si>
    <t>Adiraju Havish Venkata Krishna Mouli</t>
  </si>
  <si>
    <t>Amreen Firdouse</t>
  </si>
  <si>
    <t>Apoorva A R</t>
  </si>
  <si>
    <t>Akshay R</t>
  </si>
  <si>
    <t>Girija Govinda Raj</t>
  </si>
  <si>
    <t>Dhanyashree S</t>
  </si>
  <si>
    <t>Chaitra K R</t>
  </si>
  <si>
    <t>Gayathri Raj S</t>
  </si>
  <si>
    <t>Harshitha M</t>
  </si>
  <si>
    <t>Vaishakhi S Ashtakar</t>
  </si>
  <si>
    <t>Vijeth K Adhyapak</t>
  </si>
  <si>
    <t>Karthik V Devaru</t>
  </si>
  <si>
    <t>Sanjukta Sutradhar</t>
  </si>
  <si>
    <t>Shanmuga Priya N</t>
  </si>
  <si>
    <t>Sneha K</t>
  </si>
  <si>
    <t>Smrithi Bhat U</t>
  </si>
  <si>
    <t>T S Dinesh</t>
  </si>
  <si>
    <t>Pankaj Dubey</t>
  </si>
  <si>
    <t>Mukkundi Shalini Sreekanth</t>
  </si>
  <si>
    <t>Movnika M</t>
  </si>
  <si>
    <t>Sushmitha K</t>
  </si>
  <si>
    <t>Abhisek Chowdhury</t>
  </si>
  <si>
    <t>Syed Kashif</t>
  </si>
  <si>
    <t>Varun S</t>
  </si>
  <si>
    <t>Jagadish G</t>
  </si>
  <si>
    <t>Pramod Kumar</t>
  </si>
  <si>
    <t>Shiljo VK</t>
  </si>
  <si>
    <t>Krishna Kumar J</t>
  </si>
  <si>
    <t>Megha Nagaraja</t>
  </si>
  <si>
    <t>Kusum Sharma</t>
  </si>
  <si>
    <t>Pooja V Raikar</t>
  </si>
  <si>
    <t>Chandrakanth Kini</t>
  </si>
  <si>
    <t>Ganesh Uttamrao Solanke</t>
  </si>
  <si>
    <t>Keertana K</t>
  </si>
  <si>
    <t>Veena H S</t>
  </si>
  <si>
    <t>Vinod Kumar</t>
  </si>
  <si>
    <t>Vismaya Vinod</t>
  </si>
  <si>
    <t>Madhu A M</t>
  </si>
  <si>
    <t>Tanuja A</t>
  </si>
  <si>
    <t>Madhushree S N</t>
  </si>
  <si>
    <t>Sowjanya H T</t>
  </si>
  <si>
    <t>Prakruthi S</t>
  </si>
  <si>
    <t>Nagesh S N</t>
  </si>
  <si>
    <t>Roshini R</t>
  </si>
  <si>
    <t>Divyashree A S</t>
  </si>
  <si>
    <t>Nitesh S N</t>
  </si>
  <si>
    <t>Nikita Annasaheb Munnolli</t>
  </si>
  <si>
    <t>Abhinandan Umesh Hongal</t>
  </si>
  <si>
    <t>Deepashree S</t>
  </si>
  <si>
    <t>Kirthana Santhosh</t>
  </si>
  <si>
    <t>Priya Singla</t>
  </si>
  <si>
    <t>Rakesh Raju</t>
  </si>
  <si>
    <t>Manohara M B</t>
  </si>
  <si>
    <t>Shalini Jain</t>
  </si>
  <si>
    <t>Sunil Gupta</t>
  </si>
  <si>
    <t>Swaminathan Balasubramanya</t>
  </si>
  <si>
    <t>Ranjani K</t>
  </si>
  <si>
    <t>Bhavana B</t>
  </si>
  <si>
    <t>Shridhar S</t>
  </si>
  <si>
    <t>Ramanagouda Gunakanal</t>
  </si>
  <si>
    <t>Arshiyasanober M Jamadar</t>
  </si>
  <si>
    <t>Venkata Subramanyam Sathrasala</t>
  </si>
  <si>
    <t>Mounika N</t>
  </si>
  <si>
    <t>Rakesh B S</t>
  </si>
  <si>
    <t>Arun Kumar</t>
  </si>
  <si>
    <t>Chaithra D R</t>
  </si>
  <si>
    <t>Darathi Das</t>
  </si>
  <si>
    <t>Dheeraj Kumar S</t>
  </si>
  <si>
    <t>Haridas Bhairu Bilagoji</t>
  </si>
  <si>
    <t>Nihanth N</t>
  </si>
  <si>
    <t>Nishmitha Rao</t>
  </si>
  <si>
    <t>Priyanka Vadagave</t>
  </si>
  <si>
    <t>Ramya Seetaram Vaidya</t>
  </si>
  <si>
    <t>Shilpa R</t>
  </si>
  <si>
    <t>Shraddha Alva</t>
  </si>
  <si>
    <t>Sindhu M</t>
  </si>
  <si>
    <t>Yashaswini N</t>
  </si>
  <si>
    <t>Sakaray Anil Kumar</t>
  </si>
  <si>
    <t>Nagarjuna K  A</t>
  </si>
  <si>
    <t>Sowmya R S</t>
  </si>
  <si>
    <t>Pradeep S Hattur</t>
  </si>
  <si>
    <t>Swaroop Krishnan S</t>
  </si>
  <si>
    <t>Shwetha G S</t>
  </si>
  <si>
    <t>Bharath B Narasimhaiah</t>
  </si>
  <si>
    <t>Raghavendra Sharath</t>
  </si>
  <si>
    <t>Roopa D</t>
  </si>
  <si>
    <t>Mastan Basha Abdul</t>
  </si>
  <si>
    <t>Arun Kumar A</t>
  </si>
  <si>
    <t>Nikil Kumar P</t>
  </si>
  <si>
    <t>Harish M S</t>
  </si>
  <si>
    <t>Naresh S J</t>
  </si>
  <si>
    <t>Jagadish Kumar E</t>
  </si>
  <si>
    <t>Debasish Rath</t>
  </si>
  <si>
    <t>Triveni</t>
  </si>
  <si>
    <t>Abhijeet Ranjan</t>
  </si>
  <si>
    <t>Pratibha B Yallappa</t>
  </si>
  <si>
    <t>Aashray N Soudagar</t>
  </si>
  <si>
    <t>Shyam P</t>
  </si>
  <si>
    <t>Shivanagouda Hosamani</t>
  </si>
  <si>
    <t>Raghu V M</t>
  </si>
  <si>
    <t>Muhammed Suhail</t>
  </si>
  <si>
    <t>Amruthavarshini R</t>
  </si>
  <si>
    <t>Mohan S</t>
  </si>
  <si>
    <t>Raghavendra U</t>
  </si>
  <si>
    <t>Naga Mahesh Chaturvedula</t>
  </si>
  <si>
    <t>Suresh Kumar Reddy Dongala</t>
  </si>
  <si>
    <t>Mohammed Shahid M</t>
  </si>
  <si>
    <t>Deepak Mehta</t>
  </si>
  <si>
    <t>Vinay Basavaraj Biradar</t>
  </si>
  <si>
    <t>Amit Shyam Galagali</t>
  </si>
  <si>
    <t>Rachana Nabhiraj Kademani</t>
  </si>
  <si>
    <t>Girish S K</t>
  </si>
  <si>
    <t>Ashwani Kumar</t>
  </si>
  <si>
    <t>Kumar Mangalam</t>
  </si>
  <si>
    <t>Mahendar Mutukundu</t>
  </si>
  <si>
    <t>Shivangi G Redkar</t>
  </si>
  <si>
    <t>Manimela Vamsi Krishna</t>
  </si>
  <si>
    <t>Mruthyunjaya T</t>
  </si>
  <si>
    <t>M Gunalan</t>
  </si>
  <si>
    <t>Rakesh G Hiremath</t>
  </si>
  <si>
    <t>K Jeevitesh Kumar</t>
  </si>
  <si>
    <t>Ajay Ramesh</t>
  </si>
  <si>
    <t>Sowmya P</t>
  </si>
  <si>
    <t>Madhusudhan S</t>
  </si>
  <si>
    <t>Sonia Joyce Scott</t>
  </si>
  <si>
    <t>Konde Deepak</t>
  </si>
  <si>
    <t>Vijaykumar Sharanappa Dhanoji</t>
  </si>
  <si>
    <t>Sagar A B</t>
  </si>
  <si>
    <t>Rajath R Bhuthe</t>
  </si>
  <si>
    <t>Divya Sharma</t>
  </si>
  <si>
    <t>Chaithra</t>
  </si>
  <si>
    <t>Aishwarya Sudarsan</t>
  </si>
  <si>
    <t>Kaviarasan Tamilvanan</t>
  </si>
  <si>
    <t>Shree Raam Damodaran</t>
  </si>
  <si>
    <t>Prabhu N</t>
  </si>
  <si>
    <t>Enu Pachouri</t>
  </si>
  <si>
    <t>Rakesh K</t>
  </si>
  <si>
    <t>Hemant Yoganand Reddy</t>
  </si>
  <si>
    <t>Prakash Kumar Mahto</t>
  </si>
  <si>
    <t>Lajith E V</t>
  </si>
  <si>
    <t>Deepak Kumar Mishra</t>
  </si>
  <si>
    <t>Paritosh Pandey</t>
  </si>
  <si>
    <t>Syed Suhaeb Ahmed</t>
  </si>
  <si>
    <t>Naresh Dharmi Vatsal</t>
  </si>
  <si>
    <t>Mohit Sinha</t>
  </si>
  <si>
    <t>K V Suneel Kumar</t>
  </si>
  <si>
    <t>Shivanand B Madanabhavi</t>
  </si>
  <si>
    <t>BHARATH G NAIK</t>
  </si>
  <si>
    <t>Himank Bansal</t>
  </si>
  <si>
    <t>HIMANSHU KUMAR NAG</t>
  </si>
  <si>
    <t>ROHIT SINGH</t>
  </si>
  <si>
    <t>KRISHNA CHAND PANDEY</t>
  </si>
  <si>
    <t>KRIPA SHARMA</t>
  </si>
  <si>
    <t>Mohammed Uzair</t>
  </si>
  <si>
    <t>Harshal Narayan Kulkarni</t>
  </si>
  <si>
    <t>Prema Agnalo</t>
  </si>
  <si>
    <t>S Vandana</t>
  </si>
  <si>
    <t>Nidhin</t>
  </si>
  <si>
    <t>Ramagondappa Palappagouda Patil</t>
  </si>
  <si>
    <t>Munagala Naveen Kumar Reddy</t>
  </si>
  <si>
    <t>Harish Rao S</t>
  </si>
  <si>
    <t>Monika Bhonsle</t>
  </si>
  <si>
    <t>Padmashree R</t>
  </si>
  <si>
    <t>Somashekhara G C</t>
  </si>
  <si>
    <t>Shalini</t>
  </si>
  <si>
    <t>Amrita Kohli</t>
  </si>
  <si>
    <t>Keerthana Velusamy</t>
  </si>
  <si>
    <t>Deepak</t>
  </si>
  <si>
    <t>Swathi K S</t>
  </si>
  <si>
    <t>Leona Martha</t>
  </si>
  <si>
    <t>Mithra P</t>
  </si>
  <si>
    <t>Smita S Patil</t>
  </si>
  <si>
    <t>Milen S Parameshwar</t>
  </si>
  <si>
    <t>Abhishek G</t>
  </si>
  <si>
    <t>VIKAS BABERWAL</t>
  </si>
  <si>
    <t>Roja Y</t>
  </si>
  <si>
    <t>Soubhagya Gadad</t>
  </si>
  <si>
    <t>Kavyashree H P</t>
  </si>
  <si>
    <t>Pramod H G</t>
  </si>
  <si>
    <t>Potturi Priyanka</t>
  </si>
  <si>
    <t>Nandini M P</t>
  </si>
  <si>
    <t>Prashanth Reddy N</t>
  </si>
  <si>
    <t>Bhudeo Kumar Sah</t>
  </si>
  <si>
    <t>Harshita Chaurasia</t>
  </si>
  <si>
    <t>Manjunath</t>
  </si>
  <si>
    <t>Krishna Gopal Sharma</t>
  </si>
  <si>
    <t>Santosh Kariyappa Yadav</t>
  </si>
  <si>
    <t>Pavan Kumar S</t>
  </si>
  <si>
    <t>Manasa K M</t>
  </si>
  <si>
    <t>Santhosh M S</t>
  </si>
  <si>
    <t>Hari Hara Sudhan V</t>
  </si>
  <si>
    <t>Sheela Rajshekhar Chougala</t>
  </si>
  <si>
    <t>Mohammed Muzammil Mehdi</t>
  </si>
  <si>
    <t>Ravi Kant</t>
  </si>
  <si>
    <t>Aishwarya Iyengar H R</t>
  </si>
  <si>
    <t>Richelle Maria D'Souza</t>
  </si>
  <si>
    <t>M S Arpitha</t>
  </si>
  <si>
    <t>Roopica R</t>
  </si>
  <si>
    <t>Rajesh K</t>
  </si>
  <si>
    <t>Salman Hyder</t>
  </si>
  <si>
    <t>Kurra Venkatesh</t>
  </si>
  <si>
    <t>Rajat Goyal</t>
  </si>
  <si>
    <t>Sampath Kumar</t>
  </si>
  <si>
    <t>C M Lasya</t>
  </si>
  <si>
    <t>G Venkateshbabu</t>
  </si>
  <si>
    <t>Pritika Chaudhry</t>
  </si>
  <si>
    <t>Anshika Jain</t>
  </si>
  <si>
    <t>Sandeep C M</t>
  </si>
  <si>
    <t>Nikkitha Johnson</t>
  </si>
  <si>
    <t>Arun Jithan</t>
  </si>
  <si>
    <t>Shirley Saranya</t>
  </si>
  <si>
    <t>Priyanka Hanumant Sawkar</t>
  </si>
  <si>
    <t>Ravuri Suresh</t>
  </si>
  <si>
    <t>Bijeesh C</t>
  </si>
  <si>
    <t>Harshit Kumar</t>
  </si>
  <si>
    <t>Juhi Kumari</t>
  </si>
  <si>
    <t>Sana Gautam</t>
  </si>
  <si>
    <t>Balchander B M</t>
  </si>
  <si>
    <t>Rahul Fernandes</t>
  </si>
  <si>
    <t>Ashwini Hotanahalli</t>
  </si>
  <si>
    <t>M Prakash</t>
  </si>
  <si>
    <t>Anirban Roy</t>
  </si>
  <si>
    <t>Sonali Davalje</t>
  </si>
  <si>
    <t>Mohammed Zafar</t>
  </si>
  <si>
    <t>R Deepak</t>
  </si>
  <si>
    <t>Roopa Pattar</t>
  </si>
  <si>
    <t>Karthik K</t>
  </si>
  <si>
    <t>Vaghani Rahul Ravjibhai</t>
  </si>
  <si>
    <t>Sharmitha Kathirvel</t>
  </si>
  <si>
    <t>Archana G S</t>
  </si>
  <si>
    <t>Madhu R Muchandi</t>
  </si>
  <si>
    <t>Shweta</t>
  </si>
  <si>
    <t>Charan Nanjappa</t>
  </si>
  <si>
    <t>Prakash Kittur</t>
  </si>
  <si>
    <t>Velagadurthi Varalakshmi</t>
  </si>
  <si>
    <t>Yasser H Navalur</t>
  </si>
  <si>
    <t>Himani Vijay</t>
  </si>
  <si>
    <t>M Sai Kumar</t>
  </si>
  <si>
    <t>Namratha K</t>
  </si>
  <si>
    <t>Manish Kumar Pujari</t>
  </si>
  <si>
    <t>K Rajarajan</t>
  </si>
  <si>
    <t>Sharath C S</t>
  </si>
  <si>
    <t>Harinarayan Rajagopalan Iyer</t>
  </si>
  <si>
    <t>Hemalatha Paramasivan</t>
  </si>
  <si>
    <t>Varsha A</t>
  </si>
  <si>
    <t>Kavya K M</t>
  </si>
  <si>
    <t>Vidhya L</t>
  </si>
  <si>
    <t>Deepak U B</t>
  </si>
  <si>
    <t>Thiruvenkatam T</t>
  </si>
  <si>
    <t>Meghana B K</t>
  </si>
  <si>
    <t>Nandini Nagar</t>
  </si>
  <si>
    <t>Prashanth V</t>
  </si>
  <si>
    <t>Kiran Kumar</t>
  </si>
  <si>
    <t>S Sahana</t>
  </si>
  <si>
    <t>Pragati Tripathi</t>
  </si>
  <si>
    <t>Krishna Kumar Upadhyay</t>
  </si>
  <si>
    <t>Rajat</t>
  </si>
  <si>
    <t>Sakshi Modi</t>
  </si>
  <si>
    <t>Shatakshi Tripathi</t>
  </si>
  <si>
    <t>Palak Tiwari</t>
  </si>
  <si>
    <t>Prattyush Saravgi</t>
  </si>
  <si>
    <t>Vignesh J M</t>
  </si>
  <si>
    <t>Arpit Agrawal</t>
  </si>
  <si>
    <t>Kayalvizhi</t>
  </si>
  <si>
    <t>Kshitij Saini</t>
  </si>
  <si>
    <t>Sushma G</t>
  </si>
  <si>
    <t>Pratyusha S M</t>
  </si>
  <si>
    <t>Patel G R</t>
  </si>
  <si>
    <t>Roshan R</t>
  </si>
  <si>
    <t>Ashfiya Navreen S</t>
  </si>
  <si>
    <t>V Rudresh</t>
  </si>
  <si>
    <t>Rohan R Kushtagi</t>
  </si>
  <si>
    <t>Vigneshwaran Manivannan</t>
  </si>
  <si>
    <t>Indhupriya Elangovan</t>
  </si>
  <si>
    <t>Mellacheruvu Naga Priyanka</t>
  </si>
  <si>
    <t>Gokulakrishnan T</t>
  </si>
  <si>
    <t>Santhiya Baladhandapani</t>
  </si>
  <si>
    <t>Ganesh R</t>
  </si>
  <si>
    <t>Dodda Vineeth Kumar</t>
  </si>
  <si>
    <t>Sudharsan Murugan</t>
  </si>
  <si>
    <t>N Prasanth</t>
  </si>
  <si>
    <t>Naveen</t>
  </si>
  <si>
    <t>Sachin Royston William</t>
  </si>
  <si>
    <t>Pavithran Venkatachalam</t>
  </si>
  <si>
    <t>Ganta Kavya</t>
  </si>
  <si>
    <t>K Swathy</t>
  </si>
  <si>
    <t>Dhivyapriya Kasilingam</t>
  </si>
  <si>
    <t>Ranjani Ravi</t>
  </si>
  <si>
    <t>Mugilarasi Anbalagan</t>
  </si>
  <si>
    <t>Nanthiya Appathurai</t>
  </si>
  <si>
    <t>Malar S</t>
  </si>
  <si>
    <t>Saurav Shaurya</t>
  </si>
  <si>
    <t>Asvitha Saravanan</t>
  </si>
  <si>
    <t>Arpita Vijaykumar Halakatti</t>
  </si>
  <si>
    <t>Richa Dash</t>
  </si>
  <si>
    <t>Poorvi Raghupati Bhat</t>
  </si>
  <si>
    <t>Repana Siva</t>
  </si>
  <si>
    <t>Fayaz Ahmad Siddik</t>
  </si>
  <si>
    <t>B Viswanath</t>
  </si>
  <si>
    <t>Hari Murali</t>
  </si>
  <si>
    <t>A B Madhurya</t>
  </si>
  <si>
    <t>Nimi V M</t>
  </si>
  <si>
    <t>Sobiya Maryum</t>
  </si>
  <si>
    <t>Siddhant Jain</t>
  </si>
  <si>
    <t>Sweta Shivani</t>
  </si>
  <si>
    <t>Thejashree</t>
  </si>
  <si>
    <t>Alavalpati Sireesha</t>
  </si>
  <si>
    <t>Pavithra V R</t>
  </si>
  <si>
    <t>Surabhi S</t>
  </si>
  <si>
    <t>Kalaivani Shanmugam</t>
  </si>
  <si>
    <t>Zohra Fathima</t>
  </si>
  <si>
    <t>K Varsha</t>
  </si>
  <si>
    <t>Kavana</t>
  </si>
  <si>
    <t>Amrita Kumari</t>
  </si>
  <si>
    <t>Mekala Subramanyam</t>
  </si>
  <si>
    <t>Harish R V</t>
  </si>
  <si>
    <t>Smitha S</t>
  </si>
  <si>
    <t>Mahesh G K</t>
  </si>
  <si>
    <t>Manjunath R</t>
  </si>
  <si>
    <t>Alka Priyadarshi</t>
  </si>
  <si>
    <t>Vinayak Rajendra Palanakar</t>
  </si>
  <si>
    <t>Nitesh D Naik</t>
  </si>
  <si>
    <t>Manjunath G</t>
  </si>
  <si>
    <t>Vishvendra Singh</t>
  </si>
  <si>
    <t>Manoj N</t>
  </si>
  <si>
    <t>Nikhil C Y</t>
  </si>
  <si>
    <t>Chaitra</t>
  </si>
  <si>
    <t>R Pavithra</t>
  </si>
  <si>
    <t>Akshay karalingannavar</t>
  </si>
  <si>
    <t>Deepak N V</t>
  </si>
  <si>
    <t>Padmavathi Devi S</t>
  </si>
  <si>
    <t>Akshata Naduvinamani</t>
  </si>
  <si>
    <t>Priyanka M N</t>
  </si>
  <si>
    <t>Akshata P Bhandiwad</t>
  </si>
  <si>
    <t>Mohan Raj C</t>
  </si>
  <si>
    <t>Sandhya Arun Bedage</t>
  </si>
  <si>
    <t>Rashmi B N</t>
  </si>
  <si>
    <t>Shivaraju A</t>
  </si>
  <si>
    <t>Sushma V P</t>
  </si>
  <si>
    <t>Priyanka Tubakad</t>
  </si>
  <si>
    <t>Varsha B G</t>
  </si>
  <si>
    <t>Prakruthi H R</t>
  </si>
  <si>
    <t>Ashwini C S</t>
  </si>
  <si>
    <t>Nagashree N</t>
  </si>
  <si>
    <t>Tara S</t>
  </si>
  <si>
    <t>Goudappa Batakurki</t>
  </si>
  <si>
    <t>Pradeep Kumar S</t>
  </si>
  <si>
    <t>Amrith Naniappa</t>
  </si>
  <si>
    <t>Vinay Kumar M K</t>
  </si>
  <si>
    <t>Sashi Ranjan Kumar</t>
  </si>
  <si>
    <t>Shilpa J</t>
  </si>
  <si>
    <t>Anjuna P Honnikoppa</t>
  </si>
  <si>
    <t>Anusha G</t>
  </si>
  <si>
    <t>Anupama Motagi</t>
  </si>
  <si>
    <t>V B Keerthi</t>
  </si>
  <si>
    <t>Rahul Babu Naik</t>
  </si>
  <si>
    <t>Sowmya N Sirsi</t>
  </si>
  <si>
    <t>Sibaram Sahu</t>
  </si>
  <si>
    <t>Dhilip Mohanan</t>
  </si>
  <si>
    <t>Rupa H S</t>
  </si>
  <si>
    <t>Chandramohan A</t>
  </si>
  <si>
    <t>Vinod Kumar M</t>
  </si>
  <si>
    <t>Pendlikula Sayageetha</t>
  </si>
  <si>
    <t>Priya</t>
  </si>
  <si>
    <t>H Gayathri</t>
  </si>
  <si>
    <t>Ankita S</t>
  </si>
  <si>
    <t>Manjunath Kolur</t>
  </si>
  <si>
    <t>Kommineni Srinivasulu</t>
  </si>
  <si>
    <t>Thulasi Venkata Harish</t>
  </si>
  <si>
    <t>Hemalatha M</t>
  </si>
  <si>
    <t>Shwetha Kadabageri</t>
  </si>
  <si>
    <t>Vijay Pal</t>
  </si>
  <si>
    <t>G Rajkumar</t>
  </si>
  <si>
    <t>Madhan Mohan V</t>
  </si>
  <si>
    <t>Saravana Maadavan C</t>
  </si>
  <si>
    <t>Vishal M Raikar</t>
  </si>
  <si>
    <t>Balaji E</t>
  </si>
  <si>
    <t>Apoorv Bhujang</t>
  </si>
  <si>
    <t>Arati Subrahmanya Gudigar</t>
  </si>
  <si>
    <t>Bhavya</t>
  </si>
  <si>
    <t>Soumendu Laha</t>
  </si>
  <si>
    <t>Dominic Sundeep Richard</t>
  </si>
  <si>
    <t>Huzefa Khan</t>
  </si>
  <si>
    <t>Ishan Bhardwaj</t>
  </si>
  <si>
    <t>Mittapalli Harika</t>
  </si>
  <si>
    <t>Pruthvika R</t>
  </si>
  <si>
    <t>Rahul Kulkarni</t>
  </si>
  <si>
    <t>Revappa Mallapure</t>
  </si>
  <si>
    <t>Saravana M</t>
  </si>
  <si>
    <t>Shanthala S</t>
  </si>
  <si>
    <t>Shoaib Ahmed Qureshi</t>
  </si>
  <si>
    <t>Sivaranjani Madhan</t>
  </si>
  <si>
    <t>Spandana C</t>
  </si>
  <si>
    <t>Sushmitha P C</t>
  </si>
  <si>
    <t>Abhijit Maiti</t>
  </si>
  <si>
    <t>Shaheen Equbal</t>
  </si>
  <si>
    <t>Amrutha B V</t>
  </si>
  <si>
    <t>Chaitra P</t>
  </si>
  <si>
    <t>K P Surabhi</t>
  </si>
  <si>
    <t>Priyanka S</t>
  </si>
  <si>
    <t>Saud Ahmed Khan</t>
  </si>
  <si>
    <t>Sonika Sahu</t>
  </si>
  <si>
    <t>Vikas N</t>
  </si>
  <si>
    <t>Abhishek Bansal</t>
  </si>
  <si>
    <t>Akshita Agarwal</t>
  </si>
  <si>
    <t>Arjit Saxena</t>
  </si>
  <si>
    <t>Ezhilarasi Selvaraj</t>
  </si>
  <si>
    <t>Kala Meghana</t>
  </si>
  <si>
    <t>Kalash Agrawal</t>
  </si>
  <si>
    <t>Naman Agrawal</t>
  </si>
  <si>
    <t>Saanjeev S</t>
  </si>
  <si>
    <t>Shaik Abdul Rahaman</t>
  </si>
  <si>
    <t>Shobika Janani</t>
  </si>
  <si>
    <t>Shyla Shree R</t>
  </si>
  <si>
    <t>Swati Acharya</t>
  </si>
  <si>
    <t>Vaibhav Garg</t>
  </si>
  <si>
    <t>Mahalakshmi Devarajan</t>
  </si>
  <si>
    <t>Pushpendra Singh Chauhan</t>
  </si>
  <si>
    <t>Aishwarya Vijayaram</t>
  </si>
  <si>
    <t>Akshaya Pandey</t>
  </si>
  <si>
    <t>Bojja Nikitha</t>
  </si>
  <si>
    <t>Nikeeta Kurrey</t>
  </si>
  <si>
    <t>Puja</t>
  </si>
  <si>
    <t>Shivaprasad H S</t>
  </si>
  <si>
    <t>Tadepalli Nagavenkata Vasavi Sai Lakshmi</t>
  </si>
  <si>
    <t>Vidya D</t>
  </si>
  <si>
    <t>Arpita Rajendra Patil</t>
  </si>
  <si>
    <t>Gupta Sachinkumar Lakhichand</t>
  </si>
  <si>
    <t>Himanshu Gangwar</t>
  </si>
  <si>
    <t>Lohith Kumar Shetty M</t>
  </si>
  <si>
    <t>N Manoj</t>
  </si>
  <si>
    <t>Sabbella Sai Madhuri</t>
  </si>
  <si>
    <t>Swathi S G</t>
  </si>
  <si>
    <t>Tenali Uthpreksha</t>
  </si>
  <si>
    <t>Theerthaprasad D S</t>
  </si>
  <si>
    <t>Harshitha S</t>
  </si>
  <si>
    <t>Adarrsh Paul</t>
  </si>
  <si>
    <t>Ashwini</t>
  </si>
  <si>
    <t>B Yuvaraj</t>
  </si>
  <si>
    <t>Divya Rekha S</t>
  </si>
  <si>
    <t>G Ranjith</t>
  </si>
  <si>
    <t>Gaurav Khatri</t>
  </si>
  <si>
    <t>Hithesh</t>
  </si>
  <si>
    <t>Jeevanantham Raja Perumal</t>
  </si>
  <si>
    <t>Jeevitha Pazhani</t>
  </si>
  <si>
    <t>M Sasi Rekha</t>
  </si>
  <si>
    <t>Nandini Priya I</t>
  </si>
  <si>
    <t>Pavithra S Indaragi</t>
  </si>
  <si>
    <t>Rajashree S</t>
  </si>
  <si>
    <t>Roshan Raj</t>
  </si>
  <si>
    <t>Santhana</t>
  </si>
  <si>
    <t>Shribharathi</t>
  </si>
  <si>
    <t>Subashini</t>
  </si>
  <si>
    <t>Thadkamala Manikanta</t>
  </si>
  <si>
    <t>Thanigaivel R</t>
  </si>
  <si>
    <t>R Akshay</t>
  </si>
  <si>
    <t>Joseph K T</t>
  </si>
  <si>
    <t>Arasu</t>
  </si>
  <si>
    <t>Madhu G</t>
  </si>
  <si>
    <t>Mulayam Singh</t>
  </si>
  <si>
    <t>Thulasimanikandan C R</t>
  </si>
  <si>
    <t>Korapati Rafi</t>
  </si>
  <si>
    <t>M N Kiran Kumar Kiran Kumar</t>
  </si>
  <si>
    <t>Krishnaprasad Punnekkat</t>
  </si>
  <si>
    <t>Sanjay S</t>
  </si>
  <si>
    <t>Praveen Kumar Soundarapandian</t>
  </si>
  <si>
    <t>Sandhya Bhat M R</t>
  </si>
  <si>
    <t>Parveez Khan</t>
  </si>
  <si>
    <t>Anjaneya Bommidi</t>
  </si>
  <si>
    <t>Boya Vusseni</t>
  </si>
  <si>
    <t>Madamala Uma Mahesh</t>
  </si>
  <si>
    <t>Nishtha Jain</t>
  </si>
  <si>
    <t>Amit Kumar Poddar</t>
  </si>
  <si>
    <t>Yarrabotula Venkata Reddy</t>
  </si>
  <si>
    <t>Shrikanth Dakshina</t>
  </si>
  <si>
    <t>SK Azaruddin</t>
  </si>
  <si>
    <t>Varsha K S</t>
  </si>
  <si>
    <t>Kuruvella Anoop</t>
  </si>
  <si>
    <t>Kanian Thavamani Vaiyapuri</t>
  </si>
  <si>
    <t>R Vignesh</t>
  </si>
  <si>
    <t>Ravulapalli Venkateswararao</t>
  </si>
  <si>
    <t>Narasimhan Suseendran</t>
  </si>
  <si>
    <t>Deepak Phaugat</t>
  </si>
  <si>
    <t>Chilakala Mahidhar Reddy</t>
  </si>
  <si>
    <t>Ankur Badjatiya</t>
  </si>
  <si>
    <t>Bhavyashree Vinay Kumar Hegde</t>
  </si>
  <si>
    <t>Keerthana A</t>
  </si>
  <si>
    <t>Prasanna Bhagwat</t>
  </si>
  <si>
    <t>Vaishnavi M S</t>
  </si>
  <si>
    <t>Sudarshan K N</t>
  </si>
  <si>
    <t>Ananya S Kashyap</t>
  </si>
  <si>
    <t>Deepika B</t>
  </si>
  <si>
    <t>Sundhar Seenivasan</t>
  </si>
  <si>
    <t>Malay Singh</t>
  </si>
  <si>
    <t>Bellary Kavya</t>
  </si>
  <si>
    <t>Bhavya Gupta</t>
  </si>
  <si>
    <t>Asish Mohapatra</t>
  </si>
  <si>
    <t>Arnab Biswas</t>
  </si>
  <si>
    <t>Janagani Shiva Nandini</t>
  </si>
  <si>
    <t>Himanshu Shiva Pujari</t>
  </si>
  <si>
    <t>Laxmi Dundappa Dalwai</t>
  </si>
  <si>
    <t>Siba Sankar Subudhi</t>
  </si>
  <si>
    <t>Likith Naik S</t>
  </si>
  <si>
    <t>Aavulapati Sharath Chandra Maharshi</t>
  </si>
  <si>
    <t>Rahul B</t>
  </si>
  <si>
    <t>Monisha S</t>
  </si>
  <si>
    <t>M R Tejash Patel</t>
  </si>
  <si>
    <t>Ahana P</t>
  </si>
  <si>
    <t>Monica M</t>
  </si>
  <si>
    <t>Chaitra R</t>
  </si>
  <si>
    <t>Ganapathy Raman</t>
  </si>
  <si>
    <t>Cazal Tirkey</t>
  </si>
  <si>
    <t>Pranvesh Pandey</t>
  </si>
  <si>
    <t>G S Namratha</t>
  </si>
  <si>
    <t>Pooja Hiremath</t>
  </si>
  <si>
    <t>Qazi Mohammad Arsalan</t>
  </si>
  <si>
    <t>Archana Ranjan</t>
  </si>
  <si>
    <t>Matta Sai Ram Chaitanya</t>
  </si>
  <si>
    <t>Sagar J Shenoy</t>
  </si>
  <si>
    <t>Kokila G</t>
  </si>
  <si>
    <t>Seema Dundappa Piroji</t>
  </si>
  <si>
    <t>Gaurav</t>
  </si>
  <si>
    <t>Infanto Lawrence L</t>
  </si>
  <si>
    <t>Thrishul Reddy A R</t>
  </si>
  <si>
    <t>Orchu Rajitha</t>
  </si>
  <si>
    <t>Shyamli Singh</t>
  </si>
  <si>
    <t>Shikha Sinha</t>
  </si>
  <si>
    <t>Shivleela P Makanur</t>
  </si>
  <si>
    <t>Vinayaka M Gowda</t>
  </si>
  <si>
    <t>Bikash Ray</t>
  </si>
  <si>
    <t>D0</t>
  </si>
  <si>
    <t>Swastik Anil Bhomkar</t>
  </si>
  <si>
    <t>Manu P Sebastian</t>
  </si>
  <si>
    <t>Durai Raj Muralidharan</t>
  </si>
  <si>
    <t>Mrinal Kumar</t>
  </si>
  <si>
    <t>Monika Yadav Yadav</t>
  </si>
  <si>
    <t>Sheela B</t>
  </si>
  <si>
    <t>Harshitha K N</t>
  </si>
  <si>
    <t>Shivam Pandey</t>
  </si>
  <si>
    <t>Kavana M H</t>
  </si>
  <si>
    <t>Somashekar Reddy K P</t>
  </si>
  <si>
    <t>Santhosh</t>
  </si>
  <si>
    <t>C V Anusha</t>
  </si>
  <si>
    <t>Niveditha H M</t>
  </si>
  <si>
    <t>Rajesh Kumar Panda</t>
  </si>
  <si>
    <t>Sachin Kumar</t>
  </si>
  <si>
    <t>Manjunath V A</t>
  </si>
  <si>
    <t>Kiran Patil</t>
  </si>
  <si>
    <t>M Annapurna</t>
  </si>
  <si>
    <t>Joshi Priyanka</t>
  </si>
  <si>
    <t>M Anusha</t>
  </si>
  <si>
    <t>Adeeba Saara</t>
  </si>
  <si>
    <t>Varun Kulkarni</t>
  </si>
  <si>
    <t>Jeevitha H D</t>
  </si>
  <si>
    <t>Kaveri Sanju Shankargouda</t>
  </si>
  <si>
    <t>Kiran Vantagodi</t>
  </si>
  <si>
    <t>Mohammed Anas</t>
  </si>
  <si>
    <t>B L Megha Varshini</t>
  </si>
  <si>
    <t>Manjunath S A</t>
  </si>
  <si>
    <t xml:space="preserve">Prithviraj Singh </t>
  </si>
  <si>
    <t>Sanjay S N</t>
  </si>
  <si>
    <t>Kamineni Mani Teja</t>
  </si>
  <si>
    <t xml:space="preserve">Rahul B </t>
  </si>
  <si>
    <t>S Harshitha</t>
  </si>
  <si>
    <t>Sartaz Banu A</t>
  </si>
  <si>
    <t>Anusha S Havalad</t>
  </si>
  <si>
    <t>Burra Viswanathareddy</t>
  </si>
  <si>
    <t>Sadanakari Hemavardhan Sai Prasanna Kumar</t>
  </si>
  <si>
    <t>Jyoti C Kulkarni</t>
  </si>
  <si>
    <t>Bhagya Suresh Rangannavar</t>
  </si>
  <si>
    <t>Aparna A</t>
  </si>
  <si>
    <t>Kishore</t>
  </si>
  <si>
    <t>G Naveen Kumar</t>
  </si>
  <si>
    <t>Payal Jaiswal</t>
  </si>
  <si>
    <t>Preeti Lakshmi Narayan</t>
  </si>
  <si>
    <t>Manasa H K</t>
  </si>
  <si>
    <t>Santosh</t>
  </si>
  <si>
    <t>Neha</t>
  </si>
  <si>
    <t>Varsha S</t>
  </si>
  <si>
    <t>C Kiran Kumar</t>
  </si>
  <si>
    <t>Chavidiboyana Brahmaiah</t>
  </si>
  <si>
    <t>Sarabu Vamsi Krishna</t>
  </si>
  <si>
    <t>Rupini Ram V K</t>
  </si>
  <si>
    <t>Saluja</t>
  </si>
  <si>
    <t>Vurubindi Pavankalyan</t>
  </si>
  <si>
    <t>Ashith S</t>
  </si>
  <si>
    <t>K P Akash</t>
  </si>
  <si>
    <t>Vignesh</t>
  </si>
  <si>
    <t>Menka Goswami</t>
  </si>
  <si>
    <t>Santhosh Athreya B</t>
  </si>
  <si>
    <t>Akshay Rajendra Rane</t>
  </si>
  <si>
    <t>Charanraj</t>
  </si>
  <si>
    <t>A Richard Abraham</t>
  </si>
  <si>
    <t>Savitha K S</t>
  </si>
  <si>
    <t>Vishnu Prasad</t>
  </si>
  <si>
    <t>G Raja Sekhar Yadav</t>
  </si>
  <si>
    <t>Namrata Sadguru Satardekar</t>
  </si>
  <si>
    <t>Kota Spandana</t>
  </si>
  <si>
    <t>Guruprasad U</t>
  </si>
  <si>
    <t>Dhiraj Upadhya</t>
  </si>
  <si>
    <t>Syeda N Fathima</t>
  </si>
  <si>
    <t>Kattula Meher Sai</t>
  </si>
  <si>
    <t>Tejashwini Soddagi</t>
  </si>
  <si>
    <t>Suvetha Ragupathi</t>
  </si>
  <si>
    <t>Chandana G Prasad</t>
  </si>
  <si>
    <t>A Divya Tej</t>
  </si>
  <si>
    <t>Lavanya G</t>
  </si>
  <si>
    <t>Mallikarjuna V Kurli</t>
  </si>
  <si>
    <t>Syed Arbaz</t>
  </si>
  <si>
    <t>Venugopal N</t>
  </si>
  <si>
    <t>Deepa</t>
  </si>
  <si>
    <t>Rohan Srivastava</t>
  </si>
  <si>
    <t>Vaishali</t>
  </si>
  <si>
    <t>Gagana Shree N</t>
  </si>
  <si>
    <t>Abhishek Raj</t>
  </si>
  <si>
    <t>Sharath C</t>
  </si>
  <si>
    <t>Himanshu Shekhar</t>
  </si>
  <si>
    <t>Aishwarya</t>
  </si>
  <si>
    <t>Akarsh R</t>
  </si>
  <si>
    <t>Dhanyashree G</t>
  </si>
  <si>
    <t>K Kantharaju</t>
  </si>
  <si>
    <t>Kamaleswar Nayak</t>
  </si>
  <si>
    <t>Gunashekar</t>
  </si>
  <si>
    <t>Simran M</t>
  </si>
  <si>
    <t>Ramachandra Ashok</t>
  </si>
  <si>
    <t>G Girish</t>
  </si>
  <si>
    <t>Poonam Abbasali Gorinayak</t>
  </si>
  <si>
    <t>Mythri G</t>
  </si>
  <si>
    <t>Netyam Rohith</t>
  </si>
  <si>
    <t>Kshitiz Ravi</t>
  </si>
  <si>
    <t>Vaibhavi J Kundliya</t>
  </si>
  <si>
    <t>Chitra Mondal</t>
  </si>
  <si>
    <t>Diwate Prashanth</t>
  </si>
  <si>
    <t>Santhi Manjusha Bollapalli</t>
  </si>
  <si>
    <t>Ankith D</t>
  </si>
  <si>
    <t>Perikela Raghava</t>
  </si>
  <si>
    <t>Tushar Babu Hawaldar</t>
  </si>
  <si>
    <t>Mohit Saini</t>
  </si>
  <si>
    <t>Nilesh Malviya</t>
  </si>
  <si>
    <t>Deepika Goel</t>
  </si>
  <si>
    <t>Pallavi S</t>
  </si>
  <si>
    <t>Rajabaksha</t>
  </si>
  <si>
    <t>Lakshmi</t>
  </si>
  <si>
    <t>M V Dhanush Kumar</t>
  </si>
  <si>
    <t>Shyam Parthasarathy</t>
  </si>
  <si>
    <t>Lakshmi R</t>
  </si>
  <si>
    <t>Nandini G</t>
  </si>
  <si>
    <t>Thotli Ashok Kumar Reddy</t>
  </si>
  <si>
    <t>Roshna Mathew</t>
  </si>
  <si>
    <t>Kavita  Todekar</t>
  </si>
  <si>
    <t>Shubham Kumar</t>
  </si>
  <si>
    <t>Praveen Kumar G</t>
  </si>
  <si>
    <t>Sharad Kallappa Dhabale</t>
  </si>
  <si>
    <t>Jitendra Kumar Sahoo</t>
  </si>
  <si>
    <t>Y Purushottama</t>
  </si>
  <si>
    <t>Ajith Sabu Joseph</t>
  </si>
  <si>
    <t>Sumangala</t>
  </si>
  <si>
    <t>Vasumathi Srinivasan</t>
  </si>
  <si>
    <t>Devasani Subramanyam</t>
  </si>
  <si>
    <t>Sachin N M</t>
  </si>
  <si>
    <t>Kontala Sunil Kumar Reddy</t>
  </si>
  <si>
    <t>Kondeti Katyayani</t>
  </si>
  <si>
    <t>Supriya Shamrao Jagatap</t>
  </si>
  <si>
    <t>Karthik Reddy Ck</t>
  </si>
  <si>
    <t>N A Chethan</t>
  </si>
  <si>
    <t>Dhanya Kumar Gonageri</t>
  </si>
  <si>
    <t>Guggilla Venkata Sivaiah</t>
  </si>
  <si>
    <t>Deepti Jain</t>
  </si>
  <si>
    <t>Muthuganesh M</t>
  </si>
  <si>
    <t>Sanath Kumar S</t>
  </si>
  <si>
    <t>Talupula Krishna Veni</t>
  </si>
  <si>
    <t>Yavvari Dhanraj</t>
  </si>
  <si>
    <t>Rayapati Mahesh</t>
  </si>
  <si>
    <t>Shuchi</t>
  </si>
  <si>
    <t>Manohar C</t>
  </si>
  <si>
    <t>Mohd Khaja Nadeemuddin</t>
  </si>
  <si>
    <t>Shishira Raj K</t>
  </si>
  <si>
    <t>Alla Ajay Kumar</t>
  </si>
  <si>
    <t>Mohammed Suhaib Pasha</t>
  </si>
  <si>
    <t>Kunal S G</t>
  </si>
  <si>
    <t>Palaniselvam Kalirajan</t>
  </si>
  <si>
    <t>Ayyappan Karthik</t>
  </si>
  <si>
    <t>Sanaboina Sreekanth</t>
  </si>
  <si>
    <t>Soham Sen</t>
  </si>
  <si>
    <t>Purbasha Mahapatra</t>
  </si>
  <si>
    <t>Seema T G</t>
  </si>
  <si>
    <t>Madhavi M B</t>
  </si>
  <si>
    <t>Nagarajan M</t>
  </si>
  <si>
    <t>Sanjay</t>
  </si>
  <si>
    <t>Gogireddy Siddu</t>
  </si>
  <si>
    <t>Sathiya Moorthy T</t>
  </si>
  <si>
    <t>Dinesh Kumaran Balaji</t>
  </si>
  <si>
    <t>Sharmistha Chowdhury</t>
  </si>
  <si>
    <t>D S Bhramaramba</t>
  </si>
  <si>
    <t>Naina Mohan Gawade</t>
  </si>
  <si>
    <t>Kavya M E</t>
  </si>
  <si>
    <t>Bhumika A</t>
  </si>
  <si>
    <t>Vishal</t>
  </si>
  <si>
    <t>Sivani Penagaluru</t>
  </si>
  <si>
    <t>Shashikiran M</t>
  </si>
  <si>
    <t>Deivendran C</t>
  </si>
  <si>
    <t>Ram Prasath K</t>
  </si>
  <si>
    <t>Sharanabasappa Patil</t>
  </si>
  <si>
    <t>K Srinath Charyulu</t>
  </si>
  <si>
    <t>Vishal Kumar Behera</t>
  </si>
  <si>
    <t>Gowtham</t>
  </si>
  <si>
    <t>Miltonsureshraja Jabakumar</t>
  </si>
  <si>
    <t>Ankireddy Vishnuvardhan Reddy</t>
  </si>
  <si>
    <t>Jaymin V Bhatt</t>
  </si>
  <si>
    <t>A Pavan Kumar</t>
  </si>
  <si>
    <t>Samson Stanley</t>
  </si>
  <si>
    <t>Prateek Roshan Mahapatra</t>
  </si>
  <si>
    <t>Sakinana Ajay Kumar</t>
  </si>
  <si>
    <t>Saurabh Pachouri</t>
  </si>
  <si>
    <t>Nabeela Salam</t>
  </si>
  <si>
    <t>Jyothi S B</t>
  </si>
  <si>
    <t>Ashwini Tenehalli</t>
  </si>
  <si>
    <t>Abdul Khaliq</t>
  </si>
  <si>
    <t>Anusha R</t>
  </si>
  <si>
    <t>P S Manohar</t>
  </si>
  <si>
    <t>Tadikamalla Naga Venkata Durga Chandra Bhavana</t>
  </si>
  <si>
    <t>Gordhan Singh</t>
  </si>
  <si>
    <t>Manikanteswara Reddy B</t>
  </si>
  <si>
    <t>Bindushree KP</t>
  </si>
  <si>
    <t>Manju Karabasappa Ukkund</t>
  </si>
  <si>
    <t>Mahesha Konapura</t>
  </si>
  <si>
    <t>Valeti Geethanjali</t>
  </si>
  <si>
    <t>Archana B K</t>
  </si>
  <si>
    <t>Raghavendra K</t>
  </si>
  <si>
    <t>Munna Kumar</t>
  </si>
  <si>
    <t>Lovemeet Sain</t>
  </si>
  <si>
    <t>Ammannagari Maruthi Reddy</t>
  </si>
  <si>
    <t xml:space="preserve">Mahesh Kumar Vallamkonda  Radhakrishna </t>
  </si>
  <si>
    <t>Anil Kumar M</t>
  </si>
  <si>
    <t>Mudit Sharma</t>
  </si>
  <si>
    <t>Priyanka Vasant Paschapur</t>
  </si>
  <si>
    <t>Shrishaila</t>
  </si>
  <si>
    <t>Samskruthi T K</t>
  </si>
  <si>
    <t>Eshwar</t>
  </si>
  <si>
    <t>Nisarga Y</t>
  </si>
  <si>
    <t>Dipannita Das</t>
  </si>
  <si>
    <t>Puja Kumari</t>
  </si>
  <si>
    <t>Nishanth Samuel</t>
  </si>
  <si>
    <t>Kishore Rao</t>
  </si>
  <si>
    <t>Jacinta Timotina Dias</t>
  </si>
  <si>
    <t>Suriya Ranganathan</t>
  </si>
  <si>
    <t>R Priyanka</t>
  </si>
  <si>
    <t>Deekshith S</t>
  </si>
  <si>
    <t>Simran A</t>
  </si>
  <si>
    <t>Tamilarasi Sivakumar</t>
  </si>
  <si>
    <t>Prapthi P Jain</t>
  </si>
  <si>
    <t>Noor Jabeena</t>
  </si>
  <si>
    <t>Thambapuri Lokesh</t>
  </si>
  <si>
    <t>V Tejesh</t>
  </si>
  <si>
    <t>Jyothi Vaijapur</t>
  </si>
  <si>
    <t>Sujithkumar Harapanahalli</t>
  </si>
  <si>
    <t>Supritha Venkobarao Bhonsle</t>
  </si>
  <si>
    <t>S Charan</t>
  </si>
  <si>
    <t>Vigneshwar Ravichandran</t>
  </si>
  <si>
    <t>Venkatesh D</t>
  </si>
  <si>
    <t>Bojanapu Pavan Kumar</t>
  </si>
  <si>
    <t>Kannappagoud Shivagond</t>
  </si>
  <si>
    <t>Darshan Marakall</t>
  </si>
  <si>
    <t>Usama Mohammed Farook Sukri</t>
  </si>
  <si>
    <t>Manoj Kumar D</t>
  </si>
  <si>
    <t>Shreenidhi B N</t>
  </si>
  <si>
    <t>Syed Asif</t>
  </si>
  <si>
    <t>Varun D S</t>
  </si>
  <si>
    <t>Aishwarya Khonde</t>
  </si>
  <si>
    <t>Vishwas M</t>
  </si>
  <si>
    <t>Prasanna Balaji T P</t>
  </si>
  <si>
    <t>Seerapu Sairam</t>
  </si>
  <si>
    <t>Lakshmanan Ramanathan</t>
  </si>
  <si>
    <t>Shivakumar R Hombal</t>
  </si>
  <si>
    <t>Priyanka R</t>
  </si>
  <si>
    <t>Rounak Bhadra</t>
  </si>
  <si>
    <t>Vedhaviyasan</t>
  </si>
  <si>
    <t>Tasmiya K M</t>
  </si>
  <si>
    <t>Smriti Rani</t>
  </si>
  <si>
    <t>Anil Kumar R</t>
  </si>
  <si>
    <t>Akshatha K C</t>
  </si>
  <si>
    <t>Brundha P</t>
  </si>
  <si>
    <t>Ashwin T</t>
  </si>
  <si>
    <t>B R Anjana Krishna</t>
  </si>
  <si>
    <t>Bharath S L</t>
  </si>
  <si>
    <t>Jeswanth Kumar K R</t>
  </si>
  <si>
    <t>Divya B</t>
  </si>
  <si>
    <t>Dhamotharan K</t>
  </si>
  <si>
    <t>Ashwini H</t>
  </si>
  <si>
    <t>Jaya Prasad M</t>
  </si>
  <si>
    <t>Nageshkumar B S</t>
  </si>
  <si>
    <t>Nigil M R</t>
  </si>
  <si>
    <t>Mohd Shahbazul Quadri</t>
  </si>
  <si>
    <t>Neeraj Kumar</t>
  </si>
  <si>
    <t>Suvetha Sridhar</t>
  </si>
  <si>
    <t>Padmaraju Rajesh Kumar Raju</t>
  </si>
  <si>
    <t>Krishna Balaji</t>
  </si>
  <si>
    <t>Sinchana P</t>
  </si>
  <si>
    <t>Umme Hanee</t>
  </si>
  <si>
    <t>Sumit Kesarvani</t>
  </si>
  <si>
    <t>Adhithiyan R</t>
  </si>
  <si>
    <t>Ankit Kumar</t>
  </si>
  <si>
    <t>Nabin Mahato</t>
  </si>
  <si>
    <t>Kannan D</t>
  </si>
  <si>
    <t>Rishav Kr Chourasia</t>
  </si>
  <si>
    <t>Sachin S Mural</t>
  </si>
  <si>
    <t>Yashwanth T</t>
  </si>
  <si>
    <t>Krithika Hegde</t>
  </si>
  <si>
    <t>Deepa E</t>
  </si>
  <si>
    <t>Sujan P</t>
  </si>
  <si>
    <t>Mohameed Asraff Ali</t>
  </si>
  <si>
    <t>S R Sujana</t>
  </si>
  <si>
    <t>Manavi J M</t>
  </si>
  <si>
    <t>Anudeep K</t>
  </si>
  <si>
    <t>Farvej H Kulmi</t>
  </si>
  <si>
    <t>Nandhakumar P T</t>
  </si>
  <si>
    <t>M Mantharagiri</t>
  </si>
  <si>
    <t>Bugide Veera Venkata Vasantha Rayulu</t>
  </si>
  <si>
    <t>Sirisha N B</t>
  </si>
  <si>
    <t>Ramappa Gari Shivakumar</t>
  </si>
  <si>
    <t>Pavitra Krishna Naik</t>
  </si>
  <si>
    <t>Prajwal S M</t>
  </si>
  <si>
    <t>K S Sachin</t>
  </si>
  <si>
    <t>Siripireddy Hanumantha Reddy</t>
  </si>
  <si>
    <t>M Srinivas</t>
  </si>
  <si>
    <t>Syed Waqeer</t>
  </si>
  <si>
    <t>Thanu Priya L</t>
  </si>
  <si>
    <t>Santhosh Kumar</t>
  </si>
  <si>
    <t>Prateek Srivastava</t>
  </si>
  <si>
    <t>S Kaviyapriya</t>
  </si>
  <si>
    <t>Ranjitha A</t>
  </si>
  <si>
    <t>Roshini B M</t>
  </si>
  <si>
    <t>U Poojitha</t>
  </si>
  <si>
    <t>Shashanka Prabhakara Hegade</t>
  </si>
  <si>
    <t>Sanjana K</t>
  </si>
  <si>
    <t>Sahana Vishwanath Naganoor</t>
  </si>
  <si>
    <t>Sharanya Shetty</t>
  </si>
  <si>
    <t>Prajwal S R</t>
  </si>
  <si>
    <t>Rahul G N</t>
  </si>
  <si>
    <t>Aman Deep</t>
  </si>
  <si>
    <t>Abhay Pd Kalwar</t>
  </si>
  <si>
    <t>Anusha B H</t>
  </si>
  <si>
    <t>Akash A</t>
  </si>
  <si>
    <t>Hima T</t>
  </si>
  <si>
    <t>Ganya H T</t>
  </si>
  <si>
    <t>Pratishruti Panda</t>
  </si>
  <si>
    <t>Prajna C</t>
  </si>
  <si>
    <t>Sonali Joyce Lobo</t>
  </si>
  <si>
    <t>Priyadharshini S</t>
  </si>
  <si>
    <t>Darshan B A</t>
  </si>
  <si>
    <t>Vipin P P</t>
  </si>
  <si>
    <t>Priya Yagati M S</t>
  </si>
  <si>
    <t>Jayasudha N</t>
  </si>
  <si>
    <t>Prateeksha Yalaguresh Joshi</t>
  </si>
  <si>
    <t>J Shirisha</t>
  </si>
  <si>
    <t>Soundarya S</t>
  </si>
  <si>
    <t>Deepthi G</t>
  </si>
  <si>
    <t>Iraqui Abu Amir Merajuddin</t>
  </si>
  <si>
    <t>Guruvishnu A</t>
  </si>
  <si>
    <t>Raghavendra Ravi Teja</t>
  </si>
  <si>
    <t>K Srikar</t>
  </si>
  <si>
    <t>Namita N</t>
  </si>
  <si>
    <t>Swati Singh</t>
  </si>
  <si>
    <t>Kotnala Manikanta</t>
  </si>
  <si>
    <t>Balimidi Pruthvinath</t>
  </si>
  <si>
    <t>Kanchana Jyoshi</t>
  </si>
  <si>
    <t>Meghana K P</t>
  </si>
  <si>
    <t>Nawaz</t>
  </si>
  <si>
    <t>Senthamil Pandiyan</t>
  </si>
  <si>
    <t>Ananthitha N S</t>
  </si>
  <si>
    <t>Dhiyaneshwaran Kannadhasan</t>
  </si>
  <si>
    <t>Mohammedsohail Mulla</t>
  </si>
  <si>
    <t>Rajat Sinnur</t>
  </si>
  <si>
    <t>Spoorthi D</t>
  </si>
  <si>
    <t>Shreenivasraddi H Alavandi</t>
  </si>
  <si>
    <t>Shawn Rilson Dsouza</t>
  </si>
  <si>
    <t>Smrutiranjan Dash</t>
  </si>
  <si>
    <t>Shilpasree Sivaji</t>
  </si>
  <si>
    <t>Krishnasingh Bisen</t>
  </si>
  <si>
    <t>Naziya Muskan</t>
  </si>
  <si>
    <t>Darshan P Pawar</t>
  </si>
  <si>
    <t>Basavesh R S</t>
  </si>
  <si>
    <t>Karthik Damabaralli</t>
  </si>
  <si>
    <t>Deepak Kumar N</t>
  </si>
  <si>
    <t>Ankita R K</t>
  </si>
  <si>
    <t>Anik Maji</t>
  </si>
  <si>
    <t>Nayana H D</t>
  </si>
  <si>
    <t>Merapureddy Venkata Durga Sai Vardhan</t>
  </si>
  <si>
    <t>Neha Kousar S</t>
  </si>
  <si>
    <t>Manish Gupta</t>
  </si>
  <si>
    <t>Monisha B L</t>
  </si>
  <si>
    <t>Shraddha S Gowda</t>
  </si>
  <si>
    <t>Sujan G Bhargav</t>
  </si>
  <si>
    <t>Kirubavathi K</t>
  </si>
  <si>
    <t>Adarsha K</t>
  </si>
  <si>
    <t>Adithya S Bhat</t>
  </si>
  <si>
    <t>Nahid Akhtar</t>
  </si>
  <si>
    <t>Arunkumar K C</t>
  </si>
  <si>
    <t>Archit Dash</t>
  </si>
  <si>
    <t>Hivre Omprakash Subhash</t>
  </si>
  <si>
    <t>Bhagwati Prasad Tiwari</t>
  </si>
  <si>
    <t>Supraja C</t>
  </si>
  <si>
    <t>Arandala Murali Chandra</t>
  </si>
  <si>
    <t>Abhishek Kumar</t>
  </si>
  <si>
    <t>Nikitha G Naik</t>
  </si>
  <si>
    <t>Vineeth C</t>
  </si>
  <si>
    <t>Dara Mahendra Babu</t>
  </si>
  <si>
    <t>Balamurugan S</t>
  </si>
  <si>
    <t>Swapnil Narayan Deokar</t>
  </si>
  <si>
    <t>Prathibha V</t>
  </si>
  <si>
    <t>Nitin Kumar Gaur</t>
  </si>
  <si>
    <t>Manjunatha D</t>
  </si>
  <si>
    <t>Harsh Kumar</t>
  </si>
  <si>
    <t>Snigdha Das</t>
  </si>
  <si>
    <t>Rakesh T Madiwal</t>
  </si>
  <si>
    <t>Srikanth Yadhav B V</t>
  </si>
  <si>
    <t>Pavitra</t>
  </si>
  <si>
    <t>Monika M H</t>
  </si>
  <si>
    <t>Renuka</t>
  </si>
  <si>
    <t>Ananthakrishna Bhatta</t>
  </si>
  <si>
    <t>Akshatha M A</t>
  </si>
  <si>
    <t>Mohammed Shakeel</t>
  </si>
  <si>
    <t>Heena Dilipbhai Chudasama</t>
  </si>
  <si>
    <t>Chaithra K M</t>
  </si>
  <si>
    <t>Dayananda B R</t>
  </si>
  <si>
    <t>Swetha Jayashankar</t>
  </si>
  <si>
    <t>P R Abhishek Reddy</t>
  </si>
  <si>
    <t>Sanjeev V Palled</t>
  </si>
  <si>
    <t>Ajay Kumar Chauhan</t>
  </si>
  <si>
    <t>A Suresh</t>
  </si>
  <si>
    <t>Pragadeesh P</t>
  </si>
  <si>
    <t>Nirmal Akash</t>
  </si>
  <si>
    <t>Mahamadismail Teli</t>
  </si>
  <si>
    <t>Nandini Chavadi</t>
  </si>
  <si>
    <t>Battina Sivananda Reddy</t>
  </si>
  <si>
    <t>Architha Ramesh</t>
  </si>
  <si>
    <t>Sunil Sadashiv Chilami</t>
  </si>
  <si>
    <t>Sri Ranga H J</t>
  </si>
  <si>
    <t>Dushyanth N</t>
  </si>
  <si>
    <t>Geetha Gayathri B</t>
  </si>
  <si>
    <t>Swati Srivastava</t>
  </si>
  <si>
    <t>Ananthakrishnan R</t>
  </si>
  <si>
    <t>Abdul Azeez</t>
  </si>
  <si>
    <t>Mugilan Gowthaman</t>
  </si>
  <si>
    <t>Ramanand Pradeep Pawar</t>
  </si>
  <si>
    <t>Alok Ranjan Mahakud</t>
  </si>
  <si>
    <t>Mandeep Singh Ragbir Singh Bhui</t>
  </si>
  <si>
    <t>Sanchit Saran</t>
  </si>
  <si>
    <t>Rage Divya Sree</t>
  </si>
  <si>
    <t>Ashish Kumar Singh</t>
  </si>
  <si>
    <t>M Dhanush</t>
  </si>
  <si>
    <t>Afra Samiya Mukhaddas</t>
  </si>
  <si>
    <t>Disha Girish Lotiya</t>
  </si>
  <si>
    <t>Sourabh Dhondiram Gomare</t>
  </si>
  <si>
    <t>Mayur Ramchandra Chavan</t>
  </si>
  <si>
    <t>Krishna Rajkumar Zanwar</t>
  </si>
  <si>
    <t>R Gaganashree</t>
  </si>
  <si>
    <t>Gangireddypalli Prem Ganesh</t>
  </si>
  <si>
    <t>Maddi Thanishq</t>
  </si>
  <si>
    <t>Rakesh Ranjan</t>
  </si>
  <si>
    <t>Punna Hemanth Kumar</t>
  </si>
  <si>
    <t>Priyanka Ramesh Thorat</t>
  </si>
  <si>
    <t>Praveen Parihar</t>
  </si>
  <si>
    <t>Pratyush Srivastava</t>
  </si>
  <si>
    <t>Donavalli Nani Babu</t>
  </si>
  <si>
    <t>Mohammed Afnaan Ahmed</t>
  </si>
  <si>
    <t>Sahana V</t>
  </si>
  <si>
    <t>Shakil E S</t>
  </si>
  <si>
    <t>Riya Chaudhari</t>
  </si>
  <si>
    <t>Sambhav Jain</t>
  </si>
  <si>
    <t>Rushikesh Umesh Bhattad</t>
  </si>
  <si>
    <t>Ravi Shashank Sinha</t>
  </si>
  <si>
    <t>Vijayaragavan</t>
  </si>
  <si>
    <t>Rachana N</t>
  </si>
  <si>
    <t>Dhirendra Kumar Singh</t>
  </si>
  <si>
    <t>Amit Kumar Yadav</t>
  </si>
  <si>
    <t>Dhrubajyoti Bharali</t>
  </si>
  <si>
    <t>M G Deepak Santhosh</t>
  </si>
  <si>
    <t>Mohammed Zubair Dandoti</t>
  </si>
  <si>
    <t>Rishabh Bajpai</t>
  </si>
  <si>
    <t>Rajesh N R</t>
  </si>
  <si>
    <t>Sofia Roman</t>
  </si>
  <si>
    <t>Amit Kumar</t>
  </si>
  <si>
    <t>Prachi Diwakar</t>
  </si>
  <si>
    <t>Shetti Ashok Kumar</t>
  </si>
  <si>
    <t>Jayasree Bollapalli</t>
  </si>
  <si>
    <t>Vikas Honnegowda</t>
  </si>
  <si>
    <t>Umang Goel</t>
  </si>
  <si>
    <t>Bikram Mondal</t>
  </si>
  <si>
    <t>Raveesh Kumar K M</t>
  </si>
  <si>
    <t>Kavya D</t>
  </si>
  <si>
    <t>Krishnan Babu</t>
  </si>
  <si>
    <t>Manikanta Gorapalli</t>
  </si>
  <si>
    <t>Narendra Kumar V</t>
  </si>
  <si>
    <t>Ajay N P</t>
  </si>
  <si>
    <t>Kiran Raju Krishna</t>
  </si>
  <si>
    <t>Shreyanshu Pandey</t>
  </si>
  <si>
    <t>Yuvasri Kanagaraj</t>
  </si>
  <si>
    <t>Soujith Nair</t>
  </si>
  <si>
    <t>Vathsalya Mahesh</t>
  </si>
  <si>
    <t>Sakthinivasan M</t>
  </si>
  <si>
    <t>Rakesh S</t>
  </si>
  <si>
    <t>Avula Venkateswarlu</t>
  </si>
  <si>
    <t>Anupama D U</t>
  </si>
  <si>
    <t>Rayadurgam Kiran Kumar</t>
  </si>
  <si>
    <t>Shubham Rathour</t>
  </si>
  <si>
    <t>Sourabh Kulkarni</t>
  </si>
  <si>
    <t>Ruban T</t>
  </si>
  <si>
    <t>Deepthi Puthumanappully</t>
  </si>
  <si>
    <t>Rayees Ahmed Wani</t>
  </si>
  <si>
    <t>Kandula Sandeep Kumar</t>
  </si>
  <si>
    <t>B Megha Prakash</t>
  </si>
  <si>
    <t>Kanduri Sundara Krishna Yethirajan</t>
  </si>
  <si>
    <t>Sakshi Kumari</t>
  </si>
  <si>
    <t>Noor E Amreen</t>
  </si>
  <si>
    <t>K Theja Babu</t>
  </si>
  <si>
    <t>Pinasis Swain</t>
  </si>
  <si>
    <t>Karthikeyan S</t>
  </si>
  <si>
    <t>Sherylnivya Backiaseelan</t>
  </si>
  <si>
    <t>Agnipriya Das</t>
  </si>
  <si>
    <t>Pallavi</t>
  </si>
  <si>
    <t>Abhin Hegde</t>
  </si>
  <si>
    <t>Jayalakshmi N</t>
  </si>
  <si>
    <t>Swathi P N</t>
  </si>
  <si>
    <t>Manasa M C</t>
  </si>
  <si>
    <t>Sujay A R</t>
  </si>
  <si>
    <t>Sachin Kapekere</t>
  </si>
  <si>
    <t>Kumar Selvaraj</t>
  </si>
  <si>
    <t>Poojashree Shridhar</t>
  </si>
  <si>
    <t>Vivek Badugu</t>
  </si>
  <si>
    <t>Rajkumar Kamalanathan</t>
  </si>
  <si>
    <t>Sivakrishna Chennuri</t>
  </si>
  <si>
    <t>Pavan Kumar C</t>
  </si>
  <si>
    <t>Sushree Abatirna Dash</t>
  </si>
  <si>
    <t>Chinthana B C</t>
  </si>
  <si>
    <t>Arun Kumar Srinivasan</t>
  </si>
  <si>
    <t>Abhishek Nadig</t>
  </si>
  <si>
    <t>Shamshuddin Ghouse</t>
  </si>
  <si>
    <t>Kiran Krishnamurthy</t>
  </si>
  <si>
    <t>Pavan Kumar Venkatashivareddy</t>
  </si>
  <si>
    <t>Ponnolu Vikash Reddy</t>
  </si>
  <si>
    <t>Samuel Tigga</t>
  </si>
  <si>
    <t>Aman Kumar Rastogi</t>
  </si>
  <si>
    <t>Gyan Punj</t>
  </si>
  <si>
    <t>Neha Sapalya</t>
  </si>
  <si>
    <t>Piyush Thakur</t>
  </si>
  <si>
    <t>Kerkere Mallikarjun</t>
  </si>
  <si>
    <t>Satyaprakash Rath</t>
  </si>
  <si>
    <t>Ankit Rawat</t>
  </si>
  <si>
    <t>Subrata Pal</t>
  </si>
  <si>
    <t>Pritam Patra</t>
  </si>
  <si>
    <t>Vasu Jain</t>
  </si>
  <si>
    <t>Sapana Chavan</t>
  </si>
  <si>
    <t>Divyadarshini Prakash</t>
  </si>
  <si>
    <t>Neha Mittal</t>
  </si>
  <si>
    <t>Sagar Ahuja</t>
  </si>
  <si>
    <t>Joshua Joseph</t>
  </si>
  <si>
    <t>Abhinav Thekkeyil</t>
  </si>
  <si>
    <t>Manish Thakur</t>
  </si>
  <si>
    <t>Zahoor Ali Sheikh</t>
  </si>
  <si>
    <t>Shivani Kashamolla</t>
  </si>
  <si>
    <t>Jalendra Bhageeratha</t>
  </si>
  <si>
    <t>Katkuri Likhitha</t>
  </si>
  <si>
    <t>Kavitha Shankaranna</t>
  </si>
  <si>
    <t>Sachin Shivarudrappa</t>
  </si>
  <si>
    <t>Utkarsh Gedam</t>
  </si>
  <si>
    <t>Yashraj Chouhan</t>
  </si>
  <si>
    <t>Samarth Kumar</t>
  </si>
  <si>
    <t>Ravi Kumar Beeraiah</t>
  </si>
  <si>
    <t>Siva Santhosh Pulakhandam</t>
  </si>
  <si>
    <t>Rahul Kumar Prajapat</t>
  </si>
  <si>
    <t>Nakul Agrawal</t>
  </si>
  <si>
    <t>Harshitha Murthy</t>
  </si>
  <si>
    <t>Aastha Rai</t>
  </si>
  <si>
    <t>Mohammed Azeem  Sharif</t>
  </si>
  <si>
    <t>Chethana Rajashekar</t>
  </si>
  <si>
    <t>Khaja Moideen Ayisha Parveen</t>
  </si>
  <si>
    <t>Sanket Jori</t>
  </si>
  <si>
    <t>Bhagyalaxmi Belkod</t>
  </si>
  <si>
    <t>Ritesh  Singh</t>
  </si>
  <si>
    <t>Karthik  M</t>
  </si>
  <si>
    <t>Kappala Naga Prasanna</t>
  </si>
  <si>
    <t>Ganesh Naik</t>
  </si>
  <si>
    <t>Neha Tandon</t>
  </si>
  <si>
    <t>Atchutha Harikrishna</t>
  </si>
  <si>
    <t>Majjari Chandra Mohan</t>
  </si>
  <si>
    <t>Nisha G N</t>
  </si>
  <si>
    <t>Nikhil Sogala Dinesh</t>
  </si>
  <si>
    <t>Tejaswini G K</t>
  </si>
  <si>
    <t>Srinidhi N Shetty</t>
  </si>
  <si>
    <t>Mohammed Safwan Jaleel</t>
  </si>
  <si>
    <t>Akhilesh Talawar</t>
  </si>
  <si>
    <t>Mohd Kamran</t>
  </si>
  <si>
    <t>Gouse Pasha</t>
  </si>
  <si>
    <t>Dipanshu Anand</t>
  </si>
  <si>
    <t>Srilakshmi S</t>
  </si>
  <si>
    <t>Rashmi K S</t>
  </si>
  <si>
    <t>Suresh S</t>
  </si>
  <si>
    <t>Kasaragadda Lakshmi Naga Malleswari</t>
  </si>
  <si>
    <t>Annapurna Naregall</t>
  </si>
  <si>
    <t>Shruti Sudesh Shetty</t>
  </si>
  <si>
    <t>Ponni Dhamodharan</t>
  </si>
  <si>
    <t>Ganji Vamshi</t>
  </si>
  <si>
    <t>Abhishek Patel</t>
  </si>
  <si>
    <t>Ananya Ranganath</t>
  </si>
  <si>
    <t>Desh Deepak Chaudhary</t>
  </si>
  <si>
    <t>Macharla Divya</t>
  </si>
  <si>
    <t>Himanshu Bansal</t>
  </si>
  <si>
    <t>Kavyashree K P</t>
  </si>
  <si>
    <t>Kunal Sundaram</t>
  </si>
  <si>
    <t>Manasvi U Runwal</t>
  </si>
  <si>
    <t>R Monika</t>
  </si>
  <si>
    <t>Bhoomika N S</t>
  </si>
  <si>
    <t>Pavan P Acharya</t>
  </si>
  <si>
    <t>Samarth Shrikant Penshanwar</t>
  </si>
  <si>
    <t>Shraddha Dilip Sagvekar</t>
  </si>
  <si>
    <t>Adarsh Devindrappa Biradar</t>
  </si>
  <si>
    <t>Subramanya Annappa Pujari</t>
  </si>
  <si>
    <t>Bhanudas Gurunath Kulkarni</t>
  </si>
  <si>
    <t>P Geethanjali</t>
  </si>
  <si>
    <t>Rakesh Kumar</t>
  </si>
  <si>
    <t>Rettapalli Akshay Kumar</t>
  </si>
  <si>
    <t>Shrenik Sanjay Badjate</t>
  </si>
  <si>
    <t>Amrutha Acharya</t>
  </si>
  <si>
    <t>Mutyala Naga Raju</t>
  </si>
  <si>
    <t>Naveen Kumar Verma</t>
  </si>
  <si>
    <t>Nayana J</t>
  </si>
  <si>
    <t>Nikhat Kotwal</t>
  </si>
  <si>
    <t>Abijith P</t>
  </si>
  <si>
    <t>Surya S</t>
  </si>
  <si>
    <t>Mahantesh Emmiyavar</t>
  </si>
  <si>
    <t>Mehbish Ziya</t>
  </si>
  <si>
    <t>Nishmitha T D</t>
  </si>
  <si>
    <t>Manasa B S</t>
  </si>
  <si>
    <t>Nikitha C</t>
  </si>
  <si>
    <t>Divyashree N C</t>
  </si>
  <si>
    <t>Chandan Sah</t>
  </si>
  <si>
    <t>Mohammad Danish Alauddin</t>
  </si>
  <si>
    <t>Shwetha</t>
  </si>
  <si>
    <t>Supratik Biswas</t>
  </si>
  <si>
    <t>Pallavi T S</t>
  </si>
  <si>
    <t>Chandana M N</t>
  </si>
  <si>
    <t>Afreen Ali</t>
  </si>
  <si>
    <t>Anurag Gupta</t>
  </si>
  <si>
    <t>Subhashree Dey</t>
  </si>
  <si>
    <t>Tanmaya Pradhan</t>
  </si>
  <si>
    <t>Kishan N</t>
  </si>
  <si>
    <t>Javeriya Samreen</t>
  </si>
  <si>
    <t>Shemshetti Yaswanth Kumar</t>
  </si>
  <si>
    <t>Abhishek Yakkundi</t>
  </si>
  <si>
    <t>Marchala Mahesh</t>
  </si>
  <si>
    <t>Poojashree Kamble</t>
  </si>
  <si>
    <t>Darshan Kumar N</t>
  </si>
  <si>
    <t>Mansi Gupta</t>
  </si>
  <si>
    <t>Vishnubhotla Srinija</t>
  </si>
  <si>
    <t>Challa Phanindra Reddy</t>
  </si>
  <si>
    <t>Rohan Anand</t>
  </si>
  <si>
    <t>Arya Abinash Sahoo</t>
  </si>
  <si>
    <t>Shireesha Budumuru</t>
  </si>
  <si>
    <t>Gopireddy Reddy</t>
  </si>
  <si>
    <t>Hardik Chaurasia</t>
  </si>
  <si>
    <t>Irfan Hukkeri</t>
  </si>
  <si>
    <t>Kiran Chinnaswamy</t>
  </si>
  <si>
    <t>Kishan Kumar</t>
  </si>
  <si>
    <t>Mahesh Rahane</t>
  </si>
  <si>
    <t>Pallabi Mandal</t>
  </si>
  <si>
    <t>Jay Hasmukhbhai Patel</t>
  </si>
  <si>
    <t>Nagma Hafiz Talib</t>
  </si>
  <si>
    <t>Annu Sharma</t>
  </si>
  <si>
    <t>Bharath Reddy</t>
  </si>
  <si>
    <t>Yamuna Venkatesh</t>
  </si>
  <si>
    <t>Basuthkar Sai Santhosh Rao</t>
  </si>
  <si>
    <t>Sameena Nadaf</t>
  </si>
  <si>
    <t>Shivappa S Talur</t>
  </si>
  <si>
    <t>Jaffar Sadiq</t>
  </si>
  <si>
    <t>Tanmay Upadhyay</t>
  </si>
  <si>
    <t>Vilas Venugopal</t>
  </si>
  <si>
    <t>Nirabhi Kumari</t>
  </si>
  <si>
    <t>Sudhir Malagi</t>
  </si>
  <si>
    <t>Shivaprasad Mallappa Giriyal</t>
  </si>
  <si>
    <t>Shubham Jaiswal</t>
  </si>
  <si>
    <t>Ramen Gantait</t>
  </si>
  <si>
    <t>Obulam Vishnuvardhan Reddy</t>
  </si>
  <si>
    <t>Aman Asthana</t>
  </si>
  <si>
    <t>Amrita Priyadarshini</t>
  </si>
  <si>
    <t>Bharati A Koliwad</t>
  </si>
  <si>
    <t>Dheeraj Dinakar Shetty</t>
  </si>
  <si>
    <t>Priyanka C Igola</t>
  </si>
  <si>
    <t>Punit Pankaj Mishra</t>
  </si>
  <si>
    <t>Bhashabathini Raju</t>
  </si>
  <si>
    <t>Rajani Hilli</t>
  </si>
  <si>
    <t>Ruthu G</t>
  </si>
  <si>
    <t>Vijay Kumar</t>
  </si>
  <si>
    <t>Chaitra K H</t>
  </si>
  <si>
    <t>Madasi Kuruva Adinarayana</t>
  </si>
  <si>
    <t>Renikunta Ganesh</t>
  </si>
  <si>
    <t>Thallu Sheshashayana Reddy</t>
  </si>
  <si>
    <t>Preritha G</t>
  </si>
  <si>
    <t>Chandana C B</t>
  </si>
  <si>
    <t>Avinash G Tilavalli</t>
  </si>
  <si>
    <t>Dadapeer Momin</t>
  </si>
  <si>
    <t>Konduru Dhanalakshmi</t>
  </si>
  <si>
    <t>Arifa Chamanshaikh</t>
  </si>
  <si>
    <t>A C Prajwal</t>
  </si>
  <si>
    <t>Chaitali Rameshwar Samudre</t>
  </si>
  <si>
    <t>Priya P Shetty</t>
  </si>
  <si>
    <t>Shwetha N</t>
  </si>
  <si>
    <t>Shubhangi Mallappa Kittur</t>
  </si>
  <si>
    <t>Nisarga A C</t>
  </si>
  <si>
    <t>Shivprasad</t>
  </si>
  <si>
    <t>Mounika Koppala</t>
  </si>
  <si>
    <t>Rakshita P</t>
  </si>
  <si>
    <t>Harsit Kumar</t>
  </si>
  <si>
    <t>Lavanya K</t>
  </si>
  <si>
    <t>Venkatateja Chekuri</t>
  </si>
  <si>
    <t>Shashank Rao S</t>
  </si>
  <si>
    <t>Aishwarya S</t>
  </si>
  <si>
    <t>Kamatham Venkata Naveen Kumar</t>
  </si>
  <si>
    <t>Allu Sandhya</t>
  </si>
  <si>
    <t>Santosh Rudragoudar</t>
  </si>
  <si>
    <t>Glady Marcell Christ</t>
  </si>
  <si>
    <t>Teklal Mahto</t>
  </si>
  <si>
    <t>Panchami M S</t>
  </si>
  <si>
    <t>Vivek Kumar</t>
  </si>
  <si>
    <t>Sowmyashri H S</t>
  </si>
  <si>
    <t>V Arun</t>
  </si>
  <si>
    <t>Jyothi Suresh</t>
  </si>
  <si>
    <t>Ria Srivastava</t>
  </si>
  <si>
    <t>Akash Mishra</t>
  </si>
  <si>
    <t>Vinayak B Basavaraddi</t>
  </si>
  <si>
    <t>Pavan Ajay Halkarni</t>
  </si>
  <si>
    <t>Goweri Sankar G</t>
  </si>
  <si>
    <t>Arpan Das</t>
  </si>
  <si>
    <t>Nitika Jain</t>
  </si>
  <si>
    <t>Sabhyata Dubey</t>
  </si>
  <si>
    <t>Pooja Kumari</t>
  </si>
  <si>
    <t>Shubhankar Rajiv Bailoor</t>
  </si>
  <si>
    <t>Owais Ahmed</t>
  </si>
  <si>
    <t>Akshay Haresh Pithadiya</t>
  </si>
  <si>
    <t>Rakesh Kumar Gupta</t>
  </si>
  <si>
    <t>Anubhav Singh</t>
  </si>
  <si>
    <t>Saurabh Kumar</t>
  </si>
  <si>
    <t>Vivek Kashyap B V</t>
  </si>
  <si>
    <t>Degapati Mohan Kishore</t>
  </si>
  <si>
    <t>Syed Abdul Wahid</t>
  </si>
  <si>
    <t>Ajeesh P</t>
  </si>
  <si>
    <t>Bhuvaneshwari E</t>
  </si>
  <si>
    <t>Suresh V</t>
  </si>
  <si>
    <t>Kondikalla Venugopal</t>
  </si>
  <si>
    <t>Gajalakshmi Chandrasekar</t>
  </si>
  <si>
    <t>Dakshayani R</t>
  </si>
  <si>
    <t>Sanju R</t>
  </si>
  <si>
    <t>K Sidharth</t>
  </si>
  <si>
    <t>Ambika</t>
  </si>
  <si>
    <t>Anshul Kumar</t>
  </si>
  <si>
    <t>Rahul Rajeev Suryavamshi</t>
  </si>
  <si>
    <t>Shalini M</t>
  </si>
  <si>
    <t>Rohit Kumar</t>
  </si>
  <si>
    <t>Akhila U</t>
  </si>
  <si>
    <t>Afreen Khanum</t>
  </si>
  <si>
    <t>Kamlesh Hiratsing Nikumbh</t>
  </si>
  <si>
    <t>Venugopal Murugan</t>
  </si>
  <si>
    <t>Ankam Kushal</t>
  </si>
  <si>
    <t>Lalit Suresh</t>
  </si>
  <si>
    <t>Harish K N</t>
  </si>
  <si>
    <t>Shazeb Khan W</t>
  </si>
  <si>
    <t>Sridhar L</t>
  </si>
  <si>
    <t>N R Srividya</t>
  </si>
  <si>
    <t>Ramachandran</t>
  </si>
  <si>
    <t>L Oyyavandhal</t>
  </si>
  <si>
    <t>Guvvala Gayathri</t>
  </si>
  <si>
    <t>Gurudutt P Badiger</t>
  </si>
  <si>
    <t>Levaka Dichin Sri Harsha Achari</t>
  </si>
  <si>
    <t>Gonchikara Vaishnavi</t>
  </si>
  <si>
    <t>Shrimoyee Chaki</t>
  </si>
  <si>
    <t>Sushanth M</t>
  </si>
  <si>
    <t>Prashanth M S</t>
  </si>
  <si>
    <t>Chintu Raghupathi Naidu</t>
  </si>
  <si>
    <t>Ranjan D</t>
  </si>
  <si>
    <t>Sujana S</t>
  </si>
  <si>
    <t>Shaik Ameera</t>
  </si>
  <si>
    <t>Abhishek Handi</t>
  </si>
  <si>
    <t>Sushanth Shetty</t>
  </si>
  <si>
    <t>Pawan Prashant Gaykar</t>
  </si>
  <si>
    <t>Abhishek Nagesh Kumbhar</t>
  </si>
  <si>
    <t>Benjamin Samson</t>
  </si>
  <si>
    <t>Dhanabalan P</t>
  </si>
  <si>
    <t>Abhilash Parakkot</t>
  </si>
  <si>
    <t>Shashank Harsh</t>
  </si>
  <si>
    <t>Pavan M V</t>
  </si>
  <si>
    <t>V Hemanth</t>
  </si>
  <si>
    <t>Mohanaraj Jagadesan</t>
  </si>
  <si>
    <t>Arjun Kumar K</t>
  </si>
  <si>
    <t>Isha Shashank Mahangade</t>
  </si>
  <si>
    <t>Sharath Narayana Hegde</t>
  </si>
  <si>
    <t>Darshan U</t>
  </si>
  <si>
    <t>Boggala Nandana</t>
  </si>
  <si>
    <t>Sriram S</t>
  </si>
  <si>
    <t>Priya Dharshini Nagaraj</t>
  </si>
  <si>
    <t>Shruthi K R</t>
  </si>
  <si>
    <t>Shanmugam Sankar</t>
  </si>
  <si>
    <t>Modadugu Sunil Kumar</t>
  </si>
  <si>
    <t>Kapil Keshawjee</t>
  </si>
  <si>
    <t>Akula Bhanuprakash</t>
  </si>
  <si>
    <t>Suriya Prakash S</t>
  </si>
  <si>
    <t>Sudhakar</t>
  </si>
  <si>
    <t>Ritesh Pradip Mandade</t>
  </si>
  <si>
    <t>Dhananjaya K</t>
  </si>
  <si>
    <t>Tadapaneni Kishore</t>
  </si>
  <si>
    <t>Nischith Naik</t>
  </si>
  <si>
    <t>Gayathri Kanagaraj</t>
  </si>
  <si>
    <t>Shaik Yousuf Baba</t>
  </si>
  <si>
    <t>Lata V Hulli</t>
  </si>
  <si>
    <t>R Rakshith</t>
  </si>
  <si>
    <t>Kumar Utkarsh</t>
  </si>
  <si>
    <t>Saloni Patnayak</t>
  </si>
  <si>
    <t>Raghavendra N Raj</t>
  </si>
  <si>
    <t>Sathiya S</t>
  </si>
  <si>
    <t>Arun Kumar R</t>
  </si>
  <si>
    <t>Shaila Shre N</t>
  </si>
  <si>
    <t>Nidhi Narendra Sharma</t>
  </si>
  <si>
    <t>Akhila S</t>
  </si>
  <si>
    <t>Rachakonda Vijaya Bhaskar</t>
  </si>
  <si>
    <t>Jayanta Tarafder</t>
  </si>
  <si>
    <t>Eleswaram Koteswararao</t>
  </si>
  <si>
    <t>Chilakapati Issak Raju</t>
  </si>
  <si>
    <t>Devaprasad Khadar Bhadar</t>
  </si>
  <si>
    <t>Birudugadda Udayabhanu</t>
  </si>
  <si>
    <t>Venkatesh Thangavelu</t>
  </si>
  <si>
    <t>Tarni Raj</t>
  </si>
  <si>
    <t>Garikina Appalaraju</t>
  </si>
  <si>
    <t>Anvitha B M</t>
  </si>
  <si>
    <t>Rakshith T</t>
  </si>
  <si>
    <t>Kama Sukumar</t>
  </si>
  <si>
    <t>Tushar Ravindra Pujari</t>
  </si>
  <si>
    <t>Pooja Rao M</t>
  </si>
  <si>
    <t>Himanshu Sethi</t>
  </si>
  <si>
    <t>Nidamanuri Gopaiah</t>
  </si>
  <si>
    <t>Munagala Shekhar Reddy</t>
  </si>
  <si>
    <t>Yashas G</t>
  </si>
  <si>
    <t>Sandip Murlidhar Girme</t>
  </si>
  <si>
    <t>M V Srinivasan</t>
  </si>
  <si>
    <t>Sai Shireesha</t>
  </si>
  <si>
    <t>Maruthi</t>
  </si>
  <si>
    <t>Manoj Kuamr P</t>
  </si>
  <si>
    <t>Joshua Nithin D</t>
  </si>
  <si>
    <t>Brahmbhatt Pooja Virenkumar</t>
  </si>
  <si>
    <t>Amarnath K S</t>
  </si>
  <si>
    <t>Shali Priya R</t>
  </si>
  <si>
    <t>Nair Karthik Karunakaran</t>
  </si>
  <si>
    <t>Ramyashree K</t>
  </si>
  <si>
    <t>Shivam Sachdeva</t>
  </si>
  <si>
    <t>Shailaja</t>
  </si>
  <si>
    <t>Kiruthika Jayanthi</t>
  </si>
  <si>
    <t>Nirmala A</t>
  </si>
  <si>
    <t>Rajesh Neerthadi Basappa</t>
  </si>
  <si>
    <t>Saurabh Tripathi</t>
  </si>
  <si>
    <t>Gokul Sekar</t>
  </si>
  <si>
    <t>Shaik Furkhan</t>
  </si>
  <si>
    <t>Ravi Kiran Korlam</t>
  </si>
  <si>
    <t>Syed Tariq Ahmad Quadri</t>
  </si>
  <si>
    <t>Maruboina Haritha</t>
  </si>
  <si>
    <t>Neeli Venkatesh</t>
  </si>
  <si>
    <t>Swathi R</t>
  </si>
  <si>
    <t>Athuljith B R</t>
  </si>
  <si>
    <t>Md Sadique Ansari</t>
  </si>
  <si>
    <t>Srianjalidevi G</t>
  </si>
  <si>
    <t>Deepika Srivastava</t>
  </si>
  <si>
    <t>Abhyudaya D</t>
  </si>
  <si>
    <t>Daksha Kiri Ravindran</t>
  </si>
  <si>
    <t>Neha Purad</t>
  </si>
  <si>
    <t>Ankayarkanni Subbannan</t>
  </si>
  <si>
    <t>Duvvuri Surya Krishna Chaitanya</t>
  </si>
  <si>
    <t>Kartik Bajoria</t>
  </si>
  <si>
    <t>Dheeraj Chinthamanu</t>
  </si>
  <si>
    <t>Arunkumar P N</t>
  </si>
  <si>
    <t>Challagulla Rambabu</t>
  </si>
  <si>
    <t>Bommala Sudheer Kumar</t>
  </si>
  <si>
    <t>Shihaan W S</t>
  </si>
  <si>
    <t>Nikhil Dadmi</t>
  </si>
  <si>
    <t>Deepak Kumar Nepak</t>
  </si>
  <si>
    <t>Anil Kumar Mandal</t>
  </si>
  <si>
    <t>Shaik Nemathulla</t>
  </si>
  <si>
    <t>Katika Sudarshan Rao</t>
  </si>
  <si>
    <t>Akshay Subhash Thorat</t>
  </si>
  <si>
    <t>R Mahesh</t>
  </si>
  <si>
    <t>Mehak Garg</t>
  </si>
  <si>
    <t>Kadiri Somasekhar</t>
  </si>
  <si>
    <t>Amit Kumar Singh</t>
  </si>
  <si>
    <t>Avinash Kumar</t>
  </si>
  <si>
    <t>Pankaj Kumar</t>
  </si>
  <si>
    <t>M Bindhu</t>
  </si>
  <si>
    <t>H P Sowmya Shree</t>
  </si>
  <si>
    <t>Abhishek Prakash Nimbalkar</t>
  </si>
  <si>
    <t>Deep Nishant Ekka</t>
  </si>
  <si>
    <t>Duppalapudi Sivasai Kumar</t>
  </si>
  <si>
    <t>Gautham H C</t>
  </si>
  <si>
    <t>Kanakanti Kiran Kumar Reddy</t>
  </si>
  <si>
    <t>Vinay Kumar S</t>
  </si>
  <si>
    <t>Sanath Kumar</t>
  </si>
  <si>
    <t>Rupam Saha</t>
  </si>
  <si>
    <t>Samay Singhai</t>
  </si>
  <si>
    <t>Shivani</t>
  </si>
  <si>
    <t>Sushma M R</t>
  </si>
  <si>
    <t>Tejaswini Ashok Shalawadi</t>
  </si>
  <si>
    <t>Rakshitha Y V</t>
  </si>
  <si>
    <t>S Hemanth</t>
  </si>
  <si>
    <t>Tanu S Hubballi</t>
  </si>
  <si>
    <t>Prakash Rajpurohit</t>
  </si>
  <si>
    <t>Thota Swetha</t>
  </si>
  <si>
    <t>Rakesh U</t>
  </si>
  <si>
    <t>Prajwal C</t>
  </si>
  <si>
    <t>S Jeevan</t>
  </si>
  <si>
    <t>Tilak Naga</t>
  </si>
  <si>
    <t>Sumanth T M</t>
  </si>
  <si>
    <t>Veeranna</t>
  </si>
  <si>
    <t>Dheeraj</t>
  </si>
  <si>
    <t>Dagumati Prathyusha</t>
  </si>
  <si>
    <t>Kancherla Jayasree</t>
  </si>
  <si>
    <t>Sharan N</t>
  </si>
  <si>
    <t>Priyanka K</t>
  </si>
  <si>
    <t>Sinchana G</t>
  </si>
  <si>
    <t>Vijay Krishna K P</t>
  </si>
  <si>
    <t>Dhabaleswar Nag</t>
  </si>
  <si>
    <t>Hitesh Das</t>
  </si>
  <si>
    <t>Bhanu Prakash H</t>
  </si>
  <si>
    <t>Mohammed Sadiq</t>
  </si>
  <si>
    <t>Bhuvana B</t>
  </si>
  <si>
    <t>Avilipsha Swain</t>
  </si>
  <si>
    <t>Nekkalapu Devika</t>
  </si>
  <si>
    <t>Samadhan Anant Veer</t>
  </si>
  <si>
    <t>Maaz Aslam</t>
  </si>
  <si>
    <t>Satish R Hunshyal</t>
  </si>
  <si>
    <t>Suhas Siddrameshwar Ilakal</t>
  </si>
  <si>
    <t>Manikandan T</t>
  </si>
  <si>
    <t>Manish Malatesh Maller</t>
  </si>
  <si>
    <t>P Vikas</t>
  </si>
  <si>
    <t>Soumen Sircar</t>
  </si>
  <si>
    <t>Ishan Das</t>
  </si>
  <si>
    <t>Rohan M C</t>
  </si>
  <si>
    <t>Sumanth K</t>
  </si>
  <si>
    <t>Raunak Anand</t>
  </si>
  <si>
    <t>Sathwik Hebbar K</t>
  </si>
  <si>
    <t>Gowtham V</t>
  </si>
  <si>
    <t>Irrinki Durga Venkata Nagendra Kumar</t>
  </si>
  <si>
    <t>Omkar Suresh Korde</t>
  </si>
  <si>
    <t>Mohammed Siddiqu</t>
  </si>
  <si>
    <t>Dalli Sandeep</t>
  </si>
  <si>
    <t>V Jayakrishna</t>
  </si>
  <si>
    <t>Pachva Harsha Vardhan</t>
  </si>
  <si>
    <t>Siddappa Balikar</t>
  </si>
  <si>
    <t>Thayyib Salahuddeen</t>
  </si>
  <si>
    <t>Adarsh Suresh Hegde</t>
  </si>
  <si>
    <t>Jagriti Priyadarshani</t>
  </si>
  <si>
    <t>Vadiraj K M</t>
  </si>
  <si>
    <t>N Govardhan Reddy</t>
  </si>
  <si>
    <t>Veluri Devakesh</t>
  </si>
  <si>
    <t>Kilani Divya</t>
  </si>
  <si>
    <t>Pooja Yamanajirao Koppal</t>
  </si>
  <si>
    <t>Isiri Talawar</t>
  </si>
  <si>
    <t>Navya K N</t>
  </si>
  <si>
    <t>Janapala Leha</t>
  </si>
  <si>
    <t>Mounavi D S</t>
  </si>
  <si>
    <t>Sannidhi S</t>
  </si>
  <si>
    <t>Aishwarya Basavanneppa Jogin</t>
  </si>
  <si>
    <t>Anusha Pattanshetty</t>
  </si>
  <si>
    <t>Kaldari Supriya</t>
  </si>
  <si>
    <t>Rishika S R</t>
  </si>
  <si>
    <t>Apeksha P</t>
  </si>
  <si>
    <t>Chaitra Kulkarni</t>
  </si>
  <si>
    <t>Gonuman Hanumanthu</t>
  </si>
  <si>
    <t>Kambavalasa Abhilash</t>
  </si>
  <si>
    <t>Ritushree L</t>
  </si>
  <si>
    <t>Sukamanchi Akhil</t>
  </si>
  <si>
    <t>Naveenkumar Hiremani</t>
  </si>
  <si>
    <t>Akash K K</t>
  </si>
  <si>
    <t>Hruthik M S</t>
  </si>
  <si>
    <t>Shameem K V</t>
  </si>
  <si>
    <t>Rapolu Karthik Reddy</t>
  </si>
  <si>
    <t>Mogiligundla Verendra Kumar</t>
  </si>
  <si>
    <t>Heenakousar Mulla</t>
  </si>
  <si>
    <t>Parth</t>
  </si>
  <si>
    <t>Dasari Hemant Kumar</t>
  </si>
  <si>
    <t>Yasmeen Banu</t>
  </si>
  <si>
    <t>Amaniya Muskan</t>
  </si>
  <si>
    <t>Sandesh Peter Fernandes</t>
  </si>
  <si>
    <t>Nihal Alex H</t>
  </si>
  <si>
    <t>Chandan R</t>
  </si>
  <si>
    <t>Vishakh N</t>
  </si>
  <si>
    <t>Punith Nirwani C S</t>
  </si>
  <si>
    <t>Kalyan Kumar K T</t>
  </si>
  <si>
    <t>Koustub Satish Mangasuli</t>
  </si>
  <si>
    <t>Shaik Dada Khalandar</t>
  </si>
  <si>
    <t>Shivaraj</t>
  </si>
  <si>
    <t>Padakanti Bharath</t>
  </si>
  <si>
    <t>Vakalapudi Anil Kumar</t>
  </si>
  <si>
    <t>Bhoomika Murthy</t>
  </si>
  <si>
    <t>Anjali S</t>
  </si>
  <si>
    <t>Veeresh R</t>
  </si>
  <si>
    <t>Neeraja N Balaraj</t>
  </si>
  <si>
    <t>C Hindu</t>
  </si>
  <si>
    <t>Archana S R</t>
  </si>
  <si>
    <t>Shwetha B</t>
  </si>
  <si>
    <t>Akash S</t>
  </si>
  <si>
    <t>R Sanmathi</t>
  </si>
  <si>
    <t>Aarya Daddikar</t>
  </si>
  <si>
    <t>B Nuthan</t>
  </si>
  <si>
    <t>Kalapati Sudeep</t>
  </si>
  <si>
    <t>Aditya Anand</t>
  </si>
  <si>
    <t>Kundan Kumar</t>
  </si>
  <si>
    <t>Sourabh Verma</t>
  </si>
  <si>
    <t>Reddanna Pavankalyan</t>
  </si>
  <si>
    <t>Yashwanth S</t>
  </si>
  <si>
    <t>Prajwal R</t>
  </si>
  <si>
    <t>Gadige Mahesh</t>
  </si>
  <si>
    <t>Rijuta D</t>
  </si>
  <si>
    <t>N Bhupathi Reddy</t>
  </si>
  <si>
    <t>Gowtham D</t>
  </si>
  <si>
    <t>Vishnupriya N</t>
  </si>
  <si>
    <t>Chiyyedu Manohar Reddy</t>
  </si>
  <si>
    <t>Santhiya Devaraj</t>
  </si>
  <si>
    <t>Hemanth Kumar Nimmagadda</t>
  </si>
  <si>
    <t>Pitta Mahalakshmee</t>
  </si>
  <si>
    <t>Radhika Arjun Thorbole</t>
  </si>
  <si>
    <t>Anunay Aman</t>
  </si>
  <si>
    <t>Yashaswini Br</t>
  </si>
  <si>
    <t>Keerthana Anandan</t>
  </si>
  <si>
    <t>Kasthuri Bhavani</t>
  </si>
  <si>
    <t>Abhilash H P</t>
  </si>
  <si>
    <t>Mohini Budhauliya</t>
  </si>
  <si>
    <t>Justin Mathew Joseph</t>
  </si>
  <si>
    <t>Burle V R Krishna Lokesh</t>
  </si>
  <si>
    <t>Supritha S</t>
  </si>
  <si>
    <t>Vayalpati Srinath Yadav</t>
  </si>
  <si>
    <t>Basavaraju Sai Pavan Vaibhav</t>
  </si>
  <si>
    <t>Padala Vikas Sai Mahesh Chandra</t>
  </si>
  <si>
    <t>Kanchi Reddygari Pranavi</t>
  </si>
  <si>
    <t>B R Pavan</t>
  </si>
  <si>
    <t>Mohan B</t>
  </si>
  <si>
    <t>Vallamkonda Sai Rohit</t>
  </si>
  <si>
    <t>Sourabh S Halladmath</t>
  </si>
  <si>
    <t>Muddurthi Harini</t>
  </si>
  <si>
    <t>Ritobrato Pyne</t>
  </si>
  <si>
    <t>Amer Sohail</t>
  </si>
  <si>
    <t>Vipin B</t>
  </si>
  <si>
    <t>Amogh R A</t>
  </si>
  <si>
    <t>G Vinay Pavan</t>
  </si>
  <si>
    <t>Samiksha Rajendra Rajput</t>
  </si>
  <si>
    <t>Sangeeta Magadum</t>
  </si>
  <si>
    <t>Archana P</t>
  </si>
  <si>
    <t>Jupudi Hadassa</t>
  </si>
  <si>
    <t>Basavprasad Siriyannavar</t>
  </si>
  <si>
    <t>Ajith Kalyan R</t>
  </si>
  <si>
    <t>Kocherla Mery Naga Supriya</t>
  </si>
  <si>
    <t>Allagadda Mani Kanteswara Reddy</t>
  </si>
  <si>
    <t>Kodali Navya</t>
  </si>
  <si>
    <t>Praveen H</t>
  </si>
  <si>
    <t>Sumanth S</t>
  </si>
  <si>
    <t>Vuppuluri Venkata Sai Krishna</t>
  </si>
  <si>
    <t>Sangmesh Mahajan</t>
  </si>
  <si>
    <t>Deselli Manikyam</t>
  </si>
  <si>
    <t>Kamakkagari Venugopal</t>
  </si>
  <si>
    <t>Snehal</t>
  </si>
  <si>
    <t>Perumalla V N Jagadeesh</t>
  </si>
  <si>
    <t>Jestadi Vinay Kumar</t>
  </si>
  <si>
    <t>Chittamalla Saikumar</t>
  </si>
  <si>
    <t>Debitosh Panda</t>
  </si>
  <si>
    <t>Sangeetham Chaithanya Sai</t>
  </si>
  <si>
    <t>Koduru Surya Chandra Reddy</t>
  </si>
  <si>
    <t>Ladigonda Mallikarjuna Gouda</t>
  </si>
  <si>
    <t>Vinay G</t>
  </si>
  <si>
    <t>Pavan R</t>
  </si>
  <si>
    <t>Kotagiri Narmada</t>
  </si>
  <si>
    <t>Hrishikesh Ram Vadaje</t>
  </si>
  <si>
    <t>Bhavana</t>
  </si>
  <si>
    <t>Erla Charan</t>
  </si>
  <si>
    <t>Naveen Kumar M C</t>
  </si>
  <si>
    <t>Kuruba Pallavi</t>
  </si>
  <si>
    <t>Sheikh Abdul Khader S</t>
  </si>
  <si>
    <t>Yepalagunta Praveen Kumar</t>
  </si>
  <si>
    <t>Spoorthy V S</t>
  </si>
  <si>
    <t>Karanam Mohammed Khizar</t>
  </si>
  <si>
    <t>Nikhil N</t>
  </si>
  <si>
    <t>Sirdhala Vishal</t>
  </si>
  <si>
    <t>Bonala Nikhil</t>
  </si>
  <si>
    <t>Vinutha</t>
  </si>
  <si>
    <t>Mohamed Afrith Kareem M</t>
  </si>
  <si>
    <t>Shaik Shajahan</t>
  </si>
  <si>
    <t>Kolli Lakshmi Suryamukhi</t>
  </si>
  <si>
    <t>Godavarthi Sravya Latha</t>
  </si>
  <si>
    <t>Gummadi Madhuri</t>
  </si>
  <si>
    <t>Achyuth K S</t>
  </si>
  <si>
    <t>Ala Pavan Phanindra Rayala</t>
  </si>
  <si>
    <t>Reddy Sai Pavan Kalyan</t>
  </si>
  <si>
    <t>Nadiya Sultana</t>
  </si>
  <si>
    <t>Mohammed Junaid Khan</t>
  </si>
  <si>
    <t>Sachin Karirayanagoudar</t>
  </si>
  <si>
    <t>Sahil Sharma</t>
  </si>
  <si>
    <t>Kruthi U N</t>
  </si>
  <si>
    <t>Sharvani A Huddar</t>
  </si>
  <si>
    <t>K Abhinandhan</t>
  </si>
  <si>
    <t>Chetan Ranganath</t>
  </si>
  <si>
    <t>Bhavna Joshi</t>
  </si>
  <si>
    <t>Anish Sagar Naidu</t>
  </si>
  <si>
    <t>K R Sharin</t>
  </si>
  <si>
    <t>Abhishek M</t>
  </si>
  <si>
    <t>Sannidhi N Hegde</t>
  </si>
  <si>
    <t>Gopaluni Sai Kiran</t>
  </si>
  <si>
    <t>Pavan Kumar B</t>
  </si>
  <si>
    <t>Ashwini Deepak Madival</t>
  </si>
  <si>
    <t>Manoj Malekar</t>
  </si>
  <si>
    <t>Saurav Pandey</t>
  </si>
  <si>
    <t>Shashi Bhushan Muthyala</t>
  </si>
  <si>
    <t>Sanskriti Jitendra Singh</t>
  </si>
  <si>
    <t>Achyutha Mithra Aluru</t>
  </si>
  <si>
    <t>Shauvik Roy</t>
  </si>
  <si>
    <t>Chenna Venkata Pavan Sai Teja</t>
  </si>
  <si>
    <t>Chaithra S</t>
  </si>
  <si>
    <t>Madhusudhana Ramamurthy Siddapura</t>
  </si>
  <si>
    <t>Pranjali Gajanan Adchule</t>
  </si>
  <si>
    <t>Shweta Vishwakarma</t>
  </si>
  <si>
    <t>Ayisha K M</t>
  </si>
  <si>
    <t>Akash K</t>
  </si>
  <si>
    <t>K Yugandhar</t>
  </si>
  <si>
    <t>Mohammad Faizan Khan</t>
  </si>
  <si>
    <t>Mandara N</t>
  </si>
  <si>
    <t>Rajesh</t>
  </si>
  <si>
    <t>Chandrashekar C</t>
  </si>
  <si>
    <t>Lakshmi M L</t>
  </si>
  <si>
    <t>Kummeta Veeramaheswari</t>
  </si>
  <si>
    <t>Devaraj Hiremath</t>
  </si>
  <si>
    <t>Thummala Ravikumar</t>
  </si>
  <si>
    <t>M Naveenkumar</t>
  </si>
  <si>
    <t>Manoj Nadgatti</t>
  </si>
  <si>
    <t>Kaushik M</t>
  </si>
  <si>
    <t>Nadikuda Bhavishya</t>
  </si>
  <si>
    <t>Govindaraju Gari Nithish</t>
  </si>
  <si>
    <t>Shreenivasa B V</t>
  </si>
  <si>
    <t>Vinod U C</t>
  </si>
  <si>
    <t>Krupa M J</t>
  </si>
  <si>
    <t>Sachin H R</t>
  </si>
  <si>
    <t>Divyashree</t>
  </si>
  <si>
    <t>Gaaleti Guruprasad</t>
  </si>
  <si>
    <t>Apoorva I S</t>
  </si>
  <si>
    <t>Harshavardhan Mara</t>
  </si>
  <si>
    <t>V K Bharath Vel</t>
  </si>
  <si>
    <t>Apeksha G</t>
  </si>
  <si>
    <t>Swaroop B P</t>
  </si>
  <si>
    <t>H M Kavya</t>
  </si>
  <si>
    <t>Nathaniel Santhosh</t>
  </si>
  <si>
    <t>Syed Farooq</t>
  </si>
  <si>
    <t>P N Srihari</t>
  </si>
  <si>
    <t>Nanditha L</t>
  </si>
  <si>
    <t>Gaurav Kumar</t>
  </si>
  <si>
    <t>Amith Kumar K S</t>
  </si>
  <si>
    <t>Prathibha H V</t>
  </si>
  <si>
    <t>Kukunuri Revathi</t>
  </si>
  <si>
    <t>Saptarshi Das Adhikary</t>
  </si>
  <si>
    <t>Afzal Ahmed M</t>
  </si>
  <si>
    <t>Chakala Vinay Kumar</t>
  </si>
  <si>
    <t>Swaroop M S</t>
  </si>
  <si>
    <t>Shreyas K M</t>
  </si>
  <si>
    <t>Likhith S G</t>
  </si>
  <si>
    <t>Sumana K S</t>
  </si>
  <si>
    <t>Rani Walmik Ingale</t>
  </si>
  <si>
    <t>Vismaya H S</t>
  </si>
  <si>
    <t>Sankethgowda V S</t>
  </si>
  <si>
    <t>N Vinya</t>
  </si>
  <si>
    <t>Mohammed Shabeer</t>
  </si>
  <si>
    <t>Kishore Kumar G</t>
  </si>
  <si>
    <t>Ayshath Shaila</t>
  </si>
  <si>
    <t>Nydile G R</t>
  </si>
  <si>
    <t>Veeresh G N</t>
  </si>
  <si>
    <t>Gangavaram Thousif</t>
  </si>
  <si>
    <t>Prince Jain</t>
  </si>
  <si>
    <t>Guntoor Preethi</t>
  </si>
  <si>
    <t>Gudivada Likitha</t>
  </si>
  <si>
    <t>Vanishree Pujari</t>
  </si>
  <si>
    <t>Harshal Arunkumar Pimpale</t>
  </si>
  <si>
    <t>Uttam Kumar Verma</t>
  </si>
  <si>
    <t>Sudarshan Diliprao Sanap</t>
  </si>
  <si>
    <t>Tanzeel Ahmad</t>
  </si>
  <si>
    <t>Bathula Venkata Sreekanth</t>
  </si>
  <si>
    <t>Shaik Ayyub</t>
  </si>
  <si>
    <t>Amrutkumar Vijaybhai Shinde</t>
  </si>
  <si>
    <t>Shubham Ravindra Bhamare</t>
  </si>
  <si>
    <t>Vinay Paliwal</t>
  </si>
  <si>
    <t>Swedha Das C</t>
  </si>
  <si>
    <t>Allu Nanda Kishore</t>
  </si>
  <si>
    <t>Antony Cyril W</t>
  </si>
  <si>
    <t>Balaji B S</t>
  </si>
  <si>
    <t>Janakiraman</t>
  </si>
  <si>
    <t>Kavili Gouri Hrishikesh</t>
  </si>
  <si>
    <t>Tadikonda Venkata Ramaratna Ritesh</t>
  </si>
  <si>
    <t>D Sravani</t>
  </si>
  <si>
    <t>Sindhu Barathi A</t>
  </si>
  <si>
    <t>Malepati Sudeep</t>
  </si>
  <si>
    <t>Battula Sudha</t>
  </si>
  <si>
    <t>Apoorva H V</t>
  </si>
  <si>
    <t>Sachin Chauhan</t>
  </si>
  <si>
    <t>Edwin Denny</t>
  </si>
  <si>
    <t>Abdul Samadh</t>
  </si>
  <si>
    <t>Project Type</t>
  </si>
  <si>
    <t>Project Name</t>
  </si>
  <si>
    <t>Component IDs/Name</t>
  </si>
  <si>
    <t>Support Allowance - To be Filled in days</t>
  </si>
  <si>
    <t>Shift Allowance - To be Filled in days</t>
  </si>
  <si>
    <t>OOH - To be Filled in Hours</t>
  </si>
  <si>
    <t>On Call - To be Filled in days</t>
  </si>
  <si>
    <t>Call out - To be Filled in Hours</t>
  </si>
  <si>
    <t>Cab Expense  - To be Filled in days</t>
  </si>
  <si>
    <t xml:space="preserve"> No. of  Support projec Working Days</t>
  </si>
  <si>
    <t>No. of Leaves/Comp Off/Holidays</t>
  </si>
  <si>
    <t xml:space="preserve">6:30 AM to 03:30 PM </t>
  </si>
  <si>
    <t xml:space="preserve">1 - 9 PM  /  
2:30PM - 11:30 PM </t>
  </si>
  <si>
    <t xml:space="preserve">11 PM to 7:00 AM </t>
  </si>
  <si>
    <t>On Non-workdays</t>
  </si>
  <si>
    <t xml:space="preserve">On workdays </t>
  </si>
  <si>
    <t xml:space="preserve">Oncall on a Normal workdays  8+  hours </t>
  </si>
  <si>
    <t>Oncall on Non- workdays</t>
  </si>
  <si>
    <t xml:space="preserve">Call out hours </t>
  </si>
  <si>
    <t>No of Days</t>
  </si>
  <si>
    <t>Support(L1_L2)</t>
  </si>
  <si>
    <t>3IE</t>
  </si>
  <si>
    <t xml:space="preserve">  HG356IE2023678</t>
  </si>
  <si>
    <t>Leave Type</t>
  </si>
  <si>
    <t>No. of days</t>
  </si>
  <si>
    <t>Metions the dates</t>
  </si>
  <si>
    <t>Holiday</t>
  </si>
  <si>
    <t xml:space="preserve">  2/20/2023 2/20/2023</t>
  </si>
  <si>
    <t>Leave</t>
  </si>
  <si>
    <t xml:space="preserve">  2/20/2023</t>
  </si>
  <si>
    <t xml:space="preserve">  1/20/2023</t>
  </si>
  <si>
    <t xml:space="preserve"> </t>
  </si>
  <si>
    <t xml:space="preserve">  2/11/2023 2/12/2023</t>
  </si>
  <si>
    <t xml:space="preserve">  1/30/2023</t>
  </si>
  <si>
    <t xml:space="preserve">  2/13/2023</t>
  </si>
  <si>
    <t>Shift Slab</t>
  </si>
  <si>
    <t>Company Cab Availed days/ Work From Home</t>
  </si>
  <si>
    <t>Mention the Cab Availed dates</t>
  </si>
  <si>
    <t>6:30AM-03:30PM</t>
  </si>
  <si>
    <t>1-9PM/2:30PM-11:30PM</t>
  </si>
  <si>
    <t xml:space="preserve">   2/14/2023</t>
  </si>
  <si>
    <t>OOH  Type</t>
  </si>
  <si>
    <t>Start Time</t>
  </si>
  <si>
    <t>End Time</t>
  </si>
  <si>
    <t>Hours</t>
  </si>
  <si>
    <t>Pay-Out</t>
  </si>
  <si>
    <t>Descriptions of Activities</t>
  </si>
  <si>
    <t>Workdays</t>
  </si>
  <si>
    <t>1/1/2023</t>
  </si>
  <si>
    <t>2:30 PM</t>
  </si>
  <si>
    <t>02:30 AM</t>
  </si>
  <si>
    <t>Non_workdays</t>
  </si>
  <si>
    <t>1/3/2023</t>
  </si>
  <si>
    <t>2/20/2023</t>
  </si>
  <si>
    <t>6:27 PM</t>
  </si>
  <si>
    <t>06:27 AM</t>
  </si>
  <si>
    <t>01:01 AM</t>
  </si>
  <si>
    <t>02:05 AM</t>
  </si>
  <si>
    <t>On Call  Type/Call Out</t>
  </si>
  <si>
    <t>Regular Shift timings</t>
  </si>
  <si>
    <t>Descriptions of Activities along with Regular Shift timings</t>
  </si>
  <si>
    <t>1/30/2023</t>
  </si>
  <si>
    <t>12:00 AM</t>
  </si>
  <si>
    <t>08:00 AM</t>
  </si>
  <si>
    <t>2/13/2023</t>
  </si>
  <si>
    <t xml:space="preserve">Support Allownace </t>
  </si>
  <si>
    <t>call out</t>
  </si>
  <si>
    <t>Cab Expenses</t>
  </si>
  <si>
    <t>Fixed rate per day againt Role w.e.f Jan 18 Weekdays only (L1 &amp; L2 Suport only)</t>
  </si>
  <si>
    <t>Rate</t>
  </si>
  <si>
    <t>Shift</t>
  </si>
  <si>
    <t>Slab</t>
  </si>
  <si>
    <t>Hr/Rate</t>
  </si>
  <si>
    <t>Day/Rate</t>
  </si>
  <si>
    <t>THBS Holiday (Rs. 150 per hour, not to exceed Rs.1800/ day)</t>
  </si>
  <si>
    <t>Oncall on a Normal Working day 0 - 4 hours (Rs.250/half-day)</t>
  </si>
  <si>
    <t>Call out hours (Rs.100/hour)</t>
  </si>
  <si>
    <t xml:space="preserve">1 - 9 PM  /  2:30  11:30 PM </t>
  </si>
  <si>
    <t>Either of the weekend days Rs. 150 per hour, not to exceed Rs.1800/ day)</t>
  </si>
  <si>
    <t>Oncall on a Normal Working day 8 + hours (Rs.500/day)</t>
  </si>
  <si>
    <t>OOH - weekdays (Rs.100/hour, restricted to Rs. 1600/ weekday)</t>
  </si>
  <si>
    <t>Oncall on a THBS Holiday (Rs. 100 per hour, Rs.800/ day)</t>
  </si>
  <si>
    <t>Oncall on Either of the weekend days (Rs. 100 per hour, Rs.800/ day)</t>
  </si>
  <si>
    <t>Error Color Code</t>
  </si>
  <si>
    <t>Support allowance given for DnD resources</t>
  </si>
  <si>
    <t>OOH allowance given for Support resources</t>
  </si>
  <si>
    <t>Call Out allowance given for DnD resources</t>
  </si>
  <si>
    <t>On Call allowance given for DnD resources</t>
  </si>
  <si>
    <t xml:space="preserve">OOH </t>
  </si>
  <si>
    <t xml:space="preserve">OOH should  be filled by only DnD resources </t>
  </si>
  <si>
    <t>On Call should be filled by only Support resources</t>
  </si>
  <si>
    <t>Call out</t>
  </si>
  <si>
    <t>Call out hours should be filled by only support resources who are in on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</si>
</sst>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[$-409]d-mmm-yy;@"/>
    <numFmt numFmtId="165" formatCode="0.0"/>
    <numFmt numFmtId="166" formatCode="[$-409]dd-mmm-yy;@"/>
    <numFmt numFmtId="167" formatCode="[$₹-4009] #,##0"/>
    <numFmt numFmtId="168" formatCode="[$₹-4009] #,##0.0"/>
    <numFmt numFmtId="169" formatCode="[$-14009]hh:mm;@"/>
    <numFmt numFmtId="170" formatCode="[$-10409]hh:mm AM/PM;@"/>
    <numFmt numFmtId="171" formatCode="[$₹-4009] #,##0.00"/>
  </numFmts>
  <fonts count="11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8"/>
      <name val="Calibri"/>
    </font>
    <font>
      <b/>
      <color theme="1"/>
      <family val="2"/>
      <scheme val="minor"/>
      <sz val="11"/>
      <name val="Calibri"/>
    </font>
    <font>
      <color indexed="9"/>
      <family val="2"/>
      <scheme val="minor"/>
      <sz val="12"/>
      <name val="Calibri"/>
    </font>
    <font>
      <family val="2"/>
      <scheme val="minor"/>
      <sz val="10"/>
      <name val="Calibri"/>
    </font>
    <font>
      <color indexed="9"/>
      <family val="2"/>
      <scheme val="minor"/>
      <sz val="10"/>
      <name val="Calibri"/>
    </font>
    <font>
      <b/>
      <color theme="0"/>
      <family val="2"/>
      <scheme val="minor"/>
      <sz val="14"/>
      <name val="Calibri"/>
    </font>
    <font>
      <b/>
      <color indexed="8"/>
      <family val="2"/>
      <scheme val="minor"/>
      <sz val="10"/>
      <name val="Calibri"/>
    </font>
    <font>
      <color indexed="8"/>
      <family val="2"/>
      <sz val="10"/>
      <name val="Arial"/>
    </font>
    <font>
      <b/>
      <family val="2"/>
      <scheme val="minor"/>
      <sz val="10"/>
      <name val="Calibri"/>
    </font>
    <font>
      <b/>
      <family val="2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40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3" fillId="2" borderId="3" xfId="0" applyFont="1" applyFill="1" applyBorder="1" applyAlignment="1" applyProtection="1">
      <alignment vertical="center"/>
      <protection locked="0"/>
    </xf>
    <xf numFmtId="17" fontId="4" fillId="3" borderId="4" xfId="0" applyNumberFormat="1" applyFont="1" applyFill="1" applyBorder="1" applyAlignment="1" applyProtection="1">
      <alignment horizontal="center" vertical="center"/>
      <protection locked="0"/>
    </xf>
    <xf numFmtId="0" fontId="4" fillId="3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vertical="center"/>
      <protection locked="0"/>
    </xf>
    <xf numFmtId="0" fontId="3" fillId="2" borderId="6" xfId="0" applyFont="1" applyFill="1" applyBorder="1" applyAlignment="1" applyProtection="1">
      <alignment vertical="center"/>
      <protection locked="0"/>
    </xf>
    <xf numFmtId="0" fontId="4" fillId="3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3" fillId="2" borderId="7" xfId="0" applyFont="1" applyFill="1" applyBorder="1" applyAlignment="1" applyProtection="1">
      <alignment vertical="center"/>
      <protection locked="0"/>
    </xf>
    <xf numFmtId="15" fontId="0" fillId="0" borderId="5" xfId="0" applyNumberFormat="1" applyBorder="1" applyProtection="1">
      <protection locked="0"/>
    </xf>
    <xf numFmtId="15" fontId="0" fillId="0" borderId="6" xfId="0" applyNumberFormat="1" applyBorder="1" applyProtection="1">
      <protection locked="0"/>
    </xf>
    <xf numFmtId="0" fontId="3" fillId="2" borderId="7" xfId="0" applyFont="1" applyFill="1" applyBorder="1" applyAlignment="1">
      <alignment vertical="center"/>
    </xf>
    <xf numFmtId="164" fontId="4" fillId="3" borderId="4" xfId="0" applyNumberFormat="1" applyFont="1" applyFill="1" applyBorder="1" applyAlignment="1">
      <alignment horizontal="center" vertical="center"/>
    </xf>
    <xf numFmtId="0" fontId="5" fillId="0" borderId="0" xfId="0" applyFont="1" applyProtection="1">
      <protection locked="0"/>
    </xf>
    <xf numFmtId="0" fontId="3" fillId="2" borderId="8" xfId="0" applyFont="1" applyFill="1" applyBorder="1" applyAlignment="1" applyProtection="1">
      <alignment vertical="center"/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center" vertical="center"/>
      <protection locked="0"/>
    </xf>
    <xf numFmtId="0" fontId="3" fillId="2" borderId="11" xfId="0" applyFont="1" applyFill="1" applyBorder="1" applyAlignment="1" applyProtection="1">
      <alignment horizontal="center" vertical="center"/>
      <protection locked="0"/>
    </xf>
    <xf numFmtId="0" fontId="3" fillId="2" borderId="12" xfId="0" applyFont="1" applyFill="1" applyBorder="1" applyAlignment="1" applyProtection="1">
      <alignment horizontal="center" vertical="center"/>
      <protection locked="0"/>
    </xf>
    <xf numFmtId="0" fontId="3" fillId="2" borderId="13" xfId="0" applyFont="1" applyFill="1" applyBorder="1" applyAlignment="1" applyProtection="1">
      <alignment vertical="center"/>
      <protection locked="0"/>
    </xf>
    <xf numFmtId="165" fontId="4" fillId="3" borderId="4" xfId="0" applyNumberFormat="1" applyFont="1" applyFill="1" applyBorder="1" applyAlignment="1" applyProtection="1">
      <alignment horizontal="left" vertical="center"/>
      <protection locked="0"/>
    </xf>
    <xf numFmtId="165" fontId="4" fillId="0" borderId="4" xfId="0" applyNumberFormat="1" applyFont="1" applyBorder="1" applyAlignment="1" applyProtection="1">
      <alignment horizontal="left" vertical="center"/>
      <protection locked="0"/>
    </xf>
    <xf numFmtId="0" fontId="4" fillId="3" borderId="14" xfId="0" applyFont="1" applyFill="1" applyBorder="1" applyAlignment="1" applyProtection="1">
      <alignment horizontal="left" vertical="center"/>
      <protection locked="0"/>
    </xf>
    <xf numFmtId="0" fontId="4" fillId="3" borderId="11" xfId="0" applyFont="1" applyFill="1" applyBorder="1" applyAlignment="1" applyProtection="1">
      <alignment horizontal="left" vertical="center"/>
      <protection locked="0"/>
    </xf>
    <xf numFmtId="0" fontId="4" fillId="3" borderId="12" xfId="0" applyFont="1" applyFill="1" applyBorder="1" applyAlignment="1" applyProtection="1">
      <alignment horizontal="left" vertical="center"/>
      <protection locked="0"/>
    </xf>
    <xf numFmtId="15" fontId="4" fillId="3" borderId="4" xfId="0" applyNumberFormat="1" applyFont="1" applyFill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166" fontId="4" fillId="3" borderId="14" xfId="0" applyNumberFormat="1" applyFont="1" applyFill="1" applyBorder="1" applyAlignment="1" applyProtection="1">
      <alignment horizontal="left" vertical="center"/>
      <protection locked="0"/>
    </xf>
    <xf numFmtId="166" fontId="4" fillId="3" borderId="11" xfId="0" applyNumberFormat="1" applyFont="1" applyFill="1" applyBorder="1" applyAlignment="1" applyProtection="1">
      <alignment horizontal="left" vertical="center"/>
      <protection locked="0"/>
    </xf>
    <xf numFmtId="166" fontId="4" fillId="3" borderId="12" xfId="0" applyNumberFormat="1" applyFont="1" applyFill="1" applyBorder="1" applyAlignment="1" applyProtection="1">
      <alignment horizontal="left" vertical="center"/>
      <protection locked="0"/>
    </xf>
    <xf numFmtId="0" fontId="4" fillId="3" borderId="4" xfId="0" applyFont="1" applyFill="1" applyBorder="1" applyAlignment="1" applyProtection="1">
      <alignment horizontal="left" vertical="center"/>
      <protection locked="0"/>
    </xf>
    <xf numFmtId="0" fontId="3" fillId="2" borderId="15" xfId="0" applyFont="1" applyFill="1" applyBorder="1" applyAlignment="1" applyProtection="1">
      <alignment vertical="center"/>
      <protection locked="0"/>
    </xf>
    <xf numFmtId="0" fontId="3" fillId="2" borderId="16" xfId="0" applyFont="1" applyFill="1" applyBorder="1" applyAlignment="1" applyProtection="1">
      <alignment vertical="center"/>
      <protection locked="0"/>
    </xf>
    <xf numFmtId="0" fontId="3" fillId="2" borderId="17" xfId="0" applyFont="1" applyFill="1" applyBorder="1" applyAlignment="1" applyProtection="1">
      <alignment horizontal="right" vertical="center"/>
      <protection locked="0"/>
    </xf>
    <xf numFmtId="0" fontId="0" fillId="0" borderId="4" xfId="0" applyBorder="1" applyProtection="1">
      <protection hidden="1"/>
    </xf>
    <xf numFmtId="0" fontId="0" fillId="0" borderId="4" xfId="0" applyBorder="1" applyAlignment="1" applyProtection="1">
      <alignment horizontal="center"/>
      <protection hidden="1"/>
    </xf>
    <xf numFmtId="167" fontId="0" fillId="0" borderId="4" xfId="0" applyNumberFormat="1" applyBorder="1" applyProtection="1">
      <protection hidden="1"/>
    </xf>
    <xf numFmtId="0" fontId="0" fillId="0" borderId="18" xfId="0" applyBorder="1" applyProtection="1">
      <protection hidden="1"/>
    </xf>
    <xf numFmtId="0" fontId="0" fillId="0" borderId="18" xfId="0" applyBorder="1" applyAlignment="1" applyProtection="1">
      <alignment horizontal="center"/>
      <protection hidden="1"/>
    </xf>
    <xf numFmtId="167" fontId="0" fillId="0" borderId="18" xfId="0" applyNumberFormat="1" applyBorder="1" applyProtection="1">
      <protection hidden="1"/>
    </xf>
    <xf numFmtId="0" fontId="0" fillId="0" borderId="0" xfId="0" applyProtection="1">
      <protection hidden="1"/>
    </xf>
    <xf numFmtId="0" fontId="6" fillId="4" borderId="1" xfId="0" applyFont="1" applyFill="1" applyBorder="1" applyProtection="1">
      <protection hidden="1"/>
    </xf>
    <xf numFmtId="167" fontId="6" fillId="4" borderId="1" xfId="0" applyNumberFormat="1" applyFont="1" applyFill="1" applyBorder="1" applyProtection="1">
      <protection hidden="1"/>
    </xf>
    <xf numFmtId="0" fontId="0" fillId="0" borderId="19" xfId="0" applyBorder="1" applyProtection="1">
      <protection hidden="1"/>
    </xf>
    <xf numFmtId="0" fontId="7" fillId="5" borderId="20" xfId="0" applyFont="1" applyFill="1" applyBorder="1" applyAlignment="1" applyProtection="1">
      <alignment horizontal="center" vertical="center"/>
      <protection hidden="1"/>
    </xf>
    <xf numFmtId="0" fontId="0" fillId="0" borderId="20" xfId="0" applyBorder="1" applyProtection="1">
      <protection hidden="1"/>
    </xf>
    <xf numFmtId="0" fontId="7" fillId="5" borderId="21" xfId="0" applyFont="1" applyFill="1" applyBorder="1" applyAlignment="1" applyProtection="1">
      <alignment horizontal="center" vertical="center"/>
      <protection hidden="1"/>
    </xf>
    <xf numFmtId="0" fontId="0" fillId="6" borderId="4" xfId="0" applyFill="1" applyBorder="1" applyProtection="1">
      <protection hidden="1"/>
    </xf>
    <xf numFmtId="0" fontId="0" fillId="6" borderId="14" xfId="0" applyFill="1" applyBorder="1" applyProtection="1">
      <protection hidden="1"/>
    </xf>
    <xf numFmtId="167" fontId="0" fillId="6" borderId="12" xfId="0" applyNumberFormat="1" applyFill="1" applyBorder="1" applyProtection="1">
      <protection hidden="1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7" fillId="5" borderId="4" xfId="0" applyFont="1" applyFill="1" applyBorder="1" applyAlignment="1" applyProtection="1">
      <alignment horizontal="center" vertical="center"/>
      <protection locked="0"/>
    </xf>
    <xf numFmtId="0" fontId="7" fillId="5" borderId="4" xfId="0" applyFont="1" applyFill="1" applyBorder="1" applyAlignment="1" applyProtection="1">
      <alignment horizontal="left" vertic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7" fillId="5" borderId="4" xfId="0" applyFont="1" applyFill="1" applyBorder="1" applyAlignment="1" applyProtection="1">
      <alignment horizontal="center" vertical="center" wrapText="1"/>
      <protection locked="0"/>
    </xf>
    <xf numFmtId="0" fontId="7" fillId="5" borderId="14" xfId="0" applyFont="1" applyFill="1" applyBorder="1" applyAlignment="1" applyProtection="1">
      <alignment horizontal="center" vertical="center"/>
      <protection locked="0"/>
    </xf>
    <xf numFmtId="0" fontId="7" fillId="5" borderId="11" xfId="0" applyFont="1" applyFill="1" applyBorder="1" applyAlignment="1" applyProtection="1">
      <alignment horizontal="center" vertical="center"/>
      <protection locked="0"/>
    </xf>
    <xf numFmtId="0" fontId="7" fillId="5" borderId="12" xfId="0" applyFont="1" applyFill="1" applyBorder="1" applyAlignment="1" applyProtection="1">
      <alignment horizontal="center" vertical="center"/>
      <protection locked="0"/>
    </xf>
    <xf numFmtId="0" fontId="0" fillId="0" borderId="4" xfId="0" applyBorder="1" applyProtection="1">
      <protection locked="0"/>
    </xf>
    <xf numFmtId="168" fontId="0" fillId="6" borderId="4" xfId="0" applyNumberFormat="1" applyFill="1" applyBorder="1" applyProtection="1">
      <protection hidden="1"/>
    </xf>
    <xf numFmtId="165" fontId="0" fillId="6" borderId="4" xfId="0" applyNumberFormat="1" applyFill="1" applyBorder="1" applyAlignment="1" applyProtection="1">
      <alignment horizontal="center"/>
      <protection hidden="1"/>
    </xf>
    <xf numFmtId="0" fontId="0" fillId="6" borderId="4" xfId="0" applyFill="1" applyBorder="1" applyAlignment="1" applyProtection="1">
      <alignment horizontal="center"/>
      <protection hidden="1"/>
    </xf>
    <xf numFmtId="165" fontId="0" fillId="0" borderId="0" xfId="0" applyNumberFormat="1" applyProtection="1">
      <protection hidden="1"/>
    </xf>
    <xf numFmtId="0" fontId="7" fillId="5" borderId="4" xfId="0" applyFont="1" applyFill="1" applyBorder="1" applyAlignment="1" applyProtection="1">
      <alignment vertical="center"/>
      <protection locked="0"/>
    </xf>
    <xf numFmtId="0" fontId="8" fillId="6" borderId="4" xfId="0" applyFont="1" applyFill="1" applyBorder="1" applyAlignment="1" applyProtection="1">
      <alignment horizontal="left" wrapText="1"/>
      <protection hidden="1"/>
    </xf>
    <xf numFmtId="165" fontId="0" fillId="0" borderId="4" xfId="0" applyNumberFormat="1" applyBorder="1" applyProtection="1">
      <protection locked="0"/>
    </xf>
    <xf numFmtId="1" fontId="0" fillId="0" borderId="4" xfId="0" applyNumberFormat="1" applyBorder="1" applyProtection="1">
      <protection locked="0"/>
    </xf>
    <xf numFmtId="169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0" fontId="8" fillId="0" borderId="4" xfId="0" applyFont="1" applyBorder="1" applyAlignment="1" applyProtection="1">
      <alignment horizontal="center" wrapText="1"/>
      <protection locked="0"/>
    </xf>
    <xf numFmtId="165" fontId="0" fillId="0" borderId="4" xfId="0" applyNumberFormat="1" applyBorder="1" applyAlignment="1" applyProtection="1">
      <alignment horizontal="center"/>
      <protection locked="0"/>
    </xf>
    <xf numFmtId="1" fontId="0" fillId="0" borderId="4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hidden="1"/>
    </xf>
    <xf numFmtId="0" fontId="0" fillId="7" borderId="0" xfId="0" applyFill="1" applyProtection="1">
      <protection locked="0"/>
    </xf>
    <xf numFmtId="0" fontId="0" fillId="0" borderId="0" xfId="0" applyAlignment="1" applyProtection="1">
      <alignment horizontal="center"/>
      <protection hidden="1"/>
    </xf>
    <xf numFmtId="2" fontId="0" fillId="0" borderId="0" xfId="0" applyNumberFormat="1" applyAlignment="1" applyProtection="1">
      <alignment horizontal="center"/>
      <protection hidden="1"/>
    </xf>
    <xf numFmtId="0" fontId="7" fillId="5" borderId="4" xfId="0" applyFont="1" applyFill="1" applyBorder="1" applyAlignment="1" applyProtection="1">
      <alignment horizontal="left" vertical="center"/>
      <protection hidden="1"/>
    </xf>
    <xf numFmtId="0" fontId="7" fillId="5" borderId="4" xfId="0" applyFont="1" applyFill="1" applyBorder="1" applyAlignment="1" applyProtection="1">
      <alignment vertical="center"/>
      <protection hidden="1"/>
    </xf>
    <xf numFmtId="0" fontId="7" fillId="8" borderId="4" xfId="0" applyFont="1" applyFill="1" applyBorder="1" applyAlignment="1" applyProtection="1">
      <alignment vertical="center"/>
      <protection locked="0"/>
    </xf>
    <xf numFmtId="0" fontId="7" fillId="5" borderId="4" xfId="0" applyFont="1" applyFill="1" applyBorder="1" applyAlignment="1" applyProtection="1">
      <alignment horizontal="center" vertical="center"/>
      <protection hidden="1"/>
    </xf>
    <xf numFmtId="2" fontId="7" fillId="5" borderId="4" xfId="0" applyNumberFormat="1" applyFont="1" applyFill="1" applyBorder="1" applyAlignment="1" applyProtection="1">
      <alignment horizontal="center" vertical="center"/>
      <protection hidden="1"/>
    </xf>
    <xf numFmtId="0" fontId="0" fillId="6" borderId="4" xfId="0" applyFill="1" applyBorder="1" applyAlignment="1" applyProtection="1">
      <alignment horizontal="left"/>
      <protection hidden="1"/>
    </xf>
    <xf numFmtId="0" fontId="0" fillId="7" borderId="4" xfId="0" applyFill="1" applyBorder="1" applyProtection="1">
      <protection locked="0"/>
    </xf>
    <xf numFmtId="15" fontId="0" fillId="0" borderId="4" xfId="0" applyNumberFormat="1" applyBorder="1" applyProtection="1">
      <protection locked="0"/>
    </xf>
    <xf numFmtId="170" fontId="0" fillId="0" borderId="4" xfId="0" applyNumberFormat="1" applyBorder="1" applyProtection="1">
      <protection locked="0"/>
    </xf>
    <xf numFmtId="169" fontId="0" fillId="6" borderId="4" xfId="0" applyNumberFormat="1" applyFill="1" applyBorder="1" applyAlignment="1" applyProtection="1">
      <alignment horizontal="center"/>
      <protection hidden="1"/>
    </xf>
    <xf numFmtId="2" fontId="0" fillId="6" borderId="4" xfId="0" applyNumberFormat="1" applyFill="1" applyBorder="1" applyAlignment="1" applyProtection="1">
      <alignment horizontal="center"/>
      <protection hidden="1"/>
    </xf>
    <xf numFmtId="0" fontId="0" fillId="0" borderId="0" xfId="0" applyAlignment="1" applyProtection="1">
      <alignment horizontal="center" vertical="center" wrapText="1"/>
      <protection hidden="1"/>
    </xf>
    <xf numFmtId="2" fontId="0" fillId="0" borderId="0" xfId="0" applyNumberFormat="1" applyAlignment="1" applyProtection="1">
      <alignment horizontal="center" vertical="center" wrapText="1"/>
      <protection hidden="1"/>
    </xf>
    <xf numFmtId="0" fontId="7" fillId="5" borderId="4" xfId="0" applyFont="1" applyFill="1" applyBorder="1" applyAlignment="1" applyProtection="1">
      <alignment vertical="center" wrapText="1"/>
      <protection locked="0"/>
    </xf>
    <xf numFmtId="0" fontId="7" fillId="5" borderId="4" xfId="0" applyFont="1" applyFill="1" applyBorder="1" applyAlignment="1" applyProtection="1">
      <alignment horizontal="center" vertical="center" wrapText="1"/>
      <protection hidden="1"/>
    </xf>
    <xf numFmtId="169" fontId="0" fillId="6" borderId="4" xfId="0" applyNumberFormat="1" applyFill="1" applyBorder="1" applyAlignment="1" applyProtection="1">
      <alignment horizontal="center" vertical="center"/>
      <protection hidden="1"/>
    </xf>
    <xf numFmtId="2" fontId="0" fillId="6" borderId="4" xfId="0" applyNumberFormat="1" applyFill="1" applyBorder="1" applyAlignment="1" applyProtection="1">
      <alignment horizontal="center" vertical="center"/>
      <protection hidden="1"/>
    </xf>
    <xf numFmtId="0" fontId="2" fillId="0" borderId="0" xfId="0" applyFont="1" applyProtection="1">
      <protection hidden="1"/>
    </xf>
    <xf numFmtId="0" fontId="9" fillId="9" borderId="22" xfId="0" applyFont="1" applyFill="1" applyBorder="1" applyAlignment="1" applyProtection="1">
      <alignment horizontal="center" vertical="center" wrapText="1"/>
      <protection hidden="1"/>
    </xf>
    <xf numFmtId="0" fontId="9" fillId="9" borderId="23" xfId="0" applyFont="1" applyFill="1" applyBorder="1" applyAlignment="1" applyProtection="1">
      <alignment horizontal="center" vertical="center" wrapText="1"/>
      <protection hidden="1"/>
    </xf>
    <xf numFmtId="0" fontId="9" fillId="9" borderId="24" xfId="0" applyFont="1" applyFill="1" applyBorder="1" applyAlignment="1" applyProtection="1">
      <alignment horizontal="center" vertical="center" wrapText="1"/>
      <protection hidden="1"/>
    </xf>
    <xf numFmtId="0" fontId="9" fillId="9" borderId="0" xfId="0" applyFont="1" applyFill="1" applyAlignment="1" applyProtection="1">
      <alignment horizontal="center" vertical="center" wrapText="1"/>
      <protection hidden="1"/>
    </xf>
    <xf numFmtId="0" fontId="9" fillId="7" borderId="25" xfId="0" applyFont="1" applyFill="1" applyBorder="1" applyProtection="1">
      <protection hidden="1"/>
    </xf>
    <xf numFmtId="0" fontId="4" fillId="7" borderId="25" xfId="0" applyFont="1" applyFill="1" applyBorder="1" applyProtection="1">
      <protection hidden="1"/>
    </xf>
    <xf numFmtId="171" fontId="4" fillId="7" borderId="25" xfId="0" applyNumberFormat="1" applyFont="1" applyFill="1" applyBorder="1" applyProtection="1">
      <protection hidden="1"/>
    </xf>
    <xf numFmtId="0" fontId="10" fillId="5" borderId="26" xfId="0" applyFont="1" applyFill="1" applyBorder="1" applyAlignment="1" applyProtection="1">
      <alignment horizontal="center" vertical="center"/>
      <protection hidden="1"/>
    </xf>
    <xf numFmtId="0" fontId="4" fillId="0" borderId="25" xfId="0" applyFont="1" applyBorder="1" applyProtection="1">
      <protection hidden="1"/>
    </xf>
    <xf numFmtId="171" fontId="4" fillId="0" borderId="25" xfId="0" applyNumberFormat="1" applyFont="1" applyBorder="1" applyProtection="1">
      <protection hidden="1"/>
    </xf>
    <xf numFmtId="0" fontId="4" fillId="0" borderId="25" xfId="0" applyFont="1" applyBorder="1" applyAlignment="1" applyProtection="1">
      <alignment wrapText="1"/>
      <protection hidden="1"/>
    </xf>
    <xf numFmtId="0" fontId="2" fillId="0" borderId="0" xfId="0" applyFont="1"/>
    <xf numFmtId="0" fontId="0" fillId="10" borderId="0" xfId="0" applyFill="1"/>
    <xf numFmtId="0" fontId="0" fillId="11" borderId="0" xfId="0" applyFill="1"/>
    <xf numFmtId="0" fontId="0" fillId="2" borderId="0" xfId="0" applyFill="1"/>
    <xf numFmtId="0" fontId="0" fillId="12" borderId="0" xfId="0" applyFill="1"/>
  </cellXfs>
  <cellStyles count="1">
    <cellStyle name="Normal" xfId="0" builtinId="0"/>
  </cellStyles>
  <dxfs count="11"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8.xml"/><Relationship Id="rId5" Type="http://schemas.openxmlformats.org/officeDocument/2006/relationships/worksheet" Target="worksheets/sheet6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2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00"/>
  <sheetViews>
    <sheetView workbookViewId="0" zoomScale="85" zoomScaleNormal="85">
      <selection activeCell="A3" sqref="A3"/>
    </sheetView>
  </sheetViews>
  <sheetFormatPr defaultRowHeight="14.5" outlineLevelRow="0" outlineLevelCol="0" x14ac:dyDescent="0.35" defaultColWidth="9.1796875" customHeight="1"/>
  <cols>
    <col min="1" max="1" width="5.54296875" style="1" customWidth="1"/>
    <col min="2" max="2" width="6.54296875" style="1" customWidth="1"/>
    <col min="3" max="3" width="30.1796875" style="53" customWidth="1"/>
    <col min="4" max="4" width="5.54296875" style="1" customWidth="1"/>
    <col min="5" max="5" width="24.54296875" style="1" customWidth="1"/>
    <col min="6" max="6" width="52.453125" style="1" customWidth="1"/>
    <col min="7" max="7" width="19" style="1" customWidth="1"/>
    <col min="8" max="8" width="2" style="1" customWidth="1"/>
    <col min="9" max="9" width="16.1796875" style="1" customWidth="1"/>
    <col min="10" max="10" width="2" style="1" customWidth="1"/>
    <col min="11" max="11" width="18" style="54" customWidth="1"/>
    <col min="12" max="12" width="13.1796875" style="54" customWidth="1"/>
    <col min="13" max="13" width="9.1796875" style="1" customWidth="1"/>
    <col min="14" max="14" width="2" style="1" customWidth="1"/>
    <col min="15" max="15" width="14.1796875" style="54" customWidth="1"/>
    <col min="16" max="16" width="17" style="54" customWidth="1"/>
    <col min="17" max="17" width="18.54296875" style="54" customWidth="1"/>
    <col min="18" max="18" width="9.1796875" style="1" customWidth="1"/>
    <col min="19" max="19" width="2" style="1" customWidth="1"/>
    <col min="20" max="20" width="11.7265625" style="54" customWidth="1"/>
    <col min="21" max="21" width="11.453125" style="54" customWidth="1"/>
    <col min="22" max="22" width="9.1796875" style="1" customWidth="1"/>
    <col min="23" max="23" width="2" style="1" customWidth="1"/>
    <col min="24" max="24" width="18.81640625" style="54" customWidth="1"/>
    <col min="25" max="25" width="17.26953125" style="54" customWidth="1"/>
    <col min="26" max="26" width="9.1796875" style="1" customWidth="1"/>
    <col min="27" max="27" width="2" style="1" customWidth="1"/>
    <col min="28" max="28" width="14.54296875" style="54" customWidth="1"/>
    <col min="29" max="29" width="9.1796875" style="1" customWidth="1"/>
    <col min="30" max="30" width="2" style="1" customWidth="1"/>
    <col min="31" max="16384" width="9.1796875" style="54" customWidth="1"/>
  </cols>
  <sheetData>
    <row r="1" ht="51" customHeight="1" spans="1:32" x14ac:dyDescent="0.25">
      <c r="A1" s="55" t="s">
        <v>28</v>
      </c>
      <c r="B1" s="55" t="s">
        <v>29</v>
      </c>
      <c r="C1" s="56" t="s">
        <v>30</v>
      </c>
      <c r="D1" s="55" t="s">
        <v>31</v>
      </c>
      <c r="E1" s="55" t="s">
        <v>2013</v>
      </c>
      <c r="F1" s="55" t="s">
        <v>2014</v>
      </c>
      <c r="G1" s="55" t="s">
        <v>2015</v>
      </c>
      <c r="H1" s="57"/>
      <c r="I1" s="55" t="s">
        <v>27</v>
      </c>
      <c r="J1" s="57"/>
      <c r="K1" s="58" t="s">
        <v>2016</v>
      </c>
      <c r="L1" s="58"/>
      <c r="M1" s="58"/>
      <c r="N1" s="57"/>
      <c r="O1" s="58" t="s">
        <v>2017</v>
      </c>
      <c r="P1" s="58"/>
      <c r="Q1" s="58"/>
      <c r="R1" s="58"/>
      <c r="S1" s="57"/>
      <c r="T1" s="58" t="s">
        <v>2018</v>
      </c>
      <c r="U1" s="58"/>
      <c r="V1" s="58"/>
      <c r="W1" s="57"/>
      <c r="X1" s="59" t="s">
        <v>2019</v>
      </c>
      <c r="Y1" s="60"/>
      <c r="Z1" s="61"/>
      <c r="AA1" s="57"/>
      <c r="AB1" s="58" t="s">
        <v>2020</v>
      </c>
      <c r="AC1" s="58"/>
      <c r="AD1" s="57"/>
      <c r="AE1" s="58" t="s">
        <v>2021</v>
      </c>
      <c r="AF1" s="58"/>
    </row>
    <row r="2" ht="39" customHeight="1" spans="1:32" x14ac:dyDescent="0.25">
      <c r="A2" s="55"/>
      <c r="B2" s="55"/>
      <c r="C2" s="56"/>
      <c r="D2" s="55"/>
      <c r="E2" s="55"/>
      <c r="F2" s="55"/>
      <c r="G2" s="55"/>
      <c r="H2" s="57"/>
      <c r="I2" s="55"/>
      <c r="J2" s="57"/>
      <c r="K2" s="58" t="s">
        <v>2022</v>
      </c>
      <c r="L2" s="58" t="s">
        <v>2023</v>
      </c>
      <c r="M2" s="55" t="s">
        <v>20</v>
      </c>
      <c r="N2" s="57"/>
      <c r="O2" s="58" t="s">
        <v>2024</v>
      </c>
      <c r="P2" s="58" t="s">
        <v>2025</v>
      </c>
      <c r="Q2" s="58" t="s">
        <v>2026</v>
      </c>
      <c r="R2" s="58" t="s">
        <v>20</v>
      </c>
      <c r="S2" s="57"/>
      <c r="T2" s="58" t="s">
        <v>2027</v>
      </c>
      <c r="U2" s="58" t="s">
        <v>2028</v>
      </c>
      <c r="V2" s="58" t="s">
        <v>20</v>
      </c>
      <c r="W2" s="57"/>
      <c r="X2" s="58" t="s">
        <v>2029</v>
      </c>
      <c r="Y2" s="58" t="s">
        <v>2030</v>
      </c>
      <c r="Z2" s="58" t="s">
        <v>20</v>
      </c>
      <c r="AA2" s="57"/>
      <c r="AB2" s="58" t="s">
        <v>2031</v>
      </c>
      <c r="AC2" s="58" t="s">
        <v>20</v>
      </c>
      <c r="AD2" s="57"/>
      <c r="AE2" s="58" t="s">
        <v>2032</v>
      </c>
      <c r="AF2" s="55" t="s">
        <v>20</v>
      </c>
    </row>
    <row r="3" spans="1:32" x14ac:dyDescent="0.25">
      <c r="A3" s="62">
        <v>1</v>
      </c>
      <c r="B3" s="62">
        <v>5713</v>
      </c>
      <c r="C3" s="50" t="str">
        <f>IF(ISNA(VLOOKUP($B3,Summary!$B:$D,2,FALSE))=TRUE," ",VLOOKUP($B3,Summary!$B:$D,2,FALSE))</f>
        <v> </v>
      </c>
      <c r="D3" s="50" t="str">
        <f>IF(ISNA(VLOOKUP($B3,Summary!$B:$D,3,FALSE))=TRUE," ",VLOOKUP($B3,Summary!$B:$D,3,FALSE))</f>
        <v> </v>
      </c>
      <c r="E3" s="62" t="s">
        <v>2033</v>
      </c>
      <c r="F3" s="62" t="s">
        <v>2034</v>
      </c>
      <c r="G3" s="62" t="s">
        <v>2035</v>
      </c>
      <c r="I3" s="63">
        <f t="shared" ref="I3:I66" si="0">M3+R3+V3+Z3+AC3+AF3</f>
        <v>0</v>
      </c>
      <c r="K3" s="64">
        <f>IF(E3="Support(L1_L2)",IF(NOT(ISBLANK(B3)),IF(NOT(ISBLANK(D3)),NETWORKDAYS('CPY TOC'!$F$5,'CPY TOC'!$G$5))))-L3</f>
        <v>0</v>
      </c>
      <c r="L3" s="64">
        <f>IF(E3="Support(L1_L2)",SUMIFS(Support_allowance_Entries!$G:$G,Support_allowance_Entries!$B:$B,CPY!B3),0)</f>
        <v>0</v>
      </c>
      <c r="M3" s="63" t="b">
        <f>IF($D3="D0",MD!$C$4*(K3),IF($D3="D1",MD!$C$5*(K3),IF($D3="D2",MD!$C$6*(K3),IF($D3="D3",MD!$C$7*(K3),IF($D3="D4",MD!$C$8*(K3),IF($D3="D5",MD!$C$9*(K3),IF($D3="M1",MD!$C$10*(K3),IF($D3="T1",MD!$C$11*(K3)))))))))</f>
        <v>0</v>
      </c>
      <c r="O3" s="65">
        <f>SUMIFS(Shift_allowance_Entries!$G:$G,Shift_allowance_Entries!$F:$F,"6:30AM-03:30PM",Shift_allowance_Entries!$B:$B,CPY!$B3)</f>
        <v>0</v>
      </c>
      <c r="P3" s="65">
        <f>SUMIFS(Shift_allowance_Entries!$G:$G,Shift_allowance_Entries!$F:$F,"1-9PM/2:30PM-11:30PM",Shift_allowance_Entries!$B:$B,CPY!$B3)</f>
        <v>0</v>
      </c>
      <c r="Q3" s="65">
        <f>SUMIFS(Shift_allowance_Entries!$G:$G,Shift_allowance_Entries!$F:$F,"11PM-7AM",Shift_allowance_Entries!$B:$B,CPY!$B3)</f>
        <v>0</v>
      </c>
      <c r="R3" s="63">
        <f>(CPY!O3*MD!$F$4)+(CPY!P3*MD!$F$5)+(CPY!Q3*MD!$F$6)</f>
        <v>0</v>
      </c>
      <c r="T3" s="64">
        <f>ROUNDUP((SUMIFS('OOH Activities'!$K:$K,'OOH Activities'!$F:$F,"Non_workdays",'OOH Activities'!$B:$B,CPY!B3)) *24,1)</f>
        <v>0</v>
      </c>
      <c r="U3" s="64">
        <f>ROUNDUP((SUMIFS('OOH Activities'!$K:$K,'OOH Activities'!$F:$F,"Workdays",'OOH Activities'!$B:$B,CPY!B3)) *24,1)</f>
        <v>0</v>
      </c>
      <c r="V3" s="63">
        <f>ROUNDUP((SUMIFS('OOH Activities'!$L:$L,'OOH Activities'!$B:$B,CPY!B3)),1)</f>
        <v>0</v>
      </c>
      <c r="X3" s="65">
        <f>ROUNDUP((SUMIFS('ON Call_Call Out Activities'!$L:$L,'ON Call_Call Out Activities'!$F:$F,"Workdays",'ON Call_Call Out Activities'!$B:$B,CPY!B3))*24,1)</f>
        <v>0</v>
      </c>
      <c r="Y3" s="64">
        <f>ROUNDUP((SUMIFS('ON Call_Call Out Activities'!$L:$L,'ON Call_Call Out Activities'!$F:$F,"Non_workdays",'ON Call_Call Out Activities'!$B:$B,CPY!B3)) *24,1)</f>
        <v>0</v>
      </c>
      <c r="Z3" s="63">
        <f>ROUNDUP((SUMIFS('ON Call_Call Out Activities'!$M:$M,'ON Call_Call Out Activities'!$F:$F,"Non_workdays",'ON Call_Call Out Activities'!$B:$B,CPY!B3)),1) + ROUNDUP((SUMIFS('ON Call_Call Out Activities'!$M:$M,'ON Call_Call Out Activities'!$F:$F,"Workdays",'ON Call_Call Out Activities'!$B:$B,CPY!B3)),1)</f>
        <v>0</v>
      </c>
      <c r="AA3" s="66"/>
      <c r="AB3" s="64">
        <f>ROUNDUP((SUMIFS('ON Call_Call Out Activities'!$L:$L,'ON Call_Call Out Activities'!$F:$F,"Call_Out",'ON Call_Call Out Activities'!$B:$B,CPY!B3)) *24,1)</f>
        <v>0</v>
      </c>
      <c r="AC3" s="63">
        <f>ROUNDUP((SUMIFS('ON Call_Call Out Activities'!$M:$M,'ON Call_Call Out Activities'!$F:$F,"Call_Out",'ON Call_Call Out Activities'!$B:$B,CPY!B3)),1)</f>
        <v>0</v>
      </c>
      <c r="AE3" s="65">
        <f>IF((SUMIF(Shift_allowance_Entries!$B:$B,CPY!$B3,Shift_allowance_Entries!$H:$H)) &gt; (SUMIF(Shift_allowance_Entries!$B:$B,CPY!$B3,Shift_allowance_Entries!$G:$G)),0,((SUMIF(Shift_allowance_Entries!$B:$B,CPY!$B3,Shift_allowance_Entries!$G:$G))-(SUMIF(Shift_allowance_Entries!$B:$B,CPY!$B3,Shift_allowance_Entries!$H:$H))))</f>
        <v>0</v>
      </c>
      <c r="AF3" s="63">
        <f>AE3*MD!$S$4</f>
        <v>0</v>
      </c>
    </row>
    <row r="4" spans="1:32" x14ac:dyDescent="0.25">
      <c r="A4" s="62">
        <v>2</v>
      </c>
      <c r="B4" s="62">
        <v>5053</v>
      </c>
      <c r="C4" s="50" t="str">
        <f>IF(ISNA(VLOOKUP($B4,Summary!$B:$D,2,FALSE))=TRUE," ",VLOOKUP($B4,Summary!$B:$D,2,FALSE))</f>
        <v> </v>
      </c>
      <c r="D4" s="50" t="str">
        <f>IF(ISNA(VLOOKUP($B4,Summary!$B:$D,3,FALSE))=TRUE," ",VLOOKUP($B4,Summary!$B:$D,3,FALSE))</f>
        <v> </v>
      </c>
      <c r="E4" s="62" t="s">
        <v>2033</v>
      </c>
      <c r="F4" s="62" t="s">
        <v>2034</v>
      </c>
      <c r="G4" s="62" t="s">
        <v>2035</v>
      </c>
      <c r="I4" s="63">
        <f t="shared" si="0"/>
        <v>0</v>
      </c>
      <c r="K4" s="64">
        <f>IF(E4="Support(L1_L2)",IF(NOT(ISBLANK(B4)),IF(NOT(ISBLANK(D4)),NETWORKDAYS('CPY TOC'!$F$5,'CPY TOC'!$G$5))))-L4</f>
        <v>0</v>
      </c>
      <c r="L4" s="64">
        <f>IF(E4="Support(L1_L2)",SUMIFS(Support_allowance_Entries!$G:$G,Support_allowance_Entries!$B:$B,CPY!B4),0)</f>
        <v>0</v>
      </c>
      <c r="M4" s="63" t="b">
        <f>IF($D4="D0",MD!$C$4*(K4),IF($D4="D1",MD!$C$5*(K4),IF($D4="D2",MD!$C$6*(K4),IF($D4="D3",MD!$C$7*(K4),IF($D4="D4",MD!$C$8*(K4),IF($D4="D5",MD!$C$9*(K4),IF($D4="M1",MD!$C$10*(K4),IF($D4="T1",MD!$C$11*(K4)))))))))</f>
        <v>0</v>
      </c>
      <c r="O4" s="65">
        <f>SUMIFS(Shift_allowance_Entries!$G:$G,Shift_allowance_Entries!$F:$F,"6:30AM-03:30PM",Shift_allowance_Entries!$B:$B,CPY!$B4)</f>
        <v>0</v>
      </c>
      <c r="P4" s="65">
        <f>SUMIFS(Shift_allowance_Entries!$G:$G,Shift_allowance_Entries!$F:$F,"1-9PM/2:30PM-11:30PM",Shift_allowance_Entries!$B:$B,CPY!$B4)</f>
        <v>0</v>
      </c>
      <c r="Q4" s="65">
        <f>SUMIFS(Shift_allowance_Entries!$G:$G,Shift_allowance_Entries!$F:$F,"11PM-7AM",Shift_allowance_Entries!$B:$B,CPY!$B4)</f>
        <v>0</v>
      </c>
      <c r="R4" s="63">
        <f>(CPY!O4*MD!$F$4)+(CPY!P4*MD!$F$5)+(CPY!Q4*MD!$F$6)</f>
        <v>0</v>
      </c>
      <c r="T4" s="64">
        <f>ROUNDUP((SUMIFS('OOH Activities'!$K:$K,'OOH Activities'!$F:$F,"Non_workdays",'OOH Activities'!$B:$B,CPY!B4)) *24,1)</f>
        <v>0</v>
      </c>
      <c r="U4" s="64">
        <f>ROUNDUP((SUMIFS('OOH Activities'!$K:$K,'OOH Activities'!$F:$F,"Workdays",'OOH Activities'!$B:$B,CPY!B4)) *24,1)</f>
        <v>0</v>
      </c>
      <c r="V4" s="63">
        <f>ROUNDUP((SUMIFS('OOH Activities'!$L:$L,'OOH Activities'!$B:$B,CPY!B4)),1)</f>
        <v>0</v>
      </c>
      <c r="X4" s="65">
        <f>ROUNDUP((SUMIFS('ON Call_Call Out Activities'!$L:$L,'ON Call_Call Out Activities'!$F:$F,"Workdays",'ON Call_Call Out Activities'!$B:$B,CPY!B4))*24,1)</f>
        <v>0</v>
      </c>
      <c r="Y4" s="64">
        <f>ROUNDUP((SUMIFS('ON Call_Call Out Activities'!$L:$L,'ON Call_Call Out Activities'!$F:$F,"Non_workdays",'ON Call_Call Out Activities'!$B:$B,CPY!B4)) *24,1)</f>
        <v>0</v>
      </c>
      <c r="Z4" s="63">
        <f>ROUNDUP((SUMIFS('ON Call_Call Out Activities'!$M:$M,'ON Call_Call Out Activities'!$F:$F,"Non_workdays",'ON Call_Call Out Activities'!$B:$B,CPY!B4)),1) + ROUNDUP((SUMIFS('ON Call_Call Out Activities'!$M:$M,'ON Call_Call Out Activities'!$F:$F,"Workdays",'ON Call_Call Out Activities'!$B:$B,CPY!B4)),1)</f>
        <v>0</v>
      </c>
      <c r="AA4" s="66"/>
      <c r="AB4" s="64">
        <f>ROUNDUP((SUMIFS('ON Call_Call Out Activities'!$L:$L,'ON Call_Call Out Activities'!$F:$F,"Call_Out",'ON Call_Call Out Activities'!$B:$B,CPY!B4)) *24,1)</f>
        <v>0</v>
      </c>
      <c r="AC4" s="63">
        <f>ROUNDUP((SUMIFS('ON Call_Call Out Activities'!$M:$M,'ON Call_Call Out Activities'!$F:$F,"Call_Out",'ON Call_Call Out Activities'!$B:$B,CPY!B4)),1)</f>
        <v>0</v>
      </c>
      <c r="AE4" s="65">
        <f>IF((SUMIF(Shift_allowance_Entries!$B:$B,CPY!$B4,Shift_allowance_Entries!$H:$H)) &gt; (SUMIF(Shift_allowance_Entries!$B:$B,CPY!$B4,Shift_allowance_Entries!$G:$G)),0,((SUMIF(Shift_allowance_Entries!$B:$B,CPY!$B4,Shift_allowance_Entries!$G:$G))-(SUMIF(Shift_allowance_Entries!$B:$B,CPY!$B4,Shift_allowance_Entries!$H:$H))))</f>
        <v>0</v>
      </c>
      <c r="AF4" s="63">
        <f>AE4*MD!$S$4</f>
        <v>0</v>
      </c>
    </row>
    <row r="5" spans="1:32" x14ac:dyDescent="0.25">
      <c r="A5" s="62">
        <v>3</v>
      </c>
      <c r="B5" s="62">
        <v>6015</v>
      </c>
      <c r="C5" s="50" t="str">
        <f>IF(ISNA(VLOOKUP($B5,Summary!$B:$D,2,FALSE))=TRUE," ",VLOOKUP($B5,Summary!$B:$D,2,FALSE))</f>
        <v> </v>
      </c>
      <c r="D5" s="50" t="str">
        <f>IF(ISNA(VLOOKUP($B5,Summary!$B:$D,3,FALSE))=TRUE," ",VLOOKUP($B5,Summary!$B:$D,3,FALSE))</f>
        <v> </v>
      </c>
      <c r="E5" s="62" t="s">
        <v>2033</v>
      </c>
      <c r="F5" s="62" t="s">
        <v>2034</v>
      </c>
      <c r="G5" s="62" t="s">
        <v>2035</v>
      </c>
      <c r="I5" s="63">
        <f t="shared" si="0"/>
        <v>0</v>
      </c>
      <c r="K5" s="64">
        <f>IF(E5="Support(L1_L2)",IF(NOT(ISBLANK(B5)),IF(NOT(ISBLANK(D5)),NETWORKDAYS('CPY TOC'!$F$5,'CPY TOC'!$G$5))))-L5</f>
        <v>0</v>
      </c>
      <c r="L5" s="64">
        <f>IF(E5="Support(L1_L2)",SUMIFS(Support_allowance_Entries!$G:$G,Support_allowance_Entries!$B:$B,CPY!B5),0)</f>
        <v>0</v>
      </c>
      <c r="M5" s="63" t="b">
        <f>IF($D5="D0",MD!$C$4*(K5),IF($D5="D1",MD!$C$5*(K5),IF($D5="D2",MD!$C$6*(K5),IF($D5="D3",MD!$C$7*(K5),IF($D5="D4",MD!$C$8*(K5),IF($D5="D5",MD!$C$9*(K5),IF($D5="M1",MD!$C$10*(K5),IF($D5="T1",MD!$C$11*(K5)))))))))</f>
        <v>0</v>
      </c>
      <c r="O5" s="65">
        <f>SUMIFS(Shift_allowance_Entries!$G:$G,Shift_allowance_Entries!$F:$F,"6:30AM-03:30PM",Shift_allowance_Entries!$B:$B,CPY!$B5)</f>
        <v>0</v>
      </c>
      <c r="P5" s="65">
        <f>SUMIFS(Shift_allowance_Entries!$G:$G,Shift_allowance_Entries!$F:$F,"1-9PM/2:30PM-11:30PM",Shift_allowance_Entries!$B:$B,CPY!$B5)</f>
        <v>0</v>
      </c>
      <c r="Q5" s="65">
        <f>SUMIFS(Shift_allowance_Entries!$G:$G,Shift_allowance_Entries!$F:$F,"11PM-7AM",Shift_allowance_Entries!$B:$B,CPY!$B5)</f>
        <v>0</v>
      </c>
      <c r="R5" s="63">
        <f>(CPY!O5*MD!$F$4)+(CPY!P5*MD!$F$5)+(CPY!Q5*MD!$F$6)</f>
        <v>0</v>
      </c>
      <c r="T5" s="64">
        <f>ROUNDUP((SUMIFS('OOH Activities'!$K:$K,'OOH Activities'!$F:$F,"Non_workdays",'OOH Activities'!$B:$B,CPY!B5)) *24,1)</f>
        <v>0</v>
      </c>
      <c r="U5" s="64">
        <f>ROUNDUP((SUMIFS('OOH Activities'!$K:$K,'OOH Activities'!$F:$F,"Workdays",'OOH Activities'!$B:$B,CPY!B5)) *24,1)</f>
        <v>0</v>
      </c>
      <c r="V5" s="63">
        <f>ROUNDUP((SUMIFS('OOH Activities'!$L:$L,'OOH Activities'!$B:$B,CPY!B5)),1)</f>
        <v>0</v>
      </c>
      <c r="X5" s="65">
        <f>ROUNDUP((SUMIFS('ON Call_Call Out Activities'!$L:$L,'ON Call_Call Out Activities'!$F:$F,"Workdays",'ON Call_Call Out Activities'!$B:$B,CPY!B5))*24,1)</f>
        <v>0</v>
      </c>
      <c r="Y5" s="64">
        <f>ROUNDUP((SUMIFS('ON Call_Call Out Activities'!$L:$L,'ON Call_Call Out Activities'!$F:$F,"Non_workdays",'ON Call_Call Out Activities'!$B:$B,CPY!B5)) *24,1)</f>
        <v>0</v>
      </c>
      <c r="Z5" s="63">
        <f>ROUNDUP((SUMIFS('ON Call_Call Out Activities'!$M:$M,'ON Call_Call Out Activities'!$F:$F,"Non_workdays",'ON Call_Call Out Activities'!$B:$B,CPY!B5)),1) + ROUNDUP((SUMIFS('ON Call_Call Out Activities'!$M:$M,'ON Call_Call Out Activities'!$F:$F,"Workdays",'ON Call_Call Out Activities'!$B:$B,CPY!B5)),1)</f>
        <v>0</v>
      </c>
      <c r="AA5" s="66"/>
      <c r="AB5" s="64">
        <f>ROUNDUP((SUMIFS('ON Call_Call Out Activities'!$L:$L,'ON Call_Call Out Activities'!$F:$F,"Call_Out",'ON Call_Call Out Activities'!$B:$B,CPY!B5)) *24,1)</f>
        <v>0</v>
      </c>
      <c r="AC5" s="63">
        <f>ROUNDUP((SUMIFS('ON Call_Call Out Activities'!$M:$M,'ON Call_Call Out Activities'!$F:$F,"Call_Out",'ON Call_Call Out Activities'!$B:$B,CPY!B5)),1)</f>
        <v>0</v>
      </c>
      <c r="AE5" s="65">
        <f>IF((SUMIF(Shift_allowance_Entries!$B:$B,CPY!$B5,Shift_allowance_Entries!$H:$H)) &gt; (SUMIF(Shift_allowance_Entries!$B:$B,CPY!$B5,Shift_allowance_Entries!$G:$G)),0,((SUMIF(Shift_allowance_Entries!$B:$B,CPY!$B5,Shift_allowance_Entries!$G:$G))-(SUMIF(Shift_allowance_Entries!$B:$B,CPY!$B5,Shift_allowance_Entries!$H:$H))))</f>
        <v>0</v>
      </c>
      <c r="AF5" s="63">
        <f>AE5*MD!$S$4</f>
        <v>0</v>
      </c>
    </row>
    <row r="6" spans="1:32" x14ac:dyDescent="0.25">
      <c r="A6" s="62">
        <v>4</v>
      </c>
      <c r="B6" s="62"/>
      <c r="C6" s="50" t="str">
        <f>IF(ISNA(VLOOKUP($B6,Summary!$B:$D,2,FALSE))=TRUE," ",VLOOKUP($B6,Summary!$B:$D,2,FALSE))</f>
        <v> </v>
      </c>
      <c r="D6" s="50" t="str">
        <f>IF(ISNA(VLOOKUP($B6,Summary!$B:$D,3,FALSE))=TRUE," ",VLOOKUP($B6,Summary!$B:$D,3,FALSE))</f>
        <v> </v>
      </c>
      <c r="E6" s="62"/>
      <c r="F6" s="62"/>
      <c r="G6" s="62"/>
      <c r="I6" s="63">
        <f t="shared" si="0"/>
        <v>0</v>
      </c>
      <c r="K6" s="64">
        <f>IF(E6="Support(L1_L2)",IF(NOT(ISBLANK(B6)),IF(NOT(ISBLANK(D6)),NETWORKDAYS('CPY TOC'!$F$5,'CPY TOC'!$G$5))))-L6</f>
        <v>0</v>
      </c>
      <c r="L6" s="64">
        <f>IF(E6="Support(L1_L2)",SUMIFS(Support_allowance_Entries!$G:$G,Support_allowance_Entries!$B:$B,CPY!B6),0)</f>
        <v>0</v>
      </c>
      <c r="M6" s="63" t="b">
        <f>IF($D6="D0",MD!$C$4*(K6),IF($D6="D1",MD!$C$5*(K6),IF($D6="D2",MD!$C$6*(K6),IF($D6="D3",MD!$C$7*(K6),IF($D6="D4",MD!$C$8*(K6),IF($D6="D5",MD!$C$9*(K6),IF($D6="M1",MD!$C$10*(K6),IF($D6="T1",MD!$C$11*(K6)))))))))</f>
        <v>0</v>
      </c>
      <c r="O6" s="65">
        <f>SUMIFS(Shift_allowance_Entries!$G:$G,Shift_allowance_Entries!$F:$F,"6:30AM-03:30PM",Shift_allowance_Entries!$B:$B,CPY!$B6)</f>
        <v>0</v>
      </c>
      <c r="P6" s="65">
        <f>SUMIFS(Shift_allowance_Entries!$G:$G,Shift_allowance_Entries!$F:$F,"1-9PM/2:30PM-11:30PM",Shift_allowance_Entries!$B:$B,CPY!$B6)</f>
        <v>0</v>
      </c>
      <c r="Q6" s="65">
        <f>SUMIFS(Shift_allowance_Entries!$G:$G,Shift_allowance_Entries!$F:$F,"11PM-7AM",Shift_allowance_Entries!$B:$B,CPY!$B6)</f>
        <v>0</v>
      </c>
      <c r="R6" s="63">
        <f>(CPY!O6*MD!$F$4)+(CPY!P6*MD!$F$5)+(CPY!Q6*MD!$F$6)</f>
        <v>0</v>
      </c>
      <c r="T6" s="64">
        <f>ROUNDUP((SUMIFS('OOH Activities'!$K:$K,'OOH Activities'!$F:$F,"Non_workdays",'OOH Activities'!$B:$B,CPY!B6)) *24,1)</f>
        <v>0</v>
      </c>
      <c r="U6" s="64">
        <f>ROUNDUP((SUMIFS('OOH Activities'!$K:$K,'OOH Activities'!$F:$F,"Workdays",'OOH Activities'!$B:$B,CPY!B6)) *24,1)</f>
        <v>0</v>
      </c>
      <c r="V6" s="63">
        <f>ROUNDUP((SUMIFS('OOH Activities'!$L:$L,'OOH Activities'!$B:$B,CPY!B6)),1)</f>
        <v>0</v>
      </c>
      <c r="X6" s="65">
        <f>ROUNDUP((SUMIFS('ON Call_Call Out Activities'!$L:$L,'ON Call_Call Out Activities'!$F:$F,"Workdays",'ON Call_Call Out Activities'!$B:$B,CPY!B6))*24,1)</f>
        <v>0</v>
      </c>
      <c r="Y6" s="64">
        <f>ROUNDUP((SUMIFS('ON Call_Call Out Activities'!$L:$L,'ON Call_Call Out Activities'!$F:$F,"Non_workdays",'ON Call_Call Out Activities'!$B:$B,CPY!B6)) *24,1)</f>
        <v>0</v>
      </c>
      <c r="Z6" s="63">
        <f>ROUNDUP((SUMIFS('ON Call_Call Out Activities'!$M:$M,'ON Call_Call Out Activities'!$F:$F,"Non_workdays",'ON Call_Call Out Activities'!$B:$B,CPY!B6)),1) + ROUNDUP((SUMIFS('ON Call_Call Out Activities'!$M:$M,'ON Call_Call Out Activities'!$F:$F,"Workdays",'ON Call_Call Out Activities'!$B:$B,CPY!B6)),1)</f>
        <v>0</v>
      </c>
      <c r="AA6" s="66"/>
      <c r="AB6" s="64">
        <f>ROUNDUP((SUMIFS('ON Call_Call Out Activities'!$L:$L,'ON Call_Call Out Activities'!$F:$F,"Call_Out",'ON Call_Call Out Activities'!$B:$B,CPY!B6)) *24,1)</f>
        <v>0</v>
      </c>
      <c r="AC6" s="63">
        <f>ROUNDUP((SUMIFS('ON Call_Call Out Activities'!$M:$M,'ON Call_Call Out Activities'!$F:$F,"Call_Out",'ON Call_Call Out Activities'!$B:$B,CPY!B6)),1)</f>
        <v>0</v>
      </c>
      <c r="AE6" s="65">
        <f>IF((SUMIF(Shift_allowance_Entries!$B:$B,CPY!$B6,Shift_allowance_Entries!$H:$H)) &gt; (SUMIF(Shift_allowance_Entries!$B:$B,CPY!$B6,Shift_allowance_Entries!$G:$G)),0,((SUMIF(Shift_allowance_Entries!$B:$B,CPY!$B6,Shift_allowance_Entries!$G:$G))-(SUMIF(Shift_allowance_Entries!$B:$B,CPY!$B6,Shift_allowance_Entries!$H:$H))))</f>
        <v>0</v>
      </c>
      <c r="AF6" s="63">
        <f>AE6*MD!$S$4</f>
        <v>0</v>
      </c>
    </row>
    <row r="7" spans="1:32" x14ac:dyDescent="0.25">
      <c r="A7" s="62">
        <v>5</v>
      </c>
      <c r="B7" s="62"/>
      <c r="C7" s="50" t="str">
        <f>IF(ISNA(VLOOKUP($B7,Summary!$B:$D,2,FALSE))=TRUE," ",VLOOKUP($B7,Summary!$B:$D,2,FALSE))</f>
        <v> </v>
      </c>
      <c r="D7" s="50" t="str">
        <f>IF(ISNA(VLOOKUP($B7,Summary!$B:$D,3,FALSE))=TRUE," ",VLOOKUP($B7,Summary!$B:$D,3,FALSE))</f>
        <v> </v>
      </c>
      <c r="E7" s="62"/>
      <c r="F7" s="62"/>
      <c r="G7" s="62"/>
      <c r="I7" s="63">
        <f t="shared" si="0"/>
        <v>0</v>
      </c>
      <c r="K7" s="64">
        <f>IF(E7="Support(L1_L2)",IF(NOT(ISBLANK(B7)),IF(NOT(ISBLANK(D7)),NETWORKDAYS('CPY TOC'!$F$5,'CPY TOC'!$G$5))))-L7</f>
        <v>0</v>
      </c>
      <c r="L7" s="64">
        <f>IF(E7="Support(L1_L2)",SUMIFS(Support_allowance_Entries!$G:$G,Support_allowance_Entries!$B:$B,CPY!B7),0)</f>
        <v>0</v>
      </c>
      <c r="M7" s="63" t="b">
        <f>IF($D7="D0",MD!$C$4*(K7),IF($D7="D1",MD!$C$5*(K7),IF($D7="D2",MD!$C$6*(K7),IF($D7="D3",MD!$C$7*(K7),IF($D7="D4",MD!$C$8*(K7),IF($D7="D5",MD!$C$9*(K7),IF($D7="M1",MD!$C$10*(K7),IF($D7="T1",MD!$C$11*(K7)))))))))</f>
        <v>0</v>
      </c>
      <c r="O7" s="65">
        <f>SUMIFS(Shift_allowance_Entries!$G:$G,Shift_allowance_Entries!$F:$F,"6:30AM-03:30PM",Shift_allowance_Entries!$B:$B,CPY!$B7)</f>
        <v>0</v>
      </c>
      <c r="P7" s="65">
        <f>SUMIFS(Shift_allowance_Entries!$G:$G,Shift_allowance_Entries!$F:$F,"1-9PM/2:30PM-11:30PM",Shift_allowance_Entries!$B:$B,CPY!$B7)</f>
        <v>0</v>
      </c>
      <c r="Q7" s="65">
        <f>SUMIFS(Shift_allowance_Entries!$G:$G,Shift_allowance_Entries!$F:$F,"11PM-7AM",Shift_allowance_Entries!$B:$B,CPY!$B7)</f>
        <v>0</v>
      </c>
      <c r="R7" s="63">
        <f>(CPY!O7*MD!$F$4)+(CPY!P7*MD!$F$5)+(CPY!Q7*MD!$F$6)</f>
        <v>0</v>
      </c>
      <c r="T7" s="64">
        <f>ROUNDUP((SUMIFS('OOH Activities'!$K:$K,'OOH Activities'!$F:$F,"Non_workdays",'OOH Activities'!$B:$B,CPY!B7)) *24,1)</f>
        <v>0</v>
      </c>
      <c r="U7" s="64">
        <f>ROUNDUP((SUMIFS('OOH Activities'!$K:$K,'OOH Activities'!$F:$F,"Workdays",'OOH Activities'!$B:$B,CPY!B7)) *24,1)</f>
        <v>0</v>
      </c>
      <c r="V7" s="63">
        <f>ROUNDUP((SUMIFS('OOH Activities'!$L:$L,'OOH Activities'!$B:$B,CPY!B7)),1)</f>
        <v>0</v>
      </c>
      <c r="X7" s="65">
        <f>ROUNDUP((SUMIFS('ON Call_Call Out Activities'!$L:$L,'ON Call_Call Out Activities'!$F:$F,"Workdays",'ON Call_Call Out Activities'!$B:$B,CPY!B7))*24,1)</f>
        <v>0</v>
      </c>
      <c r="Y7" s="64">
        <f>ROUNDUP((SUMIFS('ON Call_Call Out Activities'!$L:$L,'ON Call_Call Out Activities'!$F:$F,"Non_workdays",'ON Call_Call Out Activities'!$B:$B,CPY!B7)) *24,1)</f>
        <v>0</v>
      </c>
      <c r="Z7" s="63">
        <f>ROUNDUP((SUMIFS('ON Call_Call Out Activities'!$M:$M,'ON Call_Call Out Activities'!$F:$F,"Non_workdays",'ON Call_Call Out Activities'!$B:$B,CPY!B7)),1) + ROUNDUP((SUMIFS('ON Call_Call Out Activities'!$M:$M,'ON Call_Call Out Activities'!$F:$F,"Workdays",'ON Call_Call Out Activities'!$B:$B,CPY!B7)),1)</f>
        <v>0</v>
      </c>
      <c r="AA7" s="66"/>
      <c r="AB7" s="64">
        <f>ROUNDUP((SUMIFS('ON Call_Call Out Activities'!$L:$L,'ON Call_Call Out Activities'!$F:$F,"Call_Out",'ON Call_Call Out Activities'!$B:$B,CPY!B7)) *24,1)</f>
        <v>0</v>
      </c>
      <c r="AC7" s="63">
        <f>ROUNDUP((SUMIFS('ON Call_Call Out Activities'!$M:$M,'ON Call_Call Out Activities'!$F:$F,"Call_Out",'ON Call_Call Out Activities'!$B:$B,CPY!B7)),1)</f>
        <v>0</v>
      </c>
      <c r="AE7" s="65">
        <f>IF((SUMIF(Shift_allowance_Entries!$B:$B,CPY!$B7,Shift_allowance_Entries!$H:$H)) &gt; (SUMIF(Shift_allowance_Entries!$B:$B,CPY!$B7,Shift_allowance_Entries!$G:$G)),0,((SUMIF(Shift_allowance_Entries!$B:$B,CPY!$B7,Shift_allowance_Entries!$G:$G))-(SUMIF(Shift_allowance_Entries!$B:$B,CPY!$B7,Shift_allowance_Entries!$H:$H))))</f>
        <v>0</v>
      </c>
      <c r="AF7" s="63">
        <f>AE7*MD!$S$4</f>
        <v>0</v>
      </c>
    </row>
    <row r="8" spans="1:32" x14ac:dyDescent="0.25">
      <c r="A8" s="62">
        <v>6</v>
      </c>
      <c r="B8" s="62"/>
      <c r="C8" s="50" t="str">
        <f>IF(ISNA(VLOOKUP($B8,Summary!$B:$D,2,FALSE))=TRUE," ",VLOOKUP($B8,Summary!$B:$D,2,FALSE))</f>
        <v> </v>
      </c>
      <c r="D8" s="50" t="str">
        <f>IF(ISNA(VLOOKUP($B8,Summary!$B:$D,3,FALSE))=TRUE," ",VLOOKUP($B8,Summary!$B:$D,3,FALSE))</f>
        <v> </v>
      </c>
      <c r="E8" s="62"/>
      <c r="F8" s="62"/>
      <c r="G8" s="62"/>
      <c r="I8" s="63">
        <f t="shared" si="0"/>
        <v>0</v>
      </c>
      <c r="K8" s="64">
        <f>IF(E8="Support(L1_L2)",IF(NOT(ISBLANK(B8)),IF(NOT(ISBLANK(D8)),NETWORKDAYS('CPY TOC'!$F$5,'CPY TOC'!$G$5))))-L8</f>
        <v>0</v>
      </c>
      <c r="L8" s="64">
        <f>IF(E8="Support(L1_L2)",SUMIFS(Support_allowance_Entries!$G:$G,Support_allowance_Entries!$B:$B,CPY!B8),0)</f>
        <v>0</v>
      </c>
      <c r="M8" s="63" t="b">
        <f>IF($D8="D0",MD!$C$4*(K8),IF($D8="D1",MD!$C$5*(K8),IF($D8="D2",MD!$C$6*(K8),IF($D8="D3",MD!$C$7*(K8),IF($D8="D4",MD!$C$8*(K8),IF($D8="D5",MD!$C$9*(K8),IF($D8="M1",MD!$C$10*(K8),IF($D8="T1",MD!$C$11*(K8)))))))))</f>
        <v>0</v>
      </c>
      <c r="O8" s="65">
        <f>SUMIFS(Shift_allowance_Entries!$G:$G,Shift_allowance_Entries!$F:$F,"6:30AM-03:30PM",Shift_allowance_Entries!$B:$B,CPY!$B8)</f>
        <v>0</v>
      </c>
      <c r="P8" s="65">
        <f>SUMIFS(Shift_allowance_Entries!$G:$G,Shift_allowance_Entries!$F:$F,"1-9PM/2:30PM-11:30PM",Shift_allowance_Entries!$B:$B,CPY!$B8)</f>
        <v>0</v>
      </c>
      <c r="Q8" s="65">
        <f>SUMIFS(Shift_allowance_Entries!$G:$G,Shift_allowance_Entries!$F:$F,"11PM-7AM",Shift_allowance_Entries!$B:$B,CPY!$B8)</f>
        <v>0</v>
      </c>
      <c r="R8" s="63">
        <f>(CPY!O8*MD!$F$4)+(CPY!P8*MD!$F$5)+(CPY!Q8*MD!$F$6)</f>
        <v>0</v>
      </c>
      <c r="T8" s="64">
        <f>ROUNDUP((SUMIFS('OOH Activities'!$K:$K,'OOH Activities'!$F:$F,"Non_workdays",'OOH Activities'!$B:$B,CPY!B8)) *24,1)</f>
        <v>0</v>
      </c>
      <c r="U8" s="64">
        <f>ROUNDUP((SUMIFS('OOH Activities'!$K:$K,'OOH Activities'!$F:$F,"Workdays",'OOH Activities'!$B:$B,CPY!B8)) *24,1)</f>
        <v>0</v>
      </c>
      <c r="V8" s="63">
        <f>ROUNDUP((SUMIFS('OOH Activities'!$L:$L,'OOH Activities'!$B:$B,CPY!B8)),1)</f>
        <v>0</v>
      </c>
      <c r="X8" s="65">
        <f>ROUNDUP((SUMIFS('ON Call_Call Out Activities'!$L:$L,'ON Call_Call Out Activities'!$F:$F,"Workdays",'ON Call_Call Out Activities'!$B:$B,CPY!B8))*24,1)</f>
        <v>0</v>
      </c>
      <c r="Y8" s="64">
        <f>ROUNDUP((SUMIFS('ON Call_Call Out Activities'!$L:$L,'ON Call_Call Out Activities'!$F:$F,"Non_workdays",'ON Call_Call Out Activities'!$B:$B,CPY!B8)) *24,1)</f>
        <v>0</v>
      </c>
      <c r="Z8" s="63">
        <f>ROUNDUP((SUMIFS('ON Call_Call Out Activities'!$M:$M,'ON Call_Call Out Activities'!$F:$F,"Non_workdays",'ON Call_Call Out Activities'!$B:$B,CPY!B8)),1) + ROUNDUP((SUMIFS('ON Call_Call Out Activities'!$M:$M,'ON Call_Call Out Activities'!$F:$F,"Workdays",'ON Call_Call Out Activities'!$B:$B,CPY!B8)),1)</f>
        <v>0</v>
      </c>
      <c r="AA8" s="66"/>
      <c r="AB8" s="64">
        <f>ROUNDUP((SUMIFS('ON Call_Call Out Activities'!$L:$L,'ON Call_Call Out Activities'!$F:$F,"Call_Out",'ON Call_Call Out Activities'!$B:$B,CPY!B8)) *24,1)</f>
        <v>0</v>
      </c>
      <c r="AC8" s="63">
        <f>ROUNDUP((SUMIFS('ON Call_Call Out Activities'!$M:$M,'ON Call_Call Out Activities'!$F:$F,"Call_Out",'ON Call_Call Out Activities'!$B:$B,CPY!B8)),1)</f>
        <v>0</v>
      </c>
      <c r="AE8" s="65">
        <f>IF((SUMIF(Shift_allowance_Entries!$B:$B,CPY!$B8,Shift_allowance_Entries!$H:$H)) &gt; (SUMIF(Shift_allowance_Entries!$B:$B,CPY!$B8,Shift_allowance_Entries!$G:$G)),0,((SUMIF(Shift_allowance_Entries!$B:$B,CPY!$B8,Shift_allowance_Entries!$G:$G))-(SUMIF(Shift_allowance_Entries!$B:$B,CPY!$B8,Shift_allowance_Entries!$H:$H))))</f>
        <v>0</v>
      </c>
      <c r="AF8" s="63">
        <f>AE8*MD!$S$4</f>
        <v>0</v>
      </c>
    </row>
    <row r="9" spans="1:32" x14ac:dyDescent="0.25">
      <c r="A9" s="62">
        <v>7</v>
      </c>
      <c r="B9" s="62"/>
      <c r="C9" s="50" t="str">
        <f>IF(ISNA(VLOOKUP($B9,Summary!$B:$D,2,FALSE))=TRUE," ",VLOOKUP($B9,Summary!$B:$D,2,FALSE))</f>
        <v> </v>
      </c>
      <c r="D9" s="50" t="str">
        <f>IF(ISNA(VLOOKUP($B9,Summary!$B:$D,3,FALSE))=TRUE," ",VLOOKUP($B9,Summary!$B:$D,3,FALSE))</f>
        <v> </v>
      </c>
      <c r="E9" s="62"/>
      <c r="F9" s="62"/>
      <c r="G9" s="62"/>
      <c r="I9" s="63">
        <f t="shared" si="0"/>
        <v>0</v>
      </c>
      <c r="K9" s="64">
        <f>IF(E9="Support(L1_L2)",IF(NOT(ISBLANK(B9)),IF(NOT(ISBLANK(D9)),NETWORKDAYS('CPY TOC'!$F$5,'CPY TOC'!$G$5))))-L9</f>
        <v>0</v>
      </c>
      <c r="L9" s="64">
        <f>IF(E9="Support(L1_L2)",SUMIFS(Support_allowance_Entries!$G:$G,Support_allowance_Entries!$B:$B,CPY!B9),0)</f>
        <v>0</v>
      </c>
      <c r="M9" s="63" t="b">
        <f>IF($D9="D0",MD!$C$4*(K9),IF($D9="D1",MD!$C$5*(K9),IF($D9="D2",MD!$C$6*(K9),IF($D9="D3",MD!$C$7*(K9),IF($D9="D4",MD!$C$8*(K9),IF($D9="D5",MD!$C$9*(K9),IF($D9="M1",MD!$C$10*(K9),IF($D9="T1",MD!$C$11*(K9)))))))))</f>
        <v>0</v>
      </c>
      <c r="O9" s="65">
        <f>SUMIFS(Shift_allowance_Entries!$G:$G,Shift_allowance_Entries!$F:$F,"6:30AM-03:30PM",Shift_allowance_Entries!$B:$B,CPY!$B9)</f>
        <v>0</v>
      </c>
      <c r="P9" s="65">
        <f>SUMIFS(Shift_allowance_Entries!$G:$G,Shift_allowance_Entries!$F:$F,"1-9PM/2:30PM-11:30PM",Shift_allowance_Entries!$B:$B,CPY!$B9)</f>
        <v>0</v>
      </c>
      <c r="Q9" s="65">
        <f>SUMIFS(Shift_allowance_Entries!$G:$G,Shift_allowance_Entries!$F:$F,"11PM-7AM",Shift_allowance_Entries!$B:$B,CPY!$B9)</f>
        <v>0</v>
      </c>
      <c r="R9" s="63">
        <f>(CPY!O9*MD!$F$4)+(CPY!P9*MD!$F$5)+(CPY!Q9*MD!$F$6)</f>
        <v>0</v>
      </c>
      <c r="T9" s="64">
        <f>ROUNDUP((SUMIFS('OOH Activities'!$K:$K,'OOH Activities'!$F:$F,"Non_workdays",'OOH Activities'!$B:$B,CPY!B9)) *24,1)</f>
        <v>0</v>
      </c>
      <c r="U9" s="64">
        <f>ROUNDUP((SUMIFS('OOH Activities'!$K:$K,'OOH Activities'!$F:$F,"Workdays",'OOH Activities'!$B:$B,CPY!B9)) *24,1)</f>
        <v>0</v>
      </c>
      <c r="V9" s="63">
        <f>ROUNDUP((SUMIFS('OOH Activities'!$L:$L,'OOH Activities'!$B:$B,CPY!B9)),1)</f>
        <v>0</v>
      </c>
      <c r="X9" s="65">
        <f>ROUNDUP((SUMIFS('ON Call_Call Out Activities'!$L:$L,'ON Call_Call Out Activities'!$F:$F,"Workdays",'ON Call_Call Out Activities'!$B:$B,CPY!B9))*24,1)</f>
        <v>0</v>
      </c>
      <c r="Y9" s="64">
        <f>ROUNDUP((SUMIFS('ON Call_Call Out Activities'!$L:$L,'ON Call_Call Out Activities'!$F:$F,"Non_workdays",'ON Call_Call Out Activities'!$B:$B,CPY!B9)) *24,1)</f>
        <v>0</v>
      </c>
      <c r="Z9" s="63">
        <f>ROUNDUP((SUMIFS('ON Call_Call Out Activities'!$M:$M,'ON Call_Call Out Activities'!$F:$F,"Non_workdays",'ON Call_Call Out Activities'!$B:$B,CPY!B9)),1) + ROUNDUP((SUMIFS('ON Call_Call Out Activities'!$M:$M,'ON Call_Call Out Activities'!$F:$F,"Workdays",'ON Call_Call Out Activities'!$B:$B,CPY!B9)),1)</f>
        <v>0</v>
      </c>
      <c r="AA9" s="66"/>
      <c r="AB9" s="64">
        <f>ROUNDUP((SUMIFS('ON Call_Call Out Activities'!$L:$L,'ON Call_Call Out Activities'!$F:$F,"Call_Out",'ON Call_Call Out Activities'!$B:$B,CPY!B9)) *24,1)</f>
        <v>0</v>
      </c>
      <c r="AC9" s="63">
        <f>ROUNDUP((SUMIFS('ON Call_Call Out Activities'!$M:$M,'ON Call_Call Out Activities'!$F:$F,"Call_Out",'ON Call_Call Out Activities'!$B:$B,CPY!B9)),1)</f>
        <v>0</v>
      </c>
      <c r="AE9" s="65">
        <f>IF((SUMIF(Shift_allowance_Entries!$B:$B,CPY!$B9,Shift_allowance_Entries!$H:$H)) &gt; (SUMIF(Shift_allowance_Entries!$B:$B,CPY!$B9,Shift_allowance_Entries!$G:$G)),0,((SUMIF(Shift_allowance_Entries!$B:$B,CPY!$B9,Shift_allowance_Entries!$G:$G))-(SUMIF(Shift_allowance_Entries!$B:$B,CPY!$B9,Shift_allowance_Entries!$H:$H))))</f>
        <v>0</v>
      </c>
      <c r="AF9" s="63">
        <f>AE9*MD!$S$4</f>
        <v>0</v>
      </c>
    </row>
    <row r="10" spans="1:32" x14ac:dyDescent="0.25">
      <c r="A10" s="62">
        <v>8</v>
      </c>
      <c r="B10" s="62"/>
      <c r="C10" s="50" t="str">
        <f>IF(ISNA(VLOOKUP($B10,Summary!$B:$D,2,FALSE))=TRUE," ",VLOOKUP($B10,Summary!$B:$D,2,FALSE))</f>
        <v> </v>
      </c>
      <c r="D10" s="50" t="str">
        <f>IF(ISNA(VLOOKUP($B10,Summary!$B:$D,3,FALSE))=TRUE," ",VLOOKUP($B10,Summary!$B:$D,3,FALSE))</f>
        <v> </v>
      </c>
      <c r="E10" s="62"/>
      <c r="F10" s="62"/>
      <c r="G10" s="62"/>
      <c r="I10" s="63">
        <f t="shared" si="0"/>
        <v>0</v>
      </c>
      <c r="K10" s="64">
        <f>IF(E10="Support(L1_L2)",IF(NOT(ISBLANK(B10)),IF(NOT(ISBLANK(D10)),NETWORKDAYS('CPY TOC'!$F$5,'CPY TOC'!$G$5))))-L10</f>
        <v>0</v>
      </c>
      <c r="L10" s="64">
        <f>IF(E10="Support(L1_L2)",SUMIFS(Support_allowance_Entries!$G:$G,Support_allowance_Entries!$B:$B,CPY!B10),0)</f>
        <v>0</v>
      </c>
      <c r="M10" s="63" t="b">
        <f>IF($D10="D0",MD!$C$4*(K10),IF($D10="D1",MD!$C$5*(K10),IF($D10="D2",MD!$C$6*(K10),IF($D10="D3",MD!$C$7*(K10),IF($D10="D4",MD!$C$8*(K10),IF($D10="D5",MD!$C$9*(K10),IF($D10="M1",MD!$C$10*(K10),IF($D10="T1",MD!$C$11*(K10)))))))))</f>
        <v>0</v>
      </c>
      <c r="O10" s="65">
        <f>SUMIFS(Shift_allowance_Entries!$G:$G,Shift_allowance_Entries!$F:$F,"6:30AM-03:30PM",Shift_allowance_Entries!$B:$B,CPY!$B10)</f>
        <v>0</v>
      </c>
      <c r="P10" s="65">
        <f>SUMIFS(Shift_allowance_Entries!$G:$G,Shift_allowance_Entries!$F:$F,"1-9PM/2:30PM-11:30PM",Shift_allowance_Entries!$B:$B,CPY!$B10)</f>
        <v>0</v>
      </c>
      <c r="Q10" s="65">
        <f>SUMIFS(Shift_allowance_Entries!$G:$G,Shift_allowance_Entries!$F:$F,"11PM-7AM",Shift_allowance_Entries!$B:$B,CPY!$B10)</f>
        <v>0</v>
      </c>
      <c r="R10" s="63">
        <f>(CPY!O10*MD!$F$4)+(CPY!P10*MD!$F$5)+(CPY!Q10*MD!$F$6)</f>
        <v>0</v>
      </c>
      <c r="T10" s="64">
        <f>ROUNDUP((SUMIFS('OOH Activities'!$K:$K,'OOH Activities'!$F:$F,"Non_workdays",'OOH Activities'!$B:$B,CPY!B10)) *24,1)</f>
        <v>0</v>
      </c>
      <c r="U10" s="64">
        <f>ROUNDUP((SUMIFS('OOH Activities'!$K:$K,'OOH Activities'!$F:$F,"Workdays",'OOH Activities'!$B:$B,CPY!B10)) *24,1)</f>
        <v>0</v>
      </c>
      <c r="V10" s="63">
        <f>ROUNDUP((SUMIFS('OOH Activities'!$L:$L,'OOH Activities'!$B:$B,CPY!B10)),1)</f>
        <v>0</v>
      </c>
      <c r="X10" s="65">
        <f>ROUNDUP((SUMIFS('ON Call_Call Out Activities'!$L:$L,'ON Call_Call Out Activities'!$F:$F,"Workdays",'ON Call_Call Out Activities'!$B:$B,CPY!B10))*24,1)</f>
        <v>0</v>
      </c>
      <c r="Y10" s="64">
        <f>ROUNDUP((SUMIFS('ON Call_Call Out Activities'!$L:$L,'ON Call_Call Out Activities'!$F:$F,"Non_workdays",'ON Call_Call Out Activities'!$B:$B,CPY!B10)) *24,1)</f>
        <v>0</v>
      </c>
      <c r="Z10" s="63">
        <f>ROUNDUP((SUMIFS('ON Call_Call Out Activities'!$M:$M,'ON Call_Call Out Activities'!$F:$F,"Non_workdays",'ON Call_Call Out Activities'!$B:$B,CPY!B10)),1) + ROUNDUP((SUMIFS('ON Call_Call Out Activities'!$M:$M,'ON Call_Call Out Activities'!$F:$F,"Workdays",'ON Call_Call Out Activities'!$B:$B,CPY!B10)),1)</f>
        <v>0</v>
      </c>
      <c r="AA10" s="66"/>
      <c r="AB10" s="64">
        <f>ROUNDUP((SUMIFS('ON Call_Call Out Activities'!$L:$L,'ON Call_Call Out Activities'!$F:$F,"Call_Out",'ON Call_Call Out Activities'!$B:$B,CPY!B10)) *24,1)</f>
        <v>0</v>
      </c>
      <c r="AC10" s="63">
        <f>ROUNDUP((SUMIFS('ON Call_Call Out Activities'!$M:$M,'ON Call_Call Out Activities'!$F:$F,"Call_Out",'ON Call_Call Out Activities'!$B:$B,CPY!B10)),1)</f>
        <v>0</v>
      </c>
      <c r="AE10" s="65">
        <f>IF((SUMIF(Shift_allowance_Entries!$B:$B,CPY!$B10,Shift_allowance_Entries!$H:$H)) &gt; (SUMIF(Shift_allowance_Entries!$B:$B,CPY!$B10,Shift_allowance_Entries!$G:$G)),0,((SUMIF(Shift_allowance_Entries!$B:$B,CPY!$B10,Shift_allowance_Entries!$G:$G))-(SUMIF(Shift_allowance_Entries!$B:$B,CPY!$B10,Shift_allowance_Entries!$H:$H))))</f>
        <v>0</v>
      </c>
      <c r="AF10" s="63">
        <f>AE10*MD!$S$4</f>
        <v>0</v>
      </c>
    </row>
    <row r="11" spans="1:32" x14ac:dyDescent="0.25">
      <c r="A11" s="62">
        <v>9</v>
      </c>
      <c r="B11" s="62"/>
      <c r="C11" s="50" t="str">
        <f>IF(ISNA(VLOOKUP($B11,Summary!$B:$D,2,FALSE))=TRUE," ",VLOOKUP($B11,Summary!$B:$D,2,FALSE))</f>
        <v> </v>
      </c>
      <c r="D11" s="50" t="str">
        <f>IF(ISNA(VLOOKUP($B11,Summary!$B:$D,3,FALSE))=TRUE," ",VLOOKUP($B11,Summary!$B:$D,3,FALSE))</f>
        <v> </v>
      </c>
      <c r="E11" s="62"/>
      <c r="F11" s="62"/>
      <c r="G11" s="62"/>
      <c r="I11" s="63">
        <f t="shared" si="0"/>
        <v>0</v>
      </c>
      <c r="K11" s="64">
        <f>IF(E11="Support(L1_L2)",IF(NOT(ISBLANK(B11)),IF(NOT(ISBLANK(D11)),NETWORKDAYS('CPY TOC'!$F$5,'CPY TOC'!$G$5))))-L11</f>
        <v>0</v>
      </c>
      <c r="L11" s="64">
        <f>IF(E11="Support(L1_L2)",SUMIFS(Support_allowance_Entries!$G:$G,Support_allowance_Entries!$B:$B,CPY!B11),0)</f>
        <v>0</v>
      </c>
      <c r="M11" s="63" t="b">
        <f>IF($D11="D0",MD!$C$4*(K11),IF($D11="D1",MD!$C$5*(K11),IF($D11="D2",MD!$C$6*(K11),IF($D11="D3",MD!$C$7*(K11),IF($D11="D4",MD!$C$8*(K11),IF($D11="D5",MD!$C$9*(K11),IF($D11="M1",MD!$C$10*(K11),IF($D11="T1",MD!$C$11*(K11)))))))))</f>
        <v>0</v>
      </c>
      <c r="O11" s="65">
        <f>SUMIFS(Shift_allowance_Entries!$G:$G,Shift_allowance_Entries!$F:$F,"6:30AM-03:30PM",Shift_allowance_Entries!$B:$B,CPY!$B11)</f>
        <v>0</v>
      </c>
      <c r="P11" s="65">
        <f>SUMIFS(Shift_allowance_Entries!$G:$G,Shift_allowance_Entries!$F:$F,"1-9PM/2:30PM-11:30PM",Shift_allowance_Entries!$B:$B,CPY!$B11)</f>
        <v>0</v>
      </c>
      <c r="Q11" s="65">
        <f>SUMIFS(Shift_allowance_Entries!$G:$G,Shift_allowance_Entries!$F:$F,"11PM-7AM",Shift_allowance_Entries!$B:$B,CPY!$B11)</f>
        <v>0</v>
      </c>
      <c r="R11" s="63">
        <f>(CPY!O11*MD!$F$4)+(CPY!P11*MD!$F$5)+(CPY!Q11*MD!$F$6)</f>
        <v>0</v>
      </c>
      <c r="T11" s="64">
        <f>ROUNDUP((SUMIFS('OOH Activities'!$K:$K,'OOH Activities'!$F:$F,"Non_workdays",'OOH Activities'!$B:$B,CPY!B11)) *24,1)</f>
        <v>0</v>
      </c>
      <c r="U11" s="64">
        <f>ROUNDUP((SUMIFS('OOH Activities'!$K:$K,'OOH Activities'!$F:$F,"Workdays",'OOH Activities'!$B:$B,CPY!B11)) *24,1)</f>
        <v>0</v>
      </c>
      <c r="V11" s="63">
        <f>ROUNDUP((SUMIFS('OOH Activities'!$L:$L,'OOH Activities'!$B:$B,CPY!B11)),1)</f>
        <v>0</v>
      </c>
      <c r="X11" s="65">
        <f>ROUNDUP((SUMIFS('ON Call_Call Out Activities'!$L:$L,'ON Call_Call Out Activities'!$F:$F,"Workdays",'ON Call_Call Out Activities'!$B:$B,CPY!B11))*24,1)</f>
        <v>0</v>
      </c>
      <c r="Y11" s="64">
        <f>ROUNDUP((SUMIFS('ON Call_Call Out Activities'!$L:$L,'ON Call_Call Out Activities'!$F:$F,"Non_workdays",'ON Call_Call Out Activities'!$B:$B,CPY!B11)) *24,1)</f>
        <v>0</v>
      </c>
      <c r="Z11" s="63">
        <f>ROUNDUP((SUMIFS('ON Call_Call Out Activities'!$M:$M,'ON Call_Call Out Activities'!$F:$F,"Non_workdays",'ON Call_Call Out Activities'!$B:$B,CPY!B11)),1) + ROUNDUP((SUMIFS('ON Call_Call Out Activities'!$M:$M,'ON Call_Call Out Activities'!$F:$F,"Workdays",'ON Call_Call Out Activities'!$B:$B,CPY!B11)),1)</f>
        <v>0</v>
      </c>
      <c r="AA11" s="66"/>
      <c r="AB11" s="64">
        <f>ROUNDUP((SUMIFS('ON Call_Call Out Activities'!$L:$L,'ON Call_Call Out Activities'!$F:$F,"Call_Out",'ON Call_Call Out Activities'!$B:$B,CPY!B11)) *24,1)</f>
        <v>0</v>
      </c>
      <c r="AC11" s="63">
        <f>ROUNDUP((SUMIFS('ON Call_Call Out Activities'!$M:$M,'ON Call_Call Out Activities'!$F:$F,"Call_Out",'ON Call_Call Out Activities'!$B:$B,CPY!B11)),1)</f>
        <v>0</v>
      </c>
      <c r="AE11" s="65">
        <f>IF((SUMIF(Shift_allowance_Entries!$B:$B,CPY!$B11,Shift_allowance_Entries!$H:$H)) &gt; (SUMIF(Shift_allowance_Entries!$B:$B,CPY!$B11,Shift_allowance_Entries!$G:$G)),0,((SUMIF(Shift_allowance_Entries!$B:$B,CPY!$B11,Shift_allowance_Entries!$G:$G))-(SUMIF(Shift_allowance_Entries!$B:$B,CPY!$B11,Shift_allowance_Entries!$H:$H))))</f>
        <v>0</v>
      </c>
      <c r="AF11" s="63">
        <f>AE11*MD!$S$4</f>
        <v>0</v>
      </c>
    </row>
    <row r="12" spans="1:32" x14ac:dyDescent="0.25">
      <c r="A12" s="62">
        <v>10</v>
      </c>
      <c r="B12" s="62"/>
      <c r="C12" s="50" t="str">
        <f>IF(ISNA(VLOOKUP($B12,Summary!$B:$D,2,FALSE))=TRUE," ",VLOOKUP($B12,Summary!$B:$D,2,FALSE))</f>
        <v> </v>
      </c>
      <c r="D12" s="50" t="str">
        <f>IF(ISNA(VLOOKUP($B12,Summary!$B:$D,3,FALSE))=TRUE," ",VLOOKUP($B12,Summary!$B:$D,3,FALSE))</f>
        <v> </v>
      </c>
      <c r="E12" s="62"/>
      <c r="F12" s="62"/>
      <c r="G12" s="62"/>
      <c r="I12" s="63">
        <f t="shared" si="0"/>
        <v>0</v>
      </c>
      <c r="K12" s="64">
        <f>IF(E12="Support(L1_L2)",IF(NOT(ISBLANK(B12)),IF(NOT(ISBLANK(D12)),NETWORKDAYS('CPY TOC'!$F$5,'CPY TOC'!$G$5))))-L12</f>
        <v>0</v>
      </c>
      <c r="L12" s="64">
        <f>IF(E12="Support(L1_L2)",SUMIFS(Support_allowance_Entries!$G:$G,Support_allowance_Entries!$B:$B,CPY!B12),0)</f>
        <v>0</v>
      </c>
      <c r="M12" s="63" t="b">
        <f>IF($D12="D0",MD!$C$4*(K12),IF($D12="D1",MD!$C$5*(K12),IF($D12="D2",MD!$C$6*(K12),IF($D12="D3",MD!$C$7*(K12),IF($D12="D4",MD!$C$8*(K12),IF($D12="D5",MD!$C$9*(K12),IF($D12="M1",MD!$C$10*(K12),IF($D12="T1",MD!$C$11*(K12)))))))))</f>
        <v>0</v>
      </c>
      <c r="O12" s="65">
        <f>SUMIFS(Shift_allowance_Entries!$G:$G,Shift_allowance_Entries!$F:$F,"6:30AM-03:30PM",Shift_allowance_Entries!$B:$B,CPY!$B12)</f>
        <v>0</v>
      </c>
      <c r="P12" s="65">
        <f>SUMIFS(Shift_allowance_Entries!$G:$G,Shift_allowance_Entries!$F:$F,"1-9PM/2:30PM-11:30PM",Shift_allowance_Entries!$B:$B,CPY!$B12)</f>
        <v>0</v>
      </c>
      <c r="Q12" s="65">
        <f>SUMIFS(Shift_allowance_Entries!$G:$G,Shift_allowance_Entries!$F:$F,"11PM-7AM",Shift_allowance_Entries!$B:$B,CPY!$B12)</f>
        <v>0</v>
      </c>
      <c r="R12" s="63">
        <f>(CPY!O12*MD!$F$4)+(CPY!P12*MD!$F$5)+(CPY!Q12*MD!$F$6)</f>
        <v>0</v>
      </c>
      <c r="T12" s="64">
        <f>ROUNDUP((SUMIFS('OOH Activities'!$K:$K,'OOH Activities'!$F:$F,"Non_workdays",'OOH Activities'!$B:$B,CPY!B12)) *24,1)</f>
        <v>0</v>
      </c>
      <c r="U12" s="64">
        <f>ROUNDUP((SUMIFS('OOH Activities'!$K:$K,'OOH Activities'!$F:$F,"Workdays",'OOH Activities'!$B:$B,CPY!B12)) *24,1)</f>
        <v>0</v>
      </c>
      <c r="V12" s="63">
        <f>ROUNDUP((SUMIFS('OOH Activities'!$L:$L,'OOH Activities'!$B:$B,CPY!B12)),1)</f>
        <v>0</v>
      </c>
      <c r="X12" s="65">
        <f>ROUNDUP((SUMIFS('ON Call_Call Out Activities'!$L:$L,'ON Call_Call Out Activities'!$F:$F,"Workdays",'ON Call_Call Out Activities'!$B:$B,CPY!B12))*24,1)</f>
        <v>0</v>
      </c>
      <c r="Y12" s="64">
        <f>ROUNDUP((SUMIFS('ON Call_Call Out Activities'!$L:$L,'ON Call_Call Out Activities'!$F:$F,"Non_workdays",'ON Call_Call Out Activities'!$B:$B,CPY!B12)) *24,1)</f>
        <v>0</v>
      </c>
      <c r="Z12" s="63">
        <f>ROUNDUP((SUMIFS('ON Call_Call Out Activities'!$M:$M,'ON Call_Call Out Activities'!$F:$F,"Non_workdays",'ON Call_Call Out Activities'!$B:$B,CPY!B12)),1) + ROUNDUP((SUMIFS('ON Call_Call Out Activities'!$M:$M,'ON Call_Call Out Activities'!$F:$F,"Workdays",'ON Call_Call Out Activities'!$B:$B,CPY!B12)),1)</f>
        <v>0</v>
      </c>
      <c r="AA12" s="66"/>
      <c r="AB12" s="64">
        <f>ROUNDUP((SUMIFS('ON Call_Call Out Activities'!$L:$L,'ON Call_Call Out Activities'!$F:$F,"Call_Out",'ON Call_Call Out Activities'!$B:$B,CPY!B12)) *24,1)</f>
        <v>0</v>
      </c>
      <c r="AC12" s="63">
        <f>ROUNDUP((SUMIFS('ON Call_Call Out Activities'!$M:$M,'ON Call_Call Out Activities'!$F:$F,"Call_Out",'ON Call_Call Out Activities'!$B:$B,CPY!B12)),1)</f>
        <v>0</v>
      </c>
      <c r="AE12" s="65">
        <f>IF((SUMIF(Shift_allowance_Entries!$B:$B,CPY!$B12,Shift_allowance_Entries!$H:$H)) &gt; (SUMIF(Shift_allowance_Entries!$B:$B,CPY!$B12,Shift_allowance_Entries!$G:$G)),0,((SUMIF(Shift_allowance_Entries!$B:$B,CPY!$B12,Shift_allowance_Entries!$G:$G))-(SUMIF(Shift_allowance_Entries!$B:$B,CPY!$B12,Shift_allowance_Entries!$H:$H))))</f>
        <v>0</v>
      </c>
      <c r="AF12" s="63">
        <f>AE12*MD!$S$4</f>
        <v>0</v>
      </c>
    </row>
    <row r="13" spans="1:32" x14ac:dyDescent="0.25">
      <c r="A13" s="62">
        <v>11</v>
      </c>
      <c r="B13" s="62"/>
      <c r="C13" s="50" t="str">
        <f>IF(ISNA(VLOOKUP($B13,Summary!$B:$D,2,FALSE))=TRUE," ",VLOOKUP($B13,Summary!$B:$D,2,FALSE))</f>
        <v> </v>
      </c>
      <c r="D13" s="50" t="str">
        <f>IF(ISNA(VLOOKUP($B13,Summary!$B:$D,3,FALSE))=TRUE," ",VLOOKUP($B13,Summary!$B:$D,3,FALSE))</f>
        <v> </v>
      </c>
      <c r="E13" s="62"/>
      <c r="F13" s="62"/>
      <c r="G13" s="62"/>
      <c r="I13" s="63">
        <f t="shared" si="0"/>
        <v>0</v>
      </c>
      <c r="K13" s="64">
        <f>IF(E13="Support(L1_L2)",IF(NOT(ISBLANK(B13)),IF(NOT(ISBLANK(D13)),NETWORKDAYS('CPY TOC'!$F$5,'CPY TOC'!$G$5))))-L13</f>
        <v>0</v>
      </c>
      <c r="L13" s="64">
        <f>IF(E13="Support(L1_L2)",SUMIFS(Support_allowance_Entries!$G:$G,Support_allowance_Entries!$B:$B,CPY!B13),0)</f>
        <v>0</v>
      </c>
      <c r="M13" s="63" t="b">
        <f>IF($D13="D0",MD!$C$4*(K13),IF($D13="D1",MD!$C$5*(K13),IF($D13="D2",MD!$C$6*(K13),IF($D13="D3",MD!$C$7*(K13),IF($D13="D4",MD!$C$8*(K13),IF($D13="D5",MD!$C$9*(K13),IF($D13="M1",MD!$C$10*(K13),IF($D13="T1",MD!$C$11*(K13)))))))))</f>
        <v>0</v>
      </c>
      <c r="O13" s="65">
        <f>SUMIFS(Shift_allowance_Entries!$G:$G,Shift_allowance_Entries!$F:$F,"6:30AM-03:30PM",Shift_allowance_Entries!$B:$B,CPY!$B13)</f>
        <v>0</v>
      </c>
      <c r="P13" s="65">
        <f>SUMIFS(Shift_allowance_Entries!$G:$G,Shift_allowance_Entries!$F:$F,"1-9PM/2:30PM-11:30PM",Shift_allowance_Entries!$B:$B,CPY!$B13)</f>
        <v>0</v>
      </c>
      <c r="Q13" s="65">
        <f>SUMIFS(Shift_allowance_Entries!$G:$G,Shift_allowance_Entries!$F:$F,"11PM-7AM",Shift_allowance_Entries!$B:$B,CPY!$B13)</f>
        <v>0</v>
      </c>
      <c r="R13" s="63">
        <f>(CPY!O13*MD!$F$4)+(CPY!P13*MD!$F$5)+(CPY!Q13*MD!$F$6)</f>
        <v>0</v>
      </c>
      <c r="T13" s="64">
        <f>ROUNDUP((SUMIFS('OOH Activities'!$K:$K,'OOH Activities'!$F:$F,"Non_workdays",'OOH Activities'!$B:$B,CPY!B13)) *24,1)</f>
        <v>0</v>
      </c>
      <c r="U13" s="64">
        <f>ROUNDUP((SUMIFS('OOH Activities'!$K:$K,'OOH Activities'!$F:$F,"Workdays",'OOH Activities'!$B:$B,CPY!B13)) *24,1)</f>
        <v>0</v>
      </c>
      <c r="V13" s="63">
        <f>ROUNDUP((SUMIFS('OOH Activities'!$L:$L,'OOH Activities'!$B:$B,CPY!B13)),1)</f>
        <v>0</v>
      </c>
      <c r="X13" s="65">
        <f>ROUNDUP((SUMIFS('ON Call_Call Out Activities'!$L:$L,'ON Call_Call Out Activities'!$F:$F,"Workdays",'ON Call_Call Out Activities'!$B:$B,CPY!B13))*24,1)</f>
        <v>0</v>
      </c>
      <c r="Y13" s="64">
        <f>ROUNDUP((SUMIFS('ON Call_Call Out Activities'!$L:$L,'ON Call_Call Out Activities'!$F:$F,"Non_workdays",'ON Call_Call Out Activities'!$B:$B,CPY!B13)) *24,1)</f>
        <v>0</v>
      </c>
      <c r="Z13" s="63">
        <f>ROUNDUP((SUMIFS('ON Call_Call Out Activities'!$M:$M,'ON Call_Call Out Activities'!$F:$F,"Non_workdays",'ON Call_Call Out Activities'!$B:$B,CPY!B13)),1) + ROUNDUP((SUMIFS('ON Call_Call Out Activities'!$M:$M,'ON Call_Call Out Activities'!$F:$F,"Workdays",'ON Call_Call Out Activities'!$B:$B,CPY!B13)),1)</f>
        <v>0</v>
      </c>
      <c r="AA13" s="66"/>
      <c r="AB13" s="64">
        <f>ROUNDUP((SUMIFS('ON Call_Call Out Activities'!$L:$L,'ON Call_Call Out Activities'!$F:$F,"Call_Out",'ON Call_Call Out Activities'!$B:$B,CPY!B13)) *24,1)</f>
        <v>0</v>
      </c>
      <c r="AC13" s="63">
        <f>ROUNDUP((SUMIFS('ON Call_Call Out Activities'!$M:$M,'ON Call_Call Out Activities'!$F:$F,"Call_Out",'ON Call_Call Out Activities'!$B:$B,CPY!B13)),1)</f>
        <v>0</v>
      </c>
      <c r="AE13" s="65">
        <f>IF((SUMIF(Shift_allowance_Entries!$B:$B,CPY!$B13,Shift_allowance_Entries!$H:$H)) &gt; (SUMIF(Shift_allowance_Entries!$B:$B,CPY!$B13,Shift_allowance_Entries!$G:$G)),0,((SUMIF(Shift_allowance_Entries!$B:$B,CPY!$B13,Shift_allowance_Entries!$G:$G))-(SUMIF(Shift_allowance_Entries!$B:$B,CPY!$B13,Shift_allowance_Entries!$H:$H))))</f>
        <v>0</v>
      </c>
      <c r="AF13" s="63">
        <f>AE13*MD!$S$4</f>
        <v>0</v>
      </c>
    </row>
    <row r="14" spans="1:32" x14ac:dyDescent="0.25">
      <c r="A14" s="62">
        <v>12</v>
      </c>
      <c r="B14" s="62"/>
      <c r="C14" s="50" t="str">
        <f>IF(ISNA(VLOOKUP($B14,Summary!$B:$D,2,FALSE))=TRUE," ",VLOOKUP($B14,Summary!$B:$D,2,FALSE))</f>
        <v> </v>
      </c>
      <c r="D14" s="50" t="str">
        <f>IF(ISNA(VLOOKUP($B14,Summary!$B:$D,3,FALSE))=TRUE," ",VLOOKUP($B14,Summary!$B:$D,3,FALSE))</f>
        <v> </v>
      </c>
      <c r="E14" s="62"/>
      <c r="F14" s="62"/>
      <c r="G14" s="62"/>
      <c r="I14" s="63">
        <f t="shared" si="0"/>
        <v>0</v>
      </c>
      <c r="K14" s="64">
        <f>IF(E14="Support(L1_L2)",IF(NOT(ISBLANK(B14)),IF(NOT(ISBLANK(D14)),NETWORKDAYS('CPY TOC'!$F$5,'CPY TOC'!$G$5))))-L14</f>
        <v>0</v>
      </c>
      <c r="L14" s="64">
        <f>IF(E14="Support(L1_L2)",SUMIFS(Support_allowance_Entries!$G:$G,Support_allowance_Entries!$B:$B,CPY!B14),0)</f>
        <v>0</v>
      </c>
      <c r="M14" s="63" t="b">
        <f>IF($D14="D0",MD!$C$4*(K14),IF($D14="D1",MD!$C$5*(K14),IF($D14="D2",MD!$C$6*(K14),IF($D14="D3",MD!$C$7*(K14),IF($D14="D4",MD!$C$8*(K14),IF($D14="D5",MD!$C$9*(K14),IF($D14="M1",MD!$C$10*(K14),IF($D14="T1",MD!$C$11*(K14)))))))))</f>
        <v>0</v>
      </c>
      <c r="O14" s="65">
        <f>SUMIFS(Shift_allowance_Entries!$G:$G,Shift_allowance_Entries!$F:$F,"6:30AM-03:30PM",Shift_allowance_Entries!$B:$B,CPY!$B14)</f>
        <v>0</v>
      </c>
      <c r="P14" s="65">
        <f>SUMIFS(Shift_allowance_Entries!$G:$G,Shift_allowance_Entries!$F:$F,"1-9PM/2:30PM-11:30PM",Shift_allowance_Entries!$B:$B,CPY!$B14)</f>
        <v>0</v>
      </c>
      <c r="Q14" s="65">
        <f>SUMIFS(Shift_allowance_Entries!$G:$G,Shift_allowance_Entries!$F:$F,"11PM-7AM",Shift_allowance_Entries!$B:$B,CPY!$B14)</f>
        <v>0</v>
      </c>
      <c r="R14" s="63">
        <f>(CPY!O14*MD!$F$4)+(CPY!P14*MD!$F$5)+(CPY!Q14*MD!$F$6)</f>
        <v>0</v>
      </c>
      <c r="T14" s="64">
        <f>ROUNDUP((SUMIFS('OOH Activities'!$K:$K,'OOH Activities'!$F:$F,"Non_workdays",'OOH Activities'!$B:$B,CPY!B14)) *24,1)</f>
        <v>0</v>
      </c>
      <c r="U14" s="64">
        <f>ROUNDUP((SUMIFS('OOH Activities'!$K:$K,'OOH Activities'!$F:$F,"Workdays",'OOH Activities'!$B:$B,CPY!B14)) *24,1)</f>
        <v>0</v>
      </c>
      <c r="V14" s="63">
        <f>ROUNDUP((SUMIFS('OOH Activities'!$L:$L,'OOH Activities'!$B:$B,CPY!B14)),1)</f>
        <v>0</v>
      </c>
      <c r="X14" s="65">
        <f>ROUNDUP((SUMIFS('ON Call_Call Out Activities'!$L:$L,'ON Call_Call Out Activities'!$F:$F,"Workdays",'ON Call_Call Out Activities'!$B:$B,CPY!B14))*24,1)</f>
        <v>0</v>
      </c>
      <c r="Y14" s="64">
        <f>ROUNDUP((SUMIFS('ON Call_Call Out Activities'!$L:$L,'ON Call_Call Out Activities'!$F:$F,"Non_workdays",'ON Call_Call Out Activities'!$B:$B,CPY!B14)) *24,1)</f>
        <v>0</v>
      </c>
      <c r="Z14" s="63">
        <f>ROUNDUP((SUMIFS('ON Call_Call Out Activities'!$M:$M,'ON Call_Call Out Activities'!$F:$F,"Non_workdays",'ON Call_Call Out Activities'!$B:$B,CPY!B14)),1) + ROUNDUP((SUMIFS('ON Call_Call Out Activities'!$M:$M,'ON Call_Call Out Activities'!$F:$F,"Workdays",'ON Call_Call Out Activities'!$B:$B,CPY!B14)),1)</f>
        <v>0</v>
      </c>
      <c r="AA14" s="66"/>
      <c r="AB14" s="64">
        <f>ROUNDUP((SUMIFS('ON Call_Call Out Activities'!$L:$L,'ON Call_Call Out Activities'!$F:$F,"Call_Out",'ON Call_Call Out Activities'!$B:$B,CPY!B14)) *24,1)</f>
        <v>0</v>
      </c>
      <c r="AC14" s="63">
        <f>ROUNDUP((SUMIFS('ON Call_Call Out Activities'!$M:$M,'ON Call_Call Out Activities'!$F:$F,"Call_Out",'ON Call_Call Out Activities'!$B:$B,CPY!B14)),1)</f>
        <v>0</v>
      </c>
      <c r="AE14" s="65">
        <f>IF((SUMIF(Shift_allowance_Entries!$B:$B,CPY!$B14,Shift_allowance_Entries!$H:$H)) &gt; (SUMIF(Shift_allowance_Entries!$B:$B,CPY!$B14,Shift_allowance_Entries!$G:$G)),0,((SUMIF(Shift_allowance_Entries!$B:$B,CPY!$B14,Shift_allowance_Entries!$G:$G))-(SUMIF(Shift_allowance_Entries!$B:$B,CPY!$B14,Shift_allowance_Entries!$H:$H))))</f>
        <v>0</v>
      </c>
      <c r="AF14" s="63">
        <f>AE14*MD!$S$4</f>
        <v>0</v>
      </c>
    </row>
    <row r="15" spans="1:32" x14ac:dyDescent="0.25">
      <c r="A15" s="62">
        <v>13</v>
      </c>
      <c r="B15" s="62"/>
      <c r="C15" s="50" t="str">
        <f>IF(ISNA(VLOOKUP($B15,Summary!$B:$D,2,FALSE))=TRUE," ",VLOOKUP($B15,Summary!$B:$D,2,FALSE))</f>
        <v> </v>
      </c>
      <c r="D15" s="50" t="str">
        <f>IF(ISNA(VLOOKUP($B15,Summary!$B:$D,3,FALSE))=TRUE," ",VLOOKUP($B15,Summary!$B:$D,3,FALSE))</f>
        <v> </v>
      </c>
      <c r="E15" s="62"/>
      <c r="F15" s="62"/>
      <c r="G15" s="62"/>
      <c r="I15" s="63">
        <f t="shared" si="0"/>
        <v>0</v>
      </c>
      <c r="K15" s="64">
        <f>IF(E15="Support(L1_L2)",IF(NOT(ISBLANK(B15)),IF(NOT(ISBLANK(D15)),NETWORKDAYS('CPY TOC'!$F$5,'CPY TOC'!$G$5))))-L15</f>
        <v>0</v>
      </c>
      <c r="L15" s="64">
        <f>IF(E15="Support(L1_L2)",SUMIFS(Support_allowance_Entries!$G:$G,Support_allowance_Entries!$B:$B,CPY!B15),0)</f>
        <v>0</v>
      </c>
      <c r="M15" s="63" t="b">
        <f>IF($D15="D0",MD!$C$4*(K15),IF($D15="D1",MD!$C$5*(K15),IF($D15="D2",MD!$C$6*(K15),IF($D15="D3",MD!$C$7*(K15),IF($D15="D4",MD!$C$8*(K15),IF($D15="D5",MD!$C$9*(K15),IF($D15="M1",MD!$C$10*(K15),IF($D15="T1",MD!$C$11*(K15)))))))))</f>
        <v>0</v>
      </c>
      <c r="O15" s="65">
        <f>SUMIFS(Shift_allowance_Entries!$G:$G,Shift_allowance_Entries!$F:$F,"6:30AM-03:30PM",Shift_allowance_Entries!$B:$B,CPY!$B15)</f>
        <v>0</v>
      </c>
      <c r="P15" s="65">
        <f>SUMIFS(Shift_allowance_Entries!$G:$G,Shift_allowance_Entries!$F:$F,"1-9PM/2:30PM-11:30PM",Shift_allowance_Entries!$B:$B,CPY!$B15)</f>
        <v>0</v>
      </c>
      <c r="Q15" s="65">
        <f>SUMIFS(Shift_allowance_Entries!$G:$G,Shift_allowance_Entries!$F:$F,"11PM-7AM",Shift_allowance_Entries!$B:$B,CPY!$B15)</f>
        <v>0</v>
      </c>
      <c r="R15" s="63">
        <f>(CPY!O15*MD!$F$4)+(CPY!P15*MD!$F$5)+(CPY!Q15*MD!$F$6)</f>
        <v>0</v>
      </c>
      <c r="T15" s="64">
        <f>ROUNDUP((SUMIFS('OOH Activities'!$K:$K,'OOH Activities'!$F:$F,"Non_workdays",'OOH Activities'!$B:$B,CPY!B15)) *24,1)</f>
        <v>0</v>
      </c>
      <c r="U15" s="64">
        <f>ROUNDUP((SUMIFS('OOH Activities'!$K:$K,'OOH Activities'!$F:$F,"Workdays",'OOH Activities'!$B:$B,CPY!B15)) *24,1)</f>
        <v>0</v>
      </c>
      <c r="V15" s="63">
        <f>ROUNDUP((SUMIFS('OOH Activities'!$L:$L,'OOH Activities'!$B:$B,CPY!B15)),1)</f>
        <v>0</v>
      </c>
      <c r="X15" s="65">
        <f>ROUNDUP((SUMIFS('ON Call_Call Out Activities'!$L:$L,'ON Call_Call Out Activities'!$F:$F,"Workdays",'ON Call_Call Out Activities'!$B:$B,CPY!B15))*24,1)</f>
        <v>0</v>
      </c>
      <c r="Y15" s="64">
        <f>ROUNDUP((SUMIFS('ON Call_Call Out Activities'!$L:$L,'ON Call_Call Out Activities'!$F:$F,"Non_workdays",'ON Call_Call Out Activities'!$B:$B,CPY!B15)) *24,1)</f>
        <v>0</v>
      </c>
      <c r="Z15" s="63">
        <f>ROUNDUP((SUMIFS('ON Call_Call Out Activities'!$M:$M,'ON Call_Call Out Activities'!$F:$F,"Non_workdays",'ON Call_Call Out Activities'!$B:$B,CPY!B15)),1) + ROUNDUP((SUMIFS('ON Call_Call Out Activities'!$M:$M,'ON Call_Call Out Activities'!$F:$F,"Workdays",'ON Call_Call Out Activities'!$B:$B,CPY!B15)),1)</f>
        <v>0</v>
      </c>
      <c r="AA15" s="66"/>
      <c r="AB15" s="64">
        <f>ROUNDUP((SUMIFS('ON Call_Call Out Activities'!$L:$L,'ON Call_Call Out Activities'!$F:$F,"Call_Out",'ON Call_Call Out Activities'!$B:$B,CPY!B15)) *24,1)</f>
        <v>0</v>
      </c>
      <c r="AC15" s="63">
        <f>ROUNDUP((SUMIFS('ON Call_Call Out Activities'!$M:$M,'ON Call_Call Out Activities'!$F:$F,"Call_Out",'ON Call_Call Out Activities'!$B:$B,CPY!B15)),1)</f>
        <v>0</v>
      </c>
      <c r="AE15" s="65">
        <f>IF((SUMIF(Shift_allowance_Entries!$B:$B,CPY!$B15,Shift_allowance_Entries!$H:$H)) &gt; (SUMIF(Shift_allowance_Entries!$B:$B,CPY!$B15,Shift_allowance_Entries!$G:$G)),0,((SUMIF(Shift_allowance_Entries!$B:$B,CPY!$B15,Shift_allowance_Entries!$G:$G))-(SUMIF(Shift_allowance_Entries!$B:$B,CPY!$B15,Shift_allowance_Entries!$H:$H))))</f>
        <v>0</v>
      </c>
      <c r="AF15" s="63">
        <f>AE15*MD!$S$4</f>
        <v>0</v>
      </c>
    </row>
    <row r="16" spans="1:32" x14ac:dyDescent="0.25">
      <c r="A16" s="62">
        <v>14</v>
      </c>
      <c r="B16" s="62"/>
      <c r="C16" s="50" t="str">
        <f>IF(ISNA(VLOOKUP($B16,Summary!$B:$D,2,FALSE))=TRUE," ",VLOOKUP($B16,Summary!$B:$D,2,FALSE))</f>
        <v> </v>
      </c>
      <c r="D16" s="50" t="str">
        <f>IF(ISNA(VLOOKUP($B16,Summary!$B:$D,3,FALSE))=TRUE," ",VLOOKUP($B16,Summary!$B:$D,3,FALSE))</f>
        <v> </v>
      </c>
      <c r="E16" s="62"/>
      <c r="F16" s="62"/>
      <c r="G16" s="62"/>
      <c r="I16" s="63">
        <f t="shared" si="0"/>
        <v>0</v>
      </c>
      <c r="K16" s="64">
        <f>IF(E16="Support(L1_L2)",IF(NOT(ISBLANK(B16)),IF(NOT(ISBLANK(D16)),NETWORKDAYS('CPY TOC'!$F$5,'CPY TOC'!$G$5))))-L16</f>
        <v>0</v>
      </c>
      <c r="L16" s="64">
        <f>IF(E16="Support(L1_L2)",SUMIFS(Support_allowance_Entries!$G:$G,Support_allowance_Entries!$B:$B,CPY!B16),0)</f>
        <v>0</v>
      </c>
      <c r="M16" s="63" t="b">
        <f>IF($D16="D0",MD!$C$4*(K16),IF($D16="D1",MD!$C$5*(K16),IF($D16="D2",MD!$C$6*(K16),IF($D16="D3",MD!$C$7*(K16),IF($D16="D4",MD!$C$8*(K16),IF($D16="D5",MD!$C$9*(K16),IF($D16="M1",MD!$C$10*(K16),IF($D16="T1",MD!$C$11*(K16)))))))))</f>
        <v>0</v>
      </c>
      <c r="O16" s="65">
        <f>SUMIFS(Shift_allowance_Entries!$G:$G,Shift_allowance_Entries!$F:$F,"6:30AM-03:30PM",Shift_allowance_Entries!$B:$B,CPY!$B16)</f>
        <v>0</v>
      </c>
      <c r="P16" s="65">
        <f>SUMIFS(Shift_allowance_Entries!$G:$G,Shift_allowance_Entries!$F:$F,"1-9PM/2:30PM-11:30PM",Shift_allowance_Entries!$B:$B,CPY!$B16)</f>
        <v>0</v>
      </c>
      <c r="Q16" s="65">
        <f>SUMIFS(Shift_allowance_Entries!$G:$G,Shift_allowance_Entries!$F:$F,"11PM-7AM",Shift_allowance_Entries!$B:$B,CPY!$B16)</f>
        <v>0</v>
      </c>
      <c r="R16" s="63">
        <f>(CPY!O16*MD!$F$4)+(CPY!P16*MD!$F$5)+(CPY!Q16*MD!$F$6)</f>
        <v>0</v>
      </c>
      <c r="T16" s="64">
        <f>ROUNDUP((SUMIFS('OOH Activities'!$K:$K,'OOH Activities'!$F:$F,"Non_workdays",'OOH Activities'!$B:$B,CPY!B16)) *24,1)</f>
        <v>0</v>
      </c>
      <c r="U16" s="64">
        <f>ROUNDUP((SUMIFS('OOH Activities'!$K:$K,'OOH Activities'!$F:$F,"Workdays",'OOH Activities'!$B:$B,CPY!B16)) *24,1)</f>
        <v>0</v>
      </c>
      <c r="V16" s="63">
        <f>ROUNDUP((SUMIFS('OOH Activities'!$L:$L,'OOH Activities'!$B:$B,CPY!B16)),1)</f>
        <v>0</v>
      </c>
      <c r="X16" s="65">
        <f>ROUNDUP((SUMIFS('ON Call_Call Out Activities'!$L:$L,'ON Call_Call Out Activities'!$F:$F,"Workdays",'ON Call_Call Out Activities'!$B:$B,CPY!B16))*24,1)</f>
        <v>0</v>
      </c>
      <c r="Y16" s="64">
        <f>ROUNDUP((SUMIFS('ON Call_Call Out Activities'!$L:$L,'ON Call_Call Out Activities'!$F:$F,"Non_workdays",'ON Call_Call Out Activities'!$B:$B,CPY!B16)) *24,1)</f>
        <v>0</v>
      </c>
      <c r="Z16" s="63">
        <f>ROUNDUP((SUMIFS('ON Call_Call Out Activities'!$M:$M,'ON Call_Call Out Activities'!$F:$F,"Non_workdays",'ON Call_Call Out Activities'!$B:$B,CPY!B16)),1) + ROUNDUP((SUMIFS('ON Call_Call Out Activities'!$M:$M,'ON Call_Call Out Activities'!$F:$F,"Workdays",'ON Call_Call Out Activities'!$B:$B,CPY!B16)),1)</f>
        <v>0</v>
      </c>
      <c r="AA16" s="66"/>
      <c r="AB16" s="64">
        <f>ROUNDUP((SUMIFS('ON Call_Call Out Activities'!$L:$L,'ON Call_Call Out Activities'!$F:$F,"Call_Out",'ON Call_Call Out Activities'!$B:$B,CPY!B16)) *24,1)</f>
        <v>0</v>
      </c>
      <c r="AC16" s="63">
        <f>ROUNDUP((SUMIFS('ON Call_Call Out Activities'!$M:$M,'ON Call_Call Out Activities'!$F:$F,"Call_Out",'ON Call_Call Out Activities'!$B:$B,CPY!B16)),1)</f>
        <v>0</v>
      </c>
      <c r="AE16" s="65">
        <f>IF((SUMIF(Shift_allowance_Entries!$B:$B,CPY!$B16,Shift_allowance_Entries!$H:$H)) &gt; (SUMIF(Shift_allowance_Entries!$B:$B,CPY!$B16,Shift_allowance_Entries!$G:$G)),0,((SUMIF(Shift_allowance_Entries!$B:$B,CPY!$B16,Shift_allowance_Entries!$G:$G))-(SUMIF(Shift_allowance_Entries!$B:$B,CPY!$B16,Shift_allowance_Entries!$H:$H))))</f>
        <v>0</v>
      </c>
      <c r="AF16" s="63">
        <f>AE16*MD!$S$4</f>
        <v>0</v>
      </c>
    </row>
    <row r="17" spans="1:32" x14ac:dyDescent="0.25">
      <c r="A17" s="62">
        <v>15</v>
      </c>
      <c r="B17" s="62"/>
      <c r="C17" s="50" t="str">
        <f>IF(ISNA(VLOOKUP($B17,Summary!$B:$D,2,FALSE))=TRUE," ",VLOOKUP($B17,Summary!$B:$D,2,FALSE))</f>
        <v> </v>
      </c>
      <c r="D17" s="50" t="str">
        <f>IF(ISNA(VLOOKUP($B17,Summary!$B:$D,3,FALSE))=TRUE," ",VLOOKUP($B17,Summary!$B:$D,3,FALSE))</f>
        <v> </v>
      </c>
      <c r="E17" s="62"/>
      <c r="F17" s="62"/>
      <c r="G17" s="62"/>
      <c r="I17" s="63">
        <f t="shared" si="0"/>
        <v>0</v>
      </c>
      <c r="K17" s="64">
        <f>IF(E17="Support(L1_L2)",IF(NOT(ISBLANK(B17)),IF(NOT(ISBLANK(D17)),NETWORKDAYS('CPY TOC'!$F$5,'CPY TOC'!$G$5))))-L17</f>
        <v>0</v>
      </c>
      <c r="L17" s="64">
        <f>IF(E17="Support(L1_L2)",SUMIFS(Support_allowance_Entries!$G:$G,Support_allowance_Entries!$B:$B,CPY!B17),0)</f>
        <v>0</v>
      </c>
      <c r="M17" s="63" t="b">
        <f>IF($D17="D0",MD!$C$4*(K17),IF($D17="D1",MD!$C$5*(K17),IF($D17="D2",MD!$C$6*(K17),IF($D17="D3",MD!$C$7*(K17),IF($D17="D4",MD!$C$8*(K17),IF($D17="D5",MD!$C$9*(K17),IF($D17="M1",MD!$C$10*(K17),IF($D17="T1",MD!$C$11*(K17)))))))))</f>
        <v>0</v>
      </c>
      <c r="O17" s="65">
        <f>SUMIFS(Shift_allowance_Entries!$G:$G,Shift_allowance_Entries!$F:$F,"6:30AM-03:30PM",Shift_allowance_Entries!$B:$B,CPY!$B17)</f>
        <v>0</v>
      </c>
      <c r="P17" s="65">
        <f>SUMIFS(Shift_allowance_Entries!$G:$G,Shift_allowance_Entries!$F:$F,"1-9PM/2:30PM-11:30PM",Shift_allowance_Entries!$B:$B,CPY!$B17)</f>
        <v>0</v>
      </c>
      <c r="Q17" s="65">
        <f>SUMIFS(Shift_allowance_Entries!$G:$G,Shift_allowance_Entries!$F:$F,"11PM-7AM",Shift_allowance_Entries!$B:$B,CPY!$B17)</f>
        <v>0</v>
      </c>
      <c r="R17" s="63">
        <f>(CPY!O17*MD!$F$4)+(CPY!P17*MD!$F$5)+(CPY!Q17*MD!$F$6)</f>
        <v>0</v>
      </c>
      <c r="T17" s="64">
        <f>ROUNDUP((SUMIFS('OOH Activities'!$K:$K,'OOH Activities'!$F:$F,"Non_workdays",'OOH Activities'!$B:$B,CPY!B17)) *24,1)</f>
        <v>0</v>
      </c>
      <c r="U17" s="64">
        <f>ROUNDUP((SUMIFS('OOH Activities'!$K:$K,'OOH Activities'!$F:$F,"Workdays",'OOH Activities'!$B:$B,CPY!B17)) *24,1)</f>
        <v>0</v>
      </c>
      <c r="V17" s="63">
        <f>ROUNDUP((SUMIFS('OOH Activities'!$L:$L,'OOH Activities'!$B:$B,CPY!B17)),1)</f>
        <v>0</v>
      </c>
      <c r="X17" s="65">
        <f>ROUNDUP((SUMIFS('ON Call_Call Out Activities'!$L:$L,'ON Call_Call Out Activities'!$F:$F,"Workdays",'ON Call_Call Out Activities'!$B:$B,CPY!B17))*24,1)</f>
        <v>0</v>
      </c>
      <c r="Y17" s="64">
        <f>ROUNDUP((SUMIFS('ON Call_Call Out Activities'!$L:$L,'ON Call_Call Out Activities'!$F:$F,"Non_workdays",'ON Call_Call Out Activities'!$B:$B,CPY!B17)) *24,1)</f>
        <v>0</v>
      </c>
      <c r="Z17" s="63">
        <f>ROUNDUP((SUMIFS('ON Call_Call Out Activities'!$M:$M,'ON Call_Call Out Activities'!$F:$F,"Non_workdays",'ON Call_Call Out Activities'!$B:$B,CPY!B17)),1) + ROUNDUP((SUMIFS('ON Call_Call Out Activities'!$M:$M,'ON Call_Call Out Activities'!$F:$F,"Workdays",'ON Call_Call Out Activities'!$B:$B,CPY!B17)),1)</f>
        <v>0</v>
      </c>
      <c r="AA17" s="66"/>
      <c r="AB17" s="64">
        <f>ROUNDUP((SUMIFS('ON Call_Call Out Activities'!$L:$L,'ON Call_Call Out Activities'!$F:$F,"Call_Out",'ON Call_Call Out Activities'!$B:$B,CPY!B17)) *24,1)</f>
        <v>0</v>
      </c>
      <c r="AC17" s="63">
        <f>ROUNDUP((SUMIFS('ON Call_Call Out Activities'!$M:$M,'ON Call_Call Out Activities'!$F:$F,"Call_Out",'ON Call_Call Out Activities'!$B:$B,CPY!B17)),1)</f>
        <v>0</v>
      </c>
      <c r="AE17" s="65">
        <f>IF((SUMIF(Shift_allowance_Entries!$B:$B,CPY!$B17,Shift_allowance_Entries!$H:$H)) &gt; (SUMIF(Shift_allowance_Entries!$B:$B,CPY!$B17,Shift_allowance_Entries!$G:$G)),0,((SUMIF(Shift_allowance_Entries!$B:$B,CPY!$B17,Shift_allowance_Entries!$G:$G))-(SUMIF(Shift_allowance_Entries!$B:$B,CPY!$B17,Shift_allowance_Entries!$H:$H))))</f>
        <v>0</v>
      </c>
      <c r="AF17" s="63">
        <f>AE17*MD!$S$4</f>
        <v>0</v>
      </c>
    </row>
    <row r="18" spans="1:32" x14ac:dyDescent="0.25">
      <c r="A18" s="62">
        <v>16</v>
      </c>
      <c r="B18" s="62"/>
      <c r="C18" s="50" t="str">
        <f>IF(ISNA(VLOOKUP($B18,Summary!$B:$D,2,FALSE))=TRUE," ",VLOOKUP($B18,Summary!$B:$D,2,FALSE))</f>
        <v> </v>
      </c>
      <c r="D18" s="50" t="str">
        <f>IF(ISNA(VLOOKUP($B18,Summary!$B:$D,3,FALSE))=TRUE," ",VLOOKUP($B18,Summary!$B:$D,3,FALSE))</f>
        <v> </v>
      </c>
      <c r="E18" s="62"/>
      <c r="F18" s="62"/>
      <c r="G18" s="62"/>
      <c r="I18" s="63">
        <f t="shared" si="0"/>
        <v>0</v>
      </c>
      <c r="K18" s="64">
        <f>IF(E18="Support(L1_L2)",IF(NOT(ISBLANK(B18)),IF(NOT(ISBLANK(D18)),NETWORKDAYS('CPY TOC'!$F$5,'CPY TOC'!$G$5))))-L18</f>
        <v>0</v>
      </c>
      <c r="L18" s="64">
        <f>IF(E18="Support(L1_L2)",SUMIFS(Support_allowance_Entries!$G:$G,Support_allowance_Entries!$B:$B,CPY!B18),0)</f>
        <v>0</v>
      </c>
      <c r="M18" s="63" t="b">
        <f>IF($D18="D0",MD!$C$4*(K18),IF($D18="D1",MD!$C$5*(K18),IF($D18="D2",MD!$C$6*(K18),IF($D18="D3",MD!$C$7*(K18),IF($D18="D4",MD!$C$8*(K18),IF($D18="D5",MD!$C$9*(K18),IF($D18="M1",MD!$C$10*(K18),IF($D18="T1",MD!$C$11*(K18)))))))))</f>
        <v>0</v>
      </c>
      <c r="O18" s="65">
        <f>SUMIFS(Shift_allowance_Entries!$G:$G,Shift_allowance_Entries!$F:$F,"6:30AM-03:30PM",Shift_allowance_Entries!$B:$B,CPY!$B18)</f>
        <v>0</v>
      </c>
      <c r="P18" s="65">
        <f>SUMIFS(Shift_allowance_Entries!$G:$G,Shift_allowance_Entries!$F:$F,"1-9PM/2:30PM-11:30PM",Shift_allowance_Entries!$B:$B,CPY!$B18)</f>
        <v>0</v>
      </c>
      <c r="Q18" s="65">
        <f>SUMIFS(Shift_allowance_Entries!$G:$G,Shift_allowance_Entries!$F:$F,"11PM-7AM",Shift_allowance_Entries!$B:$B,CPY!$B18)</f>
        <v>0</v>
      </c>
      <c r="R18" s="63">
        <f>(CPY!O18*MD!$F$4)+(CPY!P18*MD!$F$5)+(CPY!Q18*MD!$F$6)</f>
        <v>0</v>
      </c>
      <c r="T18" s="64">
        <f>ROUNDUP((SUMIFS('OOH Activities'!$K:$K,'OOH Activities'!$F:$F,"Non_workdays",'OOH Activities'!$B:$B,CPY!B18)) *24,1)</f>
        <v>0</v>
      </c>
      <c r="U18" s="64">
        <f>ROUNDUP((SUMIFS('OOH Activities'!$K:$K,'OOH Activities'!$F:$F,"Workdays",'OOH Activities'!$B:$B,CPY!B18)) *24,1)</f>
        <v>0</v>
      </c>
      <c r="V18" s="63">
        <f>ROUNDUP((SUMIFS('OOH Activities'!$L:$L,'OOH Activities'!$B:$B,CPY!B18)),1)</f>
        <v>0</v>
      </c>
      <c r="X18" s="65">
        <f>ROUNDUP((SUMIFS('ON Call_Call Out Activities'!$L:$L,'ON Call_Call Out Activities'!$F:$F,"Workdays",'ON Call_Call Out Activities'!$B:$B,CPY!B18))*24,1)</f>
        <v>0</v>
      </c>
      <c r="Y18" s="64">
        <f>ROUNDUP((SUMIFS('ON Call_Call Out Activities'!$L:$L,'ON Call_Call Out Activities'!$F:$F,"Non_workdays",'ON Call_Call Out Activities'!$B:$B,CPY!B18)) *24,1)</f>
        <v>0</v>
      </c>
      <c r="Z18" s="63">
        <f>ROUNDUP((SUMIFS('ON Call_Call Out Activities'!$M:$M,'ON Call_Call Out Activities'!$F:$F,"Non_workdays",'ON Call_Call Out Activities'!$B:$B,CPY!B18)),1) + ROUNDUP((SUMIFS('ON Call_Call Out Activities'!$M:$M,'ON Call_Call Out Activities'!$F:$F,"Workdays",'ON Call_Call Out Activities'!$B:$B,CPY!B18)),1)</f>
        <v>0</v>
      </c>
      <c r="AA18" s="66"/>
      <c r="AB18" s="64">
        <f>ROUNDUP((SUMIFS('ON Call_Call Out Activities'!$L:$L,'ON Call_Call Out Activities'!$F:$F,"Call_Out",'ON Call_Call Out Activities'!$B:$B,CPY!B18)) *24,1)</f>
        <v>0</v>
      </c>
      <c r="AC18" s="63">
        <f>ROUNDUP((SUMIFS('ON Call_Call Out Activities'!$M:$M,'ON Call_Call Out Activities'!$F:$F,"Call_Out",'ON Call_Call Out Activities'!$B:$B,CPY!B18)),1)</f>
        <v>0</v>
      </c>
      <c r="AE18" s="65">
        <f>IF((SUMIF(Shift_allowance_Entries!$B:$B,CPY!$B18,Shift_allowance_Entries!$H:$H)) &gt; (SUMIF(Shift_allowance_Entries!$B:$B,CPY!$B18,Shift_allowance_Entries!$G:$G)),0,((SUMIF(Shift_allowance_Entries!$B:$B,CPY!$B18,Shift_allowance_Entries!$G:$G))-(SUMIF(Shift_allowance_Entries!$B:$B,CPY!$B18,Shift_allowance_Entries!$H:$H))))</f>
        <v>0</v>
      </c>
      <c r="AF18" s="63">
        <f>AE18*MD!$S$4</f>
        <v>0</v>
      </c>
    </row>
    <row r="19" spans="1:32" x14ac:dyDescent="0.25">
      <c r="A19" s="62">
        <v>17</v>
      </c>
      <c r="B19" s="62"/>
      <c r="C19" s="50" t="str">
        <f>IF(ISNA(VLOOKUP($B19,Summary!$B:$D,2,FALSE))=TRUE," ",VLOOKUP($B19,Summary!$B:$D,2,FALSE))</f>
        <v> </v>
      </c>
      <c r="D19" s="50" t="str">
        <f>IF(ISNA(VLOOKUP($B19,Summary!$B:$D,3,FALSE))=TRUE," ",VLOOKUP($B19,Summary!$B:$D,3,FALSE))</f>
        <v> </v>
      </c>
      <c r="E19" s="62"/>
      <c r="F19" s="62"/>
      <c r="G19" s="62"/>
      <c r="I19" s="63">
        <f t="shared" si="0"/>
        <v>0</v>
      </c>
      <c r="K19" s="64">
        <f>IF(E19="Support(L1_L2)",IF(NOT(ISBLANK(B19)),IF(NOT(ISBLANK(D19)),NETWORKDAYS('CPY TOC'!$F$5,'CPY TOC'!$G$5))))-L19</f>
        <v>0</v>
      </c>
      <c r="L19" s="64">
        <f>IF(E19="Support(L1_L2)",SUMIFS(Support_allowance_Entries!$G:$G,Support_allowance_Entries!$B:$B,CPY!B19),0)</f>
        <v>0</v>
      </c>
      <c r="M19" s="63" t="b">
        <f>IF($D19="D0",MD!$C$4*(K19),IF($D19="D1",MD!$C$5*(K19),IF($D19="D2",MD!$C$6*(K19),IF($D19="D3",MD!$C$7*(K19),IF($D19="D4",MD!$C$8*(K19),IF($D19="D5",MD!$C$9*(K19),IF($D19="M1",MD!$C$10*(K19),IF($D19="T1",MD!$C$11*(K19)))))))))</f>
        <v>0</v>
      </c>
      <c r="O19" s="65">
        <f>SUMIFS(Shift_allowance_Entries!$G:$G,Shift_allowance_Entries!$F:$F,"6:30AM-03:30PM",Shift_allowance_Entries!$B:$B,CPY!$B19)</f>
        <v>0</v>
      </c>
      <c r="P19" s="65">
        <f>SUMIFS(Shift_allowance_Entries!$G:$G,Shift_allowance_Entries!$F:$F,"1-9PM/2:30PM-11:30PM",Shift_allowance_Entries!$B:$B,CPY!$B19)</f>
        <v>0</v>
      </c>
      <c r="Q19" s="65">
        <f>SUMIFS(Shift_allowance_Entries!$G:$G,Shift_allowance_Entries!$F:$F,"11PM-7AM",Shift_allowance_Entries!$B:$B,CPY!$B19)</f>
        <v>0</v>
      </c>
      <c r="R19" s="63">
        <f>(CPY!O19*MD!$F$4)+(CPY!P19*MD!$F$5)+(CPY!Q19*MD!$F$6)</f>
        <v>0</v>
      </c>
      <c r="T19" s="64">
        <f>ROUNDUP((SUMIFS('OOH Activities'!$K:$K,'OOH Activities'!$F:$F,"Non_workdays",'OOH Activities'!$B:$B,CPY!B19)) *24,1)</f>
        <v>0</v>
      </c>
      <c r="U19" s="64">
        <f>ROUNDUP((SUMIFS('OOH Activities'!$K:$K,'OOH Activities'!$F:$F,"Workdays",'OOH Activities'!$B:$B,CPY!B19)) *24,1)</f>
        <v>0</v>
      </c>
      <c r="V19" s="63">
        <f>ROUNDUP((SUMIFS('OOH Activities'!$L:$L,'OOH Activities'!$B:$B,CPY!B19)),1)</f>
        <v>0</v>
      </c>
      <c r="X19" s="65">
        <f>ROUNDUP((SUMIFS('ON Call_Call Out Activities'!$L:$L,'ON Call_Call Out Activities'!$F:$F,"Workdays",'ON Call_Call Out Activities'!$B:$B,CPY!B19))*24,1)</f>
        <v>0</v>
      </c>
      <c r="Y19" s="64">
        <f>ROUNDUP((SUMIFS('ON Call_Call Out Activities'!$L:$L,'ON Call_Call Out Activities'!$F:$F,"Non_workdays",'ON Call_Call Out Activities'!$B:$B,CPY!B19)) *24,1)</f>
        <v>0</v>
      </c>
      <c r="Z19" s="63">
        <f>ROUNDUP((SUMIFS('ON Call_Call Out Activities'!$M:$M,'ON Call_Call Out Activities'!$F:$F,"Non_workdays",'ON Call_Call Out Activities'!$B:$B,CPY!B19)),1) + ROUNDUP((SUMIFS('ON Call_Call Out Activities'!$M:$M,'ON Call_Call Out Activities'!$F:$F,"Workdays",'ON Call_Call Out Activities'!$B:$B,CPY!B19)),1)</f>
        <v>0</v>
      </c>
      <c r="AA19" s="66"/>
      <c r="AB19" s="64">
        <f>ROUNDUP((SUMIFS('ON Call_Call Out Activities'!$L:$L,'ON Call_Call Out Activities'!$F:$F,"Call_Out",'ON Call_Call Out Activities'!$B:$B,CPY!B19)) *24,1)</f>
        <v>0</v>
      </c>
      <c r="AC19" s="63">
        <f>ROUNDUP((SUMIFS('ON Call_Call Out Activities'!$M:$M,'ON Call_Call Out Activities'!$F:$F,"Call_Out",'ON Call_Call Out Activities'!$B:$B,CPY!B19)),1)</f>
        <v>0</v>
      </c>
      <c r="AE19" s="65">
        <f>IF((SUMIF(Shift_allowance_Entries!$B:$B,CPY!$B19,Shift_allowance_Entries!$H:$H)) &gt; (SUMIF(Shift_allowance_Entries!$B:$B,CPY!$B19,Shift_allowance_Entries!$G:$G)),0,((SUMIF(Shift_allowance_Entries!$B:$B,CPY!$B19,Shift_allowance_Entries!$G:$G))-(SUMIF(Shift_allowance_Entries!$B:$B,CPY!$B19,Shift_allowance_Entries!$H:$H))))</f>
        <v>0</v>
      </c>
      <c r="AF19" s="63">
        <f>AE19*MD!$S$4</f>
        <v>0</v>
      </c>
    </row>
    <row r="20" spans="1:32" x14ac:dyDescent="0.25">
      <c r="A20" s="62">
        <v>18</v>
      </c>
      <c r="B20" s="62"/>
      <c r="C20" s="50" t="str">
        <f>IF(ISNA(VLOOKUP($B20,Summary!$B:$D,2,FALSE))=TRUE," ",VLOOKUP($B20,Summary!$B:$D,2,FALSE))</f>
        <v> </v>
      </c>
      <c r="D20" s="50" t="str">
        <f>IF(ISNA(VLOOKUP($B20,Summary!$B:$D,3,FALSE))=TRUE," ",VLOOKUP($B20,Summary!$B:$D,3,FALSE))</f>
        <v> </v>
      </c>
      <c r="E20" s="62"/>
      <c r="F20" s="62"/>
      <c r="G20" s="62"/>
      <c r="I20" s="63">
        <f t="shared" si="0"/>
        <v>0</v>
      </c>
      <c r="K20" s="64">
        <f>IF(E20="Support(L1_L2)",IF(NOT(ISBLANK(B20)),IF(NOT(ISBLANK(D20)),NETWORKDAYS('CPY TOC'!$F$5,'CPY TOC'!$G$5))))-L20</f>
        <v>0</v>
      </c>
      <c r="L20" s="64">
        <f>IF(E20="Support(L1_L2)",SUMIFS(Support_allowance_Entries!$G:$G,Support_allowance_Entries!$B:$B,CPY!B20),0)</f>
        <v>0</v>
      </c>
      <c r="M20" s="63" t="b">
        <f>IF($D20="D0",MD!$C$4*(K20),IF($D20="D1",MD!$C$5*(K20),IF($D20="D2",MD!$C$6*(K20),IF($D20="D3",MD!$C$7*(K20),IF($D20="D4",MD!$C$8*(K20),IF($D20="D5",MD!$C$9*(K20),IF($D20="M1",MD!$C$10*(K20),IF($D20="T1",MD!$C$11*(K20)))))))))</f>
        <v>0</v>
      </c>
      <c r="O20" s="65">
        <f>SUMIFS(Shift_allowance_Entries!$G:$G,Shift_allowance_Entries!$F:$F,"6:30AM-03:30PM",Shift_allowance_Entries!$B:$B,CPY!$B20)</f>
        <v>0</v>
      </c>
      <c r="P20" s="65">
        <f>SUMIFS(Shift_allowance_Entries!$G:$G,Shift_allowance_Entries!$F:$F,"1-9PM/2:30PM-11:30PM",Shift_allowance_Entries!$B:$B,CPY!$B20)</f>
        <v>0</v>
      </c>
      <c r="Q20" s="65">
        <f>SUMIFS(Shift_allowance_Entries!$G:$G,Shift_allowance_Entries!$F:$F,"11PM-7AM",Shift_allowance_Entries!$B:$B,CPY!$B20)</f>
        <v>0</v>
      </c>
      <c r="R20" s="63">
        <f>(CPY!O20*MD!$F$4)+(CPY!P20*MD!$F$5)+(CPY!Q20*MD!$F$6)</f>
        <v>0</v>
      </c>
      <c r="T20" s="64">
        <f>ROUNDUP((SUMIFS('OOH Activities'!$K:$K,'OOH Activities'!$F:$F,"Non_workdays",'OOH Activities'!$B:$B,CPY!B20)) *24,1)</f>
        <v>0</v>
      </c>
      <c r="U20" s="64">
        <f>ROUNDUP((SUMIFS('OOH Activities'!$K:$K,'OOH Activities'!$F:$F,"Workdays",'OOH Activities'!$B:$B,CPY!B20)) *24,1)</f>
        <v>0</v>
      </c>
      <c r="V20" s="63">
        <f>ROUNDUP((SUMIFS('OOH Activities'!$L:$L,'OOH Activities'!$B:$B,CPY!B20)),1)</f>
        <v>0</v>
      </c>
      <c r="X20" s="65">
        <f>ROUNDUP((SUMIFS('ON Call_Call Out Activities'!$L:$L,'ON Call_Call Out Activities'!$F:$F,"Workdays",'ON Call_Call Out Activities'!$B:$B,CPY!B20))*24,1)</f>
        <v>0</v>
      </c>
      <c r="Y20" s="64">
        <f>ROUNDUP((SUMIFS('ON Call_Call Out Activities'!$L:$L,'ON Call_Call Out Activities'!$F:$F,"Non_workdays",'ON Call_Call Out Activities'!$B:$B,CPY!B20)) *24,1)</f>
        <v>0</v>
      </c>
      <c r="Z20" s="63">
        <f>ROUNDUP((SUMIFS('ON Call_Call Out Activities'!$M:$M,'ON Call_Call Out Activities'!$F:$F,"Non_workdays",'ON Call_Call Out Activities'!$B:$B,CPY!B20)),1) + ROUNDUP((SUMIFS('ON Call_Call Out Activities'!$M:$M,'ON Call_Call Out Activities'!$F:$F,"Workdays",'ON Call_Call Out Activities'!$B:$B,CPY!B20)),1)</f>
        <v>0</v>
      </c>
      <c r="AA20" s="66"/>
      <c r="AB20" s="64">
        <f>ROUNDUP((SUMIFS('ON Call_Call Out Activities'!$L:$L,'ON Call_Call Out Activities'!$F:$F,"Call_Out",'ON Call_Call Out Activities'!$B:$B,CPY!B20)) *24,1)</f>
        <v>0</v>
      </c>
      <c r="AC20" s="63">
        <f>ROUNDUP((SUMIFS('ON Call_Call Out Activities'!$M:$M,'ON Call_Call Out Activities'!$F:$F,"Call_Out",'ON Call_Call Out Activities'!$B:$B,CPY!B20)),1)</f>
        <v>0</v>
      </c>
      <c r="AE20" s="65">
        <f>IF((SUMIF(Shift_allowance_Entries!$B:$B,CPY!$B20,Shift_allowance_Entries!$H:$H)) &gt; (SUMIF(Shift_allowance_Entries!$B:$B,CPY!$B20,Shift_allowance_Entries!$G:$G)),0,((SUMIF(Shift_allowance_Entries!$B:$B,CPY!$B20,Shift_allowance_Entries!$G:$G))-(SUMIF(Shift_allowance_Entries!$B:$B,CPY!$B20,Shift_allowance_Entries!$H:$H))))</f>
        <v>0</v>
      </c>
      <c r="AF20" s="63">
        <f>AE20*MD!$S$4</f>
        <v>0</v>
      </c>
    </row>
    <row r="21" spans="1:32" x14ac:dyDescent="0.25">
      <c r="A21" s="62">
        <v>19</v>
      </c>
      <c r="B21" s="62"/>
      <c r="C21" s="50" t="str">
        <f>IF(ISNA(VLOOKUP($B21,Summary!$B:$D,2,FALSE))=TRUE," ",VLOOKUP($B21,Summary!$B:$D,2,FALSE))</f>
        <v> </v>
      </c>
      <c r="D21" s="50" t="str">
        <f>IF(ISNA(VLOOKUP($B21,Summary!$B:$D,3,FALSE))=TRUE," ",VLOOKUP($B21,Summary!$B:$D,3,FALSE))</f>
        <v> </v>
      </c>
      <c r="E21" s="62"/>
      <c r="F21" s="62"/>
      <c r="G21" s="62"/>
      <c r="I21" s="63">
        <f t="shared" si="0"/>
        <v>0</v>
      </c>
      <c r="K21" s="64">
        <f>IF(E21="Support(L1_L2)",IF(NOT(ISBLANK(B21)),IF(NOT(ISBLANK(D21)),NETWORKDAYS('CPY TOC'!$F$5,'CPY TOC'!$G$5))))-L21</f>
        <v>0</v>
      </c>
      <c r="L21" s="64">
        <f>IF(E21="Support(L1_L2)",SUMIFS(Support_allowance_Entries!$G:$G,Support_allowance_Entries!$B:$B,CPY!B21),0)</f>
        <v>0</v>
      </c>
      <c r="M21" s="63" t="b">
        <f>IF($D21="D0",MD!$C$4*(K21),IF($D21="D1",MD!$C$5*(K21),IF($D21="D2",MD!$C$6*(K21),IF($D21="D3",MD!$C$7*(K21),IF($D21="D4",MD!$C$8*(K21),IF($D21="D5",MD!$C$9*(K21),IF($D21="M1",MD!$C$10*(K21),IF($D21="T1",MD!$C$11*(K21)))))))))</f>
        <v>0</v>
      </c>
      <c r="O21" s="65">
        <f>SUMIFS(Shift_allowance_Entries!$G:$G,Shift_allowance_Entries!$F:$F,"6:30AM-03:30PM",Shift_allowance_Entries!$B:$B,CPY!$B21)</f>
        <v>0</v>
      </c>
      <c r="P21" s="65">
        <f>SUMIFS(Shift_allowance_Entries!$G:$G,Shift_allowance_Entries!$F:$F,"1-9PM/2:30PM-11:30PM",Shift_allowance_Entries!$B:$B,CPY!$B21)</f>
        <v>0</v>
      </c>
      <c r="Q21" s="65">
        <f>SUMIFS(Shift_allowance_Entries!$G:$G,Shift_allowance_Entries!$F:$F,"11PM-7AM",Shift_allowance_Entries!$B:$B,CPY!$B21)</f>
        <v>0</v>
      </c>
      <c r="R21" s="63">
        <f>(CPY!O21*MD!$F$4)+(CPY!P21*MD!$F$5)+(CPY!Q21*MD!$F$6)</f>
        <v>0</v>
      </c>
      <c r="T21" s="64">
        <f>ROUNDUP((SUMIFS('OOH Activities'!$K:$K,'OOH Activities'!$F:$F,"Non_workdays",'OOH Activities'!$B:$B,CPY!B21)) *24,1)</f>
        <v>0</v>
      </c>
      <c r="U21" s="64">
        <f>ROUNDUP((SUMIFS('OOH Activities'!$K:$K,'OOH Activities'!$F:$F,"Workdays",'OOH Activities'!$B:$B,CPY!B21)) *24,1)</f>
        <v>0</v>
      </c>
      <c r="V21" s="63">
        <f>ROUNDUP((SUMIFS('OOH Activities'!$L:$L,'OOH Activities'!$B:$B,CPY!B21)),1)</f>
        <v>0</v>
      </c>
      <c r="X21" s="65">
        <f>ROUNDUP((SUMIFS('ON Call_Call Out Activities'!$L:$L,'ON Call_Call Out Activities'!$F:$F,"Workdays",'ON Call_Call Out Activities'!$B:$B,CPY!B21))*24,1)</f>
        <v>0</v>
      </c>
      <c r="Y21" s="64">
        <f>ROUNDUP((SUMIFS('ON Call_Call Out Activities'!$L:$L,'ON Call_Call Out Activities'!$F:$F,"Non_workdays",'ON Call_Call Out Activities'!$B:$B,CPY!B21)) *24,1)</f>
        <v>0</v>
      </c>
      <c r="Z21" s="63">
        <f>ROUNDUP((SUMIFS('ON Call_Call Out Activities'!$M:$M,'ON Call_Call Out Activities'!$F:$F,"Non_workdays",'ON Call_Call Out Activities'!$B:$B,CPY!B21)),1) + ROUNDUP((SUMIFS('ON Call_Call Out Activities'!$M:$M,'ON Call_Call Out Activities'!$F:$F,"Workdays",'ON Call_Call Out Activities'!$B:$B,CPY!B21)),1)</f>
        <v>0</v>
      </c>
      <c r="AA21" s="66"/>
      <c r="AB21" s="64">
        <f>ROUNDUP((SUMIFS('ON Call_Call Out Activities'!$L:$L,'ON Call_Call Out Activities'!$F:$F,"Call_Out",'ON Call_Call Out Activities'!$B:$B,CPY!B21)) *24,1)</f>
        <v>0</v>
      </c>
      <c r="AC21" s="63">
        <f>ROUNDUP((SUMIFS('ON Call_Call Out Activities'!$M:$M,'ON Call_Call Out Activities'!$F:$F,"Call_Out",'ON Call_Call Out Activities'!$B:$B,CPY!B21)),1)</f>
        <v>0</v>
      </c>
      <c r="AE21" s="65">
        <f>IF((SUMIF(Shift_allowance_Entries!$B:$B,CPY!$B21,Shift_allowance_Entries!$H:$H)) &gt; (SUMIF(Shift_allowance_Entries!$B:$B,CPY!$B21,Shift_allowance_Entries!$G:$G)),0,((SUMIF(Shift_allowance_Entries!$B:$B,CPY!$B21,Shift_allowance_Entries!$G:$G))-(SUMIF(Shift_allowance_Entries!$B:$B,CPY!$B21,Shift_allowance_Entries!$H:$H))))</f>
        <v>0</v>
      </c>
      <c r="AF21" s="63">
        <f>AE21*MD!$S$4</f>
        <v>0</v>
      </c>
    </row>
    <row r="22" spans="1:32" x14ac:dyDescent="0.25">
      <c r="A22" s="62">
        <v>20</v>
      </c>
      <c r="B22" s="62"/>
      <c r="C22" s="50" t="str">
        <f>IF(ISNA(VLOOKUP($B22,Summary!$B:$D,2,FALSE))=TRUE," ",VLOOKUP($B22,Summary!$B:$D,2,FALSE))</f>
        <v> </v>
      </c>
      <c r="D22" s="50" t="str">
        <f>IF(ISNA(VLOOKUP($B22,Summary!$B:$D,3,FALSE))=TRUE," ",VLOOKUP($B22,Summary!$B:$D,3,FALSE))</f>
        <v> </v>
      </c>
      <c r="E22" s="62"/>
      <c r="F22" s="62"/>
      <c r="G22" s="62"/>
      <c r="I22" s="63">
        <f t="shared" si="0"/>
        <v>0</v>
      </c>
      <c r="K22" s="64">
        <f>IF(E22="Support(L1_L2)",IF(NOT(ISBLANK(B22)),IF(NOT(ISBLANK(D22)),NETWORKDAYS('CPY TOC'!$F$5,'CPY TOC'!$G$5))))-L22</f>
        <v>0</v>
      </c>
      <c r="L22" s="64">
        <f>IF(E22="Support(L1_L2)",SUMIFS(Support_allowance_Entries!$G:$G,Support_allowance_Entries!$B:$B,CPY!B22),0)</f>
        <v>0</v>
      </c>
      <c r="M22" s="63" t="b">
        <f>IF($D22="D0",MD!$C$4*(K22),IF($D22="D1",MD!$C$5*(K22),IF($D22="D2",MD!$C$6*(K22),IF($D22="D3",MD!$C$7*(K22),IF($D22="D4",MD!$C$8*(K22),IF($D22="D5",MD!$C$9*(K22),IF($D22="M1",MD!$C$10*(K22),IF($D22="T1",MD!$C$11*(K22)))))))))</f>
        <v>0</v>
      </c>
      <c r="O22" s="65">
        <f>SUMIFS(Shift_allowance_Entries!$G:$G,Shift_allowance_Entries!$F:$F,"6:30AM-03:30PM",Shift_allowance_Entries!$B:$B,CPY!$B22)</f>
        <v>0</v>
      </c>
      <c r="P22" s="65">
        <f>SUMIFS(Shift_allowance_Entries!$G:$G,Shift_allowance_Entries!$F:$F,"1-9PM/2:30PM-11:30PM",Shift_allowance_Entries!$B:$B,CPY!$B22)</f>
        <v>0</v>
      </c>
      <c r="Q22" s="65">
        <f>SUMIFS(Shift_allowance_Entries!$G:$G,Shift_allowance_Entries!$F:$F,"11PM-7AM",Shift_allowance_Entries!$B:$B,CPY!$B22)</f>
        <v>0</v>
      </c>
      <c r="R22" s="63">
        <f>(CPY!O22*MD!$F$4)+(CPY!P22*MD!$F$5)+(CPY!Q22*MD!$F$6)</f>
        <v>0</v>
      </c>
      <c r="T22" s="64">
        <f>ROUNDUP((SUMIFS('OOH Activities'!$K:$K,'OOH Activities'!$F:$F,"Non_workdays",'OOH Activities'!$B:$B,CPY!B22)) *24,1)</f>
        <v>0</v>
      </c>
      <c r="U22" s="64">
        <f>ROUNDUP((SUMIFS('OOH Activities'!$K:$K,'OOH Activities'!$F:$F,"Workdays",'OOH Activities'!$B:$B,CPY!B22)) *24,1)</f>
        <v>0</v>
      </c>
      <c r="V22" s="63">
        <f>ROUNDUP((SUMIFS('OOH Activities'!$L:$L,'OOH Activities'!$B:$B,CPY!B22)),1)</f>
        <v>0</v>
      </c>
      <c r="X22" s="65">
        <f>ROUNDUP((SUMIFS('ON Call_Call Out Activities'!$L:$L,'ON Call_Call Out Activities'!$F:$F,"Workdays",'ON Call_Call Out Activities'!$B:$B,CPY!B22))*24,1)</f>
        <v>0</v>
      </c>
      <c r="Y22" s="64">
        <f>ROUNDUP((SUMIFS('ON Call_Call Out Activities'!$L:$L,'ON Call_Call Out Activities'!$F:$F,"Non_workdays",'ON Call_Call Out Activities'!$B:$B,CPY!B22)) *24,1)</f>
        <v>0</v>
      </c>
      <c r="Z22" s="63">
        <f>ROUNDUP((SUMIFS('ON Call_Call Out Activities'!$M:$M,'ON Call_Call Out Activities'!$F:$F,"Non_workdays",'ON Call_Call Out Activities'!$B:$B,CPY!B22)),1) + ROUNDUP((SUMIFS('ON Call_Call Out Activities'!$M:$M,'ON Call_Call Out Activities'!$F:$F,"Workdays",'ON Call_Call Out Activities'!$B:$B,CPY!B22)),1)</f>
        <v>0</v>
      </c>
      <c r="AA22" s="66"/>
      <c r="AB22" s="64">
        <f>ROUNDUP((SUMIFS('ON Call_Call Out Activities'!$L:$L,'ON Call_Call Out Activities'!$F:$F,"Call_Out",'ON Call_Call Out Activities'!$B:$B,CPY!B22)) *24,1)</f>
        <v>0</v>
      </c>
      <c r="AC22" s="63">
        <f>ROUNDUP((SUMIFS('ON Call_Call Out Activities'!$M:$M,'ON Call_Call Out Activities'!$F:$F,"Call_Out",'ON Call_Call Out Activities'!$B:$B,CPY!B22)),1)</f>
        <v>0</v>
      </c>
      <c r="AE22" s="65">
        <f>IF((SUMIF(Shift_allowance_Entries!$B:$B,CPY!$B22,Shift_allowance_Entries!$H:$H)) &gt; (SUMIF(Shift_allowance_Entries!$B:$B,CPY!$B22,Shift_allowance_Entries!$G:$G)),0,((SUMIF(Shift_allowance_Entries!$B:$B,CPY!$B22,Shift_allowance_Entries!$G:$G))-(SUMIF(Shift_allowance_Entries!$B:$B,CPY!$B22,Shift_allowance_Entries!$H:$H))))</f>
        <v>0</v>
      </c>
      <c r="AF22" s="63">
        <f>AE22*MD!$S$4</f>
        <v>0</v>
      </c>
    </row>
    <row r="23" spans="1:32" x14ac:dyDescent="0.25">
      <c r="A23" s="62">
        <v>21</v>
      </c>
      <c r="B23" s="62"/>
      <c r="C23" s="50" t="str">
        <f>IF(ISNA(VLOOKUP($B23,Summary!$B:$D,2,FALSE))=TRUE," ",VLOOKUP($B23,Summary!$B:$D,2,FALSE))</f>
        <v> </v>
      </c>
      <c r="D23" s="50" t="str">
        <f>IF(ISNA(VLOOKUP($B23,Summary!$B:$D,3,FALSE))=TRUE," ",VLOOKUP($B23,Summary!$B:$D,3,FALSE))</f>
        <v> </v>
      </c>
      <c r="E23" s="62"/>
      <c r="F23" s="62"/>
      <c r="G23" s="62"/>
      <c r="I23" s="63">
        <f t="shared" si="0"/>
        <v>0</v>
      </c>
      <c r="K23" s="64">
        <f>IF(E23="Support(L1_L2)",IF(NOT(ISBLANK(B23)),IF(NOT(ISBLANK(D23)),NETWORKDAYS('CPY TOC'!$F$5,'CPY TOC'!$G$5))))-L23</f>
        <v>0</v>
      </c>
      <c r="L23" s="64">
        <f>IF(E23="Support(L1_L2)",SUMIFS(Support_allowance_Entries!$G:$G,Support_allowance_Entries!$B:$B,CPY!B23),0)</f>
        <v>0</v>
      </c>
      <c r="M23" s="63" t="b">
        <f>IF($D23="D0",MD!$C$4*(K23),IF($D23="D1",MD!$C$5*(K23),IF($D23="D2",MD!$C$6*(K23),IF($D23="D3",MD!$C$7*(K23),IF($D23="D4",MD!$C$8*(K23),IF($D23="D5",MD!$C$9*(K23),IF($D23="M1",MD!$C$10*(K23),IF($D23="T1",MD!$C$11*(K23)))))))))</f>
        <v>0</v>
      </c>
      <c r="O23" s="65">
        <f>SUMIFS(Shift_allowance_Entries!$G:$G,Shift_allowance_Entries!$F:$F,"6:30AM-03:30PM",Shift_allowance_Entries!$B:$B,CPY!$B23)</f>
        <v>0</v>
      </c>
      <c r="P23" s="65">
        <f>SUMIFS(Shift_allowance_Entries!$G:$G,Shift_allowance_Entries!$F:$F,"1-9PM/2:30PM-11:30PM",Shift_allowance_Entries!$B:$B,CPY!$B23)</f>
        <v>0</v>
      </c>
      <c r="Q23" s="65">
        <f>SUMIFS(Shift_allowance_Entries!$G:$G,Shift_allowance_Entries!$F:$F,"11PM-7AM",Shift_allowance_Entries!$B:$B,CPY!$B23)</f>
        <v>0</v>
      </c>
      <c r="R23" s="63">
        <f>(CPY!O23*MD!$F$4)+(CPY!P23*MD!$F$5)+(CPY!Q23*MD!$F$6)</f>
        <v>0</v>
      </c>
      <c r="T23" s="64">
        <f>ROUNDUP((SUMIFS('OOH Activities'!$K:$K,'OOH Activities'!$F:$F,"Non_workdays",'OOH Activities'!$B:$B,CPY!B23)) *24,1)</f>
        <v>0</v>
      </c>
      <c r="U23" s="64">
        <f>ROUNDUP((SUMIFS('OOH Activities'!$K:$K,'OOH Activities'!$F:$F,"Workdays",'OOH Activities'!$B:$B,CPY!B23)) *24,1)</f>
        <v>0</v>
      </c>
      <c r="V23" s="63">
        <f>ROUNDUP((SUMIFS('OOH Activities'!$L:$L,'OOH Activities'!$B:$B,CPY!B23)),1)</f>
        <v>0</v>
      </c>
      <c r="X23" s="65">
        <f>ROUNDUP((SUMIFS('ON Call_Call Out Activities'!$L:$L,'ON Call_Call Out Activities'!$F:$F,"Workdays",'ON Call_Call Out Activities'!$B:$B,CPY!B23))*24,1)</f>
        <v>0</v>
      </c>
      <c r="Y23" s="64">
        <f>ROUNDUP((SUMIFS('ON Call_Call Out Activities'!$L:$L,'ON Call_Call Out Activities'!$F:$F,"Non_workdays",'ON Call_Call Out Activities'!$B:$B,CPY!B23)) *24,1)</f>
        <v>0</v>
      </c>
      <c r="Z23" s="63">
        <f>ROUNDUP((SUMIFS('ON Call_Call Out Activities'!$M:$M,'ON Call_Call Out Activities'!$F:$F,"Non_workdays",'ON Call_Call Out Activities'!$B:$B,CPY!B23)),1) + ROUNDUP((SUMIFS('ON Call_Call Out Activities'!$M:$M,'ON Call_Call Out Activities'!$F:$F,"Workdays",'ON Call_Call Out Activities'!$B:$B,CPY!B23)),1)</f>
        <v>0</v>
      </c>
      <c r="AA23" s="66"/>
      <c r="AB23" s="64">
        <f>ROUNDUP((SUMIFS('ON Call_Call Out Activities'!$L:$L,'ON Call_Call Out Activities'!$F:$F,"Call_Out",'ON Call_Call Out Activities'!$B:$B,CPY!B23)) *24,1)</f>
        <v>0</v>
      </c>
      <c r="AC23" s="63">
        <f>ROUNDUP((SUMIFS('ON Call_Call Out Activities'!$M:$M,'ON Call_Call Out Activities'!$F:$F,"Call_Out",'ON Call_Call Out Activities'!$B:$B,CPY!B23)),1)</f>
        <v>0</v>
      </c>
      <c r="AE23" s="65">
        <f>IF((SUMIF(Shift_allowance_Entries!$B:$B,CPY!$B23,Shift_allowance_Entries!$H:$H)) &gt; (SUMIF(Shift_allowance_Entries!$B:$B,CPY!$B23,Shift_allowance_Entries!$G:$G)),0,((SUMIF(Shift_allowance_Entries!$B:$B,CPY!$B23,Shift_allowance_Entries!$G:$G))-(SUMIF(Shift_allowance_Entries!$B:$B,CPY!$B23,Shift_allowance_Entries!$H:$H))))</f>
        <v>0</v>
      </c>
      <c r="AF23" s="63">
        <f>AE23*MD!$S$4</f>
        <v>0</v>
      </c>
    </row>
    <row r="24" spans="1:32" x14ac:dyDescent="0.25">
      <c r="A24" s="62">
        <v>22</v>
      </c>
      <c r="B24" s="62"/>
      <c r="C24" s="50" t="str">
        <f>IF(ISNA(VLOOKUP($B24,Summary!$B:$D,2,FALSE))=TRUE," ",VLOOKUP($B24,Summary!$B:$D,2,FALSE))</f>
        <v> </v>
      </c>
      <c r="D24" s="50" t="str">
        <f>IF(ISNA(VLOOKUP($B24,Summary!$B:$D,3,FALSE))=TRUE," ",VLOOKUP($B24,Summary!$B:$D,3,FALSE))</f>
        <v> </v>
      </c>
      <c r="E24" s="62"/>
      <c r="F24" s="62"/>
      <c r="G24" s="62"/>
      <c r="I24" s="63">
        <f t="shared" si="0"/>
        <v>0</v>
      </c>
      <c r="K24" s="64">
        <f>IF(E24="Support(L1_L2)",IF(NOT(ISBLANK(B24)),IF(NOT(ISBLANK(D24)),NETWORKDAYS('CPY TOC'!$F$5,'CPY TOC'!$G$5))))-L24</f>
        <v>0</v>
      </c>
      <c r="L24" s="64">
        <f>IF(E24="Support(L1_L2)",SUMIFS(Support_allowance_Entries!$G:$G,Support_allowance_Entries!$B:$B,CPY!B24),0)</f>
        <v>0</v>
      </c>
      <c r="M24" s="63" t="b">
        <f>IF($D24="D0",MD!$C$4*(K24),IF($D24="D1",MD!$C$5*(K24),IF($D24="D2",MD!$C$6*(K24),IF($D24="D3",MD!$C$7*(K24),IF($D24="D4",MD!$C$8*(K24),IF($D24="D5",MD!$C$9*(K24),IF($D24="M1",MD!$C$10*(K24),IF($D24="T1",MD!$C$11*(K24)))))))))</f>
        <v>0</v>
      </c>
      <c r="O24" s="65">
        <f>SUMIFS(Shift_allowance_Entries!$G:$G,Shift_allowance_Entries!$F:$F,"6:30AM-03:30PM",Shift_allowance_Entries!$B:$B,CPY!$B24)</f>
        <v>0</v>
      </c>
      <c r="P24" s="65">
        <f>SUMIFS(Shift_allowance_Entries!$G:$G,Shift_allowance_Entries!$F:$F,"1-9PM/2:30PM-11:30PM",Shift_allowance_Entries!$B:$B,CPY!$B24)</f>
        <v>0</v>
      </c>
      <c r="Q24" s="65">
        <f>SUMIFS(Shift_allowance_Entries!$G:$G,Shift_allowance_Entries!$F:$F,"11PM-7AM",Shift_allowance_Entries!$B:$B,CPY!$B24)</f>
        <v>0</v>
      </c>
      <c r="R24" s="63">
        <f>(CPY!O24*MD!$F$4)+(CPY!P24*MD!$F$5)+(CPY!Q24*MD!$F$6)</f>
        <v>0</v>
      </c>
      <c r="T24" s="64">
        <f>ROUNDUP((SUMIFS('OOH Activities'!$K:$K,'OOH Activities'!$F:$F,"Non_workdays",'OOH Activities'!$B:$B,CPY!B24)) *24,1)</f>
        <v>0</v>
      </c>
      <c r="U24" s="64">
        <f>ROUNDUP((SUMIFS('OOH Activities'!$K:$K,'OOH Activities'!$F:$F,"Workdays",'OOH Activities'!$B:$B,CPY!B24)) *24,1)</f>
        <v>0</v>
      </c>
      <c r="V24" s="63">
        <f>ROUNDUP((SUMIFS('OOH Activities'!$L:$L,'OOH Activities'!$B:$B,CPY!B24)),1)</f>
        <v>0</v>
      </c>
      <c r="X24" s="65">
        <f>ROUNDUP((SUMIFS('ON Call_Call Out Activities'!$L:$L,'ON Call_Call Out Activities'!$F:$F,"Workdays",'ON Call_Call Out Activities'!$B:$B,CPY!B24))*24,1)</f>
        <v>0</v>
      </c>
      <c r="Y24" s="64">
        <f>ROUNDUP((SUMIFS('ON Call_Call Out Activities'!$L:$L,'ON Call_Call Out Activities'!$F:$F,"Non_workdays",'ON Call_Call Out Activities'!$B:$B,CPY!B24)) *24,1)</f>
        <v>0</v>
      </c>
      <c r="Z24" s="63">
        <f>ROUNDUP((SUMIFS('ON Call_Call Out Activities'!$M:$M,'ON Call_Call Out Activities'!$F:$F,"Non_workdays",'ON Call_Call Out Activities'!$B:$B,CPY!B24)),1) + ROUNDUP((SUMIFS('ON Call_Call Out Activities'!$M:$M,'ON Call_Call Out Activities'!$F:$F,"Workdays",'ON Call_Call Out Activities'!$B:$B,CPY!B24)),1)</f>
        <v>0</v>
      </c>
      <c r="AA24" s="66"/>
      <c r="AB24" s="64">
        <f>ROUNDUP((SUMIFS('ON Call_Call Out Activities'!$L:$L,'ON Call_Call Out Activities'!$F:$F,"Call_Out",'ON Call_Call Out Activities'!$B:$B,CPY!B24)) *24,1)</f>
        <v>0</v>
      </c>
      <c r="AC24" s="63">
        <f>ROUNDUP((SUMIFS('ON Call_Call Out Activities'!$M:$M,'ON Call_Call Out Activities'!$F:$F,"Call_Out",'ON Call_Call Out Activities'!$B:$B,CPY!B24)),1)</f>
        <v>0</v>
      </c>
      <c r="AE24" s="65">
        <f>IF((SUMIF(Shift_allowance_Entries!$B:$B,CPY!$B24,Shift_allowance_Entries!$H:$H)) &gt; (SUMIF(Shift_allowance_Entries!$B:$B,CPY!$B24,Shift_allowance_Entries!$G:$G)),0,((SUMIF(Shift_allowance_Entries!$B:$B,CPY!$B24,Shift_allowance_Entries!$G:$G))-(SUMIF(Shift_allowance_Entries!$B:$B,CPY!$B24,Shift_allowance_Entries!$H:$H))))</f>
        <v>0</v>
      </c>
      <c r="AF24" s="63">
        <f>AE24*MD!$S$4</f>
        <v>0</v>
      </c>
    </row>
    <row r="25" spans="1:32" x14ac:dyDescent="0.25">
      <c r="A25" s="62">
        <v>23</v>
      </c>
      <c r="B25" s="62"/>
      <c r="C25" s="50" t="str">
        <f>IF(ISNA(VLOOKUP($B25,Summary!$B:$D,2,FALSE))=TRUE," ",VLOOKUP($B25,Summary!$B:$D,2,FALSE))</f>
        <v> </v>
      </c>
      <c r="D25" s="50" t="str">
        <f>IF(ISNA(VLOOKUP($B25,Summary!$B:$D,3,FALSE))=TRUE," ",VLOOKUP($B25,Summary!$B:$D,3,FALSE))</f>
        <v> </v>
      </c>
      <c r="E25" s="62"/>
      <c r="F25" s="62"/>
      <c r="G25" s="62"/>
      <c r="I25" s="63">
        <f t="shared" si="0"/>
        <v>0</v>
      </c>
      <c r="K25" s="64">
        <f>IF(E25="Support(L1_L2)",IF(NOT(ISBLANK(B25)),IF(NOT(ISBLANK(D25)),NETWORKDAYS('CPY TOC'!$F$5,'CPY TOC'!$G$5))))-L25</f>
        <v>0</v>
      </c>
      <c r="L25" s="64">
        <f>IF(E25="Support(L1_L2)",SUMIFS(Support_allowance_Entries!$G:$G,Support_allowance_Entries!$B:$B,CPY!B25),0)</f>
        <v>0</v>
      </c>
      <c r="M25" s="63" t="b">
        <f>IF($D25="D0",MD!$C$4*(K25),IF($D25="D1",MD!$C$5*(K25),IF($D25="D2",MD!$C$6*(K25),IF($D25="D3",MD!$C$7*(K25),IF($D25="D4",MD!$C$8*(K25),IF($D25="D5",MD!$C$9*(K25),IF($D25="M1",MD!$C$10*(K25),IF($D25="T1",MD!$C$11*(K25)))))))))</f>
        <v>0</v>
      </c>
      <c r="O25" s="65">
        <f>SUMIFS(Shift_allowance_Entries!$G:$G,Shift_allowance_Entries!$F:$F,"6:30AM-03:30PM",Shift_allowance_Entries!$B:$B,CPY!$B25)</f>
        <v>0</v>
      </c>
      <c r="P25" s="65">
        <f>SUMIFS(Shift_allowance_Entries!$G:$G,Shift_allowance_Entries!$F:$F,"1-9PM/2:30PM-11:30PM",Shift_allowance_Entries!$B:$B,CPY!$B25)</f>
        <v>0</v>
      </c>
      <c r="Q25" s="65">
        <f>SUMIFS(Shift_allowance_Entries!$G:$G,Shift_allowance_Entries!$F:$F,"11PM-7AM",Shift_allowance_Entries!$B:$B,CPY!$B25)</f>
        <v>0</v>
      </c>
      <c r="R25" s="63">
        <f>(CPY!O25*MD!$F$4)+(CPY!P25*MD!$F$5)+(CPY!Q25*MD!$F$6)</f>
        <v>0</v>
      </c>
      <c r="T25" s="64">
        <f>ROUNDUP((SUMIFS('OOH Activities'!$K:$K,'OOH Activities'!$F:$F,"Non_workdays",'OOH Activities'!$B:$B,CPY!B25)) *24,1)</f>
        <v>0</v>
      </c>
      <c r="U25" s="64">
        <f>ROUNDUP((SUMIFS('OOH Activities'!$K:$K,'OOH Activities'!$F:$F,"Workdays",'OOH Activities'!$B:$B,CPY!B25)) *24,1)</f>
        <v>0</v>
      </c>
      <c r="V25" s="63">
        <f>ROUNDUP((SUMIFS('OOH Activities'!$L:$L,'OOH Activities'!$B:$B,CPY!B25)),1)</f>
        <v>0</v>
      </c>
      <c r="X25" s="65">
        <f>ROUNDUP((SUMIFS('ON Call_Call Out Activities'!$L:$L,'ON Call_Call Out Activities'!$F:$F,"Workdays",'ON Call_Call Out Activities'!$B:$B,CPY!B25))*24,1)</f>
        <v>0</v>
      </c>
      <c r="Y25" s="64">
        <f>ROUNDUP((SUMIFS('ON Call_Call Out Activities'!$L:$L,'ON Call_Call Out Activities'!$F:$F,"Non_workdays",'ON Call_Call Out Activities'!$B:$B,CPY!B25)) *24,1)</f>
        <v>0</v>
      </c>
      <c r="Z25" s="63">
        <f>ROUNDUP((SUMIFS('ON Call_Call Out Activities'!$M:$M,'ON Call_Call Out Activities'!$F:$F,"Non_workdays",'ON Call_Call Out Activities'!$B:$B,CPY!B25)),1) + ROUNDUP((SUMIFS('ON Call_Call Out Activities'!$M:$M,'ON Call_Call Out Activities'!$F:$F,"Workdays",'ON Call_Call Out Activities'!$B:$B,CPY!B25)),1)</f>
        <v>0</v>
      </c>
      <c r="AA25" s="66"/>
      <c r="AB25" s="64">
        <f>ROUNDUP((SUMIFS('ON Call_Call Out Activities'!$L:$L,'ON Call_Call Out Activities'!$F:$F,"Call_Out",'ON Call_Call Out Activities'!$B:$B,CPY!B25)) *24,1)</f>
        <v>0</v>
      </c>
      <c r="AC25" s="63">
        <f>ROUNDUP((SUMIFS('ON Call_Call Out Activities'!$M:$M,'ON Call_Call Out Activities'!$F:$F,"Call_Out",'ON Call_Call Out Activities'!$B:$B,CPY!B25)),1)</f>
        <v>0</v>
      </c>
      <c r="AE25" s="65">
        <f>IF((SUMIF(Shift_allowance_Entries!$B:$B,CPY!$B25,Shift_allowance_Entries!$H:$H)) &gt; (SUMIF(Shift_allowance_Entries!$B:$B,CPY!$B25,Shift_allowance_Entries!$G:$G)),0,((SUMIF(Shift_allowance_Entries!$B:$B,CPY!$B25,Shift_allowance_Entries!$G:$G))-(SUMIF(Shift_allowance_Entries!$B:$B,CPY!$B25,Shift_allowance_Entries!$H:$H))))</f>
        <v>0</v>
      </c>
      <c r="AF25" s="63">
        <f>AE25*MD!$S$4</f>
        <v>0</v>
      </c>
    </row>
    <row r="26" spans="1:32" x14ac:dyDescent="0.25">
      <c r="A26" s="62">
        <v>24</v>
      </c>
      <c r="B26" s="62"/>
      <c r="C26" s="50" t="str">
        <f>IF(ISNA(VLOOKUP($B26,Summary!$B:$D,2,FALSE))=TRUE," ",VLOOKUP($B26,Summary!$B:$D,2,FALSE))</f>
        <v> </v>
      </c>
      <c r="D26" s="50" t="str">
        <f>IF(ISNA(VLOOKUP($B26,Summary!$B:$D,3,FALSE))=TRUE," ",VLOOKUP($B26,Summary!$B:$D,3,FALSE))</f>
        <v> </v>
      </c>
      <c r="E26" s="62"/>
      <c r="F26" s="62"/>
      <c r="G26" s="62"/>
      <c r="I26" s="63">
        <f t="shared" si="0"/>
        <v>0</v>
      </c>
      <c r="K26" s="64">
        <f>IF(E26="Support(L1_L2)",IF(NOT(ISBLANK(B26)),IF(NOT(ISBLANK(D26)),NETWORKDAYS('CPY TOC'!$F$5,'CPY TOC'!$G$5))))-L26</f>
        <v>0</v>
      </c>
      <c r="L26" s="64">
        <f>IF(E26="Support(L1_L2)",SUMIFS(Support_allowance_Entries!$G:$G,Support_allowance_Entries!$B:$B,CPY!B26),0)</f>
        <v>0</v>
      </c>
      <c r="M26" s="63" t="b">
        <f>IF($D26="D0",MD!$C$4*(K26),IF($D26="D1",MD!$C$5*(K26),IF($D26="D2",MD!$C$6*(K26),IF($D26="D3",MD!$C$7*(K26),IF($D26="D4",MD!$C$8*(K26),IF($D26="D5",MD!$C$9*(K26),IF($D26="M1",MD!$C$10*(K26),IF($D26="T1",MD!$C$11*(K26)))))))))</f>
        <v>0</v>
      </c>
      <c r="O26" s="65">
        <f>SUMIFS(Shift_allowance_Entries!$G:$G,Shift_allowance_Entries!$F:$F,"6:30AM-03:30PM",Shift_allowance_Entries!$B:$B,CPY!$B26)</f>
        <v>0</v>
      </c>
      <c r="P26" s="65">
        <f>SUMIFS(Shift_allowance_Entries!$G:$G,Shift_allowance_Entries!$F:$F,"1-9PM/2:30PM-11:30PM",Shift_allowance_Entries!$B:$B,CPY!$B26)</f>
        <v>0</v>
      </c>
      <c r="Q26" s="65">
        <f>SUMIFS(Shift_allowance_Entries!$G:$G,Shift_allowance_Entries!$F:$F,"11PM-7AM",Shift_allowance_Entries!$B:$B,CPY!$B26)</f>
        <v>0</v>
      </c>
      <c r="R26" s="63">
        <f>(CPY!O26*MD!$F$4)+(CPY!P26*MD!$F$5)+(CPY!Q26*MD!$F$6)</f>
        <v>0</v>
      </c>
      <c r="T26" s="64">
        <f>ROUNDUP((SUMIFS('OOH Activities'!$K:$K,'OOH Activities'!$F:$F,"Non_workdays",'OOH Activities'!$B:$B,CPY!B26)) *24,1)</f>
        <v>0</v>
      </c>
      <c r="U26" s="64">
        <f>ROUNDUP((SUMIFS('OOH Activities'!$K:$K,'OOH Activities'!$F:$F,"Workdays",'OOH Activities'!$B:$B,CPY!B26)) *24,1)</f>
        <v>0</v>
      </c>
      <c r="V26" s="63">
        <f>ROUNDUP((SUMIFS('OOH Activities'!$L:$L,'OOH Activities'!$B:$B,CPY!B26)),1)</f>
        <v>0</v>
      </c>
      <c r="X26" s="65">
        <f>ROUNDUP((SUMIFS('ON Call_Call Out Activities'!$L:$L,'ON Call_Call Out Activities'!$F:$F,"Workdays",'ON Call_Call Out Activities'!$B:$B,CPY!B26))*24,1)</f>
        <v>0</v>
      </c>
      <c r="Y26" s="64">
        <f>ROUNDUP((SUMIFS('ON Call_Call Out Activities'!$L:$L,'ON Call_Call Out Activities'!$F:$F,"Non_workdays",'ON Call_Call Out Activities'!$B:$B,CPY!B26)) *24,1)</f>
        <v>0</v>
      </c>
      <c r="Z26" s="63">
        <f>ROUNDUP((SUMIFS('ON Call_Call Out Activities'!$M:$M,'ON Call_Call Out Activities'!$F:$F,"Non_workdays",'ON Call_Call Out Activities'!$B:$B,CPY!B26)),1) + ROUNDUP((SUMIFS('ON Call_Call Out Activities'!$M:$M,'ON Call_Call Out Activities'!$F:$F,"Workdays",'ON Call_Call Out Activities'!$B:$B,CPY!B26)),1)</f>
        <v>0</v>
      </c>
      <c r="AA26" s="66"/>
      <c r="AB26" s="64">
        <f>ROUNDUP((SUMIFS('ON Call_Call Out Activities'!$L:$L,'ON Call_Call Out Activities'!$F:$F,"Call_Out",'ON Call_Call Out Activities'!$B:$B,CPY!B26)) *24,1)</f>
        <v>0</v>
      </c>
      <c r="AC26" s="63">
        <f>ROUNDUP((SUMIFS('ON Call_Call Out Activities'!$M:$M,'ON Call_Call Out Activities'!$F:$F,"Call_Out",'ON Call_Call Out Activities'!$B:$B,CPY!B26)),1)</f>
        <v>0</v>
      </c>
      <c r="AE26" s="65">
        <f>IF((SUMIF(Shift_allowance_Entries!$B:$B,CPY!$B26,Shift_allowance_Entries!$H:$H)) &gt; (SUMIF(Shift_allowance_Entries!$B:$B,CPY!$B26,Shift_allowance_Entries!$G:$G)),0,((SUMIF(Shift_allowance_Entries!$B:$B,CPY!$B26,Shift_allowance_Entries!$G:$G))-(SUMIF(Shift_allowance_Entries!$B:$B,CPY!$B26,Shift_allowance_Entries!$H:$H))))</f>
        <v>0</v>
      </c>
      <c r="AF26" s="63">
        <f>AE26*MD!$S$4</f>
        <v>0</v>
      </c>
    </row>
    <row r="27" spans="1:32" x14ac:dyDescent="0.25">
      <c r="A27" s="62">
        <v>25</v>
      </c>
      <c r="B27" s="62"/>
      <c r="C27" s="50" t="str">
        <f>IF(ISNA(VLOOKUP($B27,Summary!$B:$D,2,FALSE))=TRUE," ",VLOOKUP($B27,Summary!$B:$D,2,FALSE))</f>
        <v> </v>
      </c>
      <c r="D27" s="50" t="str">
        <f>IF(ISNA(VLOOKUP($B27,Summary!$B:$D,3,FALSE))=TRUE," ",VLOOKUP($B27,Summary!$B:$D,3,FALSE))</f>
        <v> </v>
      </c>
      <c r="E27" s="62"/>
      <c r="F27" s="62"/>
      <c r="G27" s="62"/>
      <c r="I27" s="63">
        <f t="shared" si="0"/>
        <v>0</v>
      </c>
      <c r="K27" s="64">
        <f>IF(E27="Support(L1_L2)",IF(NOT(ISBLANK(B27)),IF(NOT(ISBLANK(D27)),NETWORKDAYS('CPY TOC'!$F$5,'CPY TOC'!$G$5))))-L27</f>
        <v>0</v>
      </c>
      <c r="L27" s="64">
        <f>IF(E27="Support(L1_L2)",SUMIFS(Support_allowance_Entries!$G:$G,Support_allowance_Entries!$B:$B,CPY!B27),0)</f>
        <v>0</v>
      </c>
      <c r="M27" s="63" t="b">
        <f>IF($D27="D0",MD!$C$4*(K27),IF($D27="D1",MD!$C$5*(K27),IF($D27="D2",MD!$C$6*(K27),IF($D27="D3",MD!$C$7*(K27),IF($D27="D4",MD!$C$8*(K27),IF($D27="D5",MD!$C$9*(K27),IF($D27="M1",MD!$C$10*(K27),IF($D27="T1",MD!$C$11*(K27)))))))))</f>
        <v>0</v>
      </c>
      <c r="O27" s="65">
        <f>SUMIFS(Shift_allowance_Entries!$G:$G,Shift_allowance_Entries!$F:$F,"6:30AM-03:30PM",Shift_allowance_Entries!$B:$B,CPY!$B27)</f>
        <v>0</v>
      </c>
      <c r="P27" s="65">
        <f>SUMIFS(Shift_allowance_Entries!$G:$G,Shift_allowance_Entries!$F:$F,"1-9PM/2:30PM-11:30PM",Shift_allowance_Entries!$B:$B,CPY!$B27)</f>
        <v>0</v>
      </c>
      <c r="Q27" s="65">
        <f>SUMIFS(Shift_allowance_Entries!$G:$G,Shift_allowance_Entries!$F:$F,"11PM-7AM",Shift_allowance_Entries!$B:$B,CPY!$B27)</f>
        <v>0</v>
      </c>
      <c r="R27" s="63">
        <f>(CPY!O27*MD!$F$4)+(CPY!P27*MD!$F$5)+(CPY!Q27*MD!$F$6)</f>
        <v>0</v>
      </c>
      <c r="T27" s="64">
        <f>ROUNDUP((SUMIFS('OOH Activities'!$K:$K,'OOH Activities'!$F:$F,"Non_workdays",'OOH Activities'!$B:$B,CPY!B27)) *24,1)</f>
        <v>0</v>
      </c>
      <c r="U27" s="64">
        <f>ROUNDUP((SUMIFS('OOH Activities'!$K:$K,'OOH Activities'!$F:$F,"Workdays",'OOH Activities'!$B:$B,CPY!B27)) *24,1)</f>
        <v>0</v>
      </c>
      <c r="V27" s="63">
        <f>ROUNDUP((SUMIFS('OOH Activities'!$L:$L,'OOH Activities'!$B:$B,CPY!B27)),1)</f>
        <v>0</v>
      </c>
      <c r="X27" s="65">
        <f>ROUNDUP((SUMIFS('ON Call_Call Out Activities'!$L:$L,'ON Call_Call Out Activities'!$F:$F,"Workdays",'ON Call_Call Out Activities'!$B:$B,CPY!B27))*24,1)</f>
        <v>0</v>
      </c>
      <c r="Y27" s="64">
        <f>ROUNDUP((SUMIFS('ON Call_Call Out Activities'!$L:$L,'ON Call_Call Out Activities'!$F:$F,"Non_workdays",'ON Call_Call Out Activities'!$B:$B,CPY!B27)) *24,1)</f>
        <v>0</v>
      </c>
      <c r="Z27" s="63">
        <f>ROUNDUP((SUMIFS('ON Call_Call Out Activities'!$M:$M,'ON Call_Call Out Activities'!$F:$F,"Non_workdays",'ON Call_Call Out Activities'!$B:$B,CPY!B27)),1) + ROUNDUP((SUMIFS('ON Call_Call Out Activities'!$M:$M,'ON Call_Call Out Activities'!$F:$F,"Workdays",'ON Call_Call Out Activities'!$B:$B,CPY!B27)),1)</f>
        <v>0</v>
      </c>
      <c r="AA27" s="66"/>
      <c r="AB27" s="64">
        <f>ROUNDUP((SUMIFS('ON Call_Call Out Activities'!$L:$L,'ON Call_Call Out Activities'!$F:$F,"Call_Out",'ON Call_Call Out Activities'!$B:$B,CPY!B27)) *24,1)</f>
        <v>0</v>
      </c>
      <c r="AC27" s="63">
        <f>ROUNDUP((SUMIFS('ON Call_Call Out Activities'!$M:$M,'ON Call_Call Out Activities'!$F:$F,"Call_Out",'ON Call_Call Out Activities'!$B:$B,CPY!B27)),1)</f>
        <v>0</v>
      </c>
      <c r="AE27" s="65">
        <f>IF((SUMIF(Shift_allowance_Entries!$B:$B,CPY!$B27,Shift_allowance_Entries!$H:$H)) &gt; (SUMIF(Shift_allowance_Entries!$B:$B,CPY!$B27,Shift_allowance_Entries!$G:$G)),0,((SUMIF(Shift_allowance_Entries!$B:$B,CPY!$B27,Shift_allowance_Entries!$G:$G))-(SUMIF(Shift_allowance_Entries!$B:$B,CPY!$B27,Shift_allowance_Entries!$H:$H))))</f>
        <v>0</v>
      </c>
      <c r="AF27" s="63">
        <f>AE27*MD!$S$4</f>
        <v>0</v>
      </c>
    </row>
    <row r="28" spans="1:32" x14ac:dyDescent="0.25">
      <c r="A28" s="62">
        <v>26</v>
      </c>
      <c r="B28" s="62"/>
      <c r="C28" s="50" t="str">
        <f>IF(ISNA(VLOOKUP($B28,Summary!$B:$D,2,FALSE))=TRUE," ",VLOOKUP($B28,Summary!$B:$D,2,FALSE))</f>
        <v> </v>
      </c>
      <c r="D28" s="50" t="str">
        <f>IF(ISNA(VLOOKUP($B28,Summary!$B:$D,3,FALSE))=TRUE," ",VLOOKUP($B28,Summary!$B:$D,3,FALSE))</f>
        <v> </v>
      </c>
      <c r="E28" s="62"/>
      <c r="F28" s="62"/>
      <c r="G28" s="62"/>
      <c r="I28" s="63">
        <f t="shared" si="0"/>
        <v>0</v>
      </c>
      <c r="K28" s="64">
        <f>IF(E28="Support(L1_L2)",IF(NOT(ISBLANK(B28)),IF(NOT(ISBLANK(D28)),NETWORKDAYS('CPY TOC'!$F$5,'CPY TOC'!$G$5))))-L28</f>
        <v>0</v>
      </c>
      <c r="L28" s="64">
        <f>IF(E28="Support(L1_L2)",SUMIFS(Support_allowance_Entries!$G:$G,Support_allowance_Entries!$B:$B,CPY!B28),0)</f>
        <v>0</v>
      </c>
      <c r="M28" s="63" t="b">
        <f>IF($D28="D0",MD!$C$4*(K28),IF($D28="D1",MD!$C$5*(K28),IF($D28="D2",MD!$C$6*(K28),IF($D28="D3",MD!$C$7*(K28),IF($D28="D4",MD!$C$8*(K28),IF($D28="D5",MD!$C$9*(K28),IF($D28="M1",MD!$C$10*(K28),IF($D28="T1",MD!$C$11*(K28)))))))))</f>
        <v>0</v>
      </c>
      <c r="O28" s="65">
        <f>SUMIFS(Shift_allowance_Entries!$G:$G,Shift_allowance_Entries!$F:$F,"6:30AM-03:30PM",Shift_allowance_Entries!$B:$B,CPY!$B28)</f>
        <v>0</v>
      </c>
      <c r="P28" s="65">
        <f>SUMIFS(Shift_allowance_Entries!$G:$G,Shift_allowance_Entries!$F:$F,"1-9PM/2:30PM-11:30PM",Shift_allowance_Entries!$B:$B,CPY!$B28)</f>
        <v>0</v>
      </c>
      <c r="Q28" s="65">
        <f>SUMIFS(Shift_allowance_Entries!$G:$G,Shift_allowance_Entries!$F:$F,"11PM-7AM",Shift_allowance_Entries!$B:$B,CPY!$B28)</f>
        <v>0</v>
      </c>
      <c r="R28" s="63">
        <f>(CPY!O28*MD!$F$4)+(CPY!P28*MD!$F$5)+(CPY!Q28*MD!$F$6)</f>
        <v>0</v>
      </c>
      <c r="T28" s="64">
        <f>ROUNDUP((SUMIFS('OOH Activities'!$K:$K,'OOH Activities'!$F:$F,"Non_workdays",'OOH Activities'!$B:$B,CPY!B28)) *24,1)</f>
        <v>0</v>
      </c>
      <c r="U28" s="64">
        <f>ROUNDUP((SUMIFS('OOH Activities'!$K:$K,'OOH Activities'!$F:$F,"Workdays",'OOH Activities'!$B:$B,CPY!B28)) *24,1)</f>
        <v>0</v>
      </c>
      <c r="V28" s="63">
        <f>ROUNDUP((SUMIFS('OOH Activities'!$L:$L,'OOH Activities'!$B:$B,CPY!B28)),1)</f>
        <v>0</v>
      </c>
      <c r="X28" s="65">
        <f>ROUNDUP((SUMIFS('ON Call_Call Out Activities'!$L:$L,'ON Call_Call Out Activities'!$F:$F,"Workdays",'ON Call_Call Out Activities'!$B:$B,CPY!B28))*24,1)</f>
        <v>0</v>
      </c>
      <c r="Y28" s="64">
        <f>ROUNDUP((SUMIFS('ON Call_Call Out Activities'!$L:$L,'ON Call_Call Out Activities'!$F:$F,"Non_workdays",'ON Call_Call Out Activities'!$B:$B,CPY!B28)) *24,1)</f>
        <v>0</v>
      </c>
      <c r="Z28" s="63">
        <f>ROUNDUP((SUMIFS('ON Call_Call Out Activities'!$M:$M,'ON Call_Call Out Activities'!$F:$F,"Non_workdays",'ON Call_Call Out Activities'!$B:$B,CPY!B28)),1) + ROUNDUP((SUMIFS('ON Call_Call Out Activities'!$M:$M,'ON Call_Call Out Activities'!$F:$F,"Workdays",'ON Call_Call Out Activities'!$B:$B,CPY!B28)),1)</f>
        <v>0</v>
      </c>
      <c r="AA28" s="66"/>
      <c r="AB28" s="64">
        <f>ROUNDUP((SUMIFS('ON Call_Call Out Activities'!$L:$L,'ON Call_Call Out Activities'!$F:$F,"Call_Out",'ON Call_Call Out Activities'!$B:$B,CPY!B28)) *24,1)</f>
        <v>0</v>
      </c>
      <c r="AC28" s="63">
        <f>ROUNDUP((SUMIFS('ON Call_Call Out Activities'!$M:$M,'ON Call_Call Out Activities'!$F:$F,"Call_Out",'ON Call_Call Out Activities'!$B:$B,CPY!B28)),1)</f>
        <v>0</v>
      </c>
      <c r="AE28" s="65">
        <f>IF((SUMIF(Shift_allowance_Entries!$B:$B,CPY!$B28,Shift_allowance_Entries!$H:$H)) &gt; (SUMIF(Shift_allowance_Entries!$B:$B,CPY!$B28,Shift_allowance_Entries!$G:$G)),0,((SUMIF(Shift_allowance_Entries!$B:$B,CPY!$B28,Shift_allowance_Entries!$G:$G))-(SUMIF(Shift_allowance_Entries!$B:$B,CPY!$B28,Shift_allowance_Entries!$H:$H))))</f>
        <v>0</v>
      </c>
      <c r="AF28" s="63">
        <f>AE28*MD!$S$4</f>
        <v>0</v>
      </c>
    </row>
    <row r="29" spans="1:32" x14ac:dyDescent="0.25">
      <c r="A29" s="62">
        <v>27</v>
      </c>
      <c r="B29" s="62"/>
      <c r="C29" s="50" t="str">
        <f>IF(ISNA(VLOOKUP($B29,Summary!$B:$D,2,FALSE))=TRUE," ",VLOOKUP($B29,Summary!$B:$D,2,FALSE))</f>
        <v> </v>
      </c>
      <c r="D29" s="50" t="str">
        <f>IF(ISNA(VLOOKUP($B29,Summary!$B:$D,3,FALSE))=TRUE," ",VLOOKUP($B29,Summary!$B:$D,3,FALSE))</f>
        <v> </v>
      </c>
      <c r="E29" s="62"/>
      <c r="F29" s="62"/>
      <c r="G29" s="62"/>
      <c r="I29" s="63">
        <f t="shared" si="0"/>
        <v>0</v>
      </c>
      <c r="K29" s="64">
        <f>IF(E29="Support(L1_L2)",IF(NOT(ISBLANK(B29)),IF(NOT(ISBLANK(D29)),NETWORKDAYS('CPY TOC'!$F$5,'CPY TOC'!$G$5))))-L29</f>
        <v>0</v>
      </c>
      <c r="L29" s="64">
        <f>IF(E29="Support(L1_L2)",SUMIFS(Support_allowance_Entries!$G:$G,Support_allowance_Entries!$B:$B,CPY!B29),0)</f>
        <v>0</v>
      </c>
      <c r="M29" s="63" t="b">
        <f>IF($D29="D0",MD!$C$4*(K29),IF($D29="D1",MD!$C$5*(K29),IF($D29="D2",MD!$C$6*(K29),IF($D29="D3",MD!$C$7*(K29),IF($D29="D4",MD!$C$8*(K29),IF($D29="D5",MD!$C$9*(K29),IF($D29="M1",MD!$C$10*(K29),IF($D29="T1",MD!$C$11*(K29)))))))))</f>
        <v>0</v>
      </c>
      <c r="O29" s="65">
        <f>SUMIFS(Shift_allowance_Entries!$G:$G,Shift_allowance_Entries!$F:$F,"6:30AM-03:30PM",Shift_allowance_Entries!$B:$B,CPY!$B29)</f>
        <v>0</v>
      </c>
      <c r="P29" s="65">
        <f>SUMIFS(Shift_allowance_Entries!$G:$G,Shift_allowance_Entries!$F:$F,"1-9PM/2:30PM-11:30PM",Shift_allowance_Entries!$B:$B,CPY!$B29)</f>
        <v>0</v>
      </c>
      <c r="Q29" s="65">
        <f>SUMIFS(Shift_allowance_Entries!$G:$G,Shift_allowance_Entries!$F:$F,"11PM-7AM",Shift_allowance_Entries!$B:$B,CPY!$B29)</f>
        <v>0</v>
      </c>
      <c r="R29" s="63">
        <f>(CPY!O29*MD!$F$4)+(CPY!P29*MD!$F$5)+(CPY!Q29*MD!$F$6)</f>
        <v>0</v>
      </c>
      <c r="T29" s="64">
        <f>ROUNDUP((SUMIFS('OOH Activities'!$K:$K,'OOH Activities'!$F:$F,"Non_workdays",'OOH Activities'!$B:$B,CPY!B29)) *24,1)</f>
        <v>0</v>
      </c>
      <c r="U29" s="64">
        <f>ROUNDUP((SUMIFS('OOH Activities'!$K:$K,'OOH Activities'!$F:$F,"Workdays",'OOH Activities'!$B:$B,CPY!B29)) *24,1)</f>
        <v>0</v>
      </c>
      <c r="V29" s="63">
        <f>ROUNDUP((SUMIFS('OOH Activities'!$L:$L,'OOH Activities'!$B:$B,CPY!B29)),1)</f>
        <v>0</v>
      </c>
      <c r="X29" s="65">
        <f>ROUNDUP((SUMIFS('ON Call_Call Out Activities'!$L:$L,'ON Call_Call Out Activities'!$F:$F,"Workdays",'ON Call_Call Out Activities'!$B:$B,CPY!B29))*24,1)</f>
        <v>0</v>
      </c>
      <c r="Y29" s="64">
        <f>ROUNDUP((SUMIFS('ON Call_Call Out Activities'!$L:$L,'ON Call_Call Out Activities'!$F:$F,"Non_workdays",'ON Call_Call Out Activities'!$B:$B,CPY!B29)) *24,1)</f>
        <v>0</v>
      </c>
      <c r="Z29" s="63">
        <f>ROUNDUP((SUMIFS('ON Call_Call Out Activities'!$M:$M,'ON Call_Call Out Activities'!$F:$F,"Non_workdays",'ON Call_Call Out Activities'!$B:$B,CPY!B29)),1) + ROUNDUP((SUMIFS('ON Call_Call Out Activities'!$M:$M,'ON Call_Call Out Activities'!$F:$F,"Workdays",'ON Call_Call Out Activities'!$B:$B,CPY!B29)),1)</f>
        <v>0</v>
      </c>
      <c r="AA29" s="66"/>
      <c r="AB29" s="64">
        <f>ROUNDUP((SUMIFS('ON Call_Call Out Activities'!$L:$L,'ON Call_Call Out Activities'!$F:$F,"Call_Out",'ON Call_Call Out Activities'!$B:$B,CPY!B29)) *24,1)</f>
        <v>0</v>
      </c>
      <c r="AC29" s="63">
        <f>ROUNDUP((SUMIFS('ON Call_Call Out Activities'!$M:$M,'ON Call_Call Out Activities'!$F:$F,"Call_Out",'ON Call_Call Out Activities'!$B:$B,CPY!B29)),1)</f>
        <v>0</v>
      </c>
      <c r="AE29" s="65">
        <f>IF((SUMIF(Shift_allowance_Entries!$B:$B,CPY!$B29,Shift_allowance_Entries!$H:$H)) &gt; (SUMIF(Shift_allowance_Entries!$B:$B,CPY!$B29,Shift_allowance_Entries!$G:$G)),0,((SUMIF(Shift_allowance_Entries!$B:$B,CPY!$B29,Shift_allowance_Entries!$G:$G))-(SUMIF(Shift_allowance_Entries!$B:$B,CPY!$B29,Shift_allowance_Entries!$H:$H))))</f>
        <v>0</v>
      </c>
      <c r="AF29" s="63">
        <f>AE29*MD!$S$4</f>
        <v>0</v>
      </c>
    </row>
    <row r="30" spans="1:32" x14ac:dyDescent="0.25">
      <c r="A30" s="62">
        <v>28</v>
      </c>
      <c r="B30" s="62"/>
      <c r="C30" s="50" t="str">
        <f>IF(ISNA(VLOOKUP($B30,Summary!$B:$D,2,FALSE))=TRUE," ",VLOOKUP($B30,Summary!$B:$D,2,FALSE))</f>
        <v> </v>
      </c>
      <c r="D30" s="50" t="str">
        <f>IF(ISNA(VLOOKUP($B30,Summary!$B:$D,3,FALSE))=TRUE," ",VLOOKUP($B30,Summary!$B:$D,3,FALSE))</f>
        <v> </v>
      </c>
      <c r="E30" s="62"/>
      <c r="F30" s="62"/>
      <c r="G30" s="62"/>
      <c r="I30" s="63">
        <f t="shared" si="0"/>
        <v>0</v>
      </c>
      <c r="K30" s="64">
        <f>IF(E30="Support(L1_L2)",IF(NOT(ISBLANK(B30)),IF(NOT(ISBLANK(D30)),NETWORKDAYS('CPY TOC'!$F$5,'CPY TOC'!$G$5))))-L30</f>
        <v>0</v>
      </c>
      <c r="L30" s="64">
        <f>IF(E30="Support(L1_L2)",SUMIFS(Support_allowance_Entries!$G:$G,Support_allowance_Entries!$B:$B,CPY!B30),0)</f>
        <v>0</v>
      </c>
      <c r="M30" s="63" t="b">
        <f>IF($D30="D0",MD!$C$4*(K30),IF($D30="D1",MD!$C$5*(K30),IF($D30="D2",MD!$C$6*(K30),IF($D30="D3",MD!$C$7*(K30),IF($D30="D4",MD!$C$8*(K30),IF($D30="D5",MD!$C$9*(K30),IF($D30="M1",MD!$C$10*(K30),IF($D30="T1",MD!$C$11*(K30)))))))))</f>
        <v>0</v>
      </c>
      <c r="O30" s="65">
        <f>SUMIFS(Shift_allowance_Entries!$G:$G,Shift_allowance_Entries!$F:$F,"6:30AM-03:30PM",Shift_allowance_Entries!$B:$B,CPY!$B30)</f>
        <v>0</v>
      </c>
      <c r="P30" s="65">
        <f>SUMIFS(Shift_allowance_Entries!$G:$G,Shift_allowance_Entries!$F:$F,"1-9PM/2:30PM-11:30PM",Shift_allowance_Entries!$B:$B,CPY!$B30)</f>
        <v>0</v>
      </c>
      <c r="Q30" s="65">
        <f>SUMIFS(Shift_allowance_Entries!$G:$G,Shift_allowance_Entries!$F:$F,"11PM-7AM",Shift_allowance_Entries!$B:$B,CPY!$B30)</f>
        <v>0</v>
      </c>
      <c r="R30" s="63">
        <f>(CPY!O30*MD!$F$4)+(CPY!P30*MD!$F$5)+(CPY!Q30*MD!$F$6)</f>
        <v>0</v>
      </c>
      <c r="T30" s="64">
        <f>ROUNDUP((SUMIFS('OOH Activities'!$K:$K,'OOH Activities'!$F:$F,"Non_workdays",'OOH Activities'!$B:$B,CPY!B30)) *24,1)</f>
        <v>0</v>
      </c>
      <c r="U30" s="64">
        <f>ROUNDUP((SUMIFS('OOH Activities'!$K:$K,'OOH Activities'!$F:$F,"Workdays",'OOH Activities'!$B:$B,CPY!B30)) *24,1)</f>
        <v>0</v>
      </c>
      <c r="V30" s="63">
        <f>ROUNDUP((SUMIFS('OOH Activities'!$L:$L,'OOH Activities'!$B:$B,CPY!B30)),1)</f>
        <v>0</v>
      </c>
      <c r="X30" s="65">
        <f>ROUNDUP((SUMIFS('ON Call_Call Out Activities'!$L:$L,'ON Call_Call Out Activities'!$F:$F,"Workdays",'ON Call_Call Out Activities'!$B:$B,CPY!B30))*24,1)</f>
        <v>0</v>
      </c>
      <c r="Y30" s="64">
        <f>ROUNDUP((SUMIFS('ON Call_Call Out Activities'!$L:$L,'ON Call_Call Out Activities'!$F:$F,"Non_workdays",'ON Call_Call Out Activities'!$B:$B,CPY!B30)) *24,1)</f>
        <v>0</v>
      </c>
      <c r="Z30" s="63">
        <f>ROUNDUP((SUMIFS('ON Call_Call Out Activities'!$M:$M,'ON Call_Call Out Activities'!$F:$F,"Non_workdays",'ON Call_Call Out Activities'!$B:$B,CPY!B30)),1) + ROUNDUP((SUMIFS('ON Call_Call Out Activities'!$M:$M,'ON Call_Call Out Activities'!$F:$F,"Workdays",'ON Call_Call Out Activities'!$B:$B,CPY!B30)),1)</f>
        <v>0</v>
      </c>
      <c r="AA30" s="66"/>
      <c r="AB30" s="64">
        <f>ROUNDUP((SUMIFS('ON Call_Call Out Activities'!$L:$L,'ON Call_Call Out Activities'!$F:$F,"Call_Out",'ON Call_Call Out Activities'!$B:$B,CPY!B30)) *24,1)</f>
        <v>0</v>
      </c>
      <c r="AC30" s="63">
        <f>ROUNDUP((SUMIFS('ON Call_Call Out Activities'!$M:$M,'ON Call_Call Out Activities'!$F:$F,"Call_Out",'ON Call_Call Out Activities'!$B:$B,CPY!B30)),1)</f>
        <v>0</v>
      </c>
      <c r="AE30" s="65">
        <f>IF((SUMIF(Shift_allowance_Entries!$B:$B,CPY!$B30,Shift_allowance_Entries!$H:$H)) &gt; (SUMIF(Shift_allowance_Entries!$B:$B,CPY!$B30,Shift_allowance_Entries!$G:$G)),0,((SUMIF(Shift_allowance_Entries!$B:$B,CPY!$B30,Shift_allowance_Entries!$G:$G))-(SUMIF(Shift_allowance_Entries!$B:$B,CPY!$B30,Shift_allowance_Entries!$H:$H))))</f>
        <v>0</v>
      </c>
      <c r="AF30" s="63">
        <f>AE30*MD!$S$4</f>
        <v>0</v>
      </c>
    </row>
    <row r="31" spans="1:32" x14ac:dyDescent="0.25">
      <c r="A31" s="62">
        <v>29</v>
      </c>
      <c r="B31" s="62"/>
      <c r="C31" s="50" t="str">
        <f>IF(ISNA(VLOOKUP($B31,Summary!$B:$D,2,FALSE))=TRUE," ",VLOOKUP($B31,Summary!$B:$D,2,FALSE))</f>
        <v> </v>
      </c>
      <c r="D31" s="50" t="str">
        <f>IF(ISNA(VLOOKUP($B31,Summary!$B:$D,3,FALSE))=TRUE," ",VLOOKUP($B31,Summary!$B:$D,3,FALSE))</f>
        <v> </v>
      </c>
      <c r="E31" s="62"/>
      <c r="F31" s="62"/>
      <c r="G31" s="62"/>
      <c r="I31" s="63">
        <f t="shared" si="0"/>
        <v>0</v>
      </c>
      <c r="K31" s="64">
        <f>IF(E31="Support(L1_L2)",IF(NOT(ISBLANK(B31)),IF(NOT(ISBLANK(D31)),NETWORKDAYS('CPY TOC'!$F$5,'CPY TOC'!$G$5))))-L31</f>
        <v>0</v>
      </c>
      <c r="L31" s="64">
        <f>IF(E31="Support(L1_L2)",SUMIFS(Support_allowance_Entries!$G:$G,Support_allowance_Entries!$B:$B,CPY!B31),0)</f>
        <v>0</v>
      </c>
      <c r="M31" s="63" t="b">
        <f>IF($D31="D0",MD!$C$4*(K31),IF($D31="D1",MD!$C$5*(K31),IF($D31="D2",MD!$C$6*(K31),IF($D31="D3",MD!$C$7*(K31),IF($D31="D4",MD!$C$8*(K31),IF($D31="D5",MD!$C$9*(K31),IF($D31="M1",MD!$C$10*(K31),IF($D31="T1",MD!$C$11*(K31)))))))))</f>
        <v>0</v>
      </c>
      <c r="O31" s="65">
        <f>SUMIFS(Shift_allowance_Entries!$G:$G,Shift_allowance_Entries!$F:$F,"6:30AM-03:30PM",Shift_allowance_Entries!$B:$B,CPY!$B31)</f>
        <v>0</v>
      </c>
      <c r="P31" s="65">
        <f>SUMIFS(Shift_allowance_Entries!$G:$G,Shift_allowance_Entries!$F:$F,"1-9PM/2:30PM-11:30PM",Shift_allowance_Entries!$B:$B,CPY!$B31)</f>
        <v>0</v>
      </c>
      <c r="Q31" s="65">
        <f>SUMIFS(Shift_allowance_Entries!$G:$G,Shift_allowance_Entries!$F:$F,"11PM-7AM",Shift_allowance_Entries!$B:$B,CPY!$B31)</f>
        <v>0</v>
      </c>
      <c r="R31" s="63">
        <f>(CPY!O31*MD!$F$4)+(CPY!P31*MD!$F$5)+(CPY!Q31*MD!$F$6)</f>
        <v>0</v>
      </c>
      <c r="T31" s="64">
        <f>ROUNDUP((SUMIFS('OOH Activities'!$K:$K,'OOH Activities'!$F:$F,"Non_workdays",'OOH Activities'!$B:$B,CPY!B31)) *24,1)</f>
        <v>0</v>
      </c>
      <c r="U31" s="64">
        <f>ROUNDUP((SUMIFS('OOH Activities'!$K:$K,'OOH Activities'!$F:$F,"Workdays",'OOH Activities'!$B:$B,CPY!B31)) *24,1)</f>
        <v>0</v>
      </c>
      <c r="V31" s="63">
        <f>ROUNDUP((SUMIFS('OOH Activities'!$L:$L,'OOH Activities'!$B:$B,CPY!B31)),1)</f>
        <v>0</v>
      </c>
      <c r="X31" s="65">
        <f>ROUNDUP((SUMIFS('ON Call_Call Out Activities'!$L:$L,'ON Call_Call Out Activities'!$F:$F,"Workdays",'ON Call_Call Out Activities'!$B:$B,CPY!B31))*24,1)</f>
        <v>0</v>
      </c>
      <c r="Y31" s="64">
        <f>ROUNDUP((SUMIFS('ON Call_Call Out Activities'!$L:$L,'ON Call_Call Out Activities'!$F:$F,"Non_workdays",'ON Call_Call Out Activities'!$B:$B,CPY!B31)) *24,1)</f>
        <v>0</v>
      </c>
      <c r="Z31" s="63">
        <f>ROUNDUP((SUMIFS('ON Call_Call Out Activities'!$M:$M,'ON Call_Call Out Activities'!$F:$F,"Non_workdays",'ON Call_Call Out Activities'!$B:$B,CPY!B31)),1) + ROUNDUP((SUMIFS('ON Call_Call Out Activities'!$M:$M,'ON Call_Call Out Activities'!$F:$F,"Workdays",'ON Call_Call Out Activities'!$B:$B,CPY!B31)),1)</f>
        <v>0</v>
      </c>
      <c r="AA31" s="66"/>
      <c r="AB31" s="64">
        <f>ROUNDUP((SUMIFS('ON Call_Call Out Activities'!$L:$L,'ON Call_Call Out Activities'!$F:$F,"Call_Out",'ON Call_Call Out Activities'!$B:$B,CPY!B31)) *24,1)</f>
        <v>0</v>
      </c>
      <c r="AC31" s="63">
        <f>ROUNDUP((SUMIFS('ON Call_Call Out Activities'!$M:$M,'ON Call_Call Out Activities'!$F:$F,"Call_Out",'ON Call_Call Out Activities'!$B:$B,CPY!B31)),1)</f>
        <v>0</v>
      </c>
      <c r="AE31" s="65">
        <f>IF((SUMIF(Shift_allowance_Entries!$B:$B,CPY!$B31,Shift_allowance_Entries!$H:$H)) &gt; (SUMIF(Shift_allowance_Entries!$B:$B,CPY!$B31,Shift_allowance_Entries!$G:$G)),0,((SUMIF(Shift_allowance_Entries!$B:$B,CPY!$B31,Shift_allowance_Entries!$G:$G))-(SUMIF(Shift_allowance_Entries!$B:$B,CPY!$B31,Shift_allowance_Entries!$H:$H))))</f>
        <v>0</v>
      </c>
      <c r="AF31" s="63">
        <f>AE31*MD!$S$4</f>
        <v>0</v>
      </c>
    </row>
    <row r="32" spans="1:32" x14ac:dyDescent="0.25">
      <c r="A32" s="62">
        <v>30</v>
      </c>
      <c r="B32" s="62"/>
      <c r="C32" s="50" t="str">
        <f>IF(ISNA(VLOOKUP($B32,Summary!$B:$D,2,FALSE))=TRUE," ",VLOOKUP($B32,Summary!$B:$D,2,FALSE))</f>
        <v> </v>
      </c>
      <c r="D32" s="50" t="str">
        <f>IF(ISNA(VLOOKUP($B32,Summary!$B:$D,3,FALSE))=TRUE," ",VLOOKUP($B32,Summary!$B:$D,3,FALSE))</f>
        <v> </v>
      </c>
      <c r="E32" s="62"/>
      <c r="F32" s="62"/>
      <c r="G32" s="62"/>
      <c r="I32" s="63">
        <f t="shared" si="0"/>
        <v>0</v>
      </c>
      <c r="K32" s="64">
        <f>IF(E32="Support(L1_L2)",IF(NOT(ISBLANK(B32)),IF(NOT(ISBLANK(D32)),NETWORKDAYS('CPY TOC'!$F$5,'CPY TOC'!$G$5))))-L32</f>
        <v>0</v>
      </c>
      <c r="L32" s="64">
        <f>IF(E32="Support(L1_L2)",SUMIFS(Support_allowance_Entries!$G:$G,Support_allowance_Entries!$B:$B,CPY!B32),0)</f>
        <v>0</v>
      </c>
      <c r="M32" s="63" t="b">
        <f>IF($D32="D0",MD!$C$4*(K32),IF($D32="D1",MD!$C$5*(K32),IF($D32="D2",MD!$C$6*(K32),IF($D32="D3",MD!$C$7*(K32),IF($D32="D4",MD!$C$8*(K32),IF($D32="D5",MD!$C$9*(K32),IF($D32="M1",MD!$C$10*(K32),IF($D32="T1",MD!$C$11*(K32)))))))))</f>
        <v>0</v>
      </c>
      <c r="O32" s="65">
        <f>SUMIFS(Shift_allowance_Entries!$G:$G,Shift_allowance_Entries!$F:$F,"6:30AM-03:30PM",Shift_allowance_Entries!$B:$B,CPY!$B32)</f>
        <v>0</v>
      </c>
      <c r="P32" s="65">
        <f>SUMIFS(Shift_allowance_Entries!$G:$G,Shift_allowance_Entries!$F:$F,"1-9PM/2:30PM-11:30PM",Shift_allowance_Entries!$B:$B,CPY!$B32)</f>
        <v>0</v>
      </c>
      <c r="Q32" s="65">
        <f>SUMIFS(Shift_allowance_Entries!$G:$G,Shift_allowance_Entries!$F:$F,"11PM-7AM",Shift_allowance_Entries!$B:$B,CPY!$B32)</f>
        <v>0</v>
      </c>
      <c r="R32" s="63">
        <f>(CPY!O32*MD!$F$4)+(CPY!P32*MD!$F$5)+(CPY!Q32*MD!$F$6)</f>
        <v>0</v>
      </c>
      <c r="T32" s="64">
        <f>ROUNDUP((SUMIFS('OOH Activities'!$K:$K,'OOH Activities'!$F:$F,"Non_workdays",'OOH Activities'!$B:$B,CPY!B32)) *24,1)</f>
        <v>0</v>
      </c>
      <c r="U32" s="64">
        <f>ROUNDUP((SUMIFS('OOH Activities'!$K:$K,'OOH Activities'!$F:$F,"Workdays",'OOH Activities'!$B:$B,CPY!B32)) *24,1)</f>
        <v>0</v>
      </c>
      <c r="V32" s="63">
        <f>ROUNDUP((SUMIFS('OOH Activities'!$L:$L,'OOH Activities'!$B:$B,CPY!B32)),1)</f>
        <v>0</v>
      </c>
      <c r="X32" s="65">
        <f>ROUNDUP((SUMIFS('ON Call_Call Out Activities'!$L:$L,'ON Call_Call Out Activities'!$F:$F,"Workdays",'ON Call_Call Out Activities'!$B:$B,CPY!B32))*24,1)</f>
        <v>0</v>
      </c>
      <c r="Y32" s="64">
        <f>ROUNDUP((SUMIFS('ON Call_Call Out Activities'!$L:$L,'ON Call_Call Out Activities'!$F:$F,"Non_workdays",'ON Call_Call Out Activities'!$B:$B,CPY!B32)) *24,1)</f>
        <v>0</v>
      </c>
      <c r="Z32" s="63">
        <f>ROUNDUP((SUMIFS('ON Call_Call Out Activities'!$M:$M,'ON Call_Call Out Activities'!$F:$F,"Non_workdays",'ON Call_Call Out Activities'!$B:$B,CPY!B32)),1) + ROUNDUP((SUMIFS('ON Call_Call Out Activities'!$M:$M,'ON Call_Call Out Activities'!$F:$F,"Workdays",'ON Call_Call Out Activities'!$B:$B,CPY!B32)),1)</f>
        <v>0</v>
      </c>
      <c r="AA32" s="66"/>
      <c r="AB32" s="64">
        <f>ROUNDUP((SUMIFS('ON Call_Call Out Activities'!$L:$L,'ON Call_Call Out Activities'!$F:$F,"Call_Out",'ON Call_Call Out Activities'!$B:$B,CPY!B32)) *24,1)</f>
        <v>0</v>
      </c>
      <c r="AC32" s="63">
        <f>ROUNDUP((SUMIFS('ON Call_Call Out Activities'!$M:$M,'ON Call_Call Out Activities'!$F:$F,"Call_Out",'ON Call_Call Out Activities'!$B:$B,CPY!B32)),1)</f>
        <v>0</v>
      </c>
      <c r="AE32" s="65">
        <f>IF((SUMIF(Shift_allowance_Entries!$B:$B,CPY!$B32,Shift_allowance_Entries!$H:$H)) &gt; (SUMIF(Shift_allowance_Entries!$B:$B,CPY!$B32,Shift_allowance_Entries!$G:$G)),0,((SUMIF(Shift_allowance_Entries!$B:$B,CPY!$B32,Shift_allowance_Entries!$G:$G))-(SUMIF(Shift_allowance_Entries!$B:$B,CPY!$B32,Shift_allowance_Entries!$H:$H))))</f>
        <v>0</v>
      </c>
      <c r="AF32" s="63">
        <f>AE32*MD!$S$4</f>
        <v>0</v>
      </c>
    </row>
    <row r="33" spans="1:32" x14ac:dyDescent="0.25">
      <c r="A33" s="62">
        <v>31</v>
      </c>
      <c r="B33" s="62"/>
      <c r="C33" s="50" t="str">
        <f>IF(ISNA(VLOOKUP($B33,Summary!$B:$D,2,FALSE))=TRUE," ",VLOOKUP($B33,Summary!$B:$D,2,FALSE))</f>
        <v> </v>
      </c>
      <c r="D33" s="50" t="str">
        <f>IF(ISNA(VLOOKUP($B33,Summary!$B:$D,3,FALSE))=TRUE," ",VLOOKUP($B33,Summary!$B:$D,3,FALSE))</f>
        <v> </v>
      </c>
      <c r="E33" s="62"/>
      <c r="F33" s="62"/>
      <c r="G33" s="62"/>
      <c r="I33" s="63">
        <f t="shared" si="0"/>
        <v>0</v>
      </c>
      <c r="K33" s="64">
        <f>IF(E33="Support(L1_L2)",IF(NOT(ISBLANK(B33)),IF(NOT(ISBLANK(D33)),NETWORKDAYS('CPY TOC'!$F$5,'CPY TOC'!$G$5))))-L33</f>
        <v>0</v>
      </c>
      <c r="L33" s="64">
        <f>IF(E33="Support(L1_L2)",SUMIFS(Support_allowance_Entries!$G:$G,Support_allowance_Entries!$B:$B,CPY!B33),0)</f>
        <v>0</v>
      </c>
      <c r="M33" s="63" t="b">
        <f>IF($D33="D0",MD!$C$4*(K33),IF($D33="D1",MD!$C$5*(K33),IF($D33="D2",MD!$C$6*(K33),IF($D33="D3",MD!$C$7*(K33),IF($D33="D4",MD!$C$8*(K33),IF($D33="D5",MD!$C$9*(K33),IF($D33="M1",MD!$C$10*(K33),IF($D33="T1",MD!$C$11*(K33)))))))))</f>
        <v>0</v>
      </c>
      <c r="O33" s="65">
        <f>SUMIFS(Shift_allowance_Entries!$G:$G,Shift_allowance_Entries!$F:$F,"6:30AM-03:30PM",Shift_allowance_Entries!$B:$B,CPY!$B33)</f>
        <v>0</v>
      </c>
      <c r="P33" s="65">
        <f>SUMIFS(Shift_allowance_Entries!$G:$G,Shift_allowance_Entries!$F:$F,"1-9PM/2:30PM-11:30PM",Shift_allowance_Entries!$B:$B,CPY!$B33)</f>
        <v>0</v>
      </c>
      <c r="Q33" s="65">
        <f>SUMIFS(Shift_allowance_Entries!$G:$G,Shift_allowance_Entries!$F:$F,"11PM-7AM",Shift_allowance_Entries!$B:$B,CPY!$B33)</f>
        <v>0</v>
      </c>
      <c r="R33" s="63">
        <f>(CPY!O33*MD!$F$4)+(CPY!P33*MD!$F$5)+(CPY!Q33*MD!$F$6)</f>
        <v>0</v>
      </c>
      <c r="T33" s="64">
        <f>ROUNDUP((SUMIFS('OOH Activities'!$K:$K,'OOH Activities'!$F:$F,"Non_workdays",'OOH Activities'!$B:$B,CPY!B33)) *24,1)</f>
        <v>0</v>
      </c>
      <c r="U33" s="64">
        <f>ROUNDUP((SUMIFS('OOH Activities'!$K:$K,'OOH Activities'!$F:$F,"Workdays",'OOH Activities'!$B:$B,CPY!B33)) *24,1)</f>
        <v>0</v>
      </c>
      <c r="V33" s="63">
        <f>ROUNDUP((SUMIFS('OOH Activities'!$L:$L,'OOH Activities'!$B:$B,CPY!B33)),1)</f>
        <v>0</v>
      </c>
      <c r="X33" s="65">
        <f>ROUNDUP((SUMIFS('ON Call_Call Out Activities'!$L:$L,'ON Call_Call Out Activities'!$F:$F,"Workdays",'ON Call_Call Out Activities'!$B:$B,CPY!B33))*24,1)</f>
        <v>0</v>
      </c>
      <c r="Y33" s="64">
        <f>ROUNDUP((SUMIFS('ON Call_Call Out Activities'!$L:$L,'ON Call_Call Out Activities'!$F:$F,"Non_workdays",'ON Call_Call Out Activities'!$B:$B,CPY!B33)) *24,1)</f>
        <v>0</v>
      </c>
      <c r="Z33" s="63">
        <f>ROUNDUP((SUMIFS('ON Call_Call Out Activities'!$M:$M,'ON Call_Call Out Activities'!$F:$F,"Non_workdays",'ON Call_Call Out Activities'!$B:$B,CPY!B33)),1) + ROUNDUP((SUMIFS('ON Call_Call Out Activities'!$M:$M,'ON Call_Call Out Activities'!$F:$F,"Workdays",'ON Call_Call Out Activities'!$B:$B,CPY!B33)),1)</f>
        <v>0</v>
      </c>
      <c r="AA33" s="66"/>
      <c r="AB33" s="64">
        <f>ROUNDUP((SUMIFS('ON Call_Call Out Activities'!$L:$L,'ON Call_Call Out Activities'!$F:$F,"Call_Out",'ON Call_Call Out Activities'!$B:$B,CPY!B33)) *24,1)</f>
        <v>0</v>
      </c>
      <c r="AC33" s="63">
        <f>ROUNDUP((SUMIFS('ON Call_Call Out Activities'!$M:$M,'ON Call_Call Out Activities'!$F:$F,"Call_Out",'ON Call_Call Out Activities'!$B:$B,CPY!B33)),1)</f>
        <v>0</v>
      </c>
      <c r="AE33" s="65">
        <f>IF((SUMIF(Shift_allowance_Entries!$B:$B,CPY!$B33,Shift_allowance_Entries!$H:$H)) &gt; (SUMIF(Shift_allowance_Entries!$B:$B,CPY!$B33,Shift_allowance_Entries!$G:$G)),0,((SUMIF(Shift_allowance_Entries!$B:$B,CPY!$B33,Shift_allowance_Entries!$G:$G))-(SUMIF(Shift_allowance_Entries!$B:$B,CPY!$B33,Shift_allowance_Entries!$H:$H))))</f>
        <v>0</v>
      </c>
      <c r="AF33" s="63">
        <f>AE33*MD!$S$4</f>
        <v>0</v>
      </c>
    </row>
    <row r="34" spans="1:32" x14ac:dyDescent="0.25">
      <c r="A34" s="62">
        <v>32</v>
      </c>
      <c r="B34" s="62"/>
      <c r="C34" s="50" t="str">
        <f>IF(ISNA(VLOOKUP($B34,Summary!$B:$D,2,FALSE))=TRUE," ",VLOOKUP($B34,Summary!$B:$D,2,FALSE))</f>
        <v> </v>
      </c>
      <c r="D34" s="50" t="str">
        <f>IF(ISNA(VLOOKUP($B34,Summary!$B:$D,3,FALSE))=TRUE," ",VLOOKUP($B34,Summary!$B:$D,3,FALSE))</f>
        <v> </v>
      </c>
      <c r="E34" s="62"/>
      <c r="F34" s="62"/>
      <c r="G34" s="62"/>
      <c r="I34" s="63">
        <f t="shared" si="0"/>
        <v>0</v>
      </c>
      <c r="K34" s="64">
        <f>IF(E34="Support(L1_L2)",IF(NOT(ISBLANK(B34)),IF(NOT(ISBLANK(D34)),NETWORKDAYS('CPY TOC'!$F$5,'CPY TOC'!$G$5))))-L34</f>
        <v>0</v>
      </c>
      <c r="L34" s="64">
        <f>IF(E34="Support(L1_L2)",SUMIFS(Support_allowance_Entries!$G:$G,Support_allowance_Entries!$B:$B,CPY!B34),0)</f>
        <v>0</v>
      </c>
      <c r="M34" s="63" t="b">
        <f>IF($D34="D0",MD!$C$4*(K34),IF($D34="D1",MD!$C$5*(K34),IF($D34="D2",MD!$C$6*(K34),IF($D34="D3",MD!$C$7*(K34),IF($D34="D4",MD!$C$8*(K34),IF($D34="D5",MD!$C$9*(K34),IF($D34="M1",MD!$C$10*(K34),IF($D34="T1",MD!$C$11*(K34)))))))))</f>
        <v>0</v>
      </c>
      <c r="O34" s="65">
        <f>SUMIFS(Shift_allowance_Entries!$G:$G,Shift_allowance_Entries!$F:$F,"6:30AM-03:30PM",Shift_allowance_Entries!$B:$B,CPY!$B34)</f>
        <v>0</v>
      </c>
      <c r="P34" s="65">
        <f>SUMIFS(Shift_allowance_Entries!$G:$G,Shift_allowance_Entries!$F:$F,"1-9PM/2:30PM-11:30PM",Shift_allowance_Entries!$B:$B,CPY!$B34)</f>
        <v>0</v>
      </c>
      <c r="Q34" s="65">
        <f>SUMIFS(Shift_allowance_Entries!$G:$G,Shift_allowance_Entries!$F:$F,"11PM-7AM",Shift_allowance_Entries!$B:$B,CPY!$B34)</f>
        <v>0</v>
      </c>
      <c r="R34" s="63">
        <f>(CPY!O34*MD!$F$4)+(CPY!P34*MD!$F$5)+(CPY!Q34*MD!$F$6)</f>
        <v>0</v>
      </c>
      <c r="T34" s="64">
        <f>ROUNDUP((SUMIFS('OOH Activities'!$K:$K,'OOH Activities'!$F:$F,"Non_workdays",'OOH Activities'!$B:$B,CPY!B34)) *24,1)</f>
        <v>0</v>
      </c>
      <c r="U34" s="64">
        <f>ROUNDUP((SUMIFS('OOH Activities'!$K:$K,'OOH Activities'!$F:$F,"Workdays",'OOH Activities'!$B:$B,CPY!B34)) *24,1)</f>
        <v>0</v>
      </c>
      <c r="V34" s="63">
        <f>ROUNDUP((SUMIFS('OOH Activities'!$L:$L,'OOH Activities'!$B:$B,CPY!B34)),1)</f>
        <v>0</v>
      </c>
      <c r="X34" s="65">
        <f>ROUNDUP((SUMIFS('ON Call_Call Out Activities'!$L:$L,'ON Call_Call Out Activities'!$F:$F,"Workdays",'ON Call_Call Out Activities'!$B:$B,CPY!B34))*24,1)</f>
        <v>0</v>
      </c>
      <c r="Y34" s="64">
        <f>ROUNDUP((SUMIFS('ON Call_Call Out Activities'!$L:$L,'ON Call_Call Out Activities'!$F:$F,"Non_workdays",'ON Call_Call Out Activities'!$B:$B,CPY!B34)) *24,1)</f>
        <v>0</v>
      </c>
      <c r="Z34" s="63">
        <f>ROUNDUP((SUMIFS('ON Call_Call Out Activities'!$M:$M,'ON Call_Call Out Activities'!$F:$F,"Non_workdays",'ON Call_Call Out Activities'!$B:$B,CPY!B34)),1) + ROUNDUP((SUMIFS('ON Call_Call Out Activities'!$M:$M,'ON Call_Call Out Activities'!$F:$F,"Workdays",'ON Call_Call Out Activities'!$B:$B,CPY!B34)),1)</f>
        <v>0</v>
      </c>
      <c r="AA34" s="66"/>
      <c r="AB34" s="64">
        <f>ROUNDUP((SUMIFS('ON Call_Call Out Activities'!$L:$L,'ON Call_Call Out Activities'!$F:$F,"Call_Out",'ON Call_Call Out Activities'!$B:$B,CPY!B34)) *24,1)</f>
        <v>0</v>
      </c>
      <c r="AC34" s="63">
        <f>ROUNDUP((SUMIFS('ON Call_Call Out Activities'!$M:$M,'ON Call_Call Out Activities'!$F:$F,"Call_Out",'ON Call_Call Out Activities'!$B:$B,CPY!B34)),1)</f>
        <v>0</v>
      </c>
      <c r="AE34" s="65">
        <f>IF((SUMIF(Shift_allowance_Entries!$B:$B,CPY!$B34,Shift_allowance_Entries!$H:$H)) &gt; (SUMIF(Shift_allowance_Entries!$B:$B,CPY!$B34,Shift_allowance_Entries!$G:$G)),0,((SUMIF(Shift_allowance_Entries!$B:$B,CPY!$B34,Shift_allowance_Entries!$G:$G))-(SUMIF(Shift_allowance_Entries!$B:$B,CPY!$B34,Shift_allowance_Entries!$H:$H))))</f>
        <v>0</v>
      </c>
      <c r="AF34" s="63">
        <f>AE34*MD!$S$4</f>
        <v>0</v>
      </c>
    </row>
    <row r="35" spans="1:32" x14ac:dyDescent="0.25">
      <c r="A35" s="62">
        <v>33</v>
      </c>
      <c r="B35" s="62"/>
      <c r="C35" s="50" t="str">
        <f>IF(ISNA(VLOOKUP($B35,Summary!$B:$D,2,FALSE))=TRUE," ",VLOOKUP($B35,Summary!$B:$D,2,FALSE))</f>
        <v> </v>
      </c>
      <c r="D35" s="50" t="str">
        <f>IF(ISNA(VLOOKUP($B35,Summary!$B:$D,3,FALSE))=TRUE," ",VLOOKUP($B35,Summary!$B:$D,3,FALSE))</f>
        <v> </v>
      </c>
      <c r="E35" s="62"/>
      <c r="F35" s="62"/>
      <c r="G35" s="62"/>
      <c r="I35" s="63">
        <f t="shared" si="0"/>
        <v>0</v>
      </c>
      <c r="K35" s="64">
        <f>IF(E35="Support(L1_L2)",IF(NOT(ISBLANK(B35)),IF(NOT(ISBLANK(D35)),NETWORKDAYS('CPY TOC'!$F$5,'CPY TOC'!$G$5))))-L35</f>
        <v>0</v>
      </c>
      <c r="L35" s="64">
        <f>IF(E35="Support(L1_L2)",SUMIFS(Support_allowance_Entries!$G:$G,Support_allowance_Entries!$B:$B,CPY!B35),0)</f>
        <v>0</v>
      </c>
      <c r="M35" s="63" t="b">
        <f>IF($D35="D0",MD!$C$4*(K35),IF($D35="D1",MD!$C$5*(K35),IF($D35="D2",MD!$C$6*(K35),IF($D35="D3",MD!$C$7*(K35),IF($D35="D4",MD!$C$8*(K35),IF($D35="D5",MD!$C$9*(K35),IF($D35="M1",MD!$C$10*(K35),IF($D35="T1",MD!$C$11*(K35)))))))))</f>
        <v>0</v>
      </c>
      <c r="O35" s="65">
        <f>SUMIFS(Shift_allowance_Entries!$G:$G,Shift_allowance_Entries!$F:$F,"6:30AM-03:30PM",Shift_allowance_Entries!$B:$B,CPY!$B35)</f>
        <v>0</v>
      </c>
      <c r="P35" s="65">
        <f>SUMIFS(Shift_allowance_Entries!$G:$G,Shift_allowance_Entries!$F:$F,"1-9PM/2:30PM-11:30PM",Shift_allowance_Entries!$B:$B,CPY!$B35)</f>
        <v>0</v>
      </c>
      <c r="Q35" s="65">
        <f>SUMIFS(Shift_allowance_Entries!$G:$G,Shift_allowance_Entries!$F:$F,"11PM-7AM",Shift_allowance_Entries!$B:$B,CPY!$B35)</f>
        <v>0</v>
      </c>
      <c r="R35" s="63">
        <f>(CPY!O35*MD!$F$4)+(CPY!P35*MD!$F$5)+(CPY!Q35*MD!$F$6)</f>
        <v>0</v>
      </c>
      <c r="T35" s="64">
        <f>ROUNDUP((SUMIFS('OOH Activities'!$K:$K,'OOH Activities'!$F:$F,"Non_workdays",'OOH Activities'!$B:$B,CPY!B35)) *24,1)</f>
        <v>0</v>
      </c>
      <c r="U35" s="64">
        <f>ROUNDUP((SUMIFS('OOH Activities'!$K:$K,'OOH Activities'!$F:$F,"Workdays",'OOH Activities'!$B:$B,CPY!B35)) *24,1)</f>
        <v>0</v>
      </c>
      <c r="V35" s="63">
        <f>ROUNDUP((SUMIFS('OOH Activities'!$L:$L,'OOH Activities'!$B:$B,CPY!B35)),1)</f>
        <v>0</v>
      </c>
      <c r="X35" s="65">
        <f>ROUNDUP((SUMIFS('ON Call_Call Out Activities'!$L:$L,'ON Call_Call Out Activities'!$F:$F,"Workdays",'ON Call_Call Out Activities'!$B:$B,CPY!B35))*24,1)</f>
        <v>0</v>
      </c>
      <c r="Y35" s="64">
        <f>ROUNDUP((SUMIFS('ON Call_Call Out Activities'!$L:$L,'ON Call_Call Out Activities'!$F:$F,"Non_workdays",'ON Call_Call Out Activities'!$B:$B,CPY!B35)) *24,1)</f>
        <v>0</v>
      </c>
      <c r="Z35" s="63">
        <f>ROUNDUP((SUMIFS('ON Call_Call Out Activities'!$M:$M,'ON Call_Call Out Activities'!$F:$F,"Non_workdays",'ON Call_Call Out Activities'!$B:$B,CPY!B35)),1) + ROUNDUP((SUMIFS('ON Call_Call Out Activities'!$M:$M,'ON Call_Call Out Activities'!$F:$F,"Workdays",'ON Call_Call Out Activities'!$B:$B,CPY!B35)),1)</f>
        <v>0</v>
      </c>
      <c r="AA35" s="66"/>
      <c r="AB35" s="64">
        <f>ROUNDUP((SUMIFS('ON Call_Call Out Activities'!$L:$L,'ON Call_Call Out Activities'!$F:$F,"Call_Out",'ON Call_Call Out Activities'!$B:$B,CPY!B35)) *24,1)</f>
        <v>0</v>
      </c>
      <c r="AC35" s="63">
        <f>ROUNDUP((SUMIFS('ON Call_Call Out Activities'!$M:$M,'ON Call_Call Out Activities'!$F:$F,"Call_Out",'ON Call_Call Out Activities'!$B:$B,CPY!B35)),1)</f>
        <v>0</v>
      </c>
      <c r="AE35" s="65">
        <f>IF((SUMIF(Shift_allowance_Entries!$B:$B,CPY!$B35,Shift_allowance_Entries!$H:$H)) &gt; (SUMIF(Shift_allowance_Entries!$B:$B,CPY!$B35,Shift_allowance_Entries!$G:$G)),0,((SUMIF(Shift_allowance_Entries!$B:$B,CPY!$B35,Shift_allowance_Entries!$G:$G))-(SUMIF(Shift_allowance_Entries!$B:$B,CPY!$B35,Shift_allowance_Entries!$H:$H))))</f>
        <v>0</v>
      </c>
      <c r="AF35" s="63">
        <f>AE35*MD!$S$4</f>
        <v>0</v>
      </c>
    </row>
    <row r="36" spans="1:32" x14ac:dyDescent="0.25">
      <c r="A36" s="62">
        <v>34</v>
      </c>
      <c r="B36" s="62"/>
      <c r="C36" s="50" t="str">
        <f>IF(ISNA(VLOOKUP($B36,Summary!$B:$D,2,FALSE))=TRUE," ",VLOOKUP($B36,Summary!$B:$D,2,FALSE))</f>
        <v> </v>
      </c>
      <c r="D36" s="50" t="str">
        <f>IF(ISNA(VLOOKUP($B36,Summary!$B:$D,3,FALSE))=TRUE," ",VLOOKUP($B36,Summary!$B:$D,3,FALSE))</f>
        <v> </v>
      </c>
      <c r="E36" s="62"/>
      <c r="F36" s="62"/>
      <c r="G36" s="62"/>
      <c r="I36" s="63">
        <f t="shared" si="0"/>
        <v>0</v>
      </c>
      <c r="K36" s="64">
        <f>IF(E36="Support(L1_L2)",IF(NOT(ISBLANK(B36)),IF(NOT(ISBLANK(D36)),NETWORKDAYS('CPY TOC'!$F$5,'CPY TOC'!$G$5))))-L36</f>
        <v>0</v>
      </c>
      <c r="L36" s="64">
        <f>IF(E36="Support(L1_L2)",SUMIFS(Support_allowance_Entries!$G:$G,Support_allowance_Entries!$B:$B,CPY!B36),0)</f>
        <v>0</v>
      </c>
      <c r="M36" s="63" t="b">
        <f>IF($D36="D0",MD!$C$4*(K36),IF($D36="D1",MD!$C$5*(K36),IF($D36="D2",MD!$C$6*(K36),IF($D36="D3",MD!$C$7*(K36),IF($D36="D4",MD!$C$8*(K36),IF($D36="D5",MD!$C$9*(K36),IF($D36="M1",MD!$C$10*(K36),IF($D36="T1",MD!$C$11*(K36)))))))))</f>
        <v>0</v>
      </c>
      <c r="O36" s="65">
        <f>SUMIFS(Shift_allowance_Entries!$G:$G,Shift_allowance_Entries!$F:$F,"6:30AM-03:30PM",Shift_allowance_Entries!$B:$B,CPY!$B36)</f>
        <v>0</v>
      </c>
      <c r="P36" s="65">
        <f>SUMIFS(Shift_allowance_Entries!$G:$G,Shift_allowance_Entries!$F:$F,"1-9PM/2:30PM-11:30PM",Shift_allowance_Entries!$B:$B,CPY!$B36)</f>
        <v>0</v>
      </c>
      <c r="Q36" s="65">
        <f>SUMIFS(Shift_allowance_Entries!$G:$G,Shift_allowance_Entries!$F:$F,"11PM-7AM",Shift_allowance_Entries!$B:$B,CPY!$B36)</f>
        <v>0</v>
      </c>
      <c r="R36" s="63">
        <f>(CPY!O36*MD!$F$4)+(CPY!P36*MD!$F$5)+(CPY!Q36*MD!$F$6)</f>
        <v>0</v>
      </c>
      <c r="T36" s="64">
        <f>ROUNDUP((SUMIFS('OOH Activities'!$K:$K,'OOH Activities'!$F:$F,"Non_workdays",'OOH Activities'!$B:$B,CPY!B36)) *24,1)</f>
        <v>0</v>
      </c>
      <c r="U36" s="64">
        <f>ROUNDUP((SUMIFS('OOH Activities'!$K:$K,'OOH Activities'!$F:$F,"Workdays",'OOH Activities'!$B:$B,CPY!B36)) *24,1)</f>
        <v>0</v>
      </c>
      <c r="V36" s="63">
        <f>ROUNDUP((SUMIFS('OOH Activities'!$L:$L,'OOH Activities'!$B:$B,CPY!B36)),1)</f>
        <v>0</v>
      </c>
      <c r="X36" s="65">
        <f>ROUNDUP((SUMIFS('ON Call_Call Out Activities'!$L:$L,'ON Call_Call Out Activities'!$F:$F,"Workdays",'ON Call_Call Out Activities'!$B:$B,CPY!B36))*24,1)</f>
        <v>0</v>
      </c>
      <c r="Y36" s="64">
        <f>ROUNDUP((SUMIFS('ON Call_Call Out Activities'!$L:$L,'ON Call_Call Out Activities'!$F:$F,"Non_workdays",'ON Call_Call Out Activities'!$B:$B,CPY!B36)) *24,1)</f>
        <v>0</v>
      </c>
      <c r="Z36" s="63">
        <f>ROUNDUP((SUMIFS('ON Call_Call Out Activities'!$M:$M,'ON Call_Call Out Activities'!$F:$F,"Non_workdays",'ON Call_Call Out Activities'!$B:$B,CPY!B36)),1) + ROUNDUP((SUMIFS('ON Call_Call Out Activities'!$M:$M,'ON Call_Call Out Activities'!$F:$F,"Workdays",'ON Call_Call Out Activities'!$B:$B,CPY!B36)),1)</f>
        <v>0</v>
      </c>
      <c r="AA36" s="66"/>
      <c r="AB36" s="64">
        <f>ROUNDUP((SUMIFS('ON Call_Call Out Activities'!$L:$L,'ON Call_Call Out Activities'!$F:$F,"Call_Out",'ON Call_Call Out Activities'!$B:$B,CPY!B36)) *24,1)</f>
        <v>0</v>
      </c>
      <c r="AC36" s="63">
        <f>ROUNDUP((SUMIFS('ON Call_Call Out Activities'!$M:$M,'ON Call_Call Out Activities'!$F:$F,"Call_Out",'ON Call_Call Out Activities'!$B:$B,CPY!B36)),1)</f>
        <v>0</v>
      </c>
      <c r="AE36" s="65">
        <f>IF((SUMIF(Shift_allowance_Entries!$B:$B,CPY!$B36,Shift_allowance_Entries!$H:$H)) &gt; (SUMIF(Shift_allowance_Entries!$B:$B,CPY!$B36,Shift_allowance_Entries!$G:$G)),0,((SUMIF(Shift_allowance_Entries!$B:$B,CPY!$B36,Shift_allowance_Entries!$G:$G))-(SUMIF(Shift_allowance_Entries!$B:$B,CPY!$B36,Shift_allowance_Entries!$H:$H))))</f>
        <v>0</v>
      </c>
      <c r="AF36" s="63">
        <f>AE36*MD!$S$4</f>
        <v>0</v>
      </c>
    </row>
    <row r="37" spans="1:32" x14ac:dyDescent="0.25">
      <c r="A37" s="62">
        <v>35</v>
      </c>
      <c r="B37" s="62"/>
      <c r="C37" s="50" t="str">
        <f>IF(ISNA(VLOOKUP($B37,Summary!$B:$D,2,FALSE))=TRUE," ",VLOOKUP($B37,Summary!$B:$D,2,FALSE))</f>
        <v> </v>
      </c>
      <c r="D37" s="50" t="str">
        <f>IF(ISNA(VLOOKUP($B37,Summary!$B:$D,3,FALSE))=TRUE," ",VLOOKUP($B37,Summary!$B:$D,3,FALSE))</f>
        <v> </v>
      </c>
      <c r="E37" s="62"/>
      <c r="F37" s="62"/>
      <c r="G37" s="62"/>
      <c r="I37" s="63">
        <f t="shared" si="0"/>
        <v>0</v>
      </c>
      <c r="K37" s="64">
        <f>IF(E37="Support(L1_L2)",IF(NOT(ISBLANK(B37)),IF(NOT(ISBLANK(D37)),NETWORKDAYS('CPY TOC'!$F$5,'CPY TOC'!$G$5))))-L37</f>
        <v>0</v>
      </c>
      <c r="L37" s="64">
        <f>IF(E37="Support(L1_L2)",SUMIFS(Support_allowance_Entries!$G:$G,Support_allowance_Entries!$B:$B,CPY!B37),0)</f>
        <v>0</v>
      </c>
      <c r="M37" s="63" t="b">
        <f>IF($D37="D0",MD!$C$4*(K37),IF($D37="D1",MD!$C$5*(K37),IF($D37="D2",MD!$C$6*(K37),IF($D37="D3",MD!$C$7*(K37),IF($D37="D4",MD!$C$8*(K37),IF($D37="D5",MD!$C$9*(K37),IF($D37="M1",MD!$C$10*(K37),IF($D37="T1",MD!$C$11*(K37)))))))))</f>
        <v>0</v>
      </c>
      <c r="O37" s="65">
        <f>SUMIFS(Shift_allowance_Entries!$G:$G,Shift_allowance_Entries!$F:$F,"6:30AM-03:30PM",Shift_allowance_Entries!$B:$B,CPY!$B37)</f>
        <v>0</v>
      </c>
      <c r="P37" s="65">
        <f>SUMIFS(Shift_allowance_Entries!$G:$G,Shift_allowance_Entries!$F:$F,"1-9PM/2:30PM-11:30PM",Shift_allowance_Entries!$B:$B,CPY!$B37)</f>
        <v>0</v>
      </c>
      <c r="Q37" s="65">
        <f>SUMIFS(Shift_allowance_Entries!$G:$G,Shift_allowance_Entries!$F:$F,"11PM-7AM",Shift_allowance_Entries!$B:$B,CPY!$B37)</f>
        <v>0</v>
      </c>
      <c r="R37" s="63">
        <f>(CPY!O37*MD!$F$4)+(CPY!P37*MD!$F$5)+(CPY!Q37*MD!$F$6)</f>
        <v>0</v>
      </c>
      <c r="T37" s="64">
        <f>ROUNDUP((SUMIFS('OOH Activities'!$K:$K,'OOH Activities'!$F:$F,"Non_workdays",'OOH Activities'!$B:$B,CPY!B37)) *24,1)</f>
        <v>0</v>
      </c>
      <c r="U37" s="64">
        <f>ROUNDUP((SUMIFS('OOH Activities'!$K:$K,'OOH Activities'!$F:$F,"Workdays",'OOH Activities'!$B:$B,CPY!B37)) *24,1)</f>
        <v>0</v>
      </c>
      <c r="V37" s="63">
        <f>ROUNDUP((SUMIFS('OOH Activities'!$L:$L,'OOH Activities'!$B:$B,CPY!B37)),1)</f>
        <v>0</v>
      </c>
      <c r="X37" s="65">
        <f>ROUNDUP((SUMIFS('ON Call_Call Out Activities'!$L:$L,'ON Call_Call Out Activities'!$F:$F,"Workdays",'ON Call_Call Out Activities'!$B:$B,CPY!B37))*24,1)</f>
        <v>0</v>
      </c>
      <c r="Y37" s="64">
        <f>ROUNDUP((SUMIFS('ON Call_Call Out Activities'!$L:$L,'ON Call_Call Out Activities'!$F:$F,"Non_workdays",'ON Call_Call Out Activities'!$B:$B,CPY!B37)) *24,1)</f>
        <v>0</v>
      </c>
      <c r="Z37" s="63">
        <f>ROUNDUP((SUMIFS('ON Call_Call Out Activities'!$M:$M,'ON Call_Call Out Activities'!$F:$F,"Non_workdays",'ON Call_Call Out Activities'!$B:$B,CPY!B37)),1) + ROUNDUP((SUMIFS('ON Call_Call Out Activities'!$M:$M,'ON Call_Call Out Activities'!$F:$F,"Workdays",'ON Call_Call Out Activities'!$B:$B,CPY!B37)),1)</f>
        <v>0</v>
      </c>
      <c r="AA37" s="66"/>
      <c r="AB37" s="64">
        <f>ROUNDUP((SUMIFS('ON Call_Call Out Activities'!$L:$L,'ON Call_Call Out Activities'!$F:$F,"Call_Out",'ON Call_Call Out Activities'!$B:$B,CPY!B37)) *24,1)</f>
        <v>0</v>
      </c>
      <c r="AC37" s="63">
        <f>ROUNDUP((SUMIFS('ON Call_Call Out Activities'!$M:$M,'ON Call_Call Out Activities'!$F:$F,"Call_Out",'ON Call_Call Out Activities'!$B:$B,CPY!B37)),1)</f>
        <v>0</v>
      </c>
      <c r="AE37" s="65">
        <f>IF((SUMIF(Shift_allowance_Entries!$B:$B,CPY!$B37,Shift_allowance_Entries!$H:$H)) &gt; (SUMIF(Shift_allowance_Entries!$B:$B,CPY!$B37,Shift_allowance_Entries!$G:$G)),0,((SUMIF(Shift_allowance_Entries!$B:$B,CPY!$B37,Shift_allowance_Entries!$G:$G))-(SUMIF(Shift_allowance_Entries!$B:$B,CPY!$B37,Shift_allowance_Entries!$H:$H))))</f>
        <v>0</v>
      </c>
      <c r="AF37" s="63">
        <f>AE37*MD!$S$4</f>
        <v>0</v>
      </c>
    </row>
    <row r="38" spans="1:32" x14ac:dyDescent="0.25">
      <c r="A38" s="62">
        <v>36</v>
      </c>
      <c r="B38" s="62"/>
      <c r="C38" s="50" t="str">
        <f>IF(ISNA(VLOOKUP($B38,Summary!$B:$D,2,FALSE))=TRUE," ",VLOOKUP($B38,Summary!$B:$D,2,FALSE))</f>
        <v> </v>
      </c>
      <c r="D38" s="50" t="str">
        <f>IF(ISNA(VLOOKUP($B38,Summary!$B:$D,3,FALSE))=TRUE," ",VLOOKUP($B38,Summary!$B:$D,3,FALSE))</f>
        <v> </v>
      </c>
      <c r="E38" s="62"/>
      <c r="F38" s="62"/>
      <c r="G38" s="62"/>
      <c r="I38" s="63">
        <f t="shared" si="0"/>
        <v>0</v>
      </c>
      <c r="K38" s="64">
        <f>IF(E38="Support(L1_L2)",IF(NOT(ISBLANK(B38)),IF(NOT(ISBLANK(D38)),NETWORKDAYS('CPY TOC'!$F$5,'CPY TOC'!$G$5))))-L38</f>
        <v>0</v>
      </c>
      <c r="L38" s="64">
        <f>IF(E38="Support(L1_L2)",SUMIFS(Support_allowance_Entries!$G:$G,Support_allowance_Entries!$B:$B,CPY!B38),0)</f>
        <v>0</v>
      </c>
      <c r="M38" s="63" t="b">
        <f>IF($D38="D0",MD!$C$4*(K38),IF($D38="D1",MD!$C$5*(K38),IF($D38="D2",MD!$C$6*(K38),IF($D38="D3",MD!$C$7*(K38),IF($D38="D4",MD!$C$8*(K38),IF($D38="D5",MD!$C$9*(K38),IF($D38="M1",MD!$C$10*(K38),IF($D38="T1",MD!$C$11*(K38)))))))))</f>
        <v>0</v>
      </c>
      <c r="O38" s="65">
        <f>SUMIFS(Shift_allowance_Entries!$G:$G,Shift_allowance_Entries!$F:$F,"6:30AM-03:30PM",Shift_allowance_Entries!$B:$B,CPY!$B38)</f>
        <v>0</v>
      </c>
      <c r="P38" s="65">
        <f>SUMIFS(Shift_allowance_Entries!$G:$G,Shift_allowance_Entries!$F:$F,"1-9PM/2:30PM-11:30PM",Shift_allowance_Entries!$B:$B,CPY!$B38)</f>
        <v>0</v>
      </c>
      <c r="Q38" s="65">
        <f>SUMIFS(Shift_allowance_Entries!$G:$G,Shift_allowance_Entries!$F:$F,"11PM-7AM",Shift_allowance_Entries!$B:$B,CPY!$B38)</f>
        <v>0</v>
      </c>
      <c r="R38" s="63">
        <f>(CPY!O38*MD!$F$4)+(CPY!P38*MD!$F$5)+(CPY!Q38*MD!$F$6)</f>
        <v>0</v>
      </c>
      <c r="T38" s="64">
        <f>ROUNDUP((SUMIFS('OOH Activities'!$K:$K,'OOH Activities'!$F:$F,"Non_workdays",'OOH Activities'!$B:$B,CPY!B38)) *24,1)</f>
        <v>0</v>
      </c>
      <c r="U38" s="64">
        <f>ROUNDUP((SUMIFS('OOH Activities'!$K:$K,'OOH Activities'!$F:$F,"Workdays",'OOH Activities'!$B:$B,CPY!B38)) *24,1)</f>
        <v>0</v>
      </c>
      <c r="V38" s="63">
        <f>ROUNDUP((SUMIFS('OOH Activities'!$L:$L,'OOH Activities'!$B:$B,CPY!B38)),1)</f>
        <v>0</v>
      </c>
      <c r="X38" s="65">
        <f>ROUNDUP((SUMIFS('ON Call_Call Out Activities'!$L:$L,'ON Call_Call Out Activities'!$F:$F,"Workdays",'ON Call_Call Out Activities'!$B:$B,CPY!B38))*24,1)</f>
        <v>0</v>
      </c>
      <c r="Y38" s="64">
        <f>ROUNDUP((SUMIFS('ON Call_Call Out Activities'!$L:$L,'ON Call_Call Out Activities'!$F:$F,"Non_workdays",'ON Call_Call Out Activities'!$B:$B,CPY!B38)) *24,1)</f>
        <v>0</v>
      </c>
      <c r="Z38" s="63">
        <f>ROUNDUP((SUMIFS('ON Call_Call Out Activities'!$M:$M,'ON Call_Call Out Activities'!$F:$F,"Non_workdays",'ON Call_Call Out Activities'!$B:$B,CPY!B38)),1) + ROUNDUP((SUMIFS('ON Call_Call Out Activities'!$M:$M,'ON Call_Call Out Activities'!$F:$F,"Workdays",'ON Call_Call Out Activities'!$B:$B,CPY!B38)),1)</f>
        <v>0</v>
      </c>
      <c r="AA38" s="66"/>
      <c r="AB38" s="64">
        <f>ROUNDUP((SUMIFS('ON Call_Call Out Activities'!$L:$L,'ON Call_Call Out Activities'!$F:$F,"Call_Out",'ON Call_Call Out Activities'!$B:$B,CPY!B38)) *24,1)</f>
        <v>0</v>
      </c>
      <c r="AC38" s="63">
        <f>ROUNDUP((SUMIFS('ON Call_Call Out Activities'!$M:$M,'ON Call_Call Out Activities'!$F:$F,"Call_Out",'ON Call_Call Out Activities'!$B:$B,CPY!B38)),1)</f>
        <v>0</v>
      </c>
      <c r="AE38" s="65">
        <f>IF((SUMIF(Shift_allowance_Entries!$B:$B,CPY!$B38,Shift_allowance_Entries!$H:$H)) &gt; (SUMIF(Shift_allowance_Entries!$B:$B,CPY!$B38,Shift_allowance_Entries!$G:$G)),0,((SUMIF(Shift_allowance_Entries!$B:$B,CPY!$B38,Shift_allowance_Entries!$G:$G))-(SUMIF(Shift_allowance_Entries!$B:$B,CPY!$B38,Shift_allowance_Entries!$H:$H))))</f>
        <v>0</v>
      </c>
      <c r="AF38" s="63">
        <f>AE38*MD!$S$4</f>
        <v>0</v>
      </c>
    </row>
    <row r="39" spans="1:32" x14ac:dyDescent="0.25">
      <c r="A39" s="62">
        <v>37</v>
      </c>
      <c r="B39" s="62"/>
      <c r="C39" s="50" t="str">
        <f>IF(ISNA(VLOOKUP($B39,Summary!$B:$D,2,FALSE))=TRUE," ",VLOOKUP($B39,Summary!$B:$D,2,FALSE))</f>
        <v> </v>
      </c>
      <c r="D39" s="50" t="str">
        <f>IF(ISNA(VLOOKUP($B39,Summary!$B:$D,3,FALSE))=TRUE," ",VLOOKUP($B39,Summary!$B:$D,3,FALSE))</f>
        <v> </v>
      </c>
      <c r="E39" s="62"/>
      <c r="F39" s="62"/>
      <c r="G39" s="62"/>
      <c r="I39" s="63">
        <f t="shared" si="0"/>
        <v>0</v>
      </c>
      <c r="K39" s="64">
        <f>IF(E39="Support(L1_L2)",IF(NOT(ISBLANK(B39)),IF(NOT(ISBLANK(D39)),NETWORKDAYS('CPY TOC'!$F$5,'CPY TOC'!$G$5))))-L39</f>
        <v>0</v>
      </c>
      <c r="L39" s="64">
        <f>IF(E39="Support(L1_L2)",SUMIFS(Support_allowance_Entries!$G:$G,Support_allowance_Entries!$B:$B,CPY!B39),0)</f>
        <v>0</v>
      </c>
      <c r="M39" s="63" t="b">
        <f>IF($D39="D0",MD!$C$4*(K39),IF($D39="D1",MD!$C$5*(K39),IF($D39="D2",MD!$C$6*(K39),IF($D39="D3",MD!$C$7*(K39),IF($D39="D4",MD!$C$8*(K39),IF($D39="D5",MD!$C$9*(K39),IF($D39="M1",MD!$C$10*(K39),IF($D39="T1",MD!$C$11*(K39)))))))))</f>
        <v>0</v>
      </c>
      <c r="O39" s="65">
        <f>SUMIFS(Shift_allowance_Entries!$G:$G,Shift_allowance_Entries!$F:$F,"6:30AM-03:30PM",Shift_allowance_Entries!$B:$B,CPY!$B39)</f>
        <v>0</v>
      </c>
      <c r="P39" s="65">
        <f>SUMIFS(Shift_allowance_Entries!$G:$G,Shift_allowance_Entries!$F:$F,"1-9PM/2:30PM-11:30PM",Shift_allowance_Entries!$B:$B,CPY!$B39)</f>
        <v>0</v>
      </c>
      <c r="Q39" s="65">
        <f>SUMIFS(Shift_allowance_Entries!$G:$G,Shift_allowance_Entries!$F:$F,"11PM-7AM",Shift_allowance_Entries!$B:$B,CPY!$B39)</f>
        <v>0</v>
      </c>
      <c r="R39" s="63">
        <f>(CPY!O39*MD!$F$4)+(CPY!P39*MD!$F$5)+(CPY!Q39*MD!$F$6)</f>
        <v>0</v>
      </c>
      <c r="T39" s="64">
        <f>ROUNDUP((SUMIFS('OOH Activities'!$K:$K,'OOH Activities'!$F:$F,"Non_workdays",'OOH Activities'!$B:$B,CPY!B39)) *24,1)</f>
        <v>0</v>
      </c>
      <c r="U39" s="64">
        <f>ROUNDUP((SUMIFS('OOH Activities'!$K:$K,'OOH Activities'!$F:$F,"Workdays",'OOH Activities'!$B:$B,CPY!B39)) *24,1)</f>
        <v>0</v>
      </c>
      <c r="V39" s="63">
        <f>ROUNDUP((SUMIFS('OOH Activities'!$L:$L,'OOH Activities'!$B:$B,CPY!B39)),1)</f>
        <v>0</v>
      </c>
      <c r="X39" s="65">
        <f>ROUNDUP((SUMIFS('ON Call_Call Out Activities'!$L:$L,'ON Call_Call Out Activities'!$F:$F,"Workdays",'ON Call_Call Out Activities'!$B:$B,CPY!B39))*24,1)</f>
        <v>0</v>
      </c>
      <c r="Y39" s="64">
        <f>ROUNDUP((SUMIFS('ON Call_Call Out Activities'!$L:$L,'ON Call_Call Out Activities'!$F:$F,"Non_workdays",'ON Call_Call Out Activities'!$B:$B,CPY!B39)) *24,1)</f>
        <v>0</v>
      </c>
      <c r="Z39" s="63">
        <f>ROUNDUP((SUMIFS('ON Call_Call Out Activities'!$M:$M,'ON Call_Call Out Activities'!$F:$F,"Non_workdays",'ON Call_Call Out Activities'!$B:$B,CPY!B39)),1) + ROUNDUP((SUMIFS('ON Call_Call Out Activities'!$M:$M,'ON Call_Call Out Activities'!$F:$F,"Workdays",'ON Call_Call Out Activities'!$B:$B,CPY!B39)),1)</f>
        <v>0</v>
      </c>
      <c r="AA39" s="66"/>
      <c r="AB39" s="64">
        <f>ROUNDUP((SUMIFS('ON Call_Call Out Activities'!$L:$L,'ON Call_Call Out Activities'!$F:$F,"Call_Out",'ON Call_Call Out Activities'!$B:$B,CPY!B39)) *24,1)</f>
        <v>0</v>
      </c>
      <c r="AC39" s="63">
        <f>ROUNDUP((SUMIFS('ON Call_Call Out Activities'!$M:$M,'ON Call_Call Out Activities'!$F:$F,"Call_Out",'ON Call_Call Out Activities'!$B:$B,CPY!B39)),1)</f>
        <v>0</v>
      </c>
      <c r="AE39" s="65">
        <f>IF((SUMIF(Shift_allowance_Entries!$B:$B,CPY!$B39,Shift_allowance_Entries!$H:$H)) &gt; (SUMIF(Shift_allowance_Entries!$B:$B,CPY!$B39,Shift_allowance_Entries!$G:$G)),0,((SUMIF(Shift_allowance_Entries!$B:$B,CPY!$B39,Shift_allowance_Entries!$G:$G))-(SUMIF(Shift_allowance_Entries!$B:$B,CPY!$B39,Shift_allowance_Entries!$H:$H))))</f>
        <v>0</v>
      </c>
      <c r="AF39" s="63">
        <f>AE39*MD!$S$4</f>
        <v>0</v>
      </c>
    </row>
    <row r="40" spans="1:32" x14ac:dyDescent="0.25">
      <c r="A40" s="62">
        <v>38</v>
      </c>
      <c r="B40" s="62"/>
      <c r="C40" s="50" t="str">
        <f>IF(ISNA(VLOOKUP($B40,Summary!$B:$D,2,FALSE))=TRUE," ",VLOOKUP($B40,Summary!$B:$D,2,FALSE))</f>
        <v> </v>
      </c>
      <c r="D40" s="50" t="str">
        <f>IF(ISNA(VLOOKUP($B40,Summary!$B:$D,3,FALSE))=TRUE," ",VLOOKUP($B40,Summary!$B:$D,3,FALSE))</f>
        <v> </v>
      </c>
      <c r="E40" s="62"/>
      <c r="F40" s="62"/>
      <c r="G40" s="62"/>
      <c r="I40" s="63">
        <f t="shared" si="0"/>
        <v>0</v>
      </c>
      <c r="K40" s="64">
        <f>IF(E40="Support(L1_L2)",IF(NOT(ISBLANK(B40)),IF(NOT(ISBLANK(D40)),NETWORKDAYS('CPY TOC'!$F$5,'CPY TOC'!$G$5))))-L40</f>
        <v>0</v>
      </c>
      <c r="L40" s="64">
        <f>IF(E40="Support(L1_L2)",SUMIFS(Support_allowance_Entries!$G:$G,Support_allowance_Entries!$B:$B,CPY!B40),0)</f>
        <v>0</v>
      </c>
      <c r="M40" s="63" t="b">
        <f>IF($D40="D0",MD!$C$4*(K40),IF($D40="D1",MD!$C$5*(K40),IF($D40="D2",MD!$C$6*(K40),IF($D40="D3",MD!$C$7*(K40),IF($D40="D4",MD!$C$8*(K40),IF($D40="D5",MD!$C$9*(K40),IF($D40="M1",MD!$C$10*(K40),IF($D40="T1",MD!$C$11*(K40)))))))))</f>
        <v>0</v>
      </c>
      <c r="O40" s="65">
        <f>SUMIFS(Shift_allowance_Entries!$G:$G,Shift_allowance_Entries!$F:$F,"6:30AM-03:30PM",Shift_allowance_Entries!$B:$B,CPY!$B40)</f>
        <v>0</v>
      </c>
      <c r="P40" s="65">
        <f>SUMIFS(Shift_allowance_Entries!$G:$G,Shift_allowance_Entries!$F:$F,"1-9PM/2:30PM-11:30PM",Shift_allowance_Entries!$B:$B,CPY!$B40)</f>
        <v>0</v>
      </c>
      <c r="Q40" s="65">
        <f>SUMIFS(Shift_allowance_Entries!$G:$G,Shift_allowance_Entries!$F:$F,"11PM-7AM",Shift_allowance_Entries!$B:$B,CPY!$B40)</f>
        <v>0</v>
      </c>
      <c r="R40" s="63">
        <f>(CPY!O40*MD!$F$4)+(CPY!P40*MD!$F$5)+(CPY!Q40*MD!$F$6)</f>
        <v>0</v>
      </c>
      <c r="T40" s="64">
        <f>ROUNDUP((SUMIFS('OOH Activities'!$K:$K,'OOH Activities'!$F:$F,"Non_workdays",'OOH Activities'!$B:$B,CPY!B40)) *24,1)</f>
        <v>0</v>
      </c>
      <c r="U40" s="64">
        <f>ROUNDUP((SUMIFS('OOH Activities'!$K:$K,'OOH Activities'!$F:$F,"Workdays",'OOH Activities'!$B:$B,CPY!B40)) *24,1)</f>
        <v>0</v>
      </c>
      <c r="V40" s="63">
        <f>ROUNDUP((SUMIFS('OOH Activities'!$L:$L,'OOH Activities'!$B:$B,CPY!B40)),1)</f>
        <v>0</v>
      </c>
      <c r="X40" s="65">
        <f>ROUNDUP((SUMIFS('ON Call_Call Out Activities'!$L:$L,'ON Call_Call Out Activities'!$F:$F,"Workdays",'ON Call_Call Out Activities'!$B:$B,CPY!B40))*24,1)</f>
        <v>0</v>
      </c>
      <c r="Y40" s="64">
        <f>ROUNDUP((SUMIFS('ON Call_Call Out Activities'!$L:$L,'ON Call_Call Out Activities'!$F:$F,"Non_workdays",'ON Call_Call Out Activities'!$B:$B,CPY!B40)) *24,1)</f>
        <v>0</v>
      </c>
      <c r="Z40" s="63">
        <f>ROUNDUP((SUMIFS('ON Call_Call Out Activities'!$M:$M,'ON Call_Call Out Activities'!$F:$F,"Non_workdays",'ON Call_Call Out Activities'!$B:$B,CPY!B40)),1) + ROUNDUP((SUMIFS('ON Call_Call Out Activities'!$M:$M,'ON Call_Call Out Activities'!$F:$F,"Workdays",'ON Call_Call Out Activities'!$B:$B,CPY!B40)),1)</f>
        <v>0</v>
      </c>
      <c r="AA40" s="66"/>
      <c r="AB40" s="64">
        <f>ROUNDUP((SUMIFS('ON Call_Call Out Activities'!$L:$L,'ON Call_Call Out Activities'!$F:$F,"Call_Out",'ON Call_Call Out Activities'!$B:$B,CPY!B40)) *24,1)</f>
        <v>0</v>
      </c>
      <c r="AC40" s="63">
        <f>ROUNDUP((SUMIFS('ON Call_Call Out Activities'!$M:$M,'ON Call_Call Out Activities'!$F:$F,"Call_Out",'ON Call_Call Out Activities'!$B:$B,CPY!B40)),1)</f>
        <v>0</v>
      </c>
      <c r="AE40" s="65">
        <f>IF((SUMIF(Shift_allowance_Entries!$B:$B,CPY!$B40,Shift_allowance_Entries!$H:$H)) &gt; (SUMIF(Shift_allowance_Entries!$B:$B,CPY!$B40,Shift_allowance_Entries!$G:$G)),0,((SUMIF(Shift_allowance_Entries!$B:$B,CPY!$B40,Shift_allowance_Entries!$G:$G))-(SUMIF(Shift_allowance_Entries!$B:$B,CPY!$B40,Shift_allowance_Entries!$H:$H))))</f>
        <v>0</v>
      </c>
      <c r="AF40" s="63">
        <f>AE40*MD!$S$4</f>
        <v>0</v>
      </c>
    </row>
    <row r="41" spans="1:32" x14ac:dyDescent="0.25">
      <c r="A41" s="62">
        <v>39</v>
      </c>
      <c r="B41" s="62"/>
      <c r="C41" s="50" t="str">
        <f>IF(ISNA(VLOOKUP($B41,Summary!$B:$D,2,FALSE))=TRUE," ",VLOOKUP($B41,Summary!$B:$D,2,FALSE))</f>
        <v> </v>
      </c>
      <c r="D41" s="50" t="str">
        <f>IF(ISNA(VLOOKUP($B41,Summary!$B:$D,3,FALSE))=TRUE," ",VLOOKUP($B41,Summary!$B:$D,3,FALSE))</f>
        <v> </v>
      </c>
      <c r="E41" s="62"/>
      <c r="F41" s="62"/>
      <c r="G41" s="62"/>
      <c r="I41" s="63">
        <f t="shared" si="0"/>
        <v>0</v>
      </c>
      <c r="K41" s="64">
        <f>IF(E41="Support(L1_L2)",IF(NOT(ISBLANK(B41)),IF(NOT(ISBLANK(D41)),NETWORKDAYS('CPY TOC'!$F$5,'CPY TOC'!$G$5))))-L41</f>
        <v>0</v>
      </c>
      <c r="L41" s="64">
        <f>IF(E41="Support(L1_L2)",SUMIFS(Support_allowance_Entries!$G:$G,Support_allowance_Entries!$B:$B,CPY!B41),0)</f>
        <v>0</v>
      </c>
      <c r="M41" s="63" t="b">
        <f>IF($D41="D0",MD!$C$4*(K41),IF($D41="D1",MD!$C$5*(K41),IF($D41="D2",MD!$C$6*(K41),IF($D41="D3",MD!$C$7*(K41),IF($D41="D4",MD!$C$8*(K41),IF($D41="D5",MD!$C$9*(K41),IF($D41="M1",MD!$C$10*(K41),IF($D41="T1",MD!$C$11*(K41)))))))))</f>
        <v>0</v>
      </c>
      <c r="O41" s="65">
        <f>SUMIFS(Shift_allowance_Entries!$G:$G,Shift_allowance_Entries!$F:$F,"6:30AM-03:30PM",Shift_allowance_Entries!$B:$B,CPY!$B41)</f>
        <v>0</v>
      </c>
      <c r="P41" s="65">
        <f>SUMIFS(Shift_allowance_Entries!$G:$G,Shift_allowance_Entries!$F:$F,"1-9PM/2:30PM-11:30PM",Shift_allowance_Entries!$B:$B,CPY!$B41)</f>
        <v>0</v>
      </c>
      <c r="Q41" s="65">
        <f>SUMIFS(Shift_allowance_Entries!$G:$G,Shift_allowance_Entries!$F:$F,"11PM-7AM",Shift_allowance_Entries!$B:$B,CPY!$B41)</f>
        <v>0</v>
      </c>
      <c r="R41" s="63">
        <f>(CPY!O41*MD!$F$4)+(CPY!P41*MD!$F$5)+(CPY!Q41*MD!$F$6)</f>
        <v>0</v>
      </c>
      <c r="T41" s="64">
        <f>ROUNDUP((SUMIFS('OOH Activities'!$K:$K,'OOH Activities'!$F:$F,"Non_workdays",'OOH Activities'!$B:$B,CPY!B41)) *24,1)</f>
        <v>0</v>
      </c>
      <c r="U41" s="64">
        <f>ROUNDUP((SUMIFS('OOH Activities'!$K:$K,'OOH Activities'!$F:$F,"Workdays",'OOH Activities'!$B:$B,CPY!B41)) *24,1)</f>
        <v>0</v>
      </c>
      <c r="V41" s="63">
        <f>ROUNDUP((SUMIFS('OOH Activities'!$L:$L,'OOH Activities'!$B:$B,CPY!B41)),1)</f>
        <v>0</v>
      </c>
      <c r="X41" s="65">
        <f>ROUNDUP((SUMIFS('ON Call_Call Out Activities'!$L:$L,'ON Call_Call Out Activities'!$F:$F,"Workdays",'ON Call_Call Out Activities'!$B:$B,CPY!B41))*24,1)</f>
        <v>0</v>
      </c>
      <c r="Y41" s="64">
        <f>ROUNDUP((SUMIFS('ON Call_Call Out Activities'!$L:$L,'ON Call_Call Out Activities'!$F:$F,"Non_workdays",'ON Call_Call Out Activities'!$B:$B,CPY!B41)) *24,1)</f>
        <v>0</v>
      </c>
      <c r="Z41" s="63">
        <f>ROUNDUP((SUMIFS('ON Call_Call Out Activities'!$M:$M,'ON Call_Call Out Activities'!$F:$F,"Non_workdays",'ON Call_Call Out Activities'!$B:$B,CPY!B41)),1) + ROUNDUP((SUMIFS('ON Call_Call Out Activities'!$M:$M,'ON Call_Call Out Activities'!$F:$F,"Workdays",'ON Call_Call Out Activities'!$B:$B,CPY!B41)),1)</f>
        <v>0</v>
      </c>
      <c r="AA41" s="66"/>
      <c r="AB41" s="64">
        <f>ROUNDUP((SUMIFS('ON Call_Call Out Activities'!$L:$L,'ON Call_Call Out Activities'!$F:$F,"Call_Out",'ON Call_Call Out Activities'!$B:$B,CPY!B41)) *24,1)</f>
        <v>0</v>
      </c>
      <c r="AC41" s="63">
        <f>ROUNDUP((SUMIFS('ON Call_Call Out Activities'!$M:$M,'ON Call_Call Out Activities'!$F:$F,"Call_Out",'ON Call_Call Out Activities'!$B:$B,CPY!B41)),1)</f>
        <v>0</v>
      </c>
      <c r="AE41" s="65">
        <f>IF((SUMIF(Shift_allowance_Entries!$B:$B,CPY!$B41,Shift_allowance_Entries!$H:$H)) &gt; (SUMIF(Shift_allowance_Entries!$B:$B,CPY!$B41,Shift_allowance_Entries!$G:$G)),0,((SUMIF(Shift_allowance_Entries!$B:$B,CPY!$B41,Shift_allowance_Entries!$G:$G))-(SUMIF(Shift_allowance_Entries!$B:$B,CPY!$B41,Shift_allowance_Entries!$H:$H))))</f>
        <v>0</v>
      </c>
      <c r="AF41" s="63">
        <f>AE41*MD!$S$4</f>
        <v>0</v>
      </c>
    </row>
    <row r="42" spans="1:32" x14ac:dyDescent="0.25">
      <c r="A42" s="62">
        <v>40</v>
      </c>
      <c r="B42" s="62"/>
      <c r="C42" s="50" t="str">
        <f>IF(ISNA(VLOOKUP($B42,Summary!$B:$D,2,FALSE))=TRUE," ",VLOOKUP($B42,Summary!$B:$D,2,FALSE))</f>
        <v> </v>
      </c>
      <c r="D42" s="50" t="str">
        <f>IF(ISNA(VLOOKUP($B42,Summary!$B:$D,3,FALSE))=TRUE," ",VLOOKUP($B42,Summary!$B:$D,3,FALSE))</f>
        <v> </v>
      </c>
      <c r="E42" s="62"/>
      <c r="F42" s="62"/>
      <c r="G42" s="62"/>
      <c r="I42" s="63">
        <f t="shared" si="0"/>
        <v>0</v>
      </c>
      <c r="K42" s="64">
        <f>IF(E42="Support(L1_L2)",IF(NOT(ISBLANK(B42)),IF(NOT(ISBLANK(D42)),NETWORKDAYS('CPY TOC'!$F$5,'CPY TOC'!$G$5))))-L42</f>
        <v>0</v>
      </c>
      <c r="L42" s="64">
        <f>IF(E42="Support(L1_L2)",SUMIFS(Support_allowance_Entries!$G:$G,Support_allowance_Entries!$B:$B,CPY!B42),0)</f>
        <v>0</v>
      </c>
      <c r="M42" s="63" t="b">
        <f>IF($D42="D0",MD!$C$4*(K42),IF($D42="D1",MD!$C$5*(K42),IF($D42="D2",MD!$C$6*(K42),IF($D42="D3",MD!$C$7*(K42),IF($D42="D4",MD!$C$8*(K42),IF($D42="D5",MD!$C$9*(K42),IF($D42="M1",MD!$C$10*(K42),IF($D42="T1",MD!$C$11*(K42)))))))))</f>
        <v>0</v>
      </c>
      <c r="O42" s="65">
        <f>SUMIFS(Shift_allowance_Entries!$G:$G,Shift_allowance_Entries!$F:$F,"6:30AM-03:30PM",Shift_allowance_Entries!$B:$B,CPY!$B42)</f>
        <v>0</v>
      </c>
      <c r="P42" s="65">
        <f>SUMIFS(Shift_allowance_Entries!$G:$G,Shift_allowance_Entries!$F:$F,"1-9PM/2:30PM-11:30PM",Shift_allowance_Entries!$B:$B,CPY!$B42)</f>
        <v>0</v>
      </c>
      <c r="Q42" s="65">
        <f>SUMIFS(Shift_allowance_Entries!$G:$G,Shift_allowance_Entries!$F:$F,"11PM-7AM",Shift_allowance_Entries!$B:$B,CPY!$B42)</f>
        <v>0</v>
      </c>
      <c r="R42" s="63">
        <f>(CPY!O42*MD!$F$4)+(CPY!P42*MD!$F$5)+(CPY!Q42*MD!$F$6)</f>
        <v>0</v>
      </c>
      <c r="T42" s="64">
        <f>ROUNDUP((SUMIFS('OOH Activities'!$K:$K,'OOH Activities'!$F:$F,"Non_workdays",'OOH Activities'!$B:$B,CPY!B42)) *24,1)</f>
        <v>0</v>
      </c>
      <c r="U42" s="64">
        <f>ROUNDUP((SUMIFS('OOH Activities'!$K:$K,'OOH Activities'!$F:$F,"Workdays",'OOH Activities'!$B:$B,CPY!B42)) *24,1)</f>
        <v>0</v>
      </c>
      <c r="V42" s="63">
        <f>ROUNDUP((SUMIFS('OOH Activities'!$L:$L,'OOH Activities'!$B:$B,CPY!B42)),1)</f>
        <v>0</v>
      </c>
      <c r="X42" s="65">
        <f>ROUNDUP((SUMIFS('ON Call_Call Out Activities'!$L:$L,'ON Call_Call Out Activities'!$F:$F,"Workdays",'ON Call_Call Out Activities'!$B:$B,CPY!B42))*24,1)</f>
        <v>0</v>
      </c>
      <c r="Y42" s="64">
        <f>ROUNDUP((SUMIFS('ON Call_Call Out Activities'!$L:$L,'ON Call_Call Out Activities'!$F:$F,"Non_workdays",'ON Call_Call Out Activities'!$B:$B,CPY!B42)) *24,1)</f>
        <v>0</v>
      </c>
      <c r="Z42" s="63">
        <f>ROUNDUP((SUMIFS('ON Call_Call Out Activities'!$M:$M,'ON Call_Call Out Activities'!$F:$F,"Non_workdays",'ON Call_Call Out Activities'!$B:$B,CPY!B42)),1) + ROUNDUP((SUMIFS('ON Call_Call Out Activities'!$M:$M,'ON Call_Call Out Activities'!$F:$F,"Workdays",'ON Call_Call Out Activities'!$B:$B,CPY!B42)),1)</f>
        <v>0</v>
      </c>
      <c r="AA42" s="66"/>
      <c r="AB42" s="64">
        <f>ROUNDUP((SUMIFS('ON Call_Call Out Activities'!$L:$L,'ON Call_Call Out Activities'!$F:$F,"Call_Out",'ON Call_Call Out Activities'!$B:$B,CPY!B42)) *24,1)</f>
        <v>0</v>
      </c>
      <c r="AC42" s="63">
        <f>ROUNDUP((SUMIFS('ON Call_Call Out Activities'!$M:$M,'ON Call_Call Out Activities'!$F:$F,"Call_Out",'ON Call_Call Out Activities'!$B:$B,CPY!B42)),1)</f>
        <v>0</v>
      </c>
      <c r="AE42" s="65">
        <f>IF((SUMIF(Shift_allowance_Entries!$B:$B,CPY!$B42,Shift_allowance_Entries!$H:$H)) &gt; (SUMIF(Shift_allowance_Entries!$B:$B,CPY!$B42,Shift_allowance_Entries!$G:$G)),0,((SUMIF(Shift_allowance_Entries!$B:$B,CPY!$B42,Shift_allowance_Entries!$G:$G))-(SUMIF(Shift_allowance_Entries!$B:$B,CPY!$B42,Shift_allowance_Entries!$H:$H))))</f>
        <v>0</v>
      </c>
      <c r="AF42" s="63">
        <f>AE42*MD!$S$4</f>
        <v>0</v>
      </c>
    </row>
    <row r="43" spans="1:32" x14ac:dyDescent="0.25">
      <c r="A43" s="62">
        <v>41</v>
      </c>
      <c r="B43" s="62"/>
      <c r="C43" s="50" t="str">
        <f>IF(ISNA(VLOOKUP($B43,Summary!$B:$D,2,FALSE))=TRUE," ",VLOOKUP($B43,Summary!$B:$D,2,FALSE))</f>
        <v> </v>
      </c>
      <c r="D43" s="50" t="str">
        <f>IF(ISNA(VLOOKUP($B43,Summary!$B:$D,3,FALSE))=TRUE," ",VLOOKUP($B43,Summary!$B:$D,3,FALSE))</f>
        <v> </v>
      </c>
      <c r="E43" s="62"/>
      <c r="F43" s="62"/>
      <c r="G43" s="62"/>
      <c r="I43" s="63">
        <f t="shared" si="0"/>
        <v>0</v>
      </c>
      <c r="K43" s="64">
        <f>IF(E43="Support(L1_L2)",IF(NOT(ISBLANK(B43)),IF(NOT(ISBLANK(D43)),NETWORKDAYS('CPY TOC'!$F$5,'CPY TOC'!$G$5))))-L43</f>
        <v>0</v>
      </c>
      <c r="L43" s="64">
        <f>IF(E43="Support(L1_L2)",SUMIFS(Support_allowance_Entries!$G:$G,Support_allowance_Entries!$B:$B,CPY!B43),0)</f>
        <v>0</v>
      </c>
      <c r="M43" s="63" t="b">
        <f>IF($D43="D0",MD!$C$4*(K43),IF($D43="D1",MD!$C$5*(K43),IF($D43="D2",MD!$C$6*(K43),IF($D43="D3",MD!$C$7*(K43),IF($D43="D4",MD!$C$8*(K43),IF($D43="D5",MD!$C$9*(K43),IF($D43="M1",MD!$C$10*(K43),IF($D43="T1",MD!$C$11*(K43)))))))))</f>
        <v>0</v>
      </c>
      <c r="O43" s="65">
        <f>SUMIFS(Shift_allowance_Entries!$G:$G,Shift_allowance_Entries!$F:$F,"6:30AM-03:30PM",Shift_allowance_Entries!$B:$B,CPY!$B43)</f>
        <v>0</v>
      </c>
      <c r="P43" s="65">
        <f>SUMIFS(Shift_allowance_Entries!$G:$G,Shift_allowance_Entries!$F:$F,"1-9PM/2:30PM-11:30PM",Shift_allowance_Entries!$B:$B,CPY!$B43)</f>
        <v>0</v>
      </c>
      <c r="Q43" s="65">
        <f>SUMIFS(Shift_allowance_Entries!$G:$G,Shift_allowance_Entries!$F:$F,"11PM-7AM",Shift_allowance_Entries!$B:$B,CPY!$B43)</f>
        <v>0</v>
      </c>
      <c r="R43" s="63">
        <f>(CPY!O43*MD!$F$4)+(CPY!P43*MD!$F$5)+(CPY!Q43*MD!$F$6)</f>
        <v>0</v>
      </c>
      <c r="T43" s="64">
        <f>ROUNDUP((SUMIFS('OOH Activities'!$K:$K,'OOH Activities'!$F:$F,"Non_workdays",'OOH Activities'!$B:$B,CPY!B43)) *24,1)</f>
        <v>0</v>
      </c>
      <c r="U43" s="64">
        <f>ROUNDUP((SUMIFS('OOH Activities'!$K:$K,'OOH Activities'!$F:$F,"Workdays",'OOH Activities'!$B:$B,CPY!B43)) *24,1)</f>
        <v>0</v>
      </c>
      <c r="V43" s="63">
        <f>ROUNDUP((SUMIFS('OOH Activities'!$L:$L,'OOH Activities'!$B:$B,CPY!B43)),1)</f>
        <v>0</v>
      </c>
      <c r="X43" s="65">
        <f>ROUNDUP((SUMIFS('ON Call_Call Out Activities'!$L:$L,'ON Call_Call Out Activities'!$F:$F,"Workdays",'ON Call_Call Out Activities'!$B:$B,CPY!B43))*24,1)</f>
        <v>0</v>
      </c>
      <c r="Y43" s="64">
        <f>ROUNDUP((SUMIFS('ON Call_Call Out Activities'!$L:$L,'ON Call_Call Out Activities'!$F:$F,"Non_workdays",'ON Call_Call Out Activities'!$B:$B,CPY!B43)) *24,1)</f>
        <v>0</v>
      </c>
      <c r="Z43" s="63">
        <f>ROUNDUP((SUMIFS('ON Call_Call Out Activities'!$M:$M,'ON Call_Call Out Activities'!$F:$F,"Non_workdays",'ON Call_Call Out Activities'!$B:$B,CPY!B43)),1) + ROUNDUP((SUMIFS('ON Call_Call Out Activities'!$M:$M,'ON Call_Call Out Activities'!$F:$F,"Workdays",'ON Call_Call Out Activities'!$B:$B,CPY!B43)),1)</f>
        <v>0</v>
      </c>
      <c r="AA43" s="66"/>
      <c r="AB43" s="64">
        <f>ROUNDUP((SUMIFS('ON Call_Call Out Activities'!$L:$L,'ON Call_Call Out Activities'!$F:$F,"Call_Out",'ON Call_Call Out Activities'!$B:$B,CPY!B43)) *24,1)</f>
        <v>0</v>
      </c>
      <c r="AC43" s="63">
        <f>ROUNDUP((SUMIFS('ON Call_Call Out Activities'!$M:$M,'ON Call_Call Out Activities'!$F:$F,"Call_Out",'ON Call_Call Out Activities'!$B:$B,CPY!B43)),1)</f>
        <v>0</v>
      </c>
      <c r="AE43" s="65">
        <f>IF((SUMIF(Shift_allowance_Entries!$B:$B,CPY!$B43,Shift_allowance_Entries!$H:$H)) &gt; (SUMIF(Shift_allowance_Entries!$B:$B,CPY!$B43,Shift_allowance_Entries!$G:$G)),0,((SUMIF(Shift_allowance_Entries!$B:$B,CPY!$B43,Shift_allowance_Entries!$G:$G))-(SUMIF(Shift_allowance_Entries!$B:$B,CPY!$B43,Shift_allowance_Entries!$H:$H))))</f>
        <v>0</v>
      </c>
      <c r="AF43" s="63">
        <f>AE43*MD!$S$4</f>
        <v>0</v>
      </c>
    </row>
    <row r="44" spans="1:32" x14ac:dyDescent="0.25">
      <c r="A44" s="62">
        <v>42</v>
      </c>
      <c r="B44" s="62"/>
      <c r="C44" s="50" t="str">
        <f>IF(ISNA(VLOOKUP($B44,Summary!$B:$D,2,FALSE))=TRUE," ",VLOOKUP($B44,Summary!$B:$D,2,FALSE))</f>
        <v> </v>
      </c>
      <c r="D44" s="50" t="str">
        <f>IF(ISNA(VLOOKUP($B44,Summary!$B:$D,3,FALSE))=TRUE," ",VLOOKUP($B44,Summary!$B:$D,3,FALSE))</f>
        <v> </v>
      </c>
      <c r="E44" s="62"/>
      <c r="F44" s="62"/>
      <c r="G44" s="62"/>
      <c r="I44" s="63">
        <f t="shared" si="0"/>
        <v>0</v>
      </c>
      <c r="K44" s="64">
        <f>IF(E44="Support(L1_L2)",IF(NOT(ISBLANK(B44)),IF(NOT(ISBLANK(D44)),NETWORKDAYS('CPY TOC'!$F$5,'CPY TOC'!$G$5))))-L44</f>
        <v>0</v>
      </c>
      <c r="L44" s="64">
        <f>IF(E44="Support(L1_L2)",SUMIFS(Support_allowance_Entries!$G:$G,Support_allowance_Entries!$B:$B,CPY!B44),0)</f>
        <v>0</v>
      </c>
      <c r="M44" s="63" t="b">
        <f>IF($D44="D0",MD!$C$4*(K44),IF($D44="D1",MD!$C$5*(K44),IF($D44="D2",MD!$C$6*(K44),IF($D44="D3",MD!$C$7*(K44),IF($D44="D4",MD!$C$8*(K44),IF($D44="D5",MD!$C$9*(K44),IF($D44="M1",MD!$C$10*(K44),IF($D44="T1",MD!$C$11*(K44)))))))))</f>
        <v>0</v>
      </c>
      <c r="O44" s="65">
        <f>SUMIFS(Shift_allowance_Entries!$G:$G,Shift_allowance_Entries!$F:$F,"6:30AM-03:30PM",Shift_allowance_Entries!$B:$B,CPY!$B44)</f>
        <v>0</v>
      </c>
      <c r="P44" s="65">
        <f>SUMIFS(Shift_allowance_Entries!$G:$G,Shift_allowance_Entries!$F:$F,"1-9PM/2:30PM-11:30PM",Shift_allowance_Entries!$B:$B,CPY!$B44)</f>
        <v>0</v>
      </c>
      <c r="Q44" s="65">
        <f>SUMIFS(Shift_allowance_Entries!$G:$G,Shift_allowance_Entries!$F:$F,"11PM-7AM",Shift_allowance_Entries!$B:$B,CPY!$B44)</f>
        <v>0</v>
      </c>
      <c r="R44" s="63">
        <f>(CPY!O44*MD!$F$4)+(CPY!P44*MD!$F$5)+(CPY!Q44*MD!$F$6)</f>
        <v>0</v>
      </c>
      <c r="T44" s="64">
        <f>ROUNDUP((SUMIFS('OOH Activities'!$K:$K,'OOH Activities'!$F:$F,"Non_workdays",'OOH Activities'!$B:$B,CPY!B44)) *24,1)</f>
        <v>0</v>
      </c>
      <c r="U44" s="64">
        <f>ROUNDUP((SUMIFS('OOH Activities'!$K:$K,'OOH Activities'!$F:$F,"Workdays",'OOH Activities'!$B:$B,CPY!B44)) *24,1)</f>
        <v>0</v>
      </c>
      <c r="V44" s="63">
        <f>ROUNDUP((SUMIFS('OOH Activities'!$L:$L,'OOH Activities'!$B:$B,CPY!B44)),1)</f>
        <v>0</v>
      </c>
      <c r="X44" s="65">
        <f>ROUNDUP((SUMIFS('ON Call_Call Out Activities'!$L:$L,'ON Call_Call Out Activities'!$F:$F,"Workdays",'ON Call_Call Out Activities'!$B:$B,CPY!B44))*24,1)</f>
        <v>0</v>
      </c>
      <c r="Y44" s="64">
        <f>ROUNDUP((SUMIFS('ON Call_Call Out Activities'!$L:$L,'ON Call_Call Out Activities'!$F:$F,"Non_workdays",'ON Call_Call Out Activities'!$B:$B,CPY!B44)) *24,1)</f>
        <v>0</v>
      </c>
      <c r="Z44" s="63">
        <f>ROUNDUP((SUMIFS('ON Call_Call Out Activities'!$M:$M,'ON Call_Call Out Activities'!$F:$F,"Non_workdays",'ON Call_Call Out Activities'!$B:$B,CPY!B44)),1) + ROUNDUP((SUMIFS('ON Call_Call Out Activities'!$M:$M,'ON Call_Call Out Activities'!$F:$F,"Workdays",'ON Call_Call Out Activities'!$B:$B,CPY!B44)),1)</f>
        <v>0</v>
      </c>
      <c r="AA44" s="66"/>
      <c r="AB44" s="64">
        <f>ROUNDUP((SUMIFS('ON Call_Call Out Activities'!$L:$L,'ON Call_Call Out Activities'!$F:$F,"Call_Out",'ON Call_Call Out Activities'!$B:$B,CPY!B44)) *24,1)</f>
        <v>0</v>
      </c>
      <c r="AC44" s="63">
        <f>ROUNDUP((SUMIFS('ON Call_Call Out Activities'!$M:$M,'ON Call_Call Out Activities'!$F:$F,"Call_Out",'ON Call_Call Out Activities'!$B:$B,CPY!B44)),1)</f>
        <v>0</v>
      </c>
      <c r="AE44" s="65">
        <f>IF((SUMIF(Shift_allowance_Entries!$B:$B,CPY!$B44,Shift_allowance_Entries!$H:$H)) &gt; (SUMIF(Shift_allowance_Entries!$B:$B,CPY!$B44,Shift_allowance_Entries!$G:$G)),0,((SUMIF(Shift_allowance_Entries!$B:$B,CPY!$B44,Shift_allowance_Entries!$G:$G))-(SUMIF(Shift_allowance_Entries!$B:$B,CPY!$B44,Shift_allowance_Entries!$H:$H))))</f>
        <v>0</v>
      </c>
      <c r="AF44" s="63">
        <f>AE44*MD!$S$4</f>
        <v>0</v>
      </c>
    </row>
    <row r="45" spans="1:32" x14ac:dyDescent="0.25">
      <c r="A45" s="62">
        <v>43</v>
      </c>
      <c r="B45" s="62"/>
      <c r="C45" s="50" t="str">
        <f>IF(ISNA(VLOOKUP($B45,Summary!$B:$D,2,FALSE))=TRUE," ",VLOOKUP($B45,Summary!$B:$D,2,FALSE))</f>
        <v> </v>
      </c>
      <c r="D45" s="50" t="str">
        <f>IF(ISNA(VLOOKUP($B45,Summary!$B:$D,3,FALSE))=TRUE," ",VLOOKUP($B45,Summary!$B:$D,3,FALSE))</f>
        <v> </v>
      </c>
      <c r="E45" s="62"/>
      <c r="F45" s="62"/>
      <c r="G45" s="62"/>
      <c r="I45" s="63">
        <f t="shared" si="0"/>
        <v>0</v>
      </c>
      <c r="K45" s="64">
        <f>IF(E45="Support(L1_L2)",IF(NOT(ISBLANK(B45)),IF(NOT(ISBLANK(D45)),NETWORKDAYS('CPY TOC'!$F$5,'CPY TOC'!$G$5))))-L45</f>
        <v>0</v>
      </c>
      <c r="L45" s="64">
        <f>IF(E45="Support(L1_L2)",SUMIFS(Support_allowance_Entries!$G:$G,Support_allowance_Entries!$B:$B,CPY!B45),0)</f>
        <v>0</v>
      </c>
      <c r="M45" s="63" t="b">
        <f>IF($D45="D0",MD!$C$4*(K45),IF($D45="D1",MD!$C$5*(K45),IF($D45="D2",MD!$C$6*(K45),IF($D45="D3",MD!$C$7*(K45),IF($D45="D4",MD!$C$8*(K45),IF($D45="D5",MD!$C$9*(K45),IF($D45="M1",MD!$C$10*(K45),IF($D45="T1",MD!$C$11*(K45)))))))))</f>
        <v>0</v>
      </c>
      <c r="O45" s="65">
        <f>SUMIFS(Shift_allowance_Entries!$G:$G,Shift_allowance_Entries!$F:$F,"6:30AM-03:30PM",Shift_allowance_Entries!$B:$B,CPY!$B45)</f>
        <v>0</v>
      </c>
      <c r="P45" s="65">
        <f>SUMIFS(Shift_allowance_Entries!$G:$G,Shift_allowance_Entries!$F:$F,"1-9PM/2:30PM-11:30PM",Shift_allowance_Entries!$B:$B,CPY!$B45)</f>
        <v>0</v>
      </c>
      <c r="Q45" s="65">
        <f>SUMIFS(Shift_allowance_Entries!$G:$G,Shift_allowance_Entries!$F:$F,"11PM-7AM",Shift_allowance_Entries!$B:$B,CPY!$B45)</f>
        <v>0</v>
      </c>
      <c r="R45" s="63">
        <f>(CPY!O45*MD!$F$4)+(CPY!P45*MD!$F$5)+(CPY!Q45*MD!$F$6)</f>
        <v>0</v>
      </c>
      <c r="T45" s="64">
        <f>ROUNDUP((SUMIFS('OOH Activities'!$K:$K,'OOH Activities'!$F:$F,"Non_workdays",'OOH Activities'!$B:$B,CPY!B45)) *24,1)</f>
        <v>0</v>
      </c>
      <c r="U45" s="64">
        <f>ROUNDUP((SUMIFS('OOH Activities'!$K:$K,'OOH Activities'!$F:$F,"Workdays",'OOH Activities'!$B:$B,CPY!B45)) *24,1)</f>
        <v>0</v>
      </c>
      <c r="V45" s="63">
        <f>ROUNDUP((SUMIFS('OOH Activities'!$L:$L,'OOH Activities'!$B:$B,CPY!B45)),1)</f>
        <v>0</v>
      </c>
      <c r="X45" s="65">
        <f>ROUNDUP((SUMIFS('ON Call_Call Out Activities'!$L:$L,'ON Call_Call Out Activities'!$F:$F,"Workdays",'ON Call_Call Out Activities'!$B:$B,CPY!B45))*24,1)</f>
        <v>0</v>
      </c>
      <c r="Y45" s="64">
        <f>ROUNDUP((SUMIFS('ON Call_Call Out Activities'!$L:$L,'ON Call_Call Out Activities'!$F:$F,"Non_workdays",'ON Call_Call Out Activities'!$B:$B,CPY!B45)) *24,1)</f>
        <v>0</v>
      </c>
      <c r="Z45" s="63">
        <f>ROUNDUP((SUMIFS('ON Call_Call Out Activities'!$M:$M,'ON Call_Call Out Activities'!$F:$F,"Non_workdays",'ON Call_Call Out Activities'!$B:$B,CPY!B45)),1) + ROUNDUP((SUMIFS('ON Call_Call Out Activities'!$M:$M,'ON Call_Call Out Activities'!$F:$F,"Workdays",'ON Call_Call Out Activities'!$B:$B,CPY!B45)),1)</f>
        <v>0</v>
      </c>
      <c r="AA45" s="66"/>
      <c r="AB45" s="64">
        <f>ROUNDUP((SUMIFS('ON Call_Call Out Activities'!$L:$L,'ON Call_Call Out Activities'!$F:$F,"Call_Out",'ON Call_Call Out Activities'!$B:$B,CPY!B45)) *24,1)</f>
        <v>0</v>
      </c>
      <c r="AC45" s="63">
        <f>ROUNDUP((SUMIFS('ON Call_Call Out Activities'!$M:$M,'ON Call_Call Out Activities'!$F:$F,"Call_Out",'ON Call_Call Out Activities'!$B:$B,CPY!B45)),1)</f>
        <v>0</v>
      </c>
      <c r="AE45" s="65">
        <f>IF((SUMIF(Shift_allowance_Entries!$B:$B,CPY!$B45,Shift_allowance_Entries!$H:$H)) &gt; (SUMIF(Shift_allowance_Entries!$B:$B,CPY!$B45,Shift_allowance_Entries!$G:$G)),0,((SUMIF(Shift_allowance_Entries!$B:$B,CPY!$B45,Shift_allowance_Entries!$G:$G))-(SUMIF(Shift_allowance_Entries!$B:$B,CPY!$B45,Shift_allowance_Entries!$H:$H))))</f>
        <v>0</v>
      </c>
      <c r="AF45" s="63">
        <f>AE45*MD!$S$4</f>
        <v>0</v>
      </c>
    </row>
    <row r="46" spans="1:32" x14ac:dyDescent="0.25">
      <c r="A46" s="62">
        <v>44</v>
      </c>
      <c r="B46" s="62"/>
      <c r="C46" s="50" t="str">
        <f>IF(ISNA(VLOOKUP($B46,Summary!$B:$D,2,FALSE))=TRUE," ",VLOOKUP($B46,Summary!$B:$D,2,FALSE))</f>
        <v> </v>
      </c>
      <c r="D46" s="50" t="str">
        <f>IF(ISNA(VLOOKUP($B46,Summary!$B:$D,3,FALSE))=TRUE," ",VLOOKUP($B46,Summary!$B:$D,3,FALSE))</f>
        <v> </v>
      </c>
      <c r="E46" s="62"/>
      <c r="F46" s="62"/>
      <c r="G46" s="62"/>
      <c r="I46" s="63">
        <f t="shared" si="0"/>
        <v>0</v>
      </c>
      <c r="K46" s="64">
        <f>IF(E46="Support(L1_L2)",IF(NOT(ISBLANK(B46)),IF(NOT(ISBLANK(D46)),NETWORKDAYS('CPY TOC'!$F$5,'CPY TOC'!$G$5))))-L46</f>
        <v>0</v>
      </c>
      <c r="L46" s="64">
        <f>IF(E46="Support(L1_L2)",SUMIFS(Support_allowance_Entries!$G:$G,Support_allowance_Entries!$B:$B,CPY!B46),0)</f>
        <v>0</v>
      </c>
      <c r="M46" s="63" t="b">
        <f>IF($D46="D0",MD!$C$4*(K46),IF($D46="D1",MD!$C$5*(K46),IF($D46="D2",MD!$C$6*(K46),IF($D46="D3",MD!$C$7*(K46),IF($D46="D4",MD!$C$8*(K46),IF($D46="D5",MD!$C$9*(K46),IF($D46="M1",MD!$C$10*(K46),IF($D46="T1",MD!$C$11*(K46)))))))))</f>
        <v>0</v>
      </c>
      <c r="O46" s="65">
        <f>SUMIFS(Shift_allowance_Entries!$G:$G,Shift_allowance_Entries!$F:$F,"6:30AM-03:30PM",Shift_allowance_Entries!$B:$B,CPY!$B46)</f>
        <v>0</v>
      </c>
      <c r="P46" s="65">
        <f>SUMIFS(Shift_allowance_Entries!$G:$G,Shift_allowance_Entries!$F:$F,"1-9PM/2:30PM-11:30PM",Shift_allowance_Entries!$B:$B,CPY!$B46)</f>
        <v>0</v>
      </c>
      <c r="Q46" s="65">
        <f>SUMIFS(Shift_allowance_Entries!$G:$G,Shift_allowance_Entries!$F:$F,"11PM-7AM",Shift_allowance_Entries!$B:$B,CPY!$B46)</f>
        <v>0</v>
      </c>
      <c r="R46" s="63">
        <f>(CPY!O46*MD!$F$4)+(CPY!P46*MD!$F$5)+(CPY!Q46*MD!$F$6)</f>
        <v>0</v>
      </c>
      <c r="T46" s="64">
        <f>ROUNDUP((SUMIFS('OOH Activities'!$K:$K,'OOH Activities'!$F:$F,"Non_workdays",'OOH Activities'!$B:$B,CPY!B46)) *24,1)</f>
        <v>0</v>
      </c>
      <c r="U46" s="64">
        <f>ROUNDUP((SUMIFS('OOH Activities'!$K:$K,'OOH Activities'!$F:$F,"Workdays",'OOH Activities'!$B:$B,CPY!B46)) *24,1)</f>
        <v>0</v>
      </c>
      <c r="V46" s="63">
        <f>ROUNDUP((SUMIFS('OOH Activities'!$L:$L,'OOH Activities'!$B:$B,CPY!B46)),1)</f>
        <v>0</v>
      </c>
      <c r="X46" s="65">
        <f>ROUNDUP((SUMIFS('ON Call_Call Out Activities'!$L:$L,'ON Call_Call Out Activities'!$F:$F,"Workdays",'ON Call_Call Out Activities'!$B:$B,CPY!B46))*24,1)</f>
        <v>0</v>
      </c>
      <c r="Y46" s="64">
        <f>ROUNDUP((SUMIFS('ON Call_Call Out Activities'!$L:$L,'ON Call_Call Out Activities'!$F:$F,"Non_workdays",'ON Call_Call Out Activities'!$B:$B,CPY!B46)) *24,1)</f>
        <v>0</v>
      </c>
      <c r="Z46" s="63">
        <f>ROUNDUP((SUMIFS('ON Call_Call Out Activities'!$M:$M,'ON Call_Call Out Activities'!$F:$F,"Non_workdays",'ON Call_Call Out Activities'!$B:$B,CPY!B46)),1) + ROUNDUP((SUMIFS('ON Call_Call Out Activities'!$M:$M,'ON Call_Call Out Activities'!$F:$F,"Workdays",'ON Call_Call Out Activities'!$B:$B,CPY!B46)),1)</f>
        <v>0</v>
      </c>
      <c r="AA46" s="66"/>
      <c r="AB46" s="64">
        <f>ROUNDUP((SUMIFS('ON Call_Call Out Activities'!$L:$L,'ON Call_Call Out Activities'!$F:$F,"Call_Out",'ON Call_Call Out Activities'!$B:$B,CPY!B46)) *24,1)</f>
        <v>0</v>
      </c>
      <c r="AC46" s="63">
        <f>ROUNDUP((SUMIFS('ON Call_Call Out Activities'!$M:$M,'ON Call_Call Out Activities'!$F:$F,"Call_Out",'ON Call_Call Out Activities'!$B:$B,CPY!B46)),1)</f>
        <v>0</v>
      </c>
      <c r="AE46" s="65">
        <f>IF((SUMIF(Shift_allowance_Entries!$B:$B,CPY!$B46,Shift_allowance_Entries!$H:$H)) &gt; (SUMIF(Shift_allowance_Entries!$B:$B,CPY!$B46,Shift_allowance_Entries!$G:$G)),0,((SUMIF(Shift_allowance_Entries!$B:$B,CPY!$B46,Shift_allowance_Entries!$G:$G))-(SUMIF(Shift_allowance_Entries!$B:$B,CPY!$B46,Shift_allowance_Entries!$H:$H))))</f>
        <v>0</v>
      </c>
      <c r="AF46" s="63">
        <f>AE46*MD!$S$4</f>
        <v>0</v>
      </c>
    </row>
    <row r="47" spans="1:32" x14ac:dyDescent="0.25">
      <c r="A47" s="62">
        <v>45</v>
      </c>
      <c r="B47" s="62"/>
      <c r="C47" s="50" t="str">
        <f>IF(ISNA(VLOOKUP($B47,Summary!$B:$D,2,FALSE))=TRUE," ",VLOOKUP($B47,Summary!$B:$D,2,FALSE))</f>
        <v> </v>
      </c>
      <c r="D47" s="50" t="str">
        <f>IF(ISNA(VLOOKUP($B47,Summary!$B:$D,3,FALSE))=TRUE," ",VLOOKUP($B47,Summary!$B:$D,3,FALSE))</f>
        <v> </v>
      </c>
      <c r="E47" s="62"/>
      <c r="F47" s="62"/>
      <c r="G47" s="62"/>
      <c r="I47" s="63">
        <f t="shared" si="0"/>
        <v>0</v>
      </c>
      <c r="K47" s="64">
        <f>IF(E47="Support(L1_L2)",IF(NOT(ISBLANK(B47)),IF(NOT(ISBLANK(D47)),NETWORKDAYS('CPY TOC'!$F$5,'CPY TOC'!$G$5))))-L47</f>
        <v>0</v>
      </c>
      <c r="L47" s="64">
        <f>IF(E47="Support(L1_L2)",SUMIFS(Support_allowance_Entries!$G:$G,Support_allowance_Entries!$B:$B,CPY!B47),0)</f>
        <v>0</v>
      </c>
      <c r="M47" s="63" t="b">
        <f>IF($D47="D0",MD!$C$4*(K47),IF($D47="D1",MD!$C$5*(K47),IF($D47="D2",MD!$C$6*(K47),IF($D47="D3",MD!$C$7*(K47),IF($D47="D4",MD!$C$8*(K47),IF($D47="D5",MD!$C$9*(K47),IF($D47="M1",MD!$C$10*(K47),IF($D47="T1",MD!$C$11*(K47)))))))))</f>
        <v>0</v>
      </c>
      <c r="O47" s="65">
        <f>SUMIFS(Shift_allowance_Entries!$G:$G,Shift_allowance_Entries!$F:$F,"6:30AM-03:30PM",Shift_allowance_Entries!$B:$B,CPY!$B47)</f>
        <v>0</v>
      </c>
      <c r="P47" s="65">
        <f>SUMIFS(Shift_allowance_Entries!$G:$G,Shift_allowance_Entries!$F:$F,"1-9PM/2:30PM-11:30PM",Shift_allowance_Entries!$B:$B,CPY!$B47)</f>
        <v>0</v>
      </c>
      <c r="Q47" s="65">
        <f>SUMIFS(Shift_allowance_Entries!$G:$G,Shift_allowance_Entries!$F:$F,"11PM-7AM",Shift_allowance_Entries!$B:$B,CPY!$B47)</f>
        <v>0</v>
      </c>
      <c r="R47" s="63">
        <f>(CPY!O47*MD!$F$4)+(CPY!P47*MD!$F$5)+(CPY!Q47*MD!$F$6)</f>
        <v>0</v>
      </c>
      <c r="T47" s="64">
        <f>ROUNDUP((SUMIFS('OOH Activities'!$K:$K,'OOH Activities'!$F:$F,"Non_workdays",'OOH Activities'!$B:$B,CPY!B47)) *24,1)</f>
        <v>0</v>
      </c>
      <c r="U47" s="64">
        <f>ROUNDUP((SUMIFS('OOH Activities'!$K:$K,'OOH Activities'!$F:$F,"Workdays",'OOH Activities'!$B:$B,CPY!B47)) *24,1)</f>
        <v>0</v>
      </c>
      <c r="V47" s="63">
        <f>ROUNDUP((SUMIFS('OOH Activities'!$L:$L,'OOH Activities'!$B:$B,CPY!B47)),1)</f>
        <v>0</v>
      </c>
      <c r="X47" s="65">
        <f>ROUNDUP((SUMIFS('ON Call_Call Out Activities'!$L:$L,'ON Call_Call Out Activities'!$F:$F,"Workdays",'ON Call_Call Out Activities'!$B:$B,CPY!B47))*24,1)</f>
        <v>0</v>
      </c>
      <c r="Y47" s="64">
        <f>ROUNDUP((SUMIFS('ON Call_Call Out Activities'!$L:$L,'ON Call_Call Out Activities'!$F:$F,"Non_workdays",'ON Call_Call Out Activities'!$B:$B,CPY!B47)) *24,1)</f>
        <v>0</v>
      </c>
      <c r="Z47" s="63">
        <f>ROUNDUP((SUMIFS('ON Call_Call Out Activities'!$M:$M,'ON Call_Call Out Activities'!$F:$F,"Non_workdays",'ON Call_Call Out Activities'!$B:$B,CPY!B47)),1) + ROUNDUP((SUMIFS('ON Call_Call Out Activities'!$M:$M,'ON Call_Call Out Activities'!$F:$F,"Workdays",'ON Call_Call Out Activities'!$B:$B,CPY!B47)),1)</f>
        <v>0</v>
      </c>
      <c r="AA47" s="66"/>
      <c r="AB47" s="64">
        <f>ROUNDUP((SUMIFS('ON Call_Call Out Activities'!$L:$L,'ON Call_Call Out Activities'!$F:$F,"Call_Out",'ON Call_Call Out Activities'!$B:$B,CPY!B47)) *24,1)</f>
        <v>0</v>
      </c>
      <c r="AC47" s="63">
        <f>ROUNDUP((SUMIFS('ON Call_Call Out Activities'!$M:$M,'ON Call_Call Out Activities'!$F:$F,"Call_Out",'ON Call_Call Out Activities'!$B:$B,CPY!B47)),1)</f>
        <v>0</v>
      </c>
      <c r="AE47" s="65">
        <f>IF((SUMIF(Shift_allowance_Entries!$B:$B,CPY!$B47,Shift_allowance_Entries!$H:$H)) &gt; (SUMIF(Shift_allowance_Entries!$B:$B,CPY!$B47,Shift_allowance_Entries!$G:$G)),0,((SUMIF(Shift_allowance_Entries!$B:$B,CPY!$B47,Shift_allowance_Entries!$G:$G))-(SUMIF(Shift_allowance_Entries!$B:$B,CPY!$B47,Shift_allowance_Entries!$H:$H))))</f>
        <v>0</v>
      </c>
      <c r="AF47" s="63">
        <f>AE47*MD!$S$4</f>
        <v>0</v>
      </c>
    </row>
    <row r="48" spans="1:32" x14ac:dyDescent="0.25">
      <c r="A48" s="62">
        <v>46</v>
      </c>
      <c r="B48" s="62"/>
      <c r="C48" s="50" t="str">
        <f>IF(ISNA(VLOOKUP($B48,Summary!$B:$D,2,FALSE))=TRUE," ",VLOOKUP($B48,Summary!$B:$D,2,FALSE))</f>
        <v> </v>
      </c>
      <c r="D48" s="50" t="str">
        <f>IF(ISNA(VLOOKUP($B48,Summary!$B:$D,3,FALSE))=TRUE," ",VLOOKUP($B48,Summary!$B:$D,3,FALSE))</f>
        <v> </v>
      </c>
      <c r="E48" s="62"/>
      <c r="F48" s="62"/>
      <c r="G48" s="62"/>
      <c r="I48" s="63">
        <f t="shared" si="0"/>
        <v>0</v>
      </c>
      <c r="K48" s="64">
        <f>IF(E48="Support(L1_L2)",IF(NOT(ISBLANK(B48)),IF(NOT(ISBLANK(D48)),NETWORKDAYS('CPY TOC'!$F$5,'CPY TOC'!$G$5))))-L48</f>
        <v>0</v>
      </c>
      <c r="L48" s="64">
        <f>IF(E48="Support(L1_L2)",SUMIFS(Support_allowance_Entries!$G:$G,Support_allowance_Entries!$B:$B,CPY!B48),0)</f>
        <v>0</v>
      </c>
      <c r="M48" s="63" t="b">
        <f>IF($D48="D0",MD!$C$4*(K48),IF($D48="D1",MD!$C$5*(K48),IF($D48="D2",MD!$C$6*(K48),IF($D48="D3",MD!$C$7*(K48),IF($D48="D4",MD!$C$8*(K48),IF($D48="D5",MD!$C$9*(K48),IF($D48="M1",MD!$C$10*(K48),IF($D48="T1",MD!$C$11*(K48)))))))))</f>
        <v>0</v>
      </c>
      <c r="O48" s="65">
        <f>SUMIFS(Shift_allowance_Entries!$G:$G,Shift_allowance_Entries!$F:$F,"6:30AM-03:30PM",Shift_allowance_Entries!$B:$B,CPY!$B48)</f>
        <v>0</v>
      </c>
      <c r="P48" s="65">
        <f>SUMIFS(Shift_allowance_Entries!$G:$G,Shift_allowance_Entries!$F:$F,"1-9PM/2:30PM-11:30PM",Shift_allowance_Entries!$B:$B,CPY!$B48)</f>
        <v>0</v>
      </c>
      <c r="Q48" s="65">
        <f>SUMIFS(Shift_allowance_Entries!$G:$G,Shift_allowance_Entries!$F:$F,"11PM-7AM",Shift_allowance_Entries!$B:$B,CPY!$B48)</f>
        <v>0</v>
      </c>
      <c r="R48" s="63">
        <f>(CPY!O48*MD!$F$4)+(CPY!P48*MD!$F$5)+(CPY!Q48*MD!$F$6)</f>
        <v>0</v>
      </c>
      <c r="T48" s="64">
        <f>ROUNDUP((SUMIFS('OOH Activities'!$K:$K,'OOH Activities'!$F:$F,"Non_workdays",'OOH Activities'!$B:$B,CPY!B48)) *24,1)</f>
        <v>0</v>
      </c>
      <c r="U48" s="64">
        <f>ROUNDUP((SUMIFS('OOH Activities'!$K:$K,'OOH Activities'!$F:$F,"Workdays",'OOH Activities'!$B:$B,CPY!B48)) *24,1)</f>
        <v>0</v>
      </c>
      <c r="V48" s="63">
        <f>ROUNDUP((SUMIFS('OOH Activities'!$L:$L,'OOH Activities'!$B:$B,CPY!B48)),1)</f>
        <v>0</v>
      </c>
      <c r="X48" s="65">
        <f>ROUNDUP((SUMIFS('ON Call_Call Out Activities'!$L:$L,'ON Call_Call Out Activities'!$F:$F,"Workdays",'ON Call_Call Out Activities'!$B:$B,CPY!B48))*24,1)</f>
        <v>0</v>
      </c>
      <c r="Y48" s="64">
        <f>ROUNDUP((SUMIFS('ON Call_Call Out Activities'!$L:$L,'ON Call_Call Out Activities'!$F:$F,"Non_workdays",'ON Call_Call Out Activities'!$B:$B,CPY!B48)) *24,1)</f>
        <v>0</v>
      </c>
      <c r="Z48" s="63">
        <f>ROUNDUP((SUMIFS('ON Call_Call Out Activities'!$M:$M,'ON Call_Call Out Activities'!$F:$F,"Non_workdays",'ON Call_Call Out Activities'!$B:$B,CPY!B48)),1) + ROUNDUP((SUMIFS('ON Call_Call Out Activities'!$M:$M,'ON Call_Call Out Activities'!$F:$F,"Workdays",'ON Call_Call Out Activities'!$B:$B,CPY!B48)),1)</f>
        <v>0</v>
      </c>
      <c r="AA48" s="66"/>
      <c r="AB48" s="64">
        <f>ROUNDUP((SUMIFS('ON Call_Call Out Activities'!$L:$L,'ON Call_Call Out Activities'!$F:$F,"Call_Out",'ON Call_Call Out Activities'!$B:$B,CPY!B48)) *24,1)</f>
        <v>0</v>
      </c>
      <c r="AC48" s="63">
        <f>ROUNDUP((SUMIFS('ON Call_Call Out Activities'!$M:$M,'ON Call_Call Out Activities'!$F:$F,"Call_Out",'ON Call_Call Out Activities'!$B:$B,CPY!B48)),1)</f>
        <v>0</v>
      </c>
      <c r="AE48" s="65">
        <f>IF((SUMIF(Shift_allowance_Entries!$B:$B,CPY!$B48,Shift_allowance_Entries!$H:$H)) &gt; (SUMIF(Shift_allowance_Entries!$B:$B,CPY!$B48,Shift_allowance_Entries!$G:$G)),0,((SUMIF(Shift_allowance_Entries!$B:$B,CPY!$B48,Shift_allowance_Entries!$G:$G))-(SUMIF(Shift_allowance_Entries!$B:$B,CPY!$B48,Shift_allowance_Entries!$H:$H))))</f>
        <v>0</v>
      </c>
      <c r="AF48" s="63">
        <f>AE48*MD!$S$4</f>
        <v>0</v>
      </c>
    </row>
    <row r="49" spans="1:32" x14ac:dyDescent="0.25">
      <c r="A49" s="62">
        <v>47</v>
      </c>
      <c r="B49" s="62"/>
      <c r="C49" s="50" t="str">
        <f>IF(ISNA(VLOOKUP($B49,Summary!$B:$D,2,FALSE))=TRUE," ",VLOOKUP($B49,Summary!$B:$D,2,FALSE))</f>
        <v> </v>
      </c>
      <c r="D49" s="50" t="str">
        <f>IF(ISNA(VLOOKUP($B49,Summary!$B:$D,3,FALSE))=TRUE," ",VLOOKUP($B49,Summary!$B:$D,3,FALSE))</f>
        <v> </v>
      </c>
      <c r="E49" s="62"/>
      <c r="F49" s="62"/>
      <c r="G49" s="62"/>
      <c r="I49" s="63">
        <f t="shared" si="0"/>
        <v>0</v>
      </c>
      <c r="K49" s="64">
        <f>IF(E49="Support(L1_L2)",IF(NOT(ISBLANK(B49)),IF(NOT(ISBLANK(D49)),NETWORKDAYS('CPY TOC'!$F$5,'CPY TOC'!$G$5))))-L49</f>
        <v>0</v>
      </c>
      <c r="L49" s="64">
        <f>IF(E49="Support(L1_L2)",SUMIFS(Support_allowance_Entries!$G:$G,Support_allowance_Entries!$B:$B,CPY!B49),0)</f>
        <v>0</v>
      </c>
      <c r="M49" s="63" t="b">
        <f>IF($D49="D0",MD!$C$4*(K49),IF($D49="D1",MD!$C$5*(K49),IF($D49="D2",MD!$C$6*(K49),IF($D49="D3",MD!$C$7*(K49),IF($D49="D4",MD!$C$8*(K49),IF($D49="D5",MD!$C$9*(K49),IF($D49="M1",MD!$C$10*(K49),IF($D49="T1",MD!$C$11*(K49)))))))))</f>
        <v>0</v>
      </c>
      <c r="O49" s="65">
        <f>SUMIFS(Shift_allowance_Entries!$G:$G,Shift_allowance_Entries!$F:$F,"6:30AM-03:30PM",Shift_allowance_Entries!$B:$B,CPY!$B49)</f>
        <v>0</v>
      </c>
      <c r="P49" s="65">
        <f>SUMIFS(Shift_allowance_Entries!$G:$G,Shift_allowance_Entries!$F:$F,"1-9PM/2:30PM-11:30PM",Shift_allowance_Entries!$B:$B,CPY!$B49)</f>
        <v>0</v>
      </c>
      <c r="Q49" s="65">
        <f>SUMIFS(Shift_allowance_Entries!$G:$G,Shift_allowance_Entries!$F:$F,"11PM-7AM",Shift_allowance_Entries!$B:$B,CPY!$B49)</f>
        <v>0</v>
      </c>
      <c r="R49" s="63">
        <f>(CPY!O49*MD!$F$4)+(CPY!P49*MD!$F$5)+(CPY!Q49*MD!$F$6)</f>
        <v>0</v>
      </c>
      <c r="T49" s="64">
        <f>ROUNDUP((SUMIFS('OOH Activities'!$K:$K,'OOH Activities'!$F:$F,"Non_workdays",'OOH Activities'!$B:$B,CPY!B49)) *24,1)</f>
        <v>0</v>
      </c>
      <c r="U49" s="64">
        <f>ROUNDUP((SUMIFS('OOH Activities'!$K:$K,'OOH Activities'!$F:$F,"Workdays",'OOH Activities'!$B:$B,CPY!B49)) *24,1)</f>
        <v>0</v>
      </c>
      <c r="V49" s="63">
        <f>ROUNDUP((SUMIFS('OOH Activities'!$L:$L,'OOH Activities'!$B:$B,CPY!B49)),1)</f>
        <v>0</v>
      </c>
      <c r="X49" s="65">
        <f>ROUNDUP((SUMIFS('ON Call_Call Out Activities'!$L:$L,'ON Call_Call Out Activities'!$F:$F,"Workdays",'ON Call_Call Out Activities'!$B:$B,CPY!B49))*24,1)</f>
        <v>0</v>
      </c>
      <c r="Y49" s="64">
        <f>ROUNDUP((SUMIFS('ON Call_Call Out Activities'!$L:$L,'ON Call_Call Out Activities'!$F:$F,"Non_workdays",'ON Call_Call Out Activities'!$B:$B,CPY!B49)) *24,1)</f>
        <v>0</v>
      </c>
      <c r="Z49" s="63">
        <f>ROUNDUP((SUMIFS('ON Call_Call Out Activities'!$M:$M,'ON Call_Call Out Activities'!$F:$F,"Non_workdays",'ON Call_Call Out Activities'!$B:$B,CPY!B49)),1) + ROUNDUP((SUMIFS('ON Call_Call Out Activities'!$M:$M,'ON Call_Call Out Activities'!$F:$F,"Workdays",'ON Call_Call Out Activities'!$B:$B,CPY!B49)),1)</f>
        <v>0</v>
      </c>
      <c r="AA49" s="66"/>
      <c r="AB49" s="64">
        <f>ROUNDUP((SUMIFS('ON Call_Call Out Activities'!$L:$L,'ON Call_Call Out Activities'!$F:$F,"Call_Out",'ON Call_Call Out Activities'!$B:$B,CPY!B49)) *24,1)</f>
        <v>0</v>
      </c>
      <c r="AC49" s="63">
        <f>ROUNDUP((SUMIFS('ON Call_Call Out Activities'!$M:$M,'ON Call_Call Out Activities'!$F:$F,"Call_Out",'ON Call_Call Out Activities'!$B:$B,CPY!B49)),1)</f>
        <v>0</v>
      </c>
      <c r="AE49" s="65">
        <f>IF((SUMIF(Shift_allowance_Entries!$B:$B,CPY!$B49,Shift_allowance_Entries!$H:$H)) &gt; (SUMIF(Shift_allowance_Entries!$B:$B,CPY!$B49,Shift_allowance_Entries!$G:$G)),0,((SUMIF(Shift_allowance_Entries!$B:$B,CPY!$B49,Shift_allowance_Entries!$G:$G))-(SUMIF(Shift_allowance_Entries!$B:$B,CPY!$B49,Shift_allowance_Entries!$H:$H))))</f>
        <v>0</v>
      </c>
      <c r="AF49" s="63">
        <f>AE49*MD!$S$4</f>
        <v>0</v>
      </c>
    </row>
    <row r="50" spans="1:32" x14ac:dyDescent="0.25">
      <c r="A50" s="62">
        <v>48</v>
      </c>
      <c r="B50" s="62"/>
      <c r="C50" s="50" t="str">
        <f>IF(ISNA(VLOOKUP($B50,Summary!$B:$D,2,FALSE))=TRUE," ",VLOOKUP($B50,Summary!$B:$D,2,FALSE))</f>
        <v> </v>
      </c>
      <c r="D50" s="50" t="str">
        <f>IF(ISNA(VLOOKUP($B50,Summary!$B:$D,3,FALSE))=TRUE," ",VLOOKUP($B50,Summary!$B:$D,3,FALSE))</f>
        <v> </v>
      </c>
      <c r="E50" s="62"/>
      <c r="F50" s="62"/>
      <c r="G50" s="62"/>
      <c r="I50" s="63">
        <f t="shared" si="0"/>
        <v>0</v>
      </c>
      <c r="K50" s="64">
        <f>IF(E50="Support(L1_L2)",IF(NOT(ISBLANK(B50)),IF(NOT(ISBLANK(D50)),NETWORKDAYS('CPY TOC'!$F$5,'CPY TOC'!$G$5))))-L50</f>
        <v>0</v>
      </c>
      <c r="L50" s="64">
        <f>IF(E50="Support(L1_L2)",SUMIFS(Support_allowance_Entries!$G:$G,Support_allowance_Entries!$B:$B,CPY!B50),0)</f>
        <v>0</v>
      </c>
      <c r="M50" s="63" t="b">
        <f>IF($D50="D0",MD!$C$4*(K50),IF($D50="D1",MD!$C$5*(K50),IF($D50="D2",MD!$C$6*(K50),IF($D50="D3",MD!$C$7*(K50),IF($D50="D4",MD!$C$8*(K50),IF($D50="D5",MD!$C$9*(K50),IF($D50="M1",MD!$C$10*(K50),IF($D50="T1",MD!$C$11*(K50)))))))))</f>
        <v>0</v>
      </c>
      <c r="O50" s="65">
        <f>SUMIFS(Shift_allowance_Entries!$G:$G,Shift_allowance_Entries!$F:$F,"6:30AM-03:30PM",Shift_allowance_Entries!$B:$B,CPY!$B50)</f>
        <v>0</v>
      </c>
      <c r="P50" s="65">
        <f>SUMIFS(Shift_allowance_Entries!$G:$G,Shift_allowance_Entries!$F:$F,"1-9PM/2:30PM-11:30PM",Shift_allowance_Entries!$B:$B,CPY!$B50)</f>
        <v>0</v>
      </c>
      <c r="Q50" s="65">
        <f>SUMIFS(Shift_allowance_Entries!$G:$G,Shift_allowance_Entries!$F:$F,"11PM-7AM",Shift_allowance_Entries!$B:$B,CPY!$B50)</f>
        <v>0</v>
      </c>
      <c r="R50" s="63">
        <f>(CPY!O50*MD!$F$4)+(CPY!P50*MD!$F$5)+(CPY!Q50*MD!$F$6)</f>
        <v>0</v>
      </c>
      <c r="T50" s="64">
        <f>ROUNDUP((SUMIFS('OOH Activities'!$K:$K,'OOH Activities'!$F:$F,"Non_workdays",'OOH Activities'!$B:$B,CPY!B50)) *24,1)</f>
        <v>0</v>
      </c>
      <c r="U50" s="64">
        <f>ROUNDUP((SUMIFS('OOH Activities'!$K:$K,'OOH Activities'!$F:$F,"Workdays",'OOH Activities'!$B:$B,CPY!B50)) *24,1)</f>
        <v>0</v>
      </c>
      <c r="V50" s="63">
        <f>ROUNDUP((SUMIFS('OOH Activities'!$L:$L,'OOH Activities'!$B:$B,CPY!B50)),1)</f>
        <v>0</v>
      </c>
      <c r="X50" s="65">
        <f>ROUNDUP((SUMIFS('ON Call_Call Out Activities'!$L:$L,'ON Call_Call Out Activities'!$F:$F,"Workdays",'ON Call_Call Out Activities'!$B:$B,CPY!B50))*24,1)</f>
        <v>0</v>
      </c>
      <c r="Y50" s="64">
        <f>ROUNDUP((SUMIFS('ON Call_Call Out Activities'!$L:$L,'ON Call_Call Out Activities'!$F:$F,"Non_workdays",'ON Call_Call Out Activities'!$B:$B,CPY!B50)) *24,1)</f>
        <v>0</v>
      </c>
      <c r="Z50" s="63">
        <f>ROUNDUP((SUMIFS('ON Call_Call Out Activities'!$M:$M,'ON Call_Call Out Activities'!$F:$F,"Non_workdays",'ON Call_Call Out Activities'!$B:$B,CPY!B50)),1) + ROUNDUP((SUMIFS('ON Call_Call Out Activities'!$M:$M,'ON Call_Call Out Activities'!$F:$F,"Workdays",'ON Call_Call Out Activities'!$B:$B,CPY!B50)),1)</f>
        <v>0</v>
      </c>
      <c r="AA50" s="66"/>
      <c r="AB50" s="64">
        <f>ROUNDUP((SUMIFS('ON Call_Call Out Activities'!$L:$L,'ON Call_Call Out Activities'!$F:$F,"Call_Out",'ON Call_Call Out Activities'!$B:$B,CPY!B50)) *24,1)</f>
        <v>0</v>
      </c>
      <c r="AC50" s="63">
        <f>ROUNDUP((SUMIFS('ON Call_Call Out Activities'!$M:$M,'ON Call_Call Out Activities'!$F:$F,"Call_Out",'ON Call_Call Out Activities'!$B:$B,CPY!B50)),1)</f>
        <v>0</v>
      </c>
      <c r="AE50" s="65">
        <f>IF((SUMIF(Shift_allowance_Entries!$B:$B,CPY!$B50,Shift_allowance_Entries!$H:$H)) &gt; (SUMIF(Shift_allowance_Entries!$B:$B,CPY!$B50,Shift_allowance_Entries!$G:$G)),0,((SUMIF(Shift_allowance_Entries!$B:$B,CPY!$B50,Shift_allowance_Entries!$G:$G))-(SUMIF(Shift_allowance_Entries!$B:$B,CPY!$B50,Shift_allowance_Entries!$H:$H))))</f>
        <v>0</v>
      </c>
      <c r="AF50" s="63">
        <f>AE50*MD!$S$4</f>
        <v>0</v>
      </c>
    </row>
    <row r="51" spans="1:32" x14ac:dyDescent="0.25">
      <c r="A51" s="62">
        <v>49</v>
      </c>
      <c r="B51" s="62"/>
      <c r="C51" s="50" t="str">
        <f>IF(ISNA(VLOOKUP($B51,Summary!$B:$D,2,FALSE))=TRUE," ",VLOOKUP($B51,Summary!$B:$D,2,FALSE))</f>
        <v> </v>
      </c>
      <c r="D51" s="50" t="str">
        <f>IF(ISNA(VLOOKUP($B51,Summary!$B:$D,3,FALSE))=TRUE," ",VLOOKUP($B51,Summary!$B:$D,3,FALSE))</f>
        <v> </v>
      </c>
      <c r="E51" s="62"/>
      <c r="F51" s="62"/>
      <c r="G51" s="62"/>
      <c r="I51" s="63">
        <f t="shared" si="0"/>
        <v>0</v>
      </c>
      <c r="K51" s="64">
        <f>IF(E51="Support(L1_L2)",IF(NOT(ISBLANK(B51)),IF(NOT(ISBLANK(D51)),NETWORKDAYS('CPY TOC'!$F$5,'CPY TOC'!$G$5))))-L51</f>
        <v>0</v>
      </c>
      <c r="L51" s="64">
        <f>IF(E51="Support(L1_L2)",SUMIFS(Support_allowance_Entries!$G:$G,Support_allowance_Entries!$B:$B,CPY!B51),0)</f>
        <v>0</v>
      </c>
      <c r="M51" s="63" t="b">
        <f>IF($D51="D0",MD!$C$4*(K51),IF($D51="D1",MD!$C$5*(K51),IF($D51="D2",MD!$C$6*(K51),IF($D51="D3",MD!$C$7*(K51),IF($D51="D4",MD!$C$8*(K51),IF($D51="D5",MD!$C$9*(K51),IF($D51="M1",MD!$C$10*(K51),IF($D51="T1",MD!$C$11*(K51)))))))))</f>
        <v>0</v>
      </c>
      <c r="O51" s="65">
        <f>SUMIFS(Shift_allowance_Entries!$G:$G,Shift_allowance_Entries!$F:$F,"6:30AM-03:30PM",Shift_allowance_Entries!$B:$B,CPY!$B51)</f>
        <v>0</v>
      </c>
      <c r="P51" s="65">
        <f>SUMIFS(Shift_allowance_Entries!$G:$G,Shift_allowance_Entries!$F:$F,"1-9PM/2:30PM-11:30PM",Shift_allowance_Entries!$B:$B,CPY!$B51)</f>
        <v>0</v>
      </c>
      <c r="Q51" s="65">
        <f>SUMIFS(Shift_allowance_Entries!$G:$G,Shift_allowance_Entries!$F:$F,"11PM-7AM",Shift_allowance_Entries!$B:$B,CPY!$B51)</f>
        <v>0</v>
      </c>
      <c r="R51" s="63">
        <f>(CPY!O51*MD!$F$4)+(CPY!P51*MD!$F$5)+(CPY!Q51*MD!$F$6)</f>
        <v>0</v>
      </c>
      <c r="T51" s="64">
        <f>ROUNDUP((SUMIFS('OOH Activities'!$K:$K,'OOH Activities'!$F:$F,"Non_workdays",'OOH Activities'!$B:$B,CPY!B51)) *24,1)</f>
        <v>0</v>
      </c>
      <c r="U51" s="64">
        <f>ROUNDUP((SUMIFS('OOH Activities'!$K:$K,'OOH Activities'!$F:$F,"Workdays",'OOH Activities'!$B:$B,CPY!B51)) *24,1)</f>
        <v>0</v>
      </c>
      <c r="V51" s="63">
        <f>ROUNDUP((SUMIFS('OOH Activities'!$L:$L,'OOH Activities'!$B:$B,CPY!B51)),1)</f>
        <v>0</v>
      </c>
      <c r="X51" s="65">
        <f>ROUNDUP((SUMIFS('ON Call_Call Out Activities'!$L:$L,'ON Call_Call Out Activities'!$F:$F,"Workdays",'ON Call_Call Out Activities'!$B:$B,CPY!B51))*24,1)</f>
        <v>0</v>
      </c>
      <c r="Y51" s="64">
        <f>ROUNDUP((SUMIFS('ON Call_Call Out Activities'!$L:$L,'ON Call_Call Out Activities'!$F:$F,"Non_workdays",'ON Call_Call Out Activities'!$B:$B,CPY!B51)) *24,1)</f>
        <v>0</v>
      </c>
      <c r="Z51" s="63">
        <f>ROUNDUP((SUMIFS('ON Call_Call Out Activities'!$M:$M,'ON Call_Call Out Activities'!$F:$F,"Non_workdays",'ON Call_Call Out Activities'!$B:$B,CPY!B51)),1) + ROUNDUP((SUMIFS('ON Call_Call Out Activities'!$M:$M,'ON Call_Call Out Activities'!$F:$F,"Workdays",'ON Call_Call Out Activities'!$B:$B,CPY!B51)),1)</f>
        <v>0</v>
      </c>
      <c r="AA51" s="66"/>
      <c r="AB51" s="64">
        <f>ROUNDUP((SUMIFS('ON Call_Call Out Activities'!$L:$L,'ON Call_Call Out Activities'!$F:$F,"Call_Out",'ON Call_Call Out Activities'!$B:$B,CPY!B51)) *24,1)</f>
        <v>0</v>
      </c>
      <c r="AC51" s="63">
        <f>ROUNDUP((SUMIFS('ON Call_Call Out Activities'!$M:$M,'ON Call_Call Out Activities'!$F:$F,"Call_Out",'ON Call_Call Out Activities'!$B:$B,CPY!B51)),1)</f>
        <v>0</v>
      </c>
      <c r="AE51" s="65">
        <f>IF((SUMIF(Shift_allowance_Entries!$B:$B,CPY!$B51,Shift_allowance_Entries!$H:$H)) &gt; (SUMIF(Shift_allowance_Entries!$B:$B,CPY!$B51,Shift_allowance_Entries!$G:$G)),0,((SUMIF(Shift_allowance_Entries!$B:$B,CPY!$B51,Shift_allowance_Entries!$G:$G))-(SUMIF(Shift_allowance_Entries!$B:$B,CPY!$B51,Shift_allowance_Entries!$H:$H))))</f>
        <v>0</v>
      </c>
      <c r="AF51" s="63">
        <f>AE51*MD!$S$4</f>
        <v>0</v>
      </c>
    </row>
    <row r="52" spans="1:32" x14ac:dyDescent="0.25">
      <c r="A52" s="62">
        <v>50</v>
      </c>
      <c r="B52" s="62"/>
      <c r="C52" s="50" t="str">
        <f>IF(ISNA(VLOOKUP($B52,Summary!$B:$D,2,FALSE))=TRUE," ",VLOOKUP($B52,Summary!$B:$D,2,FALSE))</f>
        <v> </v>
      </c>
      <c r="D52" s="50" t="str">
        <f>IF(ISNA(VLOOKUP($B52,Summary!$B:$D,3,FALSE))=TRUE," ",VLOOKUP($B52,Summary!$B:$D,3,FALSE))</f>
        <v> </v>
      </c>
      <c r="E52" s="62"/>
      <c r="F52" s="62"/>
      <c r="G52" s="62"/>
      <c r="I52" s="63">
        <f t="shared" si="0"/>
        <v>0</v>
      </c>
      <c r="K52" s="64">
        <f>IF(E52="Support(L1_L2)",IF(NOT(ISBLANK(B52)),IF(NOT(ISBLANK(D52)),NETWORKDAYS('CPY TOC'!$F$5,'CPY TOC'!$G$5))))-L52</f>
        <v>0</v>
      </c>
      <c r="L52" s="64">
        <f>IF(E52="Support(L1_L2)",SUMIFS(Support_allowance_Entries!$G:$G,Support_allowance_Entries!$B:$B,CPY!B52),0)</f>
        <v>0</v>
      </c>
      <c r="M52" s="63" t="b">
        <f>IF($D52="D0",MD!$C$4*(K52),IF($D52="D1",MD!$C$5*(K52),IF($D52="D2",MD!$C$6*(K52),IF($D52="D3",MD!$C$7*(K52),IF($D52="D4",MD!$C$8*(K52),IF($D52="D5",MD!$C$9*(K52),IF($D52="M1",MD!$C$10*(K52),IF($D52="T1",MD!$C$11*(K52)))))))))</f>
        <v>0</v>
      </c>
      <c r="O52" s="65">
        <f>SUMIFS(Shift_allowance_Entries!$G:$G,Shift_allowance_Entries!$F:$F,"6:30AM-03:30PM",Shift_allowance_Entries!$B:$B,CPY!$B52)</f>
        <v>0</v>
      </c>
      <c r="P52" s="65">
        <f>SUMIFS(Shift_allowance_Entries!$G:$G,Shift_allowance_Entries!$F:$F,"1-9PM/2:30PM-11:30PM",Shift_allowance_Entries!$B:$B,CPY!$B52)</f>
        <v>0</v>
      </c>
      <c r="Q52" s="65">
        <f>SUMIFS(Shift_allowance_Entries!$G:$G,Shift_allowance_Entries!$F:$F,"11PM-7AM",Shift_allowance_Entries!$B:$B,CPY!$B52)</f>
        <v>0</v>
      </c>
      <c r="R52" s="63">
        <f>(CPY!O52*MD!$F$4)+(CPY!P52*MD!$F$5)+(CPY!Q52*MD!$F$6)</f>
        <v>0</v>
      </c>
      <c r="T52" s="64">
        <f>ROUNDUP((SUMIFS('OOH Activities'!$K:$K,'OOH Activities'!$F:$F,"Non_workdays",'OOH Activities'!$B:$B,CPY!B52)) *24,1)</f>
        <v>0</v>
      </c>
      <c r="U52" s="64">
        <f>ROUNDUP((SUMIFS('OOH Activities'!$K:$K,'OOH Activities'!$F:$F,"Workdays",'OOH Activities'!$B:$B,CPY!B52)) *24,1)</f>
        <v>0</v>
      </c>
      <c r="V52" s="63">
        <f>ROUNDUP((SUMIFS('OOH Activities'!$L:$L,'OOH Activities'!$B:$B,CPY!B52)),1)</f>
        <v>0</v>
      </c>
      <c r="X52" s="65">
        <f>ROUNDUP((SUMIFS('ON Call_Call Out Activities'!$L:$L,'ON Call_Call Out Activities'!$F:$F,"Workdays",'ON Call_Call Out Activities'!$B:$B,CPY!B52))*24,1)</f>
        <v>0</v>
      </c>
      <c r="Y52" s="64">
        <f>ROUNDUP((SUMIFS('ON Call_Call Out Activities'!$L:$L,'ON Call_Call Out Activities'!$F:$F,"Non_workdays",'ON Call_Call Out Activities'!$B:$B,CPY!B52)) *24,1)</f>
        <v>0</v>
      </c>
      <c r="Z52" s="63">
        <f>ROUNDUP((SUMIFS('ON Call_Call Out Activities'!$M:$M,'ON Call_Call Out Activities'!$F:$F,"Non_workdays",'ON Call_Call Out Activities'!$B:$B,CPY!B52)),1) + ROUNDUP((SUMIFS('ON Call_Call Out Activities'!$M:$M,'ON Call_Call Out Activities'!$F:$F,"Workdays",'ON Call_Call Out Activities'!$B:$B,CPY!B52)),1)</f>
        <v>0</v>
      </c>
      <c r="AA52" s="66"/>
      <c r="AB52" s="64">
        <f>ROUNDUP((SUMIFS('ON Call_Call Out Activities'!$L:$L,'ON Call_Call Out Activities'!$F:$F,"Call_Out",'ON Call_Call Out Activities'!$B:$B,CPY!B52)) *24,1)</f>
        <v>0</v>
      </c>
      <c r="AC52" s="63">
        <f>ROUNDUP((SUMIFS('ON Call_Call Out Activities'!$M:$M,'ON Call_Call Out Activities'!$F:$F,"Call_Out",'ON Call_Call Out Activities'!$B:$B,CPY!B52)),1)</f>
        <v>0</v>
      </c>
      <c r="AE52" s="65">
        <f>IF((SUMIF(Shift_allowance_Entries!$B:$B,CPY!$B52,Shift_allowance_Entries!$H:$H)) &gt; (SUMIF(Shift_allowance_Entries!$B:$B,CPY!$B52,Shift_allowance_Entries!$G:$G)),0,((SUMIF(Shift_allowance_Entries!$B:$B,CPY!$B52,Shift_allowance_Entries!$G:$G))-(SUMIF(Shift_allowance_Entries!$B:$B,CPY!$B52,Shift_allowance_Entries!$H:$H))))</f>
        <v>0</v>
      </c>
      <c r="AF52" s="63">
        <f>AE52*MD!$S$4</f>
        <v>0</v>
      </c>
    </row>
    <row r="53" spans="1:32" x14ac:dyDescent="0.25">
      <c r="A53" s="62">
        <v>51</v>
      </c>
      <c r="B53" s="62"/>
      <c r="C53" s="50" t="str">
        <f>IF(ISNA(VLOOKUP($B53,Summary!$B:$D,2,FALSE))=TRUE," ",VLOOKUP($B53,Summary!$B:$D,2,FALSE))</f>
        <v> </v>
      </c>
      <c r="D53" s="50" t="str">
        <f>IF(ISNA(VLOOKUP($B53,Summary!$B:$D,3,FALSE))=TRUE," ",VLOOKUP($B53,Summary!$B:$D,3,FALSE))</f>
        <v> </v>
      </c>
      <c r="E53" s="62"/>
      <c r="F53" s="62"/>
      <c r="G53" s="62"/>
      <c r="I53" s="63">
        <f t="shared" si="0"/>
        <v>0</v>
      </c>
      <c r="K53" s="64">
        <f>IF(E53="Support(L1_L2)",IF(NOT(ISBLANK(B53)),IF(NOT(ISBLANK(D53)),NETWORKDAYS('CPY TOC'!$F$5,'CPY TOC'!$G$5))))-L53</f>
        <v>0</v>
      </c>
      <c r="L53" s="64">
        <f>IF(E53="Support(L1_L2)",SUMIFS(Support_allowance_Entries!$G:$G,Support_allowance_Entries!$B:$B,CPY!B53),0)</f>
        <v>0</v>
      </c>
      <c r="M53" s="63" t="b">
        <f>IF($D53="D0",MD!$C$4*(K53),IF($D53="D1",MD!$C$5*(K53),IF($D53="D2",MD!$C$6*(K53),IF($D53="D3",MD!$C$7*(K53),IF($D53="D4",MD!$C$8*(K53),IF($D53="D5",MD!$C$9*(K53),IF($D53="M1",MD!$C$10*(K53),IF($D53="T1",MD!$C$11*(K53)))))))))</f>
        <v>0</v>
      </c>
      <c r="O53" s="65">
        <f>SUMIFS(Shift_allowance_Entries!$G:$G,Shift_allowance_Entries!$F:$F,"6:30AM-03:30PM",Shift_allowance_Entries!$B:$B,CPY!$B53)</f>
        <v>0</v>
      </c>
      <c r="P53" s="65">
        <f>SUMIFS(Shift_allowance_Entries!$G:$G,Shift_allowance_Entries!$F:$F,"1-9PM/2:30PM-11:30PM",Shift_allowance_Entries!$B:$B,CPY!$B53)</f>
        <v>0</v>
      </c>
      <c r="Q53" s="65">
        <f>SUMIFS(Shift_allowance_Entries!$G:$G,Shift_allowance_Entries!$F:$F,"11PM-7AM",Shift_allowance_Entries!$B:$B,CPY!$B53)</f>
        <v>0</v>
      </c>
      <c r="R53" s="63">
        <f>(CPY!O53*MD!$F$4)+(CPY!P53*MD!$F$5)+(CPY!Q53*MD!$F$6)</f>
        <v>0</v>
      </c>
      <c r="T53" s="64">
        <f>ROUNDUP((SUMIFS('OOH Activities'!$K:$K,'OOH Activities'!$F:$F,"Non_workdays",'OOH Activities'!$B:$B,CPY!B53)) *24,1)</f>
        <v>0</v>
      </c>
      <c r="U53" s="64">
        <f>ROUNDUP((SUMIFS('OOH Activities'!$K:$K,'OOH Activities'!$F:$F,"Workdays",'OOH Activities'!$B:$B,CPY!B53)) *24,1)</f>
        <v>0</v>
      </c>
      <c r="V53" s="63">
        <f>ROUNDUP((SUMIFS('OOH Activities'!$L:$L,'OOH Activities'!$B:$B,CPY!B53)),1)</f>
        <v>0</v>
      </c>
      <c r="X53" s="65">
        <f>ROUNDUP((SUMIFS('ON Call_Call Out Activities'!$L:$L,'ON Call_Call Out Activities'!$F:$F,"Workdays",'ON Call_Call Out Activities'!$B:$B,CPY!B53))*24,1)</f>
        <v>0</v>
      </c>
      <c r="Y53" s="64">
        <f>ROUNDUP((SUMIFS('ON Call_Call Out Activities'!$L:$L,'ON Call_Call Out Activities'!$F:$F,"Non_workdays",'ON Call_Call Out Activities'!$B:$B,CPY!B53)) *24,1)</f>
        <v>0</v>
      </c>
      <c r="Z53" s="63">
        <f>ROUNDUP((SUMIFS('ON Call_Call Out Activities'!$M:$M,'ON Call_Call Out Activities'!$F:$F,"Non_workdays",'ON Call_Call Out Activities'!$B:$B,CPY!B53)),1) + ROUNDUP((SUMIFS('ON Call_Call Out Activities'!$M:$M,'ON Call_Call Out Activities'!$F:$F,"Workdays",'ON Call_Call Out Activities'!$B:$B,CPY!B53)),1)</f>
        <v>0</v>
      </c>
      <c r="AA53" s="66"/>
      <c r="AB53" s="64">
        <f>ROUNDUP((SUMIFS('ON Call_Call Out Activities'!$L:$L,'ON Call_Call Out Activities'!$F:$F,"Call_Out",'ON Call_Call Out Activities'!$B:$B,CPY!B53)) *24,1)</f>
        <v>0</v>
      </c>
      <c r="AC53" s="63">
        <f>ROUNDUP((SUMIFS('ON Call_Call Out Activities'!$M:$M,'ON Call_Call Out Activities'!$F:$F,"Call_Out",'ON Call_Call Out Activities'!$B:$B,CPY!B53)),1)</f>
        <v>0</v>
      </c>
      <c r="AE53" s="65">
        <f>IF((SUMIF(Shift_allowance_Entries!$B:$B,CPY!$B53,Shift_allowance_Entries!$H:$H)) &gt; (SUMIF(Shift_allowance_Entries!$B:$B,CPY!$B53,Shift_allowance_Entries!$G:$G)),0,((SUMIF(Shift_allowance_Entries!$B:$B,CPY!$B53,Shift_allowance_Entries!$G:$G))-(SUMIF(Shift_allowance_Entries!$B:$B,CPY!$B53,Shift_allowance_Entries!$H:$H))))</f>
        <v>0</v>
      </c>
      <c r="AF53" s="63">
        <f>AE53*MD!$S$4</f>
        <v>0</v>
      </c>
    </row>
    <row r="54" spans="1:32" x14ac:dyDescent="0.25">
      <c r="A54" s="62">
        <v>52</v>
      </c>
      <c r="B54" s="62"/>
      <c r="C54" s="50" t="str">
        <f>IF(ISNA(VLOOKUP($B54,Summary!$B:$D,2,FALSE))=TRUE," ",VLOOKUP($B54,Summary!$B:$D,2,FALSE))</f>
        <v> </v>
      </c>
      <c r="D54" s="50" t="str">
        <f>IF(ISNA(VLOOKUP($B54,Summary!$B:$D,3,FALSE))=TRUE," ",VLOOKUP($B54,Summary!$B:$D,3,FALSE))</f>
        <v> </v>
      </c>
      <c r="E54" s="62"/>
      <c r="F54" s="62"/>
      <c r="G54" s="62"/>
      <c r="I54" s="63">
        <f t="shared" si="0"/>
        <v>0</v>
      </c>
      <c r="K54" s="64">
        <f>IF(E54="Support(L1_L2)",IF(NOT(ISBLANK(B54)),IF(NOT(ISBLANK(D54)),NETWORKDAYS('CPY TOC'!$F$5,'CPY TOC'!$G$5))))-L54</f>
        <v>0</v>
      </c>
      <c r="L54" s="64">
        <f>IF(E54="Support(L1_L2)",SUMIFS(Support_allowance_Entries!$G:$G,Support_allowance_Entries!$B:$B,CPY!B54),0)</f>
        <v>0</v>
      </c>
      <c r="M54" s="63" t="b">
        <f>IF($D54="D0",MD!$C$4*(K54),IF($D54="D1",MD!$C$5*(K54),IF($D54="D2",MD!$C$6*(K54),IF($D54="D3",MD!$C$7*(K54),IF($D54="D4",MD!$C$8*(K54),IF($D54="D5",MD!$C$9*(K54),IF($D54="M1",MD!$C$10*(K54),IF($D54="T1",MD!$C$11*(K54)))))))))</f>
        <v>0</v>
      </c>
      <c r="O54" s="65">
        <f>SUMIFS(Shift_allowance_Entries!$G:$G,Shift_allowance_Entries!$F:$F,"6:30AM-03:30PM",Shift_allowance_Entries!$B:$B,CPY!$B54)</f>
        <v>0</v>
      </c>
      <c r="P54" s="65">
        <f>SUMIFS(Shift_allowance_Entries!$G:$G,Shift_allowance_Entries!$F:$F,"1-9PM/2:30PM-11:30PM",Shift_allowance_Entries!$B:$B,CPY!$B54)</f>
        <v>0</v>
      </c>
      <c r="Q54" s="65">
        <f>SUMIFS(Shift_allowance_Entries!$G:$G,Shift_allowance_Entries!$F:$F,"11PM-7AM",Shift_allowance_Entries!$B:$B,CPY!$B54)</f>
        <v>0</v>
      </c>
      <c r="R54" s="63">
        <f>(CPY!O54*MD!$F$4)+(CPY!P54*MD!$F$5)+(CPY!Q54*MD!$F$6)</f>
        <v>0</v>
      </c>
      <c r="T54" s="64">
        <f>ROUNDUP((SUMIFS('OOH Activities'!$K:$K,'OOH Activities'!$F:$F,"Non_workdays",'OOH Activities'!$B:$B,CPY!B54)) *24,1)</f>
        <v>0</v>
      </c>
      <c r="U54" s="64">
        <f>ROUNDUP((SUMIFS('OOH Activities'!$K:$K,'OOH Activities'!$F:$F,"Workdays",'OOH Activities'!$B:$B,CPY!B54)) *24,1)</f>
        <v>0</v>
      </c>
      <c r="V54" s="63">
        <f>ROUNDUP((SUMIFS('OOH Activities'!$L:$L,'OOH Activities'!$B:$B,CPY!B54)),1)</f>
        <v>0</v>
      </c>
      <c r="X54" s="65">
        <f>ROUNDUP((SUMIFS('ON Call_Call Out Activities'!$L:$L,'ON Call_Call Out Activities'!$F:$F,"Workdays",'ON Call_Call Out Activities'!$B:$B,CPY!B54))*24,1)</f>
        <v>0</v>
      </c>
      <c r="Y54" s="64">
        <f>ROUNDUP((SUMIFS('ON Call_Call Out Activities'!$L:$L,'ON Call_Call Out Activities'!$F:$F,"Non_workdays",'ON Call_Call Out Activities'!$B:$B,CPY!B54)) *24,1)</f>
        <v>0</v>
      </c>
      <c r="Z54" s="63">
        <f>ROUNDUP((SUMIFS('ON Call_Call Out Activities'!$M:$M,'ON Call_Call Out Activities'!$F:$F,"Non_workdays",'ON Call_Call Out Activities'!$B:$B,CPY!B54)),1) + ROUNDUP((SUMIFS('ON Call_Call Out Activities'!$M:$M,'ON Call_Call Out Activities'!$F:$F,"Workdays",'ON Call_Call Out Activities'!$B:$B,CPY!B54)),1)</f>
        <v>0</v>
      </c>
      <c r="AA54" s="66"/>
      <c r="AB54" s="64">
        <f>ROUNDUP((SUMIFS('ON Call_Call Out Activities'!$L:$L,'ON Call_Call Out Activities'!$F:$F,"Call_Out",'ON Call_Call Out Activities'!$B:$B,CPY!B54)) *24,1)</f>
        <v>0</v>
      </c>
      <c r="AC54" s="63">
        <f>ROUNDUP((SUMIFS('ON Call_Call Out Activities'!$M:$M,'ON Call_Call Out Activities'!$F:$F,"Call_Out",'ON Call_Call Out Activities'!$B:$B,CPY!B54)),1)</f>
        <v>0</v>
      </c>
      <c r="AE54" s="65">
        <f>IF((SUMIF(Shift_allowance_Entries!$B:$B,CPY!$B54,Shift_allowance_Entries!$H:$H)) &gt; (SUMIF(Shift_allowance_Entries!$B:$B,CPY!$B54,Shift_allowance_Entries!$G:$G)),0,((SUMIF(Shift_allowance_Entries!$B:$B,CPY!$B54,Shift_allowance_Entries!$G:$G))-(SUMIF(Shift_allowance_Entries!$B:$B,CPY!$B54,Shift_allowance_Entries!$H:$H))))</f>
        <v>0</v>
      </c>
      <c r="AF54" s="63">
        <f>AE54*MD!$S$4</f>
        <v>0</v>
      </c>
    </row>
    <row r="55" spans="1:32" x14ac:dyDescent="0.25">
      <c r="A55" s="62">
        <v>53</v>
      </c>
      <c r="B55" s="62"/>
      <c r="C55" s="50" t="str">
        <f>IF(ISNA(VLOOKUP($B55,Summary!$B:$D,2,FALSE))=TRUE," ",VLOOKUP($B55,Summary!$B:$D,2,FALSE))</f>
        <v> </v>
      </c>
      <c r="D55" s="50" t="str">
        <f>IF(ISNA(VLOOKUP($B55,Summary!$B:$D,3,FALSE))=TRUE," ",VLOOKUP($B55,Summary!$B:$D,3,FALSE))</f>
        <v> </v>
      </c>
      <c r="E55" s="62"/>
      <c r="F55" s="62"/>
      <c r="G55" s="62"/>
      <c r="I55" s="63">
        <f t="shared" si="0"/>
        <v>0</v>
      </c>
      <c r="K55" s="64">
        <f>IF(E55="Support(L1_L2)",IF(NOT(ISBLANK(B55)),IF(NOT(ISBLANK(D55)),NETWORKDAYS('CPY TOC'!$F$5,'CPY TOC'!$G$5))))-L55</f>
        <v>0</v>
      </c>
      <c r="L55" s="64">
        <f>IF(E55="Support(L1_L2)",SUMIFS(Support_allowance_Entries!$G:$G,Support_allowance_Entries!$B:$B,CPY!B55),0)</f>
        <v>0</v>
      </c>
      <c r="M55" s="63" t="b">
        <f>IF($D55="D0",MD!$C$4*(K55),IF($D55="D1",MD!$C$5*(K55),IF($D55="D2",MD!$C$6*(K55),IF($D55="D3",MD!$C$7*(K55),IF($D55="D4",MD!$C$8*(K55),IF($D55="D5",MD!$C$9*(K55),IF($D55="M1",MD!$C$10*(K55),IF($D55="T1",MD!$C$11*(K55)))))))))</f>
        <v>0</v>
      </c>
      <c r="O55" s="65">
        <f>SUMIFS(Shift_allowance_Entries!$G:$G,Shift_allowance_Entries!$F:$F,"6:30AM-03:30PM",Shift_allowance_Entries!$B:$B,CPY!$B55)</f>
        <v>0</v>
      </c>
      <c r="P55" s="65">
        <f>SUMIFS(Shift_allowance_Entries!$G:$G,Shift_allowance_Entries!$F:$F,"1-9PM/2:30PM-11:30PM",Shift_allowance_Entries!$B:$B,CPY!$B55)</f>
        <v>0</v>
      </c>
      <c r="Q55" s="65">
        <f>SUMIFS(Shift_allowance_Entries!$G:$G,Shift_allowance_Entries!$F:$F,"11PM-7AM",Shift_allowance_Entries!$B:$B,CPY!$B55)</f>
        <v>0</v>
      </c>
      <c r="R55" s="63">
        <f>(CPY!O55*MD!$F$4)+(CPY!P55*MD!$F$5)+(CPY!Q55*MD!$F$6)</f>
        <v>0</v>
      </c>
      <c r="T55" s="64">
        <f>ROUNDUP((SUMIFS('OOH Activities'!$K:$K,'OOH Activities'!$F:$F,"Non_workdays",'OOH Activities'!$B:$B,CPY!B55)) *24,1)</f>
        <v>0</v>
      </c>
      <c r="U55" s="64">
        <f>ROUNDUP((SUMIFS('OOH Activities'!$K:$K,'OOH Activities'!$F:$F,"Workdays",'OOH Activities'!$B:$B,CPY!B55)) *24,1)</f>
        <v>0</v>
      </c>
      <c r="V55" s="63">
        <f>ROUNDUP((SUMIFS('OOH Activities'!$L:$L,'OOH Activities'!$B:$B,CPY!B55)),1)</f>
        <v>0</v>
      </c>
      <c r="X55" s="65">
        <f>ROUNDUP((SUMIFS('ON Call_Call Out Activities'!$L:$L,'ON Call_Call Out Activities'!$F:$F,"Workdays",'ON Call_Call Out Activities'!$B:$B,CPY!B55))*24,1)</f>
        <v>0</v>
      </c>
      <c r="Y55" s="64">
        <f>ROUNDUP((SUMIFS('ON Call_Call Out Activities'!$L:$L,'ON Call_Call Out Activities'!$F:$F,"Non_workdays",'ON Call_Call Out Activities'!$B:$B,CPY!B55)) *24,1)</f>
        <v>0</v>
      </c>
      <c r="Z55" s="63">
        <f>ROUNDUP((SUMIFS('ON Call_Call Out Activities'!$M:$M,'ON Call_Call Out Activities'!$F:$F,"Non_workdays",'ON Call_Call Out Activities'!$B:$B,CPY!B55)),1) + ROUNDUP((SUMIFS('ON Call_Call Out Activities'!$M:$M,'ON Call_Call Out Activities'!$F:$F,"Workdays",'ON Call_Call Out Activities'!$B:$B,CPY!B55)),1)</f>
        <v>0</v>
      </c>
      <c r="AA55" s="66"/>
      <c r="AB55" s="64">
        <f>ROUNDUP((SUMIFS('ON Call_Call Out Activities'!$L:$L,'ON Call_Call Out Activities'!$F:$F,"Call_Out",'ON Call_Call Out Activities'!$B:$B,CPY!B55)) *24,1)</f>
        <v>0</v>
      </c>
      <c r="AC55" s="63">
        <f>ROUNDUP((SUMIFS('ON Call_Call Out Activities'!$M:$M,'ON Call_Call Out Activities'!$F:$F,"Call_Out",'ON Call_Call Out Activities'!$B:$B,CPY!B55)),1)</f>
        <v>0</v>
      </c>
      <c r="AE55" s="65">
        <f>IF((SUMIF(Shift_allowance_Entries!$B:$B,CPY!$B55,Shift_allowance_Entries!$H:$H)) &gt; (SUMIF(Shift_allowance_Entries!$B:$B,CPY!$B55,Shift_allowance_Entries!$G:$G)),0,((SUMIF(Shift_allowance_Entries!$B:$B,CPY!$B55,Shift_allowance_Entries!$G:$G))-(SUMIF(Shift_allowance_Entries!$B:$B,CPY!$B55,Shift_allowance_Entries!$H:$H))))</f>
        <v>0</v>
      </c>
      <c r="AF55" s="63">
        <f>AE55*MD!$S$4</f>
        <v>0</v>
      </c>
    </row>
    <row r="56" spans="1:32" x14ac:dyDescent="0.25">
      <c r="A56" s="62">
        <v>54</v>
      </c>
      <c r="B56" s="62"/>
      <c r="C56" s="50" t="str">
        <f>IF(ISNA(VLOOKUP($B56,Summary!$B:$D,2,FALSE))=TRUE," ",VLOOKUP($B56,Summary!$B:$D,2,FALSE))</f>
        <v> </v>
      </c>
      <c r="D56" s="50" t="str">
        <f>IF(ISNA(VLOOKUP($B56,Summary!$B:$D,3,FALSE))=TRUE," ",VLOOKUP($B56,Summary!$B:$D,3,FALSE))</f>
        <v> </v>
      </c>
      <c r="E56" s="62"/>
      <c r="F56" s="62"/>
      <c r="G56" s="62"/>
      <c r="I56" s="63">
        <f t="shared" si="0"/>
        <v>0</v>
      </c>
      <c r="K56" s="64">
        <f>IF(E56="Support(L1_L2)",IF(NOT(ISBLANK(B56)),IF(NOT(ISBLANK(D56)),NETWORKDAYS('CPY TOC'!$F$5,'CPY TOC'!$G$5))))-L56</f>
        <v>0</v>
      </c>
      <c r="L56" s="64">
        <f>IF(E56="Support(L1_L2)",SUMIFS(Support_allowance_Entries!$G:$G,Support_allowance_Entries!$B:$B,CPY!B56),0)</f>
        <v>0</v>
      </c>
      <c r="M56" s="63" t="b">
        <f>IF($D56="D0",MD!$C$4*(K56),IF($D56="D1",MD!$C$5*(K56),IF($D56="D2",MD!$C$6*(K56),IF($D56="D3",MD!$C$7*(K56),IF($D56="D4",MD!$C$8*(K56),IF($D56="D5",MD!$C$9*(K56),IF($D56="M1",MD!$C$10*(K56),IF($D56="T1",MD!$C$11*(K56)))))))))</f>
        <v>0</v>
      </c>
      <c r="O56" s="65">
        <f>SUMIFS(Shift_allowance_Entries!$G:$G,Shift_allowance_Entries!$F:$F,"6:30AM-03:30PM",Shift_allowance_Entries!$B:$B,CPY!$B56)</f>
        <v>0</v>
      </c>
      <c r="P56" s="65">
        <f>SUMIFS(Shift_allowance_Entries!$G:$G,Shift_allowance_Entries!$F:$F,"1-9PM/2:30PM-11:30PM",Shift_allowance_Entries!$B:$B,CPY!$B56)</f>
        <v>0</v>
      </c>
      <c r="Q56" s="65">
        <f>SUMIFS(Shift_allowance_Entries!$G:$G,Shift_allowance_Entries!$F:$F,"11PM-7AM",Shift_allowance_Entries!$B:$B,CPY!$B56)</f>
        <v>0</v>
      </c>
      <c r="R56" s="63">
        <f>(CPY!O56*MD!$F$4)+(CPY!P56*MD!$F$5)+(CPY!Q56*MD!$F$6)</f>
        <v>0</v>
      </c>
      <c r="T56" s="64">
        <f>ROUNDUP((SUMIFS('OOH Activities'!$K:$K,'OOH Activities'!$F:$F,"Non_workdays",'OOH Activities'!$B:$B,CPY!B56)) *24,1)</f>
        <v>0</v>
      </c>
      <c r="U56" s="64">
        <f>ROUNDUP((SUMIFS('OOH Activities'!$K:$K,'OOH Activities'!$F:$F,"Workdays",'OOH Activities'!$B:$B,CPY!B56)) *24,1)</f>
        <v>0</v>
      </c>
      <c r="V56" s="63">
        <f>ROUNDUP((SUMIFS('OOH Activities'!$L:$L,'OOH Activities'!$B:$B,CPY!B56)),1)</f>
        <v>0</v>
      </c>
      <c r="X56" s="65">
        <f>ROUNDUP((SUMIFS('ON Call_Call Out Activities'!$L:$L,'ON Call_Call Out Activities'!$F:$F,"Workdays",'ON Call_Call Out Activities'!$B:$B,CPY!B56))*24,1)</f>
        <v>0</v>
      </c>
      <c r="Y56" s="64">
        <f>ROUNDUP((SUMIFS('ON Call_Call Out Activities'!$L:$L,'ON Call_Call Out Activities'!$F:$F,"Non_workdays",'ON Call_Call Out Activities'!$B:$B,CPY!B56)) *24,1)</f>
        <v>0</v>
      </c>
      <c r="Z56" s="63">
        <f>ROUNDUP((SUMIFS('ON Call_Call Out Activities'!$M:$M,'ON Call_Call Out Activities'!$F:$F,"Non_workdays",'ON Call_Call Out Activities'!$B:$B,CPY!B56)),1) + ROUNDUP((SUMIFS('ON Call_Call Out Activities'!$M:$M,'ON Call_Call Out Activities'!$F:$F,"Workdays",'ON Call_Call Out Activities'!$B:$B,CPY!B56)),1)</f>
        <v>0</v>
      </c>
      <c r="AA56" s="66"/>
      <c r="AB56" s="64">
        <f>ROUNDUP((SUMIFS('ON Call_Call Out Activities'!$L:$L,'ON Call_Call Out Activities'!$F:$F,"Call_Out",'ON Call_Call Out Activities'!$B:$B,CPY!B56)) *24,1)</f>
        <v>0</v>
      </c>
      <c r="AC56" s="63">
        <f>ROUNDUP((SUMIFS('ON Call_Call Out Activities'!$M:$M,'ON Call_Call Out Activities'!$F:$F,"Call_Out",'ON Call_Call Out Activities'!$B:$B,CPY!B56)),1)</f>
        <v>0</v>
      </c>
      <c r="AE56" s="65">
        <f>IF((SUMIF(Shift_allowance_Entries!$B:$B,CPY!$B56,Shift_allowance_Entries!$H:$H)) &gt; (SUMIF(Shift_allowance_Entries!$B:$B,CPY!$B56,Shift_allowance_Entries!$G:$G)),0,((SUMIF(Shift_allowance_Entries!$B:$B,CPY!$B56,Shift_allowance_Entries!$G:$G))-(SUMIF(Shift_allowance_Entries!$B:$B,CPY!$B56,Shift_allowance_Entries!$H:$H))))</f>
        <v>0</v>
      </c>
      <c r="AF56" s="63">
        <f>AE56*MD!$S$4</f>
        <v>0</v>
      </c>
    </row>
    <row r="57" spans="1:32" x14ac:dyDescent="0.25">
      <c r="A57" s="62">
        <v>55</v>
      </c>
      <c r="B57" s="62"/>
      <c r="C57" s="50" t="str">
        <f>IF(ISNA(VLOOKUP($B57,Summary!$B:$D,2,FALSE))=TRUE," ",VLOOKUP($B57,Summary!$B:$D,2,FALSE))</f>
        <v> </v>
      </c>
      <c r="D57" s="50" t="str">
        <f>IF(ISNA(VLOOKUP($B57,Summary!$B:$D,3,FALSE))=TRUE," ",VLOOKUP($B57,Summary!$B:$D,3,FALSE))</f>
        <v> </v>
      </c>
      <c r="E57" s="62"/>
      <c r="F57" s="62"/>
      <c r="G57" s="62"/>
      <c r="I57" s="63">
        <f t="shared" si="0"/>
        <v>0</v>
      </c>
      <c r="K57" s="64">
        <f>IF(E57="Support(L1_L2)",IF(NOT(ISBLANK(B57)),IF(NOT(ISBLANK(D57)),NETWORKDAYS('CPY TOC'!$F$5,'CPY TOC'!$G$5))))-L57</f>
        <v>0</v>
      </c>
      <c r="L57" s="64">
        <f>IF(E57="Support(L1_L2)",SUMIFS(Support_allowance_Entries!$G:$G,Support_allowance_Entries!$B:$B,CPY!B57),0)</f>
        <v>0</v>
      </c>
      <c r="M57" s="63" t="b">
        <f>IF($D57="D0",MD!$C$4*(K57),IF($D57="D1",MD!$C$5*(K57),IF($D57="D2",MD!$C$6*(K57),IF($D57="D3",MD!$C$7*(K57),IF($D57="D4",MD!$C$8*(K57),IF($D57="D5",MD!$C$9*(K57),IF($D57="M1",MD!$C$10*(K57),IF($D57="T1",MD!$C$11*(K57)))))))))</f>
        <v>0</v>
      </c>
      <c r="O57" s="65">
        <f>SUMIFS(Shift_allowance_Entries!$G:$G,Shift_allowance_Entries!$F:$F,"6:30AM-03:30PM",Shift_allowance_Entries!$B:$B,CPY!$B57)</f>
        <v>0</v>
      </c>
      <c r="P57" s="65">
        <f>SUMIFS(Shift_allowance_Entries!$G:$G,Shift_allowance_Entries!$F:$F,"1-9PM/2:30PM-11:30PM",Shift_allowance_Entries!$B:$B,CPY!$B57)</f>
        <v>0</v>
      </c>
      <c r="Q57" s="65">
        <f>SUMIFS(Shift_allowance_Entries!$G:$G,Shift_allowance_Entries!$F:$F,"11PM-7AM",Shift_allowance_Entries!$B:$B,CPY!$B57)</f>
        <v>0</v>
      </c>
      <c r="R57" s="63">
        <f>(CPY!O57*MD!$F$4)+(CPY!P57*MD!$F$5)+(CPY!Q57*MD!$F$6)</f>
        <v>0</v>
      </c>
      <c r="T57" s="64">
        <f>ROUNDUP((SUMIFS('OOH Activities'!$K:$K,'OOH Activities'!$F:$F,"Non_workdays",'OOH Activities'!$B:$B,CPY!B57)) *24,1)</f>
        <v>0</v>
      </c>
      <c r="U57" s="64">
        <f>ROUNDUP((SUMIFS('OOH Activities'!$K:$K,'OOH Activities'!$F:$F,"Workdays",'OOH Activities'!$B:$B,CPY!B57)) *24,1)</f>
        <v>0</v>
      </c>
      <c r="V57" s="63">
        <f>ROUNDUP((SUMIFS('OOH Activities'!$L:$L,'OOH Activities'!$B:$B,CPY!B57)),1)</f>
        <v>0</v>
      </c>
      <c r="X57" s="65">
        <f>ROUNDUP((SUMIFS('ON Call_Call Out Activities'!$L:$L,'ON Call_Call Out Activities'!$F:$F,"Workdays",'ON Call_Call Out Activities'!$B:$B,CPY!B57))*24,1)</f>
        <v>0</v>
      </c>
      <c r="Y57" s="64">
        <f>ROUNDUP((SUMIFS('ON Call_Call Out Activities'!$L:$L,'ON Call_Call Out Activities'!$F:$F,"Non_workdays",'ON Call_Call Out Activities'!$B:$B,CPY!B57)) *24,1)</f>
        <v>0</v>
      </c>
      <c r="Z57" s="63">
        <f>ROUNDUP((SUMIFS('ON Call_Call Out Activities'!$M:$M,'ON Call_Call Out Activities'!$F:$F,"Non_workdays",'ON Call_Call Out Activities'!$B:$B,CPY!B57)),1) + ROUNDUP((SUMIFS('ON Call_Call Out Activities'!$M:$M,'ON Call_Call Out Activities'!$F:$F,"Workdays",'ON Call_Call Out Activities'!$B:$B,CPY!B57)),1)</f>
        <v>0</v>
      </c>
      <c r="AA57" s="66"/>
      <c r="AB57" s="64">
        <f>ROUNDUP((SUMIFS('ON Call_Call Out Activities'!$L:$L,'ON Call_Call Out Activities'!$F:$F,"Call_Out",'ON Call_Call Out Activities'!$B:$B,CPY!B57)) *24,1)</f>
        <v>0</v>
      </c>
      <c r="AC57" s="63">
        <f>ROUNDUP((SUMIFS('ON Call_Call Out Activities'!$M:$M,'ON Call_Call Out Activities'!$F:$F,"Call_Out",'ON Call_Call Out Activities'!$B:$B,CPY!B57)),1)</f>
        <v>0</v>
      </c>
      <c r="AE57" s="65">
        <f>IF((SUMIF(Shift_allowance_Entries!$B:$B,CPY!$B57,Shift_allowance_Entries!$H:$H)) &gt; (SUMIF(Shift_allowance_Entries!$B:$B,CPY!$B57,Shift_allowance_Entries!$G:$G)),0,((SUMIF(Shift_allowance_Entries!$B:$B,CPY!$B57,Shift_allowance_Entries!$G:$G))-(SUMIF(Shift_allowance_Entries!$B:$B,CPY!$B57,Shift_allowance_Entries!$H:$H))))</f>
        <v>0</v>
      </c>
      <c r="AF57" s="63">
        <f>AE57*MD!$S$4</f>
        <v>0</v>
      </c>
    </row>
    <row r="58" spans="1:32" x14ac:dyDescent="0.25">
      <c r="A58" s="62">
        <v>56</v>
      </c>
      <c r="B58" s="62"/>
      <c r="C58" s="50" t="str">
        <f>IF(ISNA(VLOOKUP($B58,Summary!$B:$D,2,FALSE))=TRUE," ",VLOOKUP($B58,Summary!$B:$D,2,FALSE))</f>
        <v> </v>
      </c>
      <c r="D58" s="50" t="str">
        <f>IF(ISNA(VLOOKUP($B58,Summary!$B:$D,3,FALSE))=TRUE," ",VLOOKUP($B58,Summary!$B:$D,3,FALSE))</f>
        <v> </v>
      </c>
      <c r="E58" s="62"/>
      <c r="F58" s="62"/>
      <c r="G58" s="62"/>
      <c r="I58" s="63">
        <f t="shared" si="0"/>
        <v>0</v>
      </c>
      <c r="K58" s="64">
        <f>IF(E58="Support(L1_L2)",IF(NOT(ISBLANK(B58)),IF(NOT(ISBLANK(D58)),NETWORKDAYS('CPY TOC'!$F$5,'CPY TOC'!$G$5))))-L58</f>
        <v>0</v>
      </c>
      <c r="L58" s="64">
        <f>IF(E58="Support(L1_L2)",SUMIFS(Support_allowance_Entries!$G:$G,Support_allowance_Entries!$B:$B,CPY!B58),0)</f>
        <v>0</v>
      </c>
      <c r="M58" s="63" t="b">
        <f>IF($D58="D0",MD!$C$4*(K58),IF($D58="D1",MD!$C$5*(K58),IF($D58="D2",MD!$C$6*(K58),IF($D58="D3",MD!$C$7*(K58),IF($D58="D4",MD!$C$8*(K58),IF($D58="D5",MD!$C$9*(K58),IF($D58="M1",MD!$C$10*(K58),IF($D58="T1",MD!$C$11*(K58)))))))))</f>
        <v>0</v>
      </c>
      <c r="O58" s="65">
        <f>SUMIFS(Shift_allowance_Entries!$G:$G,Shift_allowance_Entries!$F:$F,"6:30AM-03:30PM",Shift_allowance_Entries!$B:$B,CPY!$B58)</f>
        <v>0</v>
      </c>
      <c r="P58" s="65">
        <f>SUMIFS(Shift_allowance_Entries!$G:$G,Shift_allowance_Entries!$F:$F,"1-9PM/2:30PM-11:30PM",Shift_allowance_Entries!$B:$B,CPY!$B58)</f>
        <v>0</v>
      </c>
      <c r="Q58" s="65">
        <f>SUMIFS(Shift_allowance_Entries!$G:$G,Shift_allowance_Entries!$F:$F,"11PM-7AM",Shift_allowance_Entries!$B:$B,CPY!$B58)</f>
        <v>0</v>
      </c>
      <c r="R58" s="63">
        <f>(CPY!O58*MD!$F$4)+(CPY!P58*MD!$F$5)+(CPY!Q58*MD!$F$6)</f>
        <v>0</v>
      </c>
      <c r="T58" s="64">
        <f>ROUNDUP((SUMIFS('OOH Activities'!$K:$K,'OOH Activities'!$F:$F,"Non_workdays",'OOH Activities'!$B:$B,CPY!B58)) *24,1)</f>
        <v>0</v>
      </c>
      <c r="U58" s="64">
        <f>ROUNDUP((SUMIFS('OOH Activities'!$K:$K,'OOH Activities'!$F:$F,"Workdays",'OOH Activities'!$B:$B,CPY!B58)) *24,1)</f>
        <v>0</v>
      </c>
      <c r="V58" s="63">
        <f>ROUNDUP((SUMIFS('OOH Activities'!$L:$L,'OOH Activities'!$B:$B,CPY!B58)),1)</f>
        <v>0</v>
      </c>
      <c r="X58" s="65">
        <f>ROUNDUP((SUMIFS('ON Call_Call Out Activities'!$L:$L,'ON Call_Call Out Activities'!$F:$F,"Workdays",'ON Call_Call Out Activities'!$B:$B,CPY!B58))*24,1)</f>
        <v>0</v>
      </c>
      <c r="Y58" s="64">
        <f>ROUNDUP((SUMIFS('ON Call_Call Out Activities'!$L:$L,'ON Call_Call Out Activities'!$F:$F,"Non_workdays",'ON Call_Call Out Activities'!$B:$B,CPY!B58)) *24,1)</f>
        <v>0</v>
      </c>
      <c r="Z58" s="63">
        <f>ROUNDUP((SUMIFS('ON Call_Call Out Activities'!$M:$M,'ON Call_Call Out Activities'!$F:$F,"Non_workdays",'ON Call_Call Out Activities'!$B:$B,CPY!B58)),1) + ROUNDUP((SUMIFS('ON Call_Call Out Activities'!$M:$M,'ON Call_Call Out Activities'!$F:$F,"Workdays",'ON Call_Call Out Activities'!$B:$B,CPY!B58)),1)</f>
        <v>0</v>
      </c>
      <c r="AA58" s="66"/>
      <c r="AB58" s="64">
        <f>ROUNDUP((SUMIFS('ON Call_Call Out Activities'!$L:$L,'ON Call_Call Out Activities'!$F:$F,"Call_Out",'ON Call_Call Out Activities'!$B:$B,CPY!B58)) *24,1)</f>
        <v>0</v>
      </c>
      <c r="AC58" s="63">
        <f>ROUNDUP((SUMIFS('ON Call_Call Out Activities'!$M:$M,'ON Call_Call Out Activities'!$F:$F,"Call_Out",'ON Call_Call Out Activities'!$B:$B,CPY!B58)),1)</f>
        <v>0</v>
      </c>
      <c r="AE58" s="65">
        <f>IF((SUMIF(Shift_allowance_Entries!$B:$B,CPY!$B58,Shift_allowance_Entries!$H:$H)) &gt; (SUMIF(Shift_allowance_Entries!$B:$B,CPY!$B58,Shift_allowance_Entries!$G:$G)),0,((SUMIF(Shift_allowance_Entries!$B:$B,CPY!$B58,Shift_allowance_Entries!$G:$G))-(SUMIF(Shift_allowance_Entries!$B:$B,CPY!$B58,Shift_allowance_Entries!$H:$H))))</f>
        <v>0</v>
      </c>
      <c r="AF58" s="63">
        <f>AE58*MD!$S$4</f>
        <v>0</v>
      </c>
    </row>
    <row r="59" spans="1:32" x14ac:dyDescent="0.25">
      <c r="A59" s="62">
        <v>57</v>
      </c>
      <c r="B59" s="62"/>
      <c r="C59" s="50" t="str">
        <f>IF(ISNA(VLOOKUP($B59,Summary!$B:$D,2,FALSE))=TRUE," ",VLOOKUP($B59,Summary!$B:$D,2,FALSE))</f>
        <v> </v>
      </c>
      <c r="D59" s="50" t="str">
        <f>IF(ISNA(VLOOKUP($B59,Summary!$B:$D,3,FALSE))=TRUE," ",VLOOKUP($B59,Summary!$B:$D,3,FALSE))</f>
        <v> </v>
      </c>
      <c r="E59" s="62"/>
      <c r="F59" s="62"/>
      <c r="G59" s="62"/>
      <c r="I59" s="63">
        <f t="shared" si="0"/>
        <v>0</v>
      </c>
      <c r="K59" s="64">
        <f>IF(E59="Support(L1_L2)",IF(NOT(ISBLANK(B59)),IF(NOT(ISBLANK(D59)),NETWORKDAYS('CPY TOC'!$F$5,'CPY TOC'!$G$5))))-L59</f>
        <v>0</v>
      </c>
      <c r="L59" s="64">
        <f>IF(E59="Support(L1_L2)",SUMIFS(Support_allowance_Entries!$G:$G,Support_allowance_Entries!$B:$B,CPY!B59),0)</f>
        <v>0</v>
      </c>
      <c r="M59" s="63" t="b">
        <f>IF($D59="D0",MD!$C$4*(K59),IF($D59="D1",MD!$C$5*(K59),IF($D59="D2",MD!$C$6*(K59),IF($D59="D3",MD!$C$7*(K59),IF($D59="D4",MD!$C$8*(K59),IF($D59="D5",MD!$C$9*(K59),IF($D59="M1",MD!$C$10*(K59),IF($D59="T1",MD!$C$11*(K59)))))))))</f>
        <v>0</v>
      </c>
      <c r="O59" s="65">
        <f>SUMIFS(Shift_allowance_Entries!$G:$G,Shift_allowance_Entries!$F:$F,"6:30AM-03:30PM",Shift_allowance_Entries!$B:$B,CPY!$B59)</f>
        <v>0</v>
      </c>
      <c r="P59" s="65">
        <f>SUMIFS(Shift_allowance_Entries!$G:$G,Shift_allowance_Entries!$F:$F,"1-9PM/2:30PM-11:30PM",Shift_allowance_Entries!$B:$B,CPY!$B59)</f>
        <v>0</v>
      </c>
      <c r="Q59" s="65">
        <f>SUMIFS(Shift_allowance_Entries!$G:$G,Shift_allowance_Entries!$F:$F,"11PM-7AM",Shift_allowance_Entries!$B:$B,CPY!$B59)</f>
        <v>0</v>
      </c>
      <c r="R59" s="63">
        <f>(CPY!O59*MD!$F$4)+(CPY!P59*MD!$F$5)+(CPY!Q59*MD!$F$6)</f>
        <v>0</v>
      </c>
      <c r="T59" s="64">
        <f>ROUNDUP((SUMIFS('OOH Activities'!$K:$K,'OOH Activities'!$F:$F,"Non_workdays",'OOH Activities'!$B:$B,CPY!B59)) *24,1)</f>
        <v>0</v>
      </c>
      <c r="U59" s="64">
        <f>ROUNDUP((SUMIFS('OOH Activities'!$K:$K,'OOH Activities'!$F:$F,"Workdays",'OOH Activities'!$B:$B,CPY!B59)) *24,1)</f>
        <v>0</v>
      </c>
      <c r="V59" s="63">
        <f>ROUNDUP((SUMIFS('OOH Activities'!$L:$L,'OOH Activities'!$B:$B,CPY!B59)),1)</f>
        <v>0</v>
      </c>
      <c r="X59" s="65">
        <f>ROUNDUP((SUMIFS('ON Call_Call Out Activities'!$L:$L,'ON Call_Call Out Activities'!$F:$F,"Workdays",'ON Call_Call Out Activities'!$B:$B,CPY!B59))*24,1)</f>
        <v>0</v>
      </c>
      <c r="Y59" s="64">
        <f>ROUNDUP((SUMIFS('ON Call_Call Out Activities'!$L:$L,'ON Call_Call Out Activities'!$F:$F,"Non_workdays",'ON Call_Call Out Activities'!$B:$B,CPY!B59)) *24,1)</f>
        <v>0</v>
      </c>
      <c r="Z59" s="63">
        <f>ROUNDUP((SUMIFS('ON Call_Call Out Activities'!$M:$M,'ON Call_Call Out Activities'!$F:$F,"Non_workdays",'ON Call_Call Out Activities'!$B:$B,CPY!B59)),1) + ROUNDUP((SUMIFS('ON Call_Call Out Activities'!$M:$M,'ON Call_Call Out Activities'!$F:$F,"Workdays",'ON Call_Call Out Activities'!$B:$B,CPY!B59)),1)</f>
        <v>0</v>
      </c>
      <c r="AA59" s="66"/>
      <c r="AB59" s="64">
        <f>ROUNDUP((SUMIFS('ON Call_Call Out Activities'!$L:$L,'ON Call_Call Out Activities'!$F:$F,"Call_Out",'ON Call_Call Out Activities'!$B:$B,CPY!B59)) *24,1)</f>
        <v>0</v>
      </c>
      <c r="AC59" s="63">
        <f>ROUNDUP((SUMIFS('ON Call_Call Out Activities'!$M:$M,'ON Call_Call Out Activities'!$F:$F,"Call_Out",'ON Call_Call Out Activities'!$B:$B,CPY!B59)),1)</f>
        <v>0</v>
      </c>
      <c r="AE59" s="65">
        <f>IF((SUMIF(Shift_allowance_Entries!$B:$B,CPY!$B59,Shift_allowance_Entries!$H:$H)) &gt; (SUMIF(Shift_allowance_Entries!$B:$B,CPY!$B59,Shift_allowance_Entries!$G:$G)),0,((SUMIF(Shift_allowance_Entries!$B:$B,CPY!$B59,Shift_allowance_Entries!$G:$G))-(SUMIF(Shift_allowance_Entries!$B:$B,CPY!$B59,Shift_allowance_Entries!$H:$H))))</f>
        <v>0</v>
      </c>
      <c r="AF59" s="63">
        <f>AE59*MD!$S$4</f>
        <v>0</v>
      </c>
    </row>
    <row r="60" spans="1:32" x14ac:dyDescent="0.25">
      <c r="A60" s="62">
        <v>58</v>
      </c>
      <c r="B60" s="62"/>
      <c r="C60" s="50" t="str">
        <f>IF(ISNA(VLOOKUP($B60,Summary!$B:$D,2,FALSE))=TRUE," ",VLOOKUP($B60,Summary!$B:$D,2,FALSE))</f>
        <v> </v>
      </c>
      <c r="D60" s="50" t="str">
        <f>IF(ISNA(VLOOKUP($B60,Summary!$B:$D,3,FALSE))=TRUE," ",VLOOKUP($B60,Summary!$B:$D,3,FALSE))</f>
        <v> </v>
      </c>
      <c r="E60" s="62"/>
      <c r="F60" s="62"/>
      <c r="G60" s="62"/>
      <c r="I60" s="63">
        <f t="shared" si="0"/>
        <v>0</v>
      </c>
      <c r="K60" s="64">
        <f>IF(E60="Support(L1_L2)",IF(NOT(ISBLANK(B60)),IF(NOT(ISBLANK(D60)),NETWORKDAYS('CPY TOC'!$F$5,'CPY TOC'!$G$5))))-L60</f>
        <v>0</v>
      </c>
      <c r="L60" s="64">
        <f>IF(E60="Support(L1_L2)",SUMIFS(Support_allowance_Entries!$G:$G,Support_allowance_Entries!$B:$B,CPY!B60),0)</f>
        <v>0</v>
      </c>
      <c r="M60" s="63" t="b">
        <f>IF($D60="D0",MD!$C$4*(K60),IF($D60="D1",MD!$C$5*(K60),IF($D60="D2",MD!$C$6*(K60),IF($D60="D3",MD!$C$7*(K60),IF($D60="D4",MD!$C$8*(K60),IF($D60="D5",MD!$C$9*(K60),IF($D60="M1",MD!$C$10*(K60),IF($D60="T1",MD!$C$11*(K60)))))))))</f>
        <v>0</v>
      </c>
      <c r="O60" s="65">
        <f>SUMIFS(Shift_allowance_Entries!$G:$G,Shift_allowance_Entries!$F:$F,"6:30AM-03:30PM",Shift_allowance_Entries!$B:$B,CPY!$B60)</f>
        <v>0</v>
      </c>
      <c r="P60" s="65">
        <f>SUMIFS(Shift_allowance_Entries!$G:$G,Shift_allowance_Entries!$F:$F,"1-9PM/2:30PM-11:30PM",Shift_allowance_Entries!$B:$B,CPY!$B60)</f>
        <v>0</v>
      </c>
      <c r="Q60" s="65">
        <f>SUMIFS(Shift_allowance_Entries!$G:$G,Shift_allowance_Entries!$F:$F,"11PM-7AM",Shift_allowance_Entries!$B:$B,CPY!$B60)</f>
        <v>0</v>
      </c>
      <c r="R60" s="63">
        <f>(CPY!O60*MD!$F$4)+(CPY!P60*MD!$F$5)+(CPY!Q60*MD!$F$6)</f>
        <v>0</v>
      </c>
      <c r="T60" s="64">
        <f>ROUNDUP((SUMIFS('OOH Activities'!$K:$K,'OOH Activities'!$F:$F,"Non_workdays",'OOH Activities'!$B:$B,CPY!B60)) *24,1)</f>
        <v>0</v>
      </c>
      <c r="U60" s="64">
        <f>ROUNDUP((SUMIFS('OOH Activities'!$K:$K,'OOH Activities'!$F:$F,"Workdays",'OOH Activities'!$B:$B,CPY!B60)) *24,1)</f>
        <v>0</v>
      </c>
      <c r="V60" s="63">
        <f>ROUNDUP((SUMIFS('OOH Activities'!$L:$L,'OOH Activities'!$B:$B,CPY!B60)),1)</f>
        <v>0</v>
      </c>
      <c r="X60" s="65">
        <f>ROUNDUP((SUMIFS('ON Call_Call Out Activities'!$L:$L,'ON Call_Call Out Activities'!$F:$F,"Workdays",'ON Call_Call Out Activities'!$B:$B,CPY!B60))*24,1)</f>
        <v>0</v>
      </c>
      <c r="Y60" s="64">
        <f>ROUNDUP((SUMIFS('ON Call_Call Out Activities'!$L:$L,'ON Call_Call Out Activities'!$F:$F,"Non_workdays",'ON Call_Call Out Activities'!$B:$B,CPY!B60)) *24,1)</f>
        <v>0</v>
      </c>
      <c r="Z60" s="63">
        <f>ROUNDUP((SUMIFS('ON Call_Call Out Activities'!$M:$M,'ON Call_Call Out Activities'!$F:$F,"Non_workdays",'ON Call_Call Out Activities'!$B:$B,CPY!B60)),1) + ROUNDUP((SUMIFS('ON Call_Call Out Activities'!$M:$M,'ON Call_Call Out Activities'!$F:$F,"Workdays",'ON Call_Call Out Activities'!$B:$B,CPY!B60)),1)</f>
        <v>0</v>
      </c>
      <c r="AA60" s="66"/>
      <c r="AB60" s="64">
        <f>ROUNDUP((SUMIFS('ON Call_Call Out Activities'!$L:$L,'ON Call_Call Out Activities'!$F:$F,"Call_Out",'ON Call_Call Out Activities'!$B:$B,CPY!B60)) *24,1)</f>
        <v>0</v>
      </c>
      <c r="AC60" s="63">
        <f>ROUNDUP((SUMIFS('ON Call_Call Out Activities'!$M:$M,'ON Call_Call Out Activities'!$F:$F,"Call_Out",'ON Call_Call Out Activities'!$B:$B,CPY!B60)),1)</f>
        <v>0</v>
      </c>
      <c r="AE60" s="65">
        <f>IF((SUMIF(Shift_allowance_Entries!$B:$B,CPY!$B60,Shift_allowance_Entries!$H:$H)) &gt; (SUMIF(Shift_allowance_Entries!$B:$B,CPY!$B60,Shift_allowance_Entries!$G:$G)),0,((SUMIF(Shift_allowance_Entries!$B:$B,CPY!$B60,Shift_allowance_Entries!$G:$G))-(SUMIF(Shift_allowance_Entries!$B:$B,CPY!$B60,Shift_allowance_Entries!$H:$H))))</f>
        <v>0</v>
      </c>
      <c r="AF60" s="63">
        <f>AE60*MD!$S$4</f>
        <v>0</v>
      </c>
    </row>
    <row r="61" spans="1:32" x14ac:dyDescent="0.25">
      <c r="A61" s="62">
        <v>59</v>
      </c>
      <c r="B61" s="62"/>
      <c r="C61" s="50" t="str">
        <f>IF(ISNA(VLOOKUP($B61,Summary!$B:$D,2,FALSE))=TRUE," ",VLOOKUP($B61,Summary!$B:$D,2,FALSE))</f>
        <v> </v>
      </c>
      <c r="D61" s="50" t="str">
        <f>IF(ISNA(VLOOKUP($B61,Summary!$B:$D,3,FALSE))=TRUE," ",VLOOKUP($B61,Summary!$B:$D,3,FALSE))</f>
        <v> </v>
      </c>
      <c r="E61" s="62"/>
      <c r="F61" s="62"/>
      <c r="G61" s="62"/>
      <c r="I61" s="63">
        <f t="shared" si="0"/>
        <v>0</v>
      </c>
      <c r="K61" s="64">
        <f>IF(E61="Support(L1_L2)",IF(NOT(ISBLANK(B61)),IF(NOT(ISBLANK(D61)),NETWORKDAYS('CPY TOC'!$F$5,'CPY TOC'!$G$5))))-L61</f>
        <v>0</v>
      </c>
      <c r="L61" s="64">
        <f>IF(E61="Support(L1_L2)",SUMIFS(Support_allowance_Entries!$G:$G,Support_allowance_Entries!$B:$B,CPY!B61),0)</f>
        <v>0</v>
      </c>
      <c r="M61" s="63" t="b">
        <f>IF($D61="D0",MD!$C$4*(K61),IF($D61="D1",MD!$C$5*(K61),IF($D61="D2",MD!$C$6*(K61),IF($D61="D3",MD!$C$7*(K61),IF($D61="D4",MD!$C$8*(K61),IF($D61="D5",MD!$C$9*(K61),IF($D61="M1",MD!$C$10*(K61),IF($D61="T1",MD!$C$11*(K61)))))))))</f>
        <v>0</v>
      </c>
      <c r="O61" s="65">
        <f>SUMIFS(Shift_allowance_Entries!$G:$G,Shift_allowance_Entries!$F:$F,"6:30AM-03:30PM",Shift_allowance_Entries!$B:$B,CPY!$B61)</f>
        <v>0</v>
      </c>
      <c r="P61" s="65">
        <f>SUMIFS(Shift_allowance_Entries!$G:$G,Shift_allowance_Entries!$F:$F,"1-9PM/2:30PM-11:30PM",Shift_allowance_Entries!$B:$B,CPY!$B61)</f>
        <v>0</v>
      </c>
      <c r="Q61" s="65">
        <f>SUMIFS(Shift_allowance_Entries!$G:$G,Shift_allowance_Entries!$F:$F,"11PM-7AM",Shift_allowance_Entries!$B:$B,CPY!$B61)</f>
        <v>0</v>
      </c>
      <c r="R61" s="63">
        <f>(CPY!O61*MD!$F$4)+(CPY!P61*MD!$F$5)+(CPY!Q61*MD!$F$6)</f>
        <v>0</v>
      </c>
      <c r="T61" s="64">
        <f>ROUNDUP((SUMIFS('OOH Activities'!$K:$K,'OOH Activities'!$F:$F,"Non_workdays",'OOH Activities'!$B:$B,CPY!B61)) *24,1)</f>
        <v>0</v>
      </c>
      <c r="U61" s="64">
        <f>ROUNDUP((SUMIFS('OOH Activities'!$K:$K,'OOH Activities'!$F:$F,"Workdays",'OOH Activities'!$B:$B,CPY!B61)) *24,1)</f>
        <v>0</v>
      </c>
      <c r="V61" s="63">
        <f>ROUNDUP((SUMIFS('OOH Activities'!$L:$L,'OOH Activities'!$B:$B,CPY!B61)),1)</f>
        <v>0</v>
      </c>
      <c r="X61" s="65">
        <f>ROUNDUP((SUMIFS('ON Call_Call Out Activities'!$L:$L,'ON Call_Call Out Activities'!$F:$F,"Workdays",'ON Call_Call Out Activities'!$B:$B,CPY!B61))*24,1)</f>
        <v>0</v>
      </c>
      <c r="Y61" s="64">
        <f>ROUNDUP((SUMIFS('ON Call_Call Out Activities'!$L:$L,'ON Call_Call Out Activities'!$F:$F,"Non_workdays",'ON Call_Call Out Activities'!$B:$B,CPY!B61)) *24,1)</f>
        <v>0</v>
      </c>
      <c r="Z61" s="63">
        <f>ROUNDUP((SUMIFS('ON Call_Call Out Activities'!$M:$M,'ON Call_Call Out Activities'!$F:$F,"Non_workdays",'ON Call_Call Out Activities'!$B:$B,CPY!B61)),1) + ROUNDUP((SUMIFS('ON Call_Call Out Activities'!$M:$M,'ON Call_Call Out Activities'!$F:$F,"Workdays",'ON Call_Call Out Activities'!$B:$B,CPY!B61)),1)</f>
        <v>0</v>
      </c>
      <c r="AA61" s="66"/>
      <c r="AB61" s="64">
        <f>ROUNDUP((SUMIFS('ON Call_Call Out Activities'!$L:$L,'ON Call_Call Out Activities'!$F:$F,"Call_Out",'ON Call_Call Out Activities'!$B:$B,CPY!B61)) *24,1)</f>
        <v>0</v>
      </c>
      <c r="AC61" s="63">
        <f>ROUNDUP((SUMIFS('ON Call_Call Out Activities'!$M:$M,'ON Call_Call Out Activities'!$F:$F,"Call_Out",'ON Call_Call Out Activities'!$B:$B,CPY!B61)),1)</f>
        <v>0</v>
      </c>
      <c r="AE61" s="65">
        <f>IF((SUMIF(Shift_allowance_Entries!$B:$B,CPY!$B61,Shift_allowance_Entries!$H:$H)) &gt; (SUMIF(Shift_allowance_Entries!$B:$B,CPY!$B61,Shift_allowance_Entries!$G:$G)),0,((SUMIF(Shift_allowance_Entries!$B:$B,CPY!$B61,Shift_allowance_Entries!$G:$G))-(SUMIF(Shift_allowance_Entries!$B:$B,CPY!$B61,Shift_allowance_Entries!$H:$H))))</f>
        <v>0</v>
      </c>
      <c r="AF61" s="63">
        <f>AE61*MD!$S$4</f>
        <v>0</v>
      </c>
    </row>
    <row r="62" spans="1:32" x14ac:dyDescent="0.25">
      <c r="A62" s="62">
        <v>60</v>
      </c>
      <c r="B62" s="62"/>
      <c r="C62" s="50" t="str">
        <f>IF(ISNA(VLOOKUP($B62,Summary!$B:$D,2,FALSE))=TRUE," ",VLOOKUP($B62,Summary!$B:$D,2,FALSE))</f>
        <v> </v>
      </c>
      <c r="D62" s="50" t="str">
        <f>IF(ISNA(VLOOKUP($B62,Summary!$B:$D,3,FALSE))=TRUE," ",VLOOKUP($B62,Summary!$B:$D,3,FALSE))</f>
        <v> </v>
      </c>
      <c r="E62" s="62"/>
      <c r="F62" s="62"/>
      <c r="G62" s="62"/>
      <c r="I62" s="63">
        <f t="shared" si="0"/>
        <v>0</v>
      </c>
      <c r="K62" s="64">
        <f>IF(E62="Support(L1_L2)",IF(NOT(ISBLANK(B62)),IF(NOT(ISBLANK(D62)),NETWORKDAYS('CPY TOC'!$F$5,'CPY TOC'!$G$5))))-L62</f>
        <v>0</v>
      </c>
      <c r="L62" s="64">
        <f>IF(E62="Support(L1_L2)",SUMIFS(Support_allowance_Entries!$G:$G,Support_allowance_Entries!$B:$B,CPY!B62),0)</f>
        <v>0</v>
      </c>
      <c r="M62" s="63" t="b">
        <f>IF($D62="D0",MD!$C$4*(K62),IF($D62="D1",MD!$C$5*(K62),IF($D62="D2",MD!$C$6*(K62),IF($D62="D3",MD!$C$7*(K62),IF($D62="D4",MD!$C$8*(K62),IF($D62="D5",MD!$C$9*(K62),IF($D62="M1",MD!$C$10*(K62),IF($D62="T1",MD!$C$11*(K62)))))))))</f>
        <v>0</v>
      </c>
      <c r="O62" s="65">
        <f>SUMIFS(Shift_allowance_Entries!$G:$G,Shift_allowance_Entries!$F:$F,"6:30AM-03:30PM",Shift_allowance_Entries!$B:$B,CPY!$B62)</f>
        <v>0</v>
      </c>
      <c r="P62" s="65">
        <f>SUMIFS(Shift_allowance_Entries!$G:$G,Shift_allowance_Entries!$F:$F,"1-9PM/2:30PM-11:30PM",Shift_allowance_Entries!$B:$B,CPY!$B62)</f>
        <v>0</v>
      </c>
      <c r="Q62" s="65">
        <f>SUMIFS(Shift_allowance_Entries!$G:$G,Shift_allowance_Entries!$F:$F,"11PM-7AM",Shift_allowance_Entries!$B:$B,CPY!$B62)</f>
        <v>0</v>
      </c>
      <c r="R62" s="63">
        <f>(CPY!O62*MD!$F$4)+(CPY!P62*MD!$F$5)+(CPY!Q62*MD!$F$6)</f>
        <v>0</v>
      </c>
      <c r="T62" s="64">
        <f>ROUNDUP((SUMIFS('OOH Activities'!$K:$K,'OOH Activities'!$F:$F,"Non_workdays",'OOH Activities'!$B:$B,CPY!B62)) *24,1)</f>
        <v>0</v>
      </c>
      <c r="U62" s="64">
        <f>ROUNDUP((SUMIFS('OOH Activities'!$K:$K,'OOH Activities'!$F:$F,"Workdays",'OOH Activities'!$B:$B,CPY!B62)) *24,1)</f>
        <v>0</v>
      </c>
      <c r="V62" s="63">
        <f>ROUNDUP((SUMIFS('OOH Activities'!$L:$L,'OOH Activities'!$B:$B,CPY!B62)),1)</f>
        <v>0</v>
      </c>
      <c r="X62" s="65">
        <f>ROUNDUP((SUMIFS('ON Call_Call Out Activities'!$L:$L,'ON Call_Call Out Activities'!$F:$F,"Workdays",'ON Call_Call Out Activities'!$B:$B,CPY!B62))*24,1)</f>
        <v>0</v>
      </c>
      <c r="Y62" s="64">
        <f>ROUNDUP((SUMIFS('ON Call_Call Out Activities'!$L:$L,'ON Call_Call Out Activities'!$F:$F,"Non_workdays",'ON Call_Call Out Activities'!$B:$B,CPY!B62)) *24,1)</f>
        <v>0</v>
      </c>
      <c r="Z62" s="63">
        <f>ROUNDUP((SUMIFS('ON Call_Call Out Activities'!$M:$M,'ON Call_Call Out Activities'!$F:$F,"Non_workdays",'ON Call_Call Out Activities'!$B:$B,CPY!B62)),1) + ROUNDUP((SUMIFS('ON Call_Call Out Activities'!$M:$M,'ON Call_Call Out Activities'!$F:$F,"Workdays",'ON Call_Call Out Activities'!$B:$B,CPY!B62)),1)</f>
        <v>0</v>
      </c>
      <c r="AA62" s="66"/>
      <c r="AB62" s="64">
        <f>ROUNDUP((SUMIFS('ON Call_Call Out Activities'!$L:$L,'ON Call_Call Out Activities'!$F:$F,"Call_Out",'ON Call_Call Out Activities'!$B:$B,CPY!B62)) *24,1)</f>
        <v>0</v>
      </c>
      <c r="AC62" s="63">
        <f>ROUNDUP((SUMIFS('ON Call_Call Out Activities'!$M:$M,'ON Call_Call Out Activities'!$F:$F,"Call_Out",'ON Call_Call Out Activities'!$B:$B,CPY!B62)),1)</f>
        <v>0</v>
      </c>
      <c r="AE62" s="65">
        <f>IF((SUMIF(Shift_allowance_Entries!$B:$B,CPY!$B62,Shift_allowance_Entries!$H:$H)) &gt; (SUMIF(Shift_allowance_Entries!$B:$B,CPY!$B62,Shift_allowance_Entries!$G:$G)),0,((SUMIF(Shift_allowance_Entries!$B:$B,CPY!$B62,Shift_allowance_Entries!$G:$G))-(SUMIF(Shift_allowance_Entries!$B:$B,CPY!$B62,Shift_allowance_Entries!$H:$H))))</f>
        <v>0</v>
      </c>
      <c r="AF62" s="63">
        <f>AE62*MD!$S$4</f>
        <v>0</v>
      </c>
    </row>
    <row r="63" spans="1:32" x14ac:dyDescent="0.25">
      <c r="A63" s="62">
        <v>61</v>
      </c>
      <c r="B63" s="62"/>
      <c r="C63" s="50" t="str">
        <f>IF(ISNA(VLOOKUP($B63,Summary!$B:$D,2,FALSE))=TRUE," ",VLOOKUP($B63,Summary!$B:$D,2,FALSE))</f>
        <v> </v>
      </c>
      <c r="D63" s="50" t="str">
        <f>IF(ISNA(VLOOKUP($B63,Summary!$B:$D,3,FALSE))=TRUE," ",VLOOKUP($B63,Summary!$B:$D,3,FALSE))</f>
        <v> </v>
      </c>
      <c r="E63" s="62"/>
      <c r="F63" s="62"/>
      <c r="G63" s="62"/>
      <c r="I63" s="63">
        <f t="shared" si="0"/>
        <v>0</v>
      </c>
      <c r="K63" s="64">
        <f>IF(E63="Support(L1_L2)",IF(NOT(ISBLANK(B63)),IF(NOT(ISBLANK(D63)),NETWORKDAYS('CPY TOC'!$F$5,'CPY TOC'!$G$5))))-L63</f>
        <v>0</v>
      </c>
      <c r="L63" s="64">
        <f>IF(E63="Support(L1_L2)",SUMIFS(Support_allowance_Entries!$G:$G,Support_allowance_Entries!$B:$B,CPY!B63),0)</f>
        <v>0</v>
      </c>
      <c r="M63" s="63" t="b">
        <f>IF($D63="D0",MD!$C$4*(K63),IF($D63="D1",MD!$C$5*(K63),IF($D63="D2",MD!$C$6*(K63),IF($D63="D3",MD!$C$7*(K63),IF($D63="D4",MD!$C$8*(K63),IF($D63="D5",MD!$C$9*(K63),IF($D63="M1",MD!$C$10*(K63),IF($D63="T1",MD!$C$11*(K63)))))))))</f>
        <v>0</v>
      </c>
      <c r="O63" s="65">
        <f>SUMIFS(Shift_allowance_Entries!$G:$G,Shift_allowance_Entries!$F:$F,"6:30AM-03:30PM",Shift_allowance_Entries!$B:$B,CPY!$B63)</f>
        <v>0</v>
      </c>
      <c r="P63" s="65">
        <f>SUMIFS(Shift_allowance_Entries!$G:$G,Shift_allowance_Entries!$F:$F,"1-9PM/2:30PM-11:30PM",Shift_allowance_Entries!$B:$B,CPY!$B63)</f>
        <v>0</v>
      </c>
      <c r="Q63" s="65">
        <f>SUMIFS(Shift_allowance_Entries!$G:$G,Shift_allowance_Entries!$F:$F,"11PM-7AM",Shift_allowance_Entries!$B:$B,CPY!$B63)</f>
        <v>0</v>
      </c>
      <c r="R63" s="63">
        <f>(CPY!O63*MD!$F$4)+(CPY!P63*MD!$F$5)+(CPY!Q63*MD!$F$6)</f>
        <v>0</v>
      </c>
      <c r="T63" s="64">
        <f>ROUNDUP((SUMIFS('OOH Activities'!$K:$K,'OOH Activities'!$F:$F,"Non_workdays",'OOH Activities'!$B:$B,CPY!B63)) *24,1)</f>
        <v>0</v>
      </c>
      <c r="U63" s="64">
        <f>ROUNDUP((SUMIFS('OOH Activities'!$K:$K,'OOH Activities'!$F:$F,"Workdays",'OOH Activities'!$B:$B,CPY!B63)) *24,1)</f>
        <v>0</v>
      </c>
      <c r="V63" s="63">
        <f>ROUNDUP((SUMIFS('OOH Activities'!$L:$L,'OOH Activities'!$B:$B,CPY!B63)),1)</f>
        <v>0</v>
      </c>
      <c r="X63" s="65">
        <f>ROUNDUP((SUMIFS('ON Call_Call Out Activities'!$L:$L,'ON Call_Call Out Activities'!$F:$F,"Workdays",'ON Call_Call Out Activities'!$B:$B,CPY!B63))*24,1)</f>
        <v>0</v>
      </c>
      <c r="Y63" s="64">
        <f>ROUNDUP((SUMIFS('ON Call_Call Out Activities'!$L:$L,'ON Call_Call Out Activities'!$F:$F,"Non_workdays",'ON Call_Call Out Activities'!$B:$B,CPY!B63)) *24,1)</f>
        <v>0</v>
      </c>
      <c r="Z63" s="63">
        <f>ROUNDUP((SUMIFS('ON Call_Call Out Activities'!$M:$M,'ON Call_Call Out Activities'!$F:$F,"Non_workdays",'ON Call_Call Out Activities'!$B:$B,CPY!B63)),1) + ROUNDUP((SUMIFS('ON Call_Call Out Activities'!$M:$M,'ON Call_Call Out Activities'!$F:$F,"Workdays",'ON Call_Call Out Activities'!$B:$B,CPY!B63)),1)</f>
        <v>0</v>
      </c>
      <c r="AA63" s="66"/>
      <c r="AB63" s="64">
        <f>ROUNDUP((SUMIFS('ON Call_Call Out Activities'!$L:$L,'ON Call_Call Out Activities'!$F:$F,"Call_Out",'ON Call_Call Out Activities'!$B:$B,CPY!B63)) *24,1)</f>
        <v>0</v>
      </c>
      <c r="AC63" s="63">
        <f>ROUNDUP((SUMIFS('ON Call_Call Out Activities'!$M:$M,'ON Call_Call Out Activities'!$F:$F,"Call_Out",'ON Call_Call Out Activities'!$B:$B,CPY!B63)),1)</f>
        <v>0</v>
      </c>
      <c r="AE63" s="65">
        <f>IF((SUMIF(Shift_allowance_Entries!$B:$B,CPY!$B63,Shift_allowance_Entries!$H:$H)) &gt; (SUMIF(Shift_allowance_Entries!$B:$B,CPY!$B63,Shift_allowance_Entries!$G:$G)),0,((SUMIF(Shift_allowance_Entries!$B:$B,CPY!$B63,Shift_allowance_Entries!$G:$G))-(SUMIF(Shift_allowance_Entries!$B:$B,CPY!$B63,Shift_allowance_Entries!$H:$H))))</f>
        <v>0</v>
      </c>
      <c r="AF63" s="63">
        <f>AE63*MD!$S$4</f>
        <v>0</v>
      </c>
    </row>
    <row r="64" spans="1:32" x14ac:dyDescent="0.25">
      <c r="A64" s="62">
        <v>62</v>
      </c>
      <c r="B64" s="62"/>
      <c r="C64" s="50" t="str">
        <f>IF(ISNA(VLOOKUP($B64,Summary!$B:$D,2,FALSE))=TRUE," ",VLOOKUP($B64,Summary!$B:$D,2,FALSE))</f>
        <v> </v>
      </c>
      <c r="D64" s="50" t="str">
        <f>IF(ISNA(VLOOKUP($B64,Summary!$B:$D,3,FALSE))=TRUE," ",VLOOKUP($B64,Summary!$B:$D,3,FALSE))</f>
        <v> </v>
      </c>
      <c r="E64" s="62"/>
      <c r="F64" s="62"/>
      <c r="G64" s="62"/>
      <c r="I64" s="63">
        <f t="shared" si="0"/>
        <v>0</v>
      </c>
      <c r="K64" s="64">
        <f>IF(E64="Support(L1_L2)",IF(NOT(ISBLANK(B64)),IF(NOT(ISBLANK(D64)),NETWORKDAYS('CPY TOC'!$F$5,'CPY TOC'!$G$5))))-L64</f>
        <v>0</v>
      </c>
      <c r="L64" s="64">
        <f>IF(E64="Support(L1_L2)",SUMIFS(Support_allowance_Entries!$G:$G,Support_allowance_Entries!$B:$B,CPY!B64),0)</f>
        <v>0</v>
      </c>
      <c r="M64" s="63" t="b">
        <f>IF($D64="D0",MD!$C$4*(K64),IF($D64="D1",MD!$C$5*(K64),IF($D64="D2",MD!$C$6*(K64),IF($D64="D3",MD!$C$7*(K64),IF($D64="D4",MD!$C$8*(K64),IF($D64="D5",MD!$C$9*(K64),IF($D64="M1",MD!$C$10*(K64),IF($D64="T1",MD!$C$11*(K64)))))))))</f>
        <v>0</v>
      </c>
      <c r="O64" s="65">
        <f>SUMIFS(Shift_allowance_Entries!$G:$G,Shift_allowance_Entries!$F:$F,"6:30AM-03:30PM",Shift_allowance_Entries!$B:$B,CPY!$B64)</f>
        <v>0</v>
      </c>
      <c r="P64" s="65">
        <f>SUMIFS(Shift_allowance_Entries!$G:$G,Shift_allowance_Entries!$F:$F,"1-9PM/2:30PM-11:30PM",Shift_allowance_Entries!$B:$B,CPY!$B64)</f>
        <v>0</v>
      </c>
      <c r="Q64" s="65">
        <f>SUMIFS(Shift_allowance_Entries!$G:$G,Shift_allowance_Entries!$F:$F,"11PM-7AM",Shift_allowance_Entries!$B:$B,CPY!$B64)</f>
        <v>0</v>
      </c>
      <c r="R64" s="63">
        <f>(CPY!O64*MD!$F$4)+(CPY!P64*MD!$F$5)+(CPY!Q64*MD!$F$6)</f>
        <v>0</v>
      </c>
      <c r="T64" s="64">
        <f>ROUNDUP((SUMIFS('OOH Activities'!$K:$K,'OOH Activities'!$F:$F,"Non_workdays",'OOH Activities'!$B:$B,CPY!B64)) *24,1)</f>
        <v>0</v>
      </c>
      <c r="U64" s="64">
        <f>ROUNDUP((SUMIFS('OOH Activities'!$K:$K,'OOH Activities'!$F:$F,"Workdays",'OOH Activities'!$B:$B,CPY!B64)) *24,1)</f>
        <v>0</v>
      </c>
      <c r="V64" s="63">
        <f>ROUNDUP((SUMIFS('OOH Activities'!$L:$L,'OOH Activities'!$B:$B,CPY!B64)),1)</f>
        <v>0</v>
      </c>
      <c r="X64" s="65">
        <f>ROUNDUP((SUMIFS('ON Call_Call Out Activities'!$L:$L,'ON Call_Call Out Activities'!$F:$F,"Workdays",'ON Call_Call Out Activities'!$B:$B,CPY!B64))*24,1)</f>
        <v>0</v>
      </c>
      <c r="Y64" s="64">
        <f>ROUNDUP((SUMIFS('ON Call_Call Out Activities'!$L:$L,'ON Call_Call Out Activities'!$F:$F,"Non_workdays",'ON Call_Call Out Activities'!$B:$B,CPY!B64)) *24,1)</f>
        <v>0</v>
      </c>
      <c r="Z64" s="63">
        <f>ROUNDUP((SUMIFS('ON Call_Call Out Activities'!$M:$M,'ON Call_Call Out Activities'!$F:$F,"Non_workdays",'ON Call_Call Out Activities'!$B:$B,CPY!B64)),1) + ROUNDUP((SUMIFS('ON Call_Call Out Activities'!$M:$M,'ON Call_Call Out Activities'!$F:$F,"Workdays",'ON Call_Call Out Activities'!$B:$B,CPY!B64)),1)</f>
        <v>0</v>
      </c>
      <c r="AA64" s="66"/>
      <c r="AB64" s="64">
        <f>ROUNDUP((SUMIFS('ON Call_Call Out Activities'!$L:$L,'ON Call_Call Out Activities'!$F:$F,"Call_Out",'ON Call_Call Out Activities'!$B:$B,CPY!B64)) *24,1)</f>
        <v>0</v>
      </c>
      <c r="AC64" s="63">
        <f>ROUNDUP((SUMIFS('ON Call_Call Out Activities'!$M:$M,'ON Call_Call Out Activities'!$F:$F,"Call_Out",'ON Call_Call Out Activities'!$B:$B,CPY!B64)),1)</f>
        <v>0</v>
      </c>
      <c r="AE64" s="65">
        <f>IF((SUMIF(Shift_allowance_Entries!$B:$B,CPY!$B64,Shift_allowance_Entries!$H:$H)) &gt; (SUMIF(Shift_allowance_Entries!$B:$B,CPY!$B64,Shift_allowance_Entries!$G:$G)),0,((SUMIF(Shift_allowance_Entries!$B:$B,CPY!$B64,Shift_allowance_Entries!$G:$G))-(SUMIF(Shift_allowance_Entries!$B:$B,CPY!$B64,Shift_allowance_Entries!$H:$H))))</f>
        <v>0</v>
      </c>
      <c r="AF64" s="63">
        <f>AE64*MD!$S$4</f>
        <v>0</v>
      </c>
    </row>
    <row r="65" spans="1:32" x14ac:dyDescent="0.25">
      <c r="A65" s="62">
        <v>63</v>
      </c>
      <c r="B65" s="62"/>
      <c r="C65" s="50" t="str">
        <f>IF(ISNA(VLOOKUP($B65,Summary!$B:$D,2,FALSE))=TRUE," ",VLOOKUP($B65,Summary!$B:$D,2,FALSE))</f>
        <v> </v>
      </c>
      <c r="D65" s="50" t="str">
        <f>IF(ISNA(VLOOKUP($B65,Summary!$B:$D,3,FALSE))=TRUE," ",VLOOKUP($B65,Summary!$B:$D,3,FALSE))</f>
        <v> </v>
      </c>
      <c r="E65" s="62"/>
      <c r="F65" s="62"/>
      <c r="G65" s="62"/>
      <c r="I65" s="63">
        <f t="shared" si="0"/>
        <v>0</v>
      </c>
      <c r="K65" s="64">
        <f>IF(E65="Support(L1_L2)",IF(NOT(ISBLANK(B65)),IF(NOT(ISBLANK(D65)),NETWORKDAYS('CPY TOC'!$F$5,'CPY TOC'!$G$5))))-L65</f>
        <v>0</v>
      </c>
      <c r="L65" s="64">
        <f>IF(E65="Support(L1_L2)",SUMIFS(Support_allowance_Entries!$G:$G,Support_allowance_Entries!$B:$B,CPY!B65),0)</f>
        <v>0</v>
      </c>
      <c r="M65" s="63" t="b">
        <f>IF($D65="D0",MD!$C$4*(K65),IF($D65="D1",MD!$C$5*(K65),IF($D65="D2",MD!$C$6*(K65),IF($D65="D3",MD!$C$7*(K65),IF($D65="D4",MD!$C$8*(K65),IF($D65="D5",MD!$C$9*(K65),IF($D65="M1",MD!$C$10*(K65),IF($D65="T1",MD!$C$11*(K65)))))))))</f>
        <v>0</v>
      </c>
      <c r="O65" s="65">
        <f>SUMIFS(Shift_allowance_Entries!$G:$G,Shift_allowance_Entries!$F:$F,"6:30AM-03:30PM",Shift_allowance_Entries!$B:$B,CPY!$B65)</f>
        <v>0</v>
      </c>
      <c r="P65" s="65">
        <f>SUMIFS(Shift_allowance_Entries!$G:$G,Shift_allowance_Entries!$F:$F,"1-9PM/2:30PM-11:30PM",Shift_allowance_Entries!$B:$B,CPY!$B65)</f>
        <v>0</v>
      </c>
      <c r="Q65" s="65">
        <f>SUMIFS(Shift_allowance_Entries!$G:$G,Shift_allowance_Entries!$F:$F,"11PM-7AM",Shift_allowance_Entries!$B:$B,CPY!$B65)</f>
        <v>0</v>
      </c>
      <c r="R65" s="63">
        <f>(CPY!O65*MD!$F$4)+(CPY!P65*MD!$F$5)+(CPY!Q65*MD!$F$6)</f>
        <v>0</v>
      </c>
      <c r="T65" s="64">
        <f>ROUNDUP((SUMIFS('OOH Activities'!$K:$K,'OOH Activities'!$F:$F,"Non_workdays",'OOH Activities'!$B:$B,CPY!B65)) *24,1)</f>
        <v>0</v>
      </c>
      <c r="U65" s="64">
        <f>ROUNDUP((SUMIFS('OOH Activities'!$K:$K,'OOH Activities'!$F:$F,"Workdays",'OOH Activities'!$B:$B,CPY!B65)) *24,1)</f>
        <v>0</v>
      </c>
      <c r="V65" s="63">
        <f>ROUNDUP((SUMIFS('OOH Activities'!$L:$L,'OOH Activities'!$B:$B,CPY!B65)),1)</f>
        <v>0</v>
      </c>
      <c r="X65" s="65">
        <f>ROUNDUP((SUMIFS('ON Call_Call Out Activities'!$L:$L,'ON Call_Call Out Activities'!$F:$F,"Workdays",'ON Call_Call Out Activities'!$B:$B,CPY!B65))*24,1)</f>
        <v>0</v>
      </c>
      <c r="Y65" s="64">
        <f>ROUNDUP((SUMIFS('ON Call_Call Out Activities'!$L:$L,'ON Call_Call Out Activities'!$F:$F,"Non_workdays",'ON Call_Call Out Activities'!$B:$B,CPY!B65)) *24,1)</f>
        <v>0</v>
      </c>
      <c r="Z65" s="63">
        <f>ROUNDUP((SUMIFS('ON Call_Call Out Activities'!$M:$M,'ON Call_Call Out Activities'!$F:$F,"Non_workdays",'ON Call_Call Out Activities'!$B:$B,CPY!B65)),1) + ROUNDUP((SUMIFS('ON Call_Call Out Activities'!$M:$M,'ON Call_Call Out Activities'!$F:$F,"Workdays",'ON Call_Call Out Activities'!$B:$B,CPY!B65)),1)</f>
        <v>0</v>
      </c>
      <c r="AA65" s="66"/>
      <c r="AB65" s="64">
        <f>ROUNDUP((SUMIFS('ON Call_Call Out Activities'!$L:$L,'ON Call_Call Out Activities'!$F:$F,"Call_Out",'ON Call_Call Out Activities'!$B:$B,CPY!B65)) *24,1)</f>
        <v>0</v>
      </c>
      <c r="AC65" s="63">
        <f>ROUNDUP((SUMIFS('ON Call_Call Out Activities'!$M:$M,'ON Call_Call Out Activities'!$F:$F,"Call_Out",'ON Call_Call Out Activities'!$B:$B,CPY!B65)),1)</f>
        <v>0</v>
      </c>
      <c r="AE65" s="65">
        <f>IF((SUMIF(Shift_allowance_Entries!$B:$B,CPY!$B65,Shift_allowance_Entries!$H:$H)) &gt; (SUMIF(Shift_allowance_Entries!$B:$B,CPY!$B65,Shift_allowance_Entries!$G:$G)),0,((SUMIF(Shift_allowance_Entries!$B:$B,CPY!$B65,Shift_allowance_Entries!$G:$G))-(SUMIF(Shift_allowance_Entries!$B:$B,CPY!$B65,Shift_allowance_Entries!$H:$H))))</f>
        <v>0</v>
      </c>
      <c r="AF65" s="63">
        <f>AE65*MD!$S$4</f>
        <v>0</v>
      </c>
    </row>
    <row r="66" spans="1:32" x14ac:dyDescent="0.25">
      <c r="A66" s="62">
        <v>64</v>
      </c>
      <c r="B66" s="62"/>
      <c r="C66" s="50" t="str">
        <f>IF(ISNA(VLOOKUP($B66,Summary!$B:$D,2,FALSE))=TRUE," ",VLOOKUP($B66,Summary!$B:$D,2,FALSE))</f>
        <v> </v>
      </c>
      <c r="D66" s="50" t="str">
        <f>IF(ISNA(VLOOKUP($B66,Summary!$B:$D,3,FALSE))=TRUE," ",VLOOKUP($B66,Summary!$B:$D,3,FALSE))</f>
        <v> </v>
      </c>
      <c r="E66" s="62"/>
      <c r="F66" s="62"/>
      <c r="G66" s="62"/>
      <c r="I66" s="63">
        <f t="shared" si="0"/>
        <v>0</v>
      </c>
      <c r="K66" s="64">
        <f>IF(E66="Support(L1_L2)",IF(NOT(ISBLANK(B66)),IF(NOT(ISBLANK(D66)),NETWORKDAYS('CPY TOC'!$F$5,'CPY TOC'!$G$5))))-L66</f>
        <v>0</v>
      </c>
      <c r="L66" s="64">
        <f>IF(E66="Support(L1_L2)",SUMIFS(Support_allowance_Entries!$G:$G,Support_allowance_Entries!$B:$B,CPY!B66),0)</f>
        <v>0</v>
      </c>
      <c r="M66" s="63" t="b">
        <f>IF($D66="D0",MD!$C$4*(K66),IF($D66="D1",MD!$C$5*(K66),IF($D66="D2",MD!$C$6*(K66),IF($D66="D3",MD!$C$7*(K66),IF($D66="D4",MD!$C$8*(K66),IF($D66="D5",MD!$C$9*(K66),IF($D66="M1",MD!$C$10*(K66),IF($D66="T1",MD!$C$11*(K66)))))))))</f>
        <v>0</v>
      </c>
      <c r="O66" s="65">
        <f>SUMIFS(Shift_allowance_Entries!$G:$G,Shift_allowance_Entries!$F:$F,"6:30AM-03:30PM",Shift_allowance_Entries!$B:$B,CPY!$B66)</f>
        <v>0</v>
      </c>
      <c r="P66" s="65">
        <f>SUMIFS(Shift_allowance_Entries!$G:$G,Shift_allowance_Entries!$F:$F,"1-9PM/2:30PM-11:30PM",Shift_allowance_Entries!$B:$B,CPY!$B66)</f>
        <v>0</v>
      </c>
      <c r="Q66" s="65">
        <f>SUMIFS(Shift_allowance_Entries!$G:$G,Shift_allowance_Entries!$F:$F,"11PM-7AM",Shift_allowance_Entries!$B:$B,CPY!$B66)</f>
        <v>0</v>
      </c>
      <c r="R66" s="63">
        <f>(CPY!O66*MD!$F$4)+(CPY!P66*MD!$F$5)+(CPY!Q66*MD!$F$6)</f>
        <v>0</v>
      </c>
      <c r="T66" s="64">
        <f>ROUNDUP((SUMIFS('OOH Activities'!$K:$K,'OOH Activities'!$F:$F,"Non_workdays",'OOH Activities'!$B:$B,CPY!B66)) *24,1)</f>
        <v>0</v>
      </c>
      <c r="U66" s="64">
        <f>ROUNDUP((SUMIFS('OOH Activities'!$K:$K,'OOH Activities'!$F:$F,"Workdays",'OOH Activities'!$B:$B,CPY!B66)) *24,1)</f>
        <v>0</v>
      </c>
      <c r="V66" s="63">
        <f>ROUNDUP((SUMIFS('OOH Activities'!$L:$L,'OOH Activities'!$B:$B,CPY!B66)),1)</f>
        <v>0</v>
      </c>
      <c r="X66" s="65">
        <f>ROUNDUP((SUMIFS('ON Call_Call Out Activities'!$L:$L,'ON Call_Call Out Activities'!$F:$F,"Workdays",'ON Call_Call Out Activities'!$B:$B,CPY!B66))*24,1)</f>
        <v>0</v>
      </c>
      <c r="Y66" s="64">
        <f>ROUNDUP((SUMIFS('ON Call_Call Out Activities'!$L:$L,'ON Call_Call Out Activities'!$F:$F,"Non_workdays",'ON Call_Call Out Activities'!$B:$B,CPY!B66)) *24,1)</f>
        <v>0</v>
      </c>
      <c r="Z66" s="63">
        <f>ROUNDUP((SUMIFS('ON Call_Call Out Activities'!$M:$M,'ON Call_Call Out Activities'!$F:$F,"Non_workdays",'ON Call_Call Out Activities'!$B:$B,CPY!B66)),1) + ROUNDUP((SUMIFS('ON Call_Call Out Activities'!$M:$M,'ON Call_Call Out Activities'!$F:$F,"Workdays",'ON Call_Call Out Activities'!$B:$B,CPY!B66)),1)</f>
        <v>0</v>
      </c>
      <c r="AA66" s="66"/>
      <c r="AB66" s="64">
        <f>ROUNDUP((SUMIFS('ON Call_Call Out Activities'!$L:$L,'ON Call_Call Out Activities'!$F:$F,"Call_Out",'ON Call_Call Out Activities'!$B:$B,CPY!B66)) *24,1)</f>
        <v>0</v>
      </c>
      <c r="AC66" s="63">
        <f>ROUNDUP((SUMIFS('ON Call_Call Out Activities'!$M:$M,'ON Call_Call Out Activities'!$F:$F,"Call_Out",'ON Call_Call Out Activities'!$B:$B,CPY!B66)),1)</f>
        <v>0</v>
      </c>
      <c r="AE66" s="65">
        <f>IF((SUMIF(Shift_allowance_Entries!$B:$B,CPY!$B66,Shift_allowance_Entries!$H:$H)) &gt; (SUMIF(Shift_allowance_Entries!$B:$B,CPY!$B66,Shift_allowance_Entries!$G:$G)),0,((SUMIF(Shift_allowance_Entries!$B:$B,CPY!$B66,Shift_allowance_Entries!$G:$G))-(SUMIF(Shift_allowance_Entries!$B:$B,CPY!$B66,Shift_allowance_Entries!$H:$H))))</f>
        <v>0</v>
      </c>
      <c r="AF66" s="63">
        <f>AE66*MD!$S$4</f>
        <v>0</v>
      </c>
    </row>
    <row r="67" spans="1:32" x14ac:dyDescent="0.25">
      <c r="A67" s="62">
        <v>65</v>
      </c>
      <c r="B67" s="62"/>
      <c r="C67" s="50" t="str">
        <f>IF(ISNA(VLOOKUP($B67,Summary!$B:$D,2,FALSE))=TRUE," ",VLOOKUP($B67,Summary!$B:$D,2,FALSE))</f>
        <v> </v>
      </c>
      <c r="D67" s="50" t="str">
        <f>IF(ISNA(VLOOKUP($B67,Summary!$B:$D,3,FALSE))=TRUE," ",VLOOKUP($B67,Summary!$B:$D,3,FALSE))</f>
        <v> </v>
      </c>
      <c r="E67" s="62"/>
      <c r="F67" s="62"/>
      <c r="G67" s="62"/>
      <c r="I67" s="63">
        <f t="shared" ref="I67:I130" si="1">M67+R67+V67+Z67+AC67+AF67</f>
        <v>0</v>
      </c>
      <c r="K67" s="64">
        <f>IF(E67="Support(L1_L2)",IF(NOT(ISBLANK(B67)),IF(NOT(ISBLANK(D67)),NETWORKDAYS('CPY TOC'!$F$5,'CPY TOC'!$G$5))))-L67</f>
        <v>0</v>
      </c>
      <c r="L67" s="64">
        <f>IF(E67="Support(L1_L2)",SUMIFS(Support_allowance_Entries!$G:$G,Support_allowance_Entries!$B:$B,CPY!B67),0)</f>
        <v>0</v>
      </c>
      <c r="M67" s="63" t="b">
        <f>IF($D67="D0",MD!$C$4*(K67),IF($D67="D1",MD!$C$5*(K67),IF($D67="D2",MD!$C$6*(K67),IF($D67="D3",MD!$C$7*(K67),IF($D67="D4",MD!$C$8*(K67),IF($D67="D5",MD!$C$9*(K67),IF($D67="M1",MD!$C$10*(K67),IF($D67="T1",MD!$C$11*(K67)))))))))</f>
        <v>0</v>
      </c>
      <c r="O67" s="65">
        <f>SUMIFS(Shift_allowance_Entries!$G:$G,Shift_allowance_Entries!$F:$F,"6:30AM-03:30PM",Shift_allowance_Entries!$B:$B,CPY!$B67)</f>
        <v>0</v>
      </c>
      <c r="P67" s="65">
        <f>SUMIFS(Shift_allowance_Entries!$G:$G,Shift_allowance_Entries!$F:$F,"1-9PM/2:30PM-11:30PM",Shift_allowance_Entries!$B:$B,CPY!$B67)</f>
        <v>0</v>
      </c>
      <c r="Q67" s="65">
        <f>SUMIFS(Shift_allowance_Entries!$G:$G,Shift_allowance_Entries!$F:$F,"11PM-7AM",Shift_allowance_Entries!$B:$B,CPY!$B67)</f>
        <v>0</v>
      </c>
      <c r="R67" s="63">
        <f>(CPY!O67*MD!$F$4)+(CPY!P67*MD!$F$5)+(CPY!Q67*MD!$F$6)</f>
        <v>0</v>
      </c>
      <c r="T67" s="64">
        <f>ROUNDUP((SUMIFS('OOH Activities'!$K:$K,'OOH Activities'!$F:$F,"Non_workdays",'OOH Activities'!$B:$B,CPY!B67)) *24,1)</f>
        <v>0</v>
      </c>
      <c r="U67" s="64">
        <f>ROUNDUP((SUMIFS('OOH Activities'!$K:$K,'OOH Activities'!$F:$F,"Workdays",'OOH Activities'!$B:$B,CPY!B67)) *24,1)</f>
        <v>0</v>
      </c>
      <c r="V67" s="63">
        <f>ROUNDUP((SUMIFS('OOH Activities'!$L:$L,'OOH Activities'!$B:$B,CPY!B67)),1)</f>
        <v>0</v>
      </c>
      <c r="X67" s="65">
        <f>ROUNDUP((SUMIFS('ON Call_Call Out Activities'!$L:$L,'ON Call_Call Out Activities'!$F:$F,"Workdays",'ON Call_Call Out Activities'!$B:$B,CPY!B67))*24,1)</f>
        <v>0</v>
      </c>
      <c r="Y67" s="64">
        <f>ROUNDUP((SUMIFS('ON Call_Call Out Activities'!$L:$L,'ON Call_Call Out Activities'!$F:$F,"Non_workdays",'ON Call_Call Out Activities'!$B:$B,CPY!B67)) *24,1)</f>
        <v>0</v>
      </c>
      <c r="Z67" s="63">
        <f>ROUNDUP((SUMIFS('ON Call_Call Out Activities'!$M:$M,'ON Call_Call Out Activities'!$F:$F,"Non_workdays",'ON Call_Call Out Activities'!$B:$B,CPY!B67)),1) + ROUNDUP((SUMIFS('ON Call_Call Out Activities'!$M:$M,'ON Call_Call Out Activities'!$F:$F,"Workdays",'ON Call_Call Out Activities'!$B:$B,CPY!B67)),1)</f>
        <v>0</v>
      </c>
      <c r="AA67" s="66"/>
      <c r="AB67" s="64">
        <f>ROUNDUP((SUMIFS('ON Call_Call Out Activities'!$L:$L,'ON Call_Call Out Activities'!$F:$F,"Call_Out",'ON Call_Call Out Activities'!$B:$B,CPY!B67)) *24,1)</f>
        <v>0</v>
      </c>
      <c r="AC67" s="63">
        <f>ROUNDUP((SUMIFS('ON Call_Call Out Activities'!$M:$M,'ON Call_Call Out Activities'!$F:$F,"Call_Out",'ON Call_Call Out Activities'!$B:$B,CPY!B67)),1)</f>
        <v>0</v>
      </c>
      <c r="AE67" s="65">
        <f>IF((SUMIF(Shift_allowance_Entries!$B:$B,CPY!$B67,Shift_allowance_Entries!$H:$H)) &gt; (SUMIF(Shift_allowance_Entries!$B:$B,CPY!$B67,Shift_allowance_Entries!$G:$G)),0,((SUMIF(Shift_allowance_Entries!$B:$B,CPY!$B67,Shift_allowance_Entries!$G:$G))-(SUMIF(Shift_allowance_Entries!$B:$B,CPY!$B67,Shift_allowance_Entries!$H:$H))))</f>
        <v>0</v>
      </c>
      <c r="AF67" s="63">
        <f>AE67*MD!$S$4</f>
        <v>0</v>
      </c>
    </row>
    <row r="68" spans="1:32" x14ac:dyDescent="0.25">
      <c r="A68" s="62">
        <v>66</v>
      </c>
      <c r="B68" s="62"/>
      <c r="C68" s="50" t="str">
        <f>IF(ISNA(VLOOKUP($B68,Summary!$B:$D,2,FALSE))=TRUE," ",VLOOKUP($B68,Summary!$B:$D,2,FALSE))</f>
        <v> </v>
      </c>
      <c r="D68" s="50" t="str">
        <f>IF(ISNA(VLOOKUP($B68,Summary!$B:$D,3,FALSE))=TRUE," ",VLOOKUP($B68,Summary!$B:$D,3,FALSE))</f>
        <v> </v>
      </c>
      <c r="E68" s="62"/>
      <c r="F68" s="62"/>
      <c r="G68" s="62"/>
      <c r="I68" s="63">
        <f t="shared" si="1"/>
        <v>0</v>
      </c>
      <c r="K68" s="64">
        <f>IF(E68="Support(L1_L2)",IF(NOT(ISBLANK(B68)),IF(NOT(ISBLANK(D68)),NETWORKDAYS('CPY TOC'!$F$5,'CPY TOC'!$G$5))))-L68</f>
        <v>0</v>
      </c>
      <c r="L68" s="64">
        <f>IF(E68="Support(L1_L2)",SUMIFS(Support_allowance_Entries!$G:$G,Support_allowance_Entries!$B:$B,CPY!B68),0)</f>
        <v>0</v>
      </c>
      <c r="M68" s="63" t="b">
        <f>IF($D68="D0",MD!$C$4*(K68),IF($D68="D1",MD!$C$5*(K68),IF($D68="D2",MD!$C$6*(K68),IF($D68="D3",MD!$C$7*(K68),IF($D68="D4",MD!$C$8*(K68),IF($D68="D5",MD!$C$9*(K68),IF($D68="M1",MD!$C$10*(K68),IF($D68="T1",MD!$C$11*(K68)))))))))</f>
        <v>0</v>
      </c>
      <c r="O68" s="65">
        <f>SUMIFS(Shift_allowance_Entries!$G:$G,Shift_allowance_Entries!$F:$F,"6:30AM-03:30PM",Shift_allowance_Entries!$B:$B,CPY!$B68)</f>
        <v>0</v>
      </c>
      <c r="P68" s="65">
        <f>SUMIFS(Shift_allowance_Entries!$G:$G,Shift_allowance_Entries!$F:$F,"1-9PM/2:30PM-11:30PM",Shift_allowance_Entries!$B:$B,CPY!$B68)</f>
        <v>0</v>
      </c>
      <c r="Q68" s="65">
        <f>SUMIFS(Shift_allowance_Entries!$G:$G,Shift_allowance_Entries!$F:$F,"11PM-7AM",Shift_allowance_Entries!$B:$B,CPY!$B68)</f>
        <v>0</v>
      </c>
      <c r="R68" s="63">
        <f>(CPY!O68*MD!$F$4)+(CPY!P68*MD!$F$5)+(CPY!Q68*MD!$F$6)</f>
        <v>0</v>
      </c>
      <c r="T68" s="64">
        <f>ROUNDUP((SUMIFS('OOH Activities'!$K:$K,'OOH Activities'!$F:$F,"Non_workdays",'OOH Activities'!$B:$B,CPY!B68)) *24,1)</f>
        <v>0</v>
      </c>
      <c r="U68" s="64">
        <f>ROUNDUP((SUMIFS('OOH Activities'!$K:$K,'OOH Activities'!$F:$F,"Workdays",'OOH Activities'!$B:$B,CPY!B68)) *24,1)</f>
        <v>0</v>
      </c>
      <c r="V68" s="63">
        <f>ROUNDUP((SUMIFS('OOH Activities'!$L:$L,'OOH Activities'!$B:$B,CPY!B68)),1)</f>
        <v>0</v>
      </c>
      <c r="X68" s="65">
        <f>ROUNDUP((SUMIFS('ON Call_Call Out Activities'!$L:$L,'ON Call_Call Out Activities'!$F:$F,"Workdays",'ON Call_Call Out Activities'!$B:$B,CPY!B68))*24,1)</f>
        <v>0</v>
      </c>
      <c r="Y68" s="64">
        <f>ROUNDUP((SUMIFS('ON Call_Call Out Activities'!$L:$L,'ON Call_Call Out Activities'!$F:$F,"Non_workdays",'ON Call_Call Out Activities'!$B:$B,CPY!B68)) *24,1)</f>
        <v>0</v>
      </c>
      <c r="Z68" s="63">
        <f>ROUNDUP((SUMIFS('ON Call_Call Out Activities'!$M:$M,'ON Call_Call Out Activities'!$F:$F,"Non_workdays",'ON Call_Call Out Activities'!$B:$B,CPY!B68)),1) + ROUNDUP((SUMIFS('ON Call_Call Out Activities'!$M:$M,'ON Call_Call Out Activities'!$F:$F,"Workdays",'ON Call_Call Out Activities'!$B:$B,CPY!B68)),1)</f>
        <v>0</v>
      </c>
      <c r="AA68" s="66"/>
      <c r="AB68" s="64">
        <f>ROUNDUP((SUMIFS('ON Call_Call Out Activities'!$L:$L,'ON Call_Call Out Activities'!$F:$F,"Call_Out",'ON Call_Call Out Activities'!$B:$B,CPY!B68)) *24,1)</f>
        <v>0</v>
      </c>
      <c r="AC68" s="63">
        <f>ROUNDUP((SUMIFS('ON Call_Call Out Activities'!$M:$M,'ON Call_Call Out Activities'!$F:$F,"Call_Out",'ON Call_Call Out Activities'!$B:$B,CPY!B68)),1)</f>
        <v>0</v>
      </c>
      <c r="AE68" s="65">
        <f>IF((SUMIF(Shift_allowance_Entries!$B:$B,CPY!$B68,Shift_allowance_Entries!$H:$H)) &gt; (SUMIF(Shift_allowance_Entries!$B:$B,CPY!$B68,Shift_allowance_Entries!$G:$G)),0,((SUMIF(Shift_allowance_Entries!$B:$B,CPY!$B68,Shift_allowance_Entries!$G:$G))-(SUMIF(Shift_allowance_Entries!$B:$B,CPY!$B68,Shift_allowance_Entries!$H:$H))))</f>
        <v>0</v>
      </c>
      <c r="AF68" s="63">
        <f>AE68*MD!$S$4</f>
        <v>0</v>
      </c>
    </row>
    <row r="69" spans="1:32" x14ac:dyDescent="0.25">
      <c r="A69" s="62">
        <v>67</v>
      </c>
      <c r="B69" s="62"/>
      <c r="C69" s="50" t="str">
        <f>IF(ISNA(VLOOKUP($B69,Summary!$B:$D,2,FALSE))=TRUE," ",VLOOKUP($B69,Summary!$B:$D,2,FALSE))</f>
        <v> </v>
      </c>
      <c r="D69" s="50" t="str">
        <f>IF(ISNA(VLOOKUP($B69,Summary!$B:$D,3,FALSE))=TRUE," ",VLOOKUP($B69,Summary!$B:$D,3,FALSE))</f>
        <v> </v>
      </c>
      <c r="E69" s="62"/>
      <c r="F69" s="62"/>
      <c r="G69" s="62"/>
      <c r="I69" s="63">
        <f t="shared" si="1"/>
        <v>0</v>
      </c>
      <c r="K69" s="64">
        <f>IF(E69="Support(L1_L2)",IF(NOT(ISBLANK(B69)),IF(NOT(ISBLANK(D69)),NETWORKDAYS('CPY TOC'!$F$5,'CPY TOC'!$G$5))))-L69</f>
        <v>0</v>
      </c>
      <c r="L69" s="64">
        <f>IF(E69="Support(L1_L2)",SUMIFS(Support_allowance_Entries!$G:$G,Support_allowance_Entries!$B:$B,CPY!B69),0)</f>
        <v>0</v>
      </c>
      <c r="M69" s="63" t="b">
        <f>IF($D69="D0",MD!$C$4*(K69),IF($D69="D1",MD!$C$5*(K69),IF($D69="D2",MD!$C$6*(K69),IF($D69="D3",MD!$C$7*(K69),IF($D69="D4",MD!$C$8*(K69),IF($D69="D5",MD!$C$9*(K69),IF($D69="M1",MD!$C$10*(K69),IF($D69="T1",MD!$C$11*(K69)))))))))</f>
        <v>0</v>
      </c>
      <c r="O69" s="65">
        <f>SUMIFS(Shift_allowance_Entries!$G:$G,Shift_allowance_Entries!$F:$F,"6:30AM-03:30PM",Shift_allowance_Entries!$B:$B,CPY!$B69)</f>
        <v>0</v>
      </c>
      <c r="P69" s="65">
        <f>SUMIFS(Shift_allowance_Entries!$G:$G,Shift_allowance_Entries!$F:$F,"1-9PM/2:30PM-11:30PM",Shift_allowance_Entries!$B:$B,CPY!$B69)</f>
        <v>0</v>
      </c>
      <c r="Q69" s="65">
        <f>SUMIFS(Shift_allowance_Entries!$G:$G,Shift_allowance_Entries!$F:$F,"11PM-7AM",Shift_allowance_Entries!$B:$B,CPY!$B69)</f>
        <v>0</v>
      </c>
      <c r="R69" s="63">
        <f>(CPY!O69*MD!$F$4)+(CPY!P69*MD!$F$5)+(CPY!Q69*MD!$F$6)</f>
        <v>0</v>
      </c>
      <c r="T69" s="64">
        <f>ROUNDUP((SUMIFS('OOH Activities'!$K:$K,'OOH Activities'!$F:$F,"Non_workdays",'OOH Activities'!$B:$B,CPY!B69)) *24,1)</f>
        <v>0</v>
      </c>
      <c r="U69" s="64">
        <f>ROUNDUP((SUMIFS('OOH Activities'!$K:$K,'OOH Activities'!$F:$F,"Workdays",'OOH Activities'!$B:$B,CPY!B69)) *24,1)</f>
        <v>0</v>
      </c>
      <c r="V69" s="63">
        <f>ROUNDUP((SUMIFS('OOH Activities'!$L:$L,'OOH Activities'!$B:$B,CPY!B69)),1)</f>
        <v>0</v>
      </c>
      <c r="X69" s="65">
        <f>ROUNDUP((SUMIFS('ON Call_Call Out Activities'!$L:$L,'ON Call_Call Out Activities'!$F:$F,"Workdays",'ON Call_Call Out Activities'!$B:$B,CPY!B69))*24,1)</f>
        <v>0</v>
      </c>
      <c r="Y69" s="64">
        <f>ROUNDUP((SUMIFS('ON Call_Call Out Activities'!$L:$L,'ON Call_Call Out Activities'!$F:$F,"Non_workdays",'ON Call_Call Out Activities'!$B:$B,CPY!B69)) *24,1)</f>
        <v>0</v>
      </c>
      <c r="Z69" s="63">
        <f>ROUNDUP((SUMIFS('ON Call_Call Out Activities'!$M:$M,'ON Call_Call Out Activities'!$F:$F,"Non_workdays",'ON Call_Call Out Activities'!$B:$B,CPY!B69)),1) + ROUNDUP((SUMIFS('ON Call_Call Out Activities'!$M:$M,'ON Call_Call Out Activities'!$F:$F,"Workdays",'ON Call_Call Out Activities'!$B:$B,CPY!B69)),1)</f>
        <v>0</v>
      </c>
      <c r="AA69" s="66"/>
      <c r="AB69" s="64">
        <f>ROUNDUP((SUMIFS('ON Call_Call Out Activities'!$L:$L,'ON Call_Call Out Activities'!$F:$F,"Call_Out",'ON Call_Call Out Activities'!$B:$B,CPY!B69)) *24,1)</f>
        <v>0</v>
      </c>
      <c r="AC69" s="63">
        <f>ROUNDUP((SUMIFS('ON Call_Call Out Activities'!$M:$M,'ON Call_Call Out Activities'!$F:$F,"Call_Out",'ON Call_Call Out Activities'!$B:$B,CPY!B69)),1)</f>
        <v>0</v>
      </c>
      <c r="AE69" s="65">
        <f>IF((SUMIF(Shift_allowance_Entries!$B:$B,CPY!$B69,Shift_allowance_Entries!$H:$H)) &gt; (SUMIF(Shift_allowance_Entries!$B:$B,CPY!$B69,Shift_allowance_Entries!$G:$G)),0,((SUMIF(Shift_allowance_Entries!$B:$B,CPY!$B69,Shift_allowance_Entries!$G:$G))-(SUMIF(Shift_allowance_Entries!$B:$B,CPY!$B69,Shift_allowance_Entries!$H:$H))))</f>
        <v>0</v>
      </c>
      <c r="AF69" s="63">
        <f>AE69*MD!$S$4</f>
        <v>0</v>
      </c>
    </row>
    <row r="70" spans="1:32" x14ac:dyDescent="0.25">
      <c r="A70" s="62">
        <v>68</v>
      </c>
      <c r="B70" s="62"/>
      <c r="C70" s="50" t="str">
        <f>IF(ISNA(VLOOKUP($B70,Summary!$B:$D,2,FALSE))=TRUE," ",VLOOKUP($B70,Summary!$B:$D,2,FALSE))</f>
        <v> </v>
      </c>
      <c r="D70" s="50" t="str">
        <f>IF(ISNA(VLOOKUP($B70,Summary!$B:$D,3,FALSE))=TRUE," ",VLOOKUP($B70,Summary!$B:$D,3,FALSE))</f>
        <v> </v>
      </c>
      <c r="E70" s="62"/>
      <c r="F70" s="62"/>
      <c r="G70" s="62"/>
      <c r="I70" s="63">
        <f t="shared" si="1"/>
        <v>0</v>
      </c>
      <c r="K70" s="64">
        <f>IF(E70="Support(L1_L2)",IF(NOT(ISBLANK(B70)),IF(NOT(ISBLANK(D70)),NETWORKDAYS('CPY TOC'!$F$5,'CPY TOC'!$G$5))))-L70</f>
        <v>0</v>
      </c>
      <c r="L70" s="64">
        <f>IF(E70="Support(L1_L2)",SUMIFS(Support_allowance_Entries!$G:$G,Support_allowance_Entries!$B:$B,CPY!B70),0)</f>
        <v>0</v>
      </c>
      <c r="M70" s="63" t="b">
        <f>IF($D70="D0",MD!$C$4*(K70),IF($D70="D1",MD!$C$5*(K70),IF($D70="D2",MD!$C$6*(K70),IF($D70="D3",MD!$C$7*(K70),IF($D70="D4",MD!$C$8*(K70),IF($D70="D5",MD!$C$9*(K70),IF($D70="M1",MD!$C$10*(K70),IF($D70="T1",MD!$C$11*(K70)))))))))</f>
        <v>0</v>
      </c>
      <c r="O70" s="65">
        <f>SUMIFS(Shift_allowance_Entries!$G:$G,Shift_allowance_Entries!$F:$F,"6:30AM-03:30PM",Shift_allowance_Entries!$B:$B,CPY!$B70)</f>
        <v>0</v>
      </c>
      <c r="P70" s="65">
        <f>SUMIFS(Shift_allowance_Entries!$G:$G,Shift_allowance_Entries!$F:$F,"1-9PM/2:30PM-11:30PM",Shift_allowance_Entries!$B:$B,CPY!$B70)</f>
        <v>0</v>
      </c>
      <c r="Q70" s="65">
        <f>SUMIFS(Shift_allowance_Entries!$G:$G,Shift_allowance_Entries!$F:$F,"11PM-7AM",Shift_allowance_Entries!$B:$B,CPY!$B70)</f>
        <v>0</v>
      </c>
      <c r="R70" s="63">
        <f>(CPY!O70*MD!$F$4)+(CPY!P70*MD!$F$5)+(CPY!Q70*MD!$F$6)</f>
        <v>0</v>
      </c>
      <c r="T70" s="64">
        <f>ROUNDUP((SUMIFS('OOH Activities'!$K:$K,'OOH Activities'!$F:$F,"Non_workdays",'OOH Activities'!$B:$B,CPY!B70)) *24,1)</f>
        <v>0</v>
      </c>
      <c r="U70" s="64">
        <f>ROUNDUP((SUMIFS('OOH Activities'!$K:$K,'OOH Activities'!$F:$F,"Workdays",'OOH Activities'!$B:$B,CPY!B70)) *24,1)</f>
        <v>0</v>
      </c>
      <c r="V70" s="63">
        <f>ROUNDUP((SUMIFS('OOH Activities'!$L:$L,'OOH Activities'!$B:$B,CPY!B70)),1)</f>
        <v>0</v>
      </c>
      <c r="X70" s="65">
        <f>ROUNDUP((SUMIFS('ON Call_Call Out Activities'!$L:$L,'ON Call_Call Out Activities'!$F:$F,"Workdays",'ON Call_Call Out Activities'!$B:$B,CPY!B70))*24,1)</f>
        <v>0</v>
      </c>
      <c r="Y70" s="64">
        <f>ROUNDUP((SUMIFS('ON Call_Call Out Activities'!$L:$L,'ON Call_Call Out Activities'!$F:$F,"Non_workdays",'ON Call_Call Out Activities'!$B:$B,CPY!B70)) *24,1)</f>
        <v>0</v>
      </c>
      <c r="Z70" s="63">
        <f>ROUNDUP((SUMIFS('ON Call_Call Out Activities'!$M:$M,'ON Call_Call Out Activities'!$F:$F,"Non_workdays",'ON Call_Call Out Activities'!$B:$B,CPY!B70)),1) + ROUNDUP((SUMIFS('ON Call_Call Out Activities'!$M:$M,'ON Call_Call Out Activities'!$F:$F,"Workdays",'ON Call_Call Out Activities'!$B:$B,CPY!B70)),1)</f>
        <v>0</v>
      </c>
      <c r="AA70" s="66"/>
      <c r="AB70" s="64">
        <f>ROUNDUP((SUMIFS('ON Call_Call Out Activities'!$L:$L,'ON Call_Call Out Activities'!$F:$F,"Call_Out",'ON Call_Call Out Activities'!$B:$B,CPY!B70)) *24,1)</f>
        <v>0</v>
      </c>
      <c r="AC70" s="63">
        <f>ROUNDUP((SUMIFS('ON Call_Call Out Activities'!$M:$M,'ON Call_Call Out Activities'!$F:$F,"Call_Out",'ON Call_Call Out Activities'!$B:$B,CPY!B70)),1)</f>
        <v>0</v>
      </c>
      <c r="AE70" s="65">
        <f>IF((SUMIF(Shift_allowance_Entries!$B:$B,CPY!$B70,Shift_allowance_Entries!$H:$H)) &gt; (SUMIF(Shift_allowance_Entries!$B:$B,CPY!$B70,Shift_allowance_Entries!$G:$G)),0,((SUMIF(Shift_allowance_Entries!$B:$B,CPY!$B70,Shift_allowance_Entries!$G:$G))-(SUMIF(Shift_allowance_Entries!$B:$B,CPY!$B70,Shift_allowance_Entries!$H:$H))))</f>
        <v>0</v>
      </c>
      <c r="AF70" s="63">
        <f>AE70*MD!$S$4</f>
        <v>0</v>
      </c>
    </row>
    <row r="71" spans="1:32" x14ac:dyDescent="0.25">
      <c r="A71" s="62">
        <v>69</v>
      </c>
      <c r="B71" s="62"/>
      <c r="C71" s="50" t="str">
        <f>IF(ISNA(VLOOKUP($B71,Summary!$B:$D,2,FALSE))=TRUE," ",VLOOKUP($B71,Summary!$B:$D,2,FALSE))</f>
        <v> </v>
      </c>
      <c r="D71" s="50" t="str">
        <f>IF(ISNA(VLOOKUP($B71,Summary!$B:$D,3,FALSE))=TRUE," ",VLOOKUP($B71,Summary!$B:$D,3,FALSE))</f>
        <v> </v>
      </c>
      <c r="E71" s="62"/>
      <c r="F71" s="62"/>
      <c r="G71" s="62"/>
      <c r="I71" s="63">
        <f t="shared" si="1"/>
        <v>0</v>
      </c>
      <c r="K71" s="64">
        <f>IF(E71="Support(L1_L2)",IF(NOT(ISBLANK(B71)),IF(NOT(ISBLANK(D71)),NETWORKDAYS('CPY TOC'!$F$5,'CPY TOC'!$G$5))))-L71</f>
        <v>0</v>
      </c>
      <c r="L71" s="64">
        <f>IF(E71="Support(L1_L2)",SUMIFS(Support_allowance_Entries!$G:$G,Support_allowance_Entries!$B:$B,CPY!B71),0)</f>
        <v>0</v>
      </c>
      <c r="M71" s="63" t="b">
        <f>IF($D71="D0",MD!$C$4*(K71),IF($D71="D1",MD!$C$5*(K71),IF($D71="D2",MD!$C$6*(K71),IF($D71="D3",MD!$C$7*(K71),IF($D71="D4",MD!$C$8*(K71),IF($D71="D5",MD!$C$9*(K71),IF($D71="M1",MD!$C$10*(K71),IF($D71="T1",MD!$C$11*(K71)))))))))</f>
        <v>0</v>
      </c>
      <c r="O71" s="65">
        <f>SUMIFS(Shift_allowance_Entries!$G:$G,Shift_allowance_Entries!$F:$F,"6:30AM-03:30PM",Shift_allowance_Entries!$B:$B,CPY!$B71)</f>
        <v>0</v>
      </c>
      <c r="P71" s="65">
        <f>SUMIFS(Shift_allowance_Entries!$G:$G,Shift_allowance_Entries!$F:$F,"1-9PM/2:30PM-11:30PM",Shift_allowance_Entries!$B:$B,CPY!$B71)</f>
        <v>0</v>
      </c>
      <c r="Q71" s="65">
        <f>SUMIFS(Shift_allowance_Entries!$G:$G,Shift_allowance_Entries!$F:$F,"11PM-7AM",Shift_allowance_Entries!$B:$B,CPY!$B71)</f>
        <v>0</v>
      </c>
      <c r="R71" s="63">
        <f>(CPY!O71*MD!$F$4)+(CPY!P71*MD!$F$5)+(CPY!Q71*MD!$F$6)</f>
        <v>0</v>
      </c>
      <c r="T71" s="64">
        <f>ROUNDUP((SUMIFS('OOH Activities'!$K:$K,'OOH Activities'!$F:$F,"Non_workdays",'OOH Activities'!$B:$B,CPY!B71)) *24,1)</f>
        <v>0</v>
      </c>
      <c r="U71" s="64">
        <f>ROUNDUP((SUMIFS('OOH Activities'!$K:$K,'OOH Activities'!$F:$F,"Workdays",'OOH Activities'!$B:$B,CPY!B71)) *24,1)</f>
        <v>0</v>
      </c>
      <c r="V71" s="63">
        <f>ROUNDUP((SUMIFS('OOH Activities'!$L:$L,'OOH Activities'!$B:$B,CPY!B71)),1)</f>
        <v>0</v>
      </c>
      <c r="X71" s="65">
        <f>ROUNDUP((SUMIFS('ON Call_Call Out Activities'!$L:$L,'ON Call_Call Out Activities'!$F:$F,"Workdays",'ON Call_Call Out Activities'!$B:$B,CPY!B71))*24,1)</f>
        <v>0</v>
      </c>
      <c r="Y71" s="64">
        <f>ROUNDUP((SUMIFS('ON Call_Call Out Activities'!$L:$L,'ON Call_Call Out Activities'!$F:$F,"Non_workdays",'ON Call_Call Out Activities'!$B:$B,CPY!B71)) *24,1)</f>
        <v>0</v>
      </c>
      <c r="Z71" s="63">
        <f>ROUNDUP((SUMIFS('ON Call_Call Out Activities'!$M:$M,'ON Call_Call Out Activities'!$F:$F,"Non_workdays",'ON Call_Call Out Activities'!$B:$B,CPY!B71)),1) + ROUNDUP((SUMIFS('ON Call_Call Out Activities'!$M:$M,'ON Call_Call Out Activities'!$F:$F,"Workdays",'ON Call_Call Out Activities'!$B:$B,CPY!B71)),1)</f>
        <v>0</v>
      </c>
      <c r="AA71" s="66"/>
      <c r="AB71" s="64">
        <f>ROUNDUP((SUMIFS('ON Call_Call Out Activities'!$L:$L,'ON Call_Call Out Activities'!$F:$F,"Call_Out",'ON Call_Call Out Activities'!$B:$B,CPY!B71)) *24,1)</f>
        <v>0</v>
      </c>
      <c r="AC71" s="63">
        <f>ROUNDUP((SUMIFS('ON Call_Call Out Activities'!$M:$M,'ON Call_Call Out Activities'!$F:$F,"Call_Out",'ON Call_Call Out Activities'!$B:$B,CPY!B71)),1)</f>
        <v>0</v>
      </c>
      <c r="AE71" s="65">
        <f>IF((SUMIF(Shift_allowance_Entries!$B:$B,CPY!$B71,Shift_allowance_Entries!$H:$H)) &gt; (SUMIF(Shift_allowance_Entries!$B:$B,CPY!$B71,Shift_allowance_Entries!$G:$G)),0,((SUMIF(Shift_allowance_Entries!$B:$B,CPY!$B71,Shift_allowance_Entries!$G:$G))-(SUMIF(Shift_allowance_Entries!$B:$B,CPY!$B71,Shift_allowance_Entries!$H:$H))))</f>
        <v>0</v>
      </c>
      <c r="AF71" s="63">
        <f>AE71*MD!$S$4</f>
        <v>0</v>
      </c>
    </row>
    <row r="72" spans="1:32" x14ac:dyDescent="0.25">
      <c r="A72" s="62">
        <v>70</v>
      </c>
      <c r="B72" s="62"/>
      <c r="C72" s="50" t="str">
        <f>IF(ISNA(VLOOKUP($B72,Summary!$B:$D,2,FALSE))=TRUE," ",VLOOKUP($B72,Summary!$B:$D,2,FALSE))</f>
        <v> </v>
      </c>
      <c r="D72" s="50" t="str">
        <f>IF(ISNA(VLOOKUP($B72,Summary!$B:$D,3,FALSE))=TRUE," ",VLOOKUP($B72,Summary!$B:$D,3,FALSE))</f>
        <v> </v>
      </c>
      <c r="E72" s="62"/>
      <c r="F72" s="62"/>
      <c r="G72" s="62"/>
      <c r="I72" s="63">
        <f t="shared" si="1"/>
        <v>0</v>
      </c>
      <c r="K72" s="64">
        <f>IF(E72="Support(L1_L2)",IF(NOT(ISBLANK(B72)),IF(NOT(ISBLANK(D72)),NETWORKDAYS('CPY TOC'!$F$5,'CPY TOC'!$G$5))))-L72</f>
        <v>0</v>
      </c>
      <c r="L72" s="64">
        <f>IF(E72="Support(L1_L2)",SUMIFS(Support_allowance_Entries!$G:$G,Support_allowance_Entries!$B:$B,CPY!B72),0)</f>
        <v>0</v>
      </c>
      <c r="M72" s="63" t="b">
        <f>IF($D72="D0",MD!$C$4*(K72),IF($D72="D1",MD!$C$5*(K72),IF($D72="D2",MD!$C$6*(K72),IF($D72="D3",MD!$C$7*(K72),IF($D72="D4",MD!$C$8*(K72),IF($D72="D5",MD!$C$9*(K72),IF($D72="M1",MD!$C$10*(K72),IF($D72="T1",MD!$C$11*(K72)))))))))</f>
        <v>0</v>
      </c>
      <c r="O72" s="65">
        <f>SUMIFS(Shift_allowance_Entries!$G:$G,Shift_allowance_Entries!$F:$F,"6:30AM-03:30PM",Shift_allowance_Entries!$B:$B,CPY!$B72)</f>
        <v>0</v>
      </c>
      <c r="P72" s="65">
        <f>SUMIFS(Shift_allowance_Entries!$G:$G,Shift_allowance_Entries!$F:$F,"1-9PM/2:30PM-11:30PM",Shift_allowance_Entries!$B:$B,CPY!$B72)</f>
        <v>0</v>
      </c>
      <c r="Q72" s="65">
        <f>SUMIFS(Shift_allowance_Entries!$G:$G,Shift_allowance_Entries!$F:$F,"11PM-7AM",Shift_allowance_Entries!$B:$B,CPY!$B72)</f>
        <v>0</v>
      </c>
      <c r="R72" s="63">
        <f>(CPY!O72*MD!$F$4)+(CPY!P72*MD!$F$5)+(CPY!Q72*MD!$F$6)</f>
        <v>0</v>
      </c>
      <c r="T72" s="64">
        <f>ROUNDUP((SUMIFS('OOH Activities'!$K:$K,'OOH Activities'!$F:$F,"Non_workdays",'OOH Activities'!$B:$B,CPY!B72)) *24,1)</f>
        <v>0</v>
      </c>
      <c r="U72" s="64">
        <f>ROUNDUP((SUMIFS('OOH Activities'!$K:$K,'OOH Activities'!$F:$F,"Workdays",'OOH Activities'!$B:$B,CPY!B72)) *24,1)</f>
        <v>0</v>
      </c>
      <c r="V72" s="63">
        <f>ROUNDUP((SUMIFS('OOH Activities'!$L:$L,'OOH Activities'!$B:$B,CPY!B72)),1)</f>
        <v>0</v>
      </c>
      <c r="X72" s="65">
        <f>ROUNDUP((SUMIFS('ON Call_Call Out Activities'!$L:$L,'ON Call_Call Out Activities'!$F:$F,"Workdays",'ON Call_Call Out Activities'!$B:$B,CPY!B72))*24,1)</f>
        <v>0</v>
      </c>
      <c r="Y72" s="64">
        <f>ROUNDUP((SUMIFS('ON Call_Call Out Activities'!$L:$L,'ON Call_Call Out Activities'!$F:$F,"Non_workdays",'ON Call_Call Out Activities'!$B:$B,CPY!B72)) *24,1)</f>
        <v>0</v>
      </c>
      <c r="Z72" s="63">
        <f>ROUNDUP((SUMIFS('ON Call_Call Out Activities'!$M:$M,'ON Call_Call Out Activities'!$F:$F,"Non_workdays",'ON Call_Call Out Activities'!$B:$B,CPY!B72)),1) + ROUNDUP((SUMIFS('ON Call_Call Out Activities'!$M:$M,'ON Call_Call Out Activities'!$F:$F,"Workdays",'ON Call_Call Out Activities'!$B:$B,CPY!B72)),1)</f>
        <v>0</v>
      </c>
      <c r="AA72" s="66"/>
      <c r="AB72" s="64">
        <f>ROUNDUP((SUMIFS('ON Call_Call Out Activities'!$L:$L,'ON Call_Call Out Activities'!$F:$F,"Call_Out",'ON Call_Call Out Activities'!$B:$B,CPY!B72)) *24,1)</f>
        <v>0</v>
      </c>
      <c r="AC72" s="63">
        <f>ROUNDUP((SUMIFS('ON Call_Call Out Activities'!$M:$M,'ON Call_Call Out Activities'!$F:$F,"Call_Out",'ON Call_Call Out Activities'!$B:$B,CPY!B72)),1)</f>
        <v>0</v>
      </c>
      <c r="AE72" s="65">
        <f>IF((SUMIF(Shift_allowance_Entries!$B:$B,CPY!$B72,Shift_allowance_Entries!$H:$H)) &gt; (SUMIF(Shift_allowance_Entries!$B:$B,CPY!$B72,Shift_allowance_Entries!$G:$G)),0,((SUMIF(Shift_allowance_Entries!$B:$B,CPY!$B72,Shift_allowance_Entries!$G:$G))-(SUMIF(Shift_allowance_Entries!$B:$B,CPY!$B72,Shift_allowance_Entries!$H:$H))))</f>
        <v>0</v>
      </c>
      <c r="AF72" s="63">
        <f>AE72*MD!$S$4</f>
        <v>0</v>
      </c>
    </row>
    <row r="73" spans="1:32" x14ac:dyDescent="0.25">
      <c r="A73" s="62">
        <v>71</v>
      </c>
      <c r="B73" s="62"/>
      <c r="C73" s="50" t="str">
        <f>IF(ISNA(VLOOKUP($B73,Summary!$B:$D,2,FALSE))=TRUE," ",VLOOKUP($B73,Summary!$B:$D,2,FALSE))</f>
        <v> </v>
      </c>
      <c r="D73" s="50" t="str">
        <f>IF(ISNA(VLOOKUP($B73,Summary!$B:$D,3,FALSE))=TRUE," ",VLOOKUP($B73,Summary!$B:$D,3,FALSE))</f>
        <v> </v>
      </c>
      <c r="E73" s="62"/>
      <c r="F73" s="62"/>
      <c r="G73" s="62"/>
      <c r="I73" s="63">
        <f t="shared" si="1"/>
        <v>0</v>
      </c>
      <c r="K73" s="64">
        <f>IF(E73="Support(L1_L2)",IF(NOT(ISBLANK(B73)),IF(NOT(ISBLANK(D73)),NETWORKDAYS('CPY TOC'!$F$5,'CPY TOC'!$G$5))))-L73</f>
        <v>0</v>
      </c>
      <c r="L73" s="64">
        <f>IF(E73="Support(L1_L2)",SUMIFS(Support_allowance_Entries!$G:$G,Support_allowance_Entries!$B:$B,CPY!B73),0)</f>
        <v>0</v>
      </c>
      <c r="M73" s="63" t="b">
        <f>IF($D73="D0",MD!$C$4*(K73),IF($D73="D1",MD!$C$5*(K73),IF($D73="D2",MD!$C$6*(K73),IF($D73="D3",MD!$C$7*(K73),IF($D73="D4",MD!$C$8*(K73),IF($D73="D5",MD!$C$9*(K73),IF($D73="M1",MD!$C$10*(K73),IF($D73="T1",MD!$C$11*(K73)))))))))</f>
        <v>0</v>
      </c>
      <c r="O73" s="65">
        <f>SUMIFS(Shift_allowance_Entries!$G:$G,Shift_allowance_Entries!$F:$F,"6:30AM-03:30PM",Shift_allowance_Entries!$B:$B,CPY!$B73)</f>
        <v>0</v>
      </c>
      <c r="P73" s="65">
        <f>SUMIFS(Shift_allowance_Entries!$G:$G,Shift_allowance_Entries!$F:$F,"1-9PM/2:30PM-11:30PM",Shift_allowance_Entries!$B:$B,CPY!$B73)</f>
        <v>0</v>
      </c>
      <c r="Q73" s="65">
        <f>SUMIFS(Shift_allowance_Entries!$G:$G,Shift_allowance_Entries!$F:$F,"11PM-7AM",Shift_allowance_Entries!$B:$B,CPY!$B73)</f>
        <v>0</v>
      </c>
      <c r="R73" s="63">
        <f>(CPY!O73*MD!$F$4)+(CPY!P73*MD!$F$5)+(CPY!Q73*MD!$F$6)</f>
        <v>0</v>
      </c>
      <c r="T73" s="64">
        <f>ROUNDUP((SUMIFS('OOH Activities'!$K:$K,'OOH Activities'!$F:$F,"Non_workdays",'OOH Activities'!$B:$B,CPY!B73)) *24,1)</f>
        <v>0</v>
      </c>
      <c r="U73" s="64">
        <f>ROUNDUP((SUMIFS('OOH Activities'!$K:$K,'OOH Activities'!$F:$F,"Workdays",'OOH Activities'!$B:$B,CPY!B73)) *24,1)</f>
        <v>0</v>
      </c>
      <c r="V73" s="63">
        <f>ROUNDUP((SUMIFS('OOH Activities'!$L:$L,'OOH Activities'!$B:$B,CPY!B73)),1)</f>
        <v>0</v>
      </c>
      <c r="X73" s="65">
        <f>ROUNDUP((SUMIFS('ON Call_Call Out Activities'!$L:$L,'ON Call_Call Out Activities'!$F:$F,"Workdays",'ON Call_Call Out Activities'!$B:$B,CPY!B73))*24,1)</f>
        <v>0</v>
      </c>
      <c r="Y73" s="64">
        <f>ROUNDUP((SUMIFS('ON Call_Call Out Activities'!$L:$L,'ON Call_Call Out Activities'!$F:$F,"Non_workdays",'ON Call_Call Out Activities'!$B:$B,CPY!B73)) *24,1)</f>
        <v>0</v>
      </c>
      <c r="Z73" s="63">
        <f>ROUNDUP((SUMIFS('ON Call_Call Out Activities'!$M:$M,'ON Call_Call Out Activities'!$F:$F,"Non_workdays",'ON Call_Call Out Activities'!$B:$B,CPY!B73)),1) + ROUNDUP((SUMIFS('ON Call_Call Out Activities'!$M:$M,'ON Call_Call Out Activities'!$F:$F,"Workdays",'ON Call_Call Out Activities'!$B:$B,CPY!B73)),1)</f>
        <v>0</v>
      </c>
      <c r="AA73" s="66"/>
      <c r="AB73" s="64">
        <f>ROUNDUP((SUMIFS('ON Call_Call Out Activities'!$L:$L,'ON Call_Call Out Activities'!$F:$F,"Call_Out",'ON Call_Call Out Activities'!$B:$B,CPY!B73)) *24,1)</f>
        <v>0</v>
      </c>
      <c r="AC73" s="63">
        <f>ROUNDUP((SUMIFS('ON Call_Call Out Activities'!$M:$M,'ON Call_Call Out Activities'!$F:$F,"Call_Out",'ON Call_Call Out Activities'!$B:$B,CPY!B73)),1)</f>
        <v>0</v>
      </c>
      <c r="AE73" s="65">
        <f>IF((SUMIF(Shift_allowance_Entries!$B:$B,CPY!$B73,Shift_allowance_Entries!$H:$H)) &gt; (SUMIF(Shift_allowance_Entries!$B:$B,CPY!$B73,Shift_allowance_Entries!$G:$G)),0,((SUMIF(Shift_allowance_Entries!$B:$B,CPY!$B73,Shift_allowance_Entries!$G:$G))-(SUMIF(Shift_allowance_Entries!$B:$B,CPY!$B73,Shift_allowance_Entries!$H:$H))))</f>
        <v>0</v>
      </c>
      <c r="AF73" s="63">
        <f>AE73*MD!$S$4</f>
        <v>0</v>
      </c>
    </row>
    <row r="74" spans="1:32" x14ac:dyDescent="0.25">
      <c r="A74" s="62">
        <v>72</v>
      </c>
      <c r="B74" s="62"/>
      <c r="C74" s="50" t="str">
        <f>IF(ISNA(VLOOKUP($B74,Summary!$B:$D,2,FALSE))=TRUE," ",VLOOKUP($B74,Summary!$B:$D,2,FALSE))</f>
        <v> </v>
      </c>
      <c r="D74" s="50" t="str">
        <f>IF(ISNA(VLOOKUP($B74,Summary!$B:$D,3,FALSE))=TRUE," ",VLOOKUP($B74,Summary!$B:$D,3,FALSE))</f>
        <v> </v>
      </c>
      <c r="E74" s="62"/>
      <c r="F74" s="62"/>
      <c r="G74" s="62"/>
      <c r="I74" s="63">
        <f t="shared" si="1"/>
        <v>0</v>
      </c>
      <c r="K74" s="64">
        <f>IF(E74="Support(L1_L2)",IF(NOT(ISBLANK(B74)),IF(NOT(ISBLANK(D74)),NETWORKDAYS('CPY TOC'!$F$5,'CPY TOC'!$G$5))))-L74</f>
        <v>0</v>
      </c>
      <c r="L74" s="64">
        <f>IF(E74="Support(L1_L2)",SUMIFS(Support_allowance_Entries!$G:$G,Support_allowance_Entries!$B:$B,CPY!B74),0)</f>
        <v>0</v>
      </c>
      <c r="M74" s="63" t="b">
        <f>IF($D74="D0",MD!$C$4*(K74),IF($D74="D1",MD!$C$5*(K74),IF($D74="D2",MD!$C$6*(K74),IF($D74="D3",MD!$C$7*(K74),IF($D74="D4",MD!$C$8*(K74),IF($D74="D5",MD!$C$9*(K74),IF($D74="M1",MD!$C$10*(K74),IF($D74="T1",MD!$C$11*(K74)))))))))</f>
        <v>0</v>
      </c>
      <c r="O74" s="65">
        <f>SUMIFS(Shift_allowance_Entries!$G:$G,Shift_allowance_Entries!$F:$F,"6:30AM-03:30PM",Shift_allowance_Entries!$B:$B,CPY!$B74)</f>
        <v>0</v>
      </c>
      <c r="P74" s="65">
        <f>SUMIFS(Shift_allowance_Entries!$G:$G,Shift_allowance_Entries!$F:$F,"1-9PM/2:30PM-11:30PM",Shift_allowance_Entries!$B:$B,CPY!$B74)</f>
        <v>0</v>
      </c>
      <c r="Q74" s="65">
        <f>SUMIFS(Shift_allowance_Entries!$G:$G,Shift_allowance_Entries!$F:$F,"11PM-7AM",Shift_allowance_Entries!$B:$B,CPY!$B74)</f>
        <v>0</v>
      </c>
      <c r="R74" s="63">
        <f>(CPY!O74*MD!$F$4)+(CPY!P74*MD!$F$5)+(CPY!Q74*MD!$F$6)</f>
        <v>0</v>
      </c>
      <c r="T74" s="64">
        <f>ROUNDUP((SUMIFS('OOH Activities'!$K:$K,'OOH Activities'!$F:$F,"Non_workdays",'OOH Activities'!$B:$B,CPY!B74)) *24,1)</f>
        <v>0</v>
      </c>
      <c r="U74" s="64">
        <f>ROUNDUP((SUMIFS('OOH Activities'!$K:$K,'OOH Activities'!$F:$F,"Workdays",'OOH Activities'!$B:$B,CPY!B74)) *24,1)</f>
        <v>0</v>
      </c>
      <c r="V74" s="63">
        <f>ROUNDUP((SUMIFS('OOH Activities'!$L:$L,'OOH Activities'!$B:$B,CPY!B74)),1)</f>
        <v>0</v>
      </c>
      <c r="X74" s="65">
        <f>ROUNDUP((SUMIFS('ON Call_Call Out Activities'!$L:$L,'ON Call_Call Out Activities'!$F:$F,"Workdays",'ON Call_Call Out Activities'!$B:$B,CPY!B74))*24,1)</f>
        <v>0</v>
      </c>
      <c r="Y74" s="64">
        <f>ROUNDUP((SUMIFS('ON Call_Call Out Activities'!$L:$L,'ON Call_Call Out Activities'!$F:$F,"Non_workdays",'ON Call_Call Out Activities'!$B:$B,CPY!B74)) *24,1)</f>
        <v>0</v>
      </c>
      <c r="Z74" s="63">
        <f>ROUNDUP((SUMIFS('ON Call_Call Out Activities'!$M:$M,'ON Call_Call Out Activities'!$F:$F,"Non_workdays",'ON Call_Call Out Activities'!$B:$B,CPY!B74)),1) + ROUNDUP((SUMIFS('ON Call_Call Out Activities'!$M:$M,'ON Call_Call Out Activities'!$F:$F,"Workdays",'ON Call_Call Out Activities'!$B:$B,CPY!B74)),1)</f>
        <v>0</v>
      </c>
      <c r="AA74" s="66"/>
      <c r="AB74" s="64">
        <f>ROUNDUP((SUMIFS('ON Call_Call Out Activities'!$L:$L,'ON Call_Call Out Activities'!$F:$F,"Call_Out",'ON Call_Call Out Activities'!$B:$B,CPY!B74)) *24,1)</f>
        <v>0</v>
      </c>
      <c r="AC74" s="63">
        <f>ROUNDUP((SUMIFS('ON Call_Call Out Activities'!$M:$M,'ON Call_Call Out Activities'!$F:$F,"Call_Out",'ON Call_Call Out Activities'!$B:$B,CPY!B74)),1)</f>
        <v>0</v>
      </c>
      <c r="AE74" s="65">
        <f>IF((SUMIF(Shift_allowance_Entries!$B:$B,CPY!$B74,Shift_allowance_Entries!$H:$H)) &gt; (SUMIF(Shift_allowance_Entries!$B:$B,CPY!$B74,Shift_allowance_Entries!$G:$G)),0,((SUMIF(Shift_allowance_Entries!$B:$B,CPY!$B74,Shift_allowance_Entries!$G:$G))-(SUMIF(Shift_allowance_Entries!$B:$B,CPY!$B74,Shift_allowance_Entries!$H:$H))))</f>
        <v>0</v>
      </c>
      <c r="AF74" s="63">
        <f>AE74*MD!$S$4</f>
        <v>0</v>
      </c>
    </row>
    <row r="75" spans="1:32" x14ac:dyDescent="0.25">
      <c r="A75" s="62">
        <v>73</v>
      </c>
      <c r="B75" s="62"/>
      <c r="C75" s="50" t="str">
        <f>IF(ISNA(VLOOKUP($B75,Summary!$B:$D,2,FALSE))=TRUE," ",VLOOKUP($B75,Summary!$B:$D,2,FALSE))</f>
        <v> </v>
      </c>
      <c r="D75" s="50" t="str">
        <f>IF(ISNA(VLOOKUP($B75,Summary!$B:$D,3,FALSE))=TRUE," ",VLOOKUP($B75,Summary!$B:$D,3,FALSE))</f>
        <v> </v>
      </c>
      <c r="E75" s="62"/>
      <c r="F75" s="62"/>
      <c r="G75" s="62"/>
      <c r="I75" s="63">
        <f t="shared" si="1"/>
        <v>0</v>
      </c>
      <c r="K75" s="64">
        <f>IF(E75="Support(L1_L2)",IF(NOT(ISBLANK(B75)),IF(NOT(ISBLANK(D75)),NETWORKDAYS('CPY TOC'!$F$5,'CPY TOC'!$G$5))))-L75</f>
        <v>0</v>
      </c>
      <c r="L75" s="64">
        <f>IF(E75="Support(L1_L2)",SUMIFS(Support_allowance_Entries!$G:$G,Support_allowance_Entries!$B:$B,CPY!B75),0)</f>
        <v>0</v>
      </c>
      <c r="M75" s="63" t="b">
        <f>IF($D75="D0",MD!$C$4*(K75),IF($D75="D1",MD!$C$5*(K75),IF($D75="D2",MD!$C$6*(K75),IF($D75="D3",MD!$C$7*(K75),IF($D75="D4",MD!$C$8*(K75),IF($D75="D5",MD!$C$9*(K75),IF($D75="M1",MD!$C$10*(K75),IF($D75="T1",MD!$C$11*(K75)))))))))</f>
        <v>0</v>
      </c>
      <c r="O75" s="65">
        <f>SUMIFS(Shift_allowance_Entries!$G:$G,Shift_allowance_Entries!$F:$F,"6:30AM-03:30PM",Shift_allowance_Entries!$B:$B,CPY!$B75)</f>
        <v>0</v>
      </c>
      <c r="P75" s="65">
        <f>SUMIFS(Shift_allowance_Entries!$G:$G,Shift_allowance_Entries!$F:$F,"1-9PM/2:30PM-11:30PM",Shift_allowance_Entries!$B:$B,CPY!$B75)</f>
        <v>0</v>
      </c>
      <c r="Q75" s="65">
        <f>SUMIFS(Shift_allowance_Entries!$G:$G,Shift_allowance_Entries!$F:$F,"11PM-7AM",Shift_allowance_Entries!$B:$B,CPY!$B75)</f>
        <v>0</v>
      </c>
      <c r="R75" s="63">
        <f>(CPY!O75*MD!$F$4)+(CPY!P75*MD!$F$5)+(CPY!Q75*MD!$F$6)</f>
        <v>0</v>
      </c>
      <c r="T75" s="64">
        <f>ROUNDUP((SUMIFS('OOH Activities'!$K:$K,'OOH Activities'!$F:$F,"Non_workdays",'OOH Activities'!$B:$B,CPY!B75)) *24,1)</f>
        <v>0</v>
      </c>
      <c r="U75" s="64">
        <f>ROUNDUP((SUMIFS('OOH Activities'!$K:$K,'OOH Activities'!$F:$F,"Workdays",'OOH Activities'!$B:$B,CPY!B75)) *24,1)</f>
        <v>0</v>
      </c>
      <c r="V75" s="63">
        <f>ROUNDUP((SUMIFS('OOH Activities'!$L:$L,'OOH Activities'!$B:$B,CPY!B75)),1)</f>
        <v>0</v>
      </c>
      <c r="X75" s="65">
        <f>ROUNDUP((SUMIFS('ON Call_Call Out Activities'!$L:$L,'ON Call_Call Out Activities'!$F:$F,"Workdays",'ON Call_Call Out Activities'!$B:$B,CPY!B75))*24,1)</f>
        <v>0</v>
      </c>
      <c r="Y75" s="64">
        <f>ROUNDUP((SUMIFS('ON Call_Call Out Activities'!$L:$L,'ON Call_Call Out Activities'!$F:$F,"Non_workdays",'ON Call_Call Out Activities'!$B:$B,CPY!B75)) *24,1)</f>
        <v>0</v>
      </c>
      <c r="Z75" s="63">
        <f>ROUNDUP((SUMIFS('ON Call_Call Out Activities'!$M:$M,'ON Call_Call Out Activities'!$F:$F,"Non_workdays",'ON Call_Call Out Activities'!$B:$B,CPY!B75)),1) + ROUNDUP((SUMIFS('ON Call_Call Out Activities'!$M:$M,'ON Call_Call Out Activities'!$F:$F,"Workdays",'ON Call_Call Out Activities'!$B:$B,CPY!B75)),1)</f>
        <v>0</v>
      </c>
      <c r="AA75" s="66"/>
      <c r="AB75" s="64">
        <f>ROUNDUP((SUMIFS('ON Call_Call Out Activities'!$L:$L,'ON Call_Call Out Activities'!$F:$F,"Call_Out",'ON Call_Call Out Activities'!$B:$B,CPY!B75)) *24,1)</f>
        <v>0</v>
      </c>
      <c r="AC75" s="63">
        <f>ROUNDUP((SUMIFS('ON Call_Call Out Activities'!$M:$M,'ON Call_Call Out Activities'!$F:$F,"Call_Out",'ON Call_Call Out Activities'!$B:$B,CPY!B75)),1)</f>
        <v>0</v>
      </c>
      <c r="AE75" s="65">
        <f>IF((SUMIF(Shift_allowance_Entries!$B:$B,CPY!$B75,Shift_allowance_Entries!$H:$H)) &gt; (SUMIF(Shift_allowance_Entries!$B:$B,CPY!$B75,Shift_allowance_Entries!$G:$G)),0,((SUMIF(Shift_allowance_Entries!$B:$B,CPY!$B75,Shift_allowance_Entries!$G:$G))-(SUMIF(Shift_allowance_Entries!$B:$B,CPY!$B75,Shift_allowance_Entries!$H:$H))))</f>
        <v>0</v>
      </c>
      <c r="AF75" s="63">
        <f>AE75*MD!$S$4</f>
        <v>0</v>
      </c>
    </row>
    <row r="76" spans="1:32" x14ac:dyDescent="0.25">
      <c r="A76" s="62">
        <v>74</v>
      </c>
      <c r="B76" s="62"/>
      <c r="C76" s="50" t="str">
        <f>IF(ISNA(VLOOKUP($B76,Summary!$B:$D,2,FALSE))=TRUE," ",VLOOKUP($B76,Summary!$B:$D,2,FALSE))</f>
        <v> </v>
      </c>
      <c r="D76" s="50" t="str">
        <f>IF(ISNA(VLOOKUP($B76,Summary!$B:$D,3,FALSE))=TRUE," ",VLOOKUP($B76,Summary!$B:$D,3,FALSE))</f>
        <v> </v>
      </c>
      <c r="E76" s="62"/>
      <c r="F76" s="62"/>
      <c r="G76" s="62"/>
      <c r="I76" s="63">
        <f t="shared" si="1"/>
        <v>0</v>
      </c>
      <c r="K76" s="64">
        <f>IF(E76="Support(L1_L2)",IF(NOT(ISBLANK(B76)),IF(NOT(ISBLANK(D76)),NETWORKDAYS('CPY TOC'!$F$5,'CPY TOC'!$G$5))))-L76</f>
        <v>0</v>
      </c>
      <c r="L76" s="64">
        <f>IF(E76="Support(L1_L2)",SUMIFS(Support_allowance_Entries!$G:$G,Support_allowance_Entries!$B:$B,CPY!B76),0)</f>
        <v>0</v>
      </c>
      <c r="M76" s="63" t="b">
        <f>IF($D76="D0",MD!$C$4*(K76),IF($D76="D1",MD!$C$5*(K76),IF($D76="D2",MD!$C$6*(K76),IF($D76="D3",MD!$C$7*(K76),IF($D76="D4",MD!$C$8*(K76),IF($D76="D5",MD!$C$9*(K76),IF($D76="M1",MD!$C$10*(K76),IF($D76="T1",MD!$C$11*(K76)))))))))</f>
        <v>0</v>
      </c>
      <c r="O76" s="65">
        <f>SUMIFS(Shift_allowance_Entries!$G:$G,Shift_allowance_Entries!$F:$F,"6:30AM-03:30PM",Shift_allowance_Entries!$B:$B,CPY!$B76)</f>
        <v>0</v>
      </c>
      <c r="P76" s="65">
        <f>SUMIFS(Shift_allowance_Entries!$G:$G,Shift_allowance_Entries!$F:$F,"1-9PM/2:30PM-11:30PM",Shift_allowance_Entries!$B:$B,CPY!$B76)</f>
        <v>0</v>
      </c>
      <c r="Q76" s="65">
        <f>SUMIFS(Shift_allowance_Entries!$G:$G,Shift_allowance_Entries!$F:$F,"11PM-7AM",Shift_allowance_Entries!$B:$B,CPY!$B76)</f>
        <v>0</v>
      </c>
      <c r="R76" s="63">
        <f>(CPY!O76*MD!$F$4)+(CPY!P76*MD!$F$5)+(CPY!Q76*MD!$F$6)</f>
        <v>0</v>
      </c>
      <c r="T76" s="64">
        <f>ROUNDUP((SUMIFS('OOH Activities'!$K:$K,'OOH Activities'!$F:$F,"Non_workdays",'OOH Activities'!$B:$B,CPY!B76)) *24,1)</f>
        <v>0</v>
      </c>
      <c r="U76" s="64">
        <f>ROUNDUP((SUMIFS('OOH Activities'!$K:$K,'OOH Activities'!$F:$F,"Workdays",'OOH Activities'!$B:$B,CPY!B76)) *24,1)</f>
        <v>0</v>
      </c>
      <c r="V76" s="63">
        <f>ROUNDUP((SUMIFS('OOH Activities'!$L:$L,'OOH Activities'!$B:$B,CPY!B76)),1)</f>
        <v>0</v>
      </c>
      <c r="X76" s="65">
        <f>ROUNDUP((SUMIFS('ON Call_Call Out Activities'!$L:$L,'ON Call_Call Out Activities'!$F:$F,"Workdays",'ON Call_Call Out Activities'!$B:$B,CPY!B76))*24,1)</f>
        <v>0</v>
      </c>
      <c r="Y76" s="64">
        <f>ROUNDUP((SUMIFS('ON Call_Call Out Activities'!$L:$L,'ON Call_Call Out Activities'!$F:$F,"Non_workdays",'ON Call_Call Out Activities'!$B:$B,CPY!B76)) *24,1)</f>
        <v>0</v>
      </c>
      <c r="Z76" s="63">
        <f>ROUNDUP((SUMIFS('ON Call_Call Out Activities'!$M:$M,'ON Call_Call Out Activities'!$F:$F,"Non_workdays",'ON Call_Call Out Activities'!$B:$B,CPY!B76)),1) + ROUNDUP((SUMIFS('ON Call_Call Out Activities'!$M:$M,'ON Call_Call Out Activities'!$F:$F,"Workdays",'ON Call_Call Out Activities'!$B:$B,CPY!B76)),1)</f>
        <v>0</v>
      </c>
      <c r="AA76" s="66"/>
      <c r="AB76" s="64">
        <f>ROUNDUP((SUMIFS('ON Call_Call Out Activities'!$L:$L,'ON Call_Call Out Activities'!$F:$F,"Call_Out",'ON Call_Call Out Activities'!$B:$B,CPY!B76)) *24,1)</f>
        <v>0</v>
      </c>
      <c r="AC76" s="63">
        <f>ROUNDUP((SUMIFS('ON Call_Call Out Activities'!$M:$M,'ON Call_Call Out Activities'!$F:$F,"Call_Out",'ON Call_Call Out Activities'!$B:$B,CPY!B76)),1)</f>
        <v>0</v>
      </c>
      <c r="AE76" s="65">
        <f>IF((SUMIF(Shift_allowance_Entries!$B:$B,CPY!$B76,Shift_allowance_Entries!$H:$H)) &gt; (SUMIF(Shift_allowance_Entries!$B:$B,CPY!$B76,Shift_allowance_Entries!$G:$G)),0,((SUMIF(Shift_allowance_Entries!$B:$B,CPY!$B76,Shift_allowance_Entries!$G:$G))-(SUMIF(Shift_allowance_Entries!$B:$B,CPY!$B76,Shift_allowance_Entries!$H:$H))))</f>
        <v>0</v>
      </c>
      <c r="AF76" s="63">
        <f>AE76*MD!$S$4</f>
        <v>0</v>
      </c>
    </row>
    <row r="77" spans="1:32" x14ac:dyDescent="0.25">
      <c r="A77" s="62">
        <v>75</v>
      </c>
      <c r="B77" s="62"/>
      <c r="C77" s="50" t="str">
        <f>IF(ISNA(VLOOKUP($B77,Summary!$B:$D,2,FALSE))=TRUE," ",VLOOKUP($B77,Summary!$B:$D,2,FALSE))</f>
        <v> </v>
      </c>
      <c r="D77" s="50" t="str">
        <f>IF(ISNA(VLOOKUP($B77,Summary!$B:$D,3,FALSE))=TRUE," ",VLOOKUP($B77,Summary!$B:$D,3,FALSE))</f>
        <v> </v>
      </c>
      <c r="E77" s="62"/>
      <c r="F77" s="62"/>
      <c r="G77" s="62"/>
      <c r="I77" s="63">
        <f t="shared" si="1"/>
        <v>0</v>
      </c>
      <c r="K77" s="64">
        <f>IF(E77="Support(L1_L2)",IF(NOT(ISBLANK(B77)),IF(NOT(ISBLANK(D77)),NETWORKDAYS('CPY TOC'!$F$5,'CPY TOC'!$G$5))))-L77</f>
        <v>0</v>
      </c>
      <c r="L77" s="64">
        <f>IF(E77="Support(L1_L2)",SUMIFS(Support_allowance_Entries!$G:$G,Support_allowance_Entries!$B:$B,CPY!B77),0)</f>
        <v>0</v>
      </c>
      <c r="M77" s="63" t="b">
        <f>IF($D77="D0",MD!$C$4*(K77),IF($D77="D1",MD!$C$5*(K77),IF($D77="D2",MD!$C$6*(K77),IF($D77="D3",MD!$C$7*(K77),IF($D77="D4",MD!$C$8*(K77),IF($D77="D5",MD!$C$9*(K77),IF($D77="M1",MD!$C$10*(K77),IF($D77="T1",MD!$C$11*(K77)))))))))</f>
        <v>0</v>
      </c>
      <c r="O77" s="65">
        <f>SUMIFS(Shift_allowance_Entries!$G:$G,Shift_allowance_Entries!$F:$F,"6:30AM-03:30PM",Shift_allowance_Entries!$B:$B,CPY!$B77)</f>
        <v>0</v>
      </c>
      <c r="P77" s="65">
        <f>SUMIFS(Shift_allowance_Entries!$G:$G,Shift_allowance_Entries!$F:$F,"1-9PM/2:30PM-11:30PM",Shift_allowance_Entries!$B:$B,CPY!$B77)</f>
        <v>0</v>
      </c>
      <c r="Q77" s="65">
        <f>SUMIFS(Shift_allowance_Entries!$G:$G,Shift_allowance_Entries!$F:$F,"11PM-7AM",Shift_allowance_Entries!$B:$B,CPY!$B77)</f>
        <v>0</v>
      </c>
      <c r="R77" s="63">
        <f>(CPY!O77*MD!$F$4)+(CPY!P77*MD!$F$5)+(CPY!Q77*MD!$F$6)</f>
        <v>0</v>
      </c>
      <c r="T77" s="64">
        <f>ROUNDUP((SUMIFS('OOH Activities'!$K:$K,'OOH Activities'!$F:$F,"Non_workdays",'OOH Activities'!$B:$B,CPY!B77)) *24,1)</f>
        <v>0</v>
      </c>
      <c r="U77" s="64">
        <f>ROUNDUP((SUMIFS('OOH Activities'!$K:$K,'OOH Activities'!$F:$F,"Workdays",'OOH Activities'!$B:$B,CPY!B77)) *24,1)</f>
        <v>0</v>
      </c>
      <c r="V77" s="63">
        <f>ROUNDUP((SUMIFS('OOH Activities'!$L:$L,'OOH Activities'!$B:$B,CPY!B77)),1)</f>
        <v>0</v>
      </c>
      <c r="X77" s="65">
        <f>ROUNDUP((SUMIFS('ON Call_Call Out Activities'!$L:$L,'ON Call_Call Out Activities'!$F:$F,"Workdays",'ON Call_Call Out Activities'!$B:$B,CPY!B77))*24,1)</f>
        <v>0</v>
      </c>
      <c r="Y77" s="64">
        <f>ROUNDUP((SUMIFS('ON Call_Call Out Activities'!$L:$L,'ON Call_Call Out Activities'!$F:$F,"Non_workdays",'ON Call_Call Out Activities'!$B:$B,CPY!B77)) *24,1)</f>
        <v>0</v>
      </c>
      <c r="Z77" s="63">
        <f>ROUNDUP((SUMIFS('ON Call_Call Out Activities'!$M:$M,'ON Call_Call Out Activities'!$F:$F,"Non_workdays",'ON Call_Call Out Activities'!$B:$B,CPY!B77)),1) + ROUNDUP((SUMIFS('ON Call_Call Out Activities'!$M:$M,'ON Call_Call Out Activities'!$F:$F,"Workdays",'ON Call_Call Out Activities'!$B:$B,CPY!B77)),1)</f>
        <v>0</v>
      </c>
      <c r="AA77" s="66"/>
      <c r="AB77" s="64">
        <f>ROUNDUP((SUMIFS('ON Call_Call Out Activities'!$L:$L,'ON Call_Call Out Activities'!$F:$F,"Call_Out",'ON Call_Call Out Activities'!$B:$B,CPY!B77)) *24,1)</f>
        <v>0</v>
      </c>
      <c r="AC77" s="63">
        <f>ROUNDUP((SUMIFS('ON Call_Call Out Activities'!$M:$M,'ON Call_Call Out Activities'!$F:$F,"Call_Out",'ON Call_Call Out Activities'!$B:$B,CPY!B77)),1)</f>
        <v>0</v>
      </c>
      <c r="AE77" s="65">
        <f>IF((SUMIF(Shift_allowance_Entries!$B:$B,CPY!$B77,Shift_allowance_Entries!$H:$H)) &gt; (SUMIF(Shift_allowance_Entries!$B:$B,CPY!$B77,Shift_allowance_Entries!$G:$G)),0,((SUMIF(Shift_allowance_Entries!$B:$B,CPY!$B77,Shift_allowance_Entries!$G:$G))-(SUMIF(Shift_allowance_Entries!$B:$B,CPY!$B77,Shift_allowance_Entries!$H:$H))))</f>
        <v>0</v>
      </c>
      <c r="AF77" s="63">
        <f>AE77*MD!$S$4</f>
        <v>0</v>
      </c>
    </row>
    <row r="78" spans="1:32" x14ac:dyDescent="0.25">
      <c r="A78" s="62">
        <v>76</v>
      </c>
      <c r="B78" s="62"/>
      <c r="C78" s="50" t="str">
        <f>IF(ISNA(VLOOKUP($B78,Summary!$B:$D,2,FALSE))=TRUE," ",VLOOKUP($B78,Summary!$B:$D,2,FALSE))</f>
        <v> </v>
      </c>
      <c r="D78" s="50" t="str">
        <f>IF(ISNA(VLOOKUP($B78,Summary!$B:$D,3,FALSE))=TRUE," ",VLOOKUP($B78,Summary!$B:$D,3,FALSE))</f>
        <v> </v>
      </c>
      <c r="E78" s="62"/>
      <c r="F78" s="62"/>
      <c r="G78" s="62"/>
      <c r="I78" s="63">
        <f t="shared" si="1"/>
        <v>0</v>
      </c>
      <c r="K78" s="64">
        <f>IF(E78="Support(L1_L2)",IF(NOT(ISBLANK(B78)),IF(NOT(ISBLANK(D78)),NETWORKDAYS('CPY TOC'!$F$5,'CPY TOC'!$G$5))))-L78</f>
        <v>0</v>
      </c>
      <c r="L78" s="64">
        <f>IF(E78="Support(L1_L2)",SUMIFS(Support_allowance_Entries!$G:$G,Support_allowance_Entries!$B:$B,CPY!B78),0)</f>
        <v>0</v>
      </c>
      <c r="M78" s="63" t="b">
        <f>IF($D78="D0",MD!$C$4*(K78),IF($D78="D1",MD!$C$5*(K78),IF($D78="D2",MD!$C$6*(K78),IF($D78="D3",MD!$C$7*(K78),IF($D78="D4",MD!$C$8*(K78),IF($D78="D5",MD!$C$9*(K78),IF($D78="M1",MD!$C$10*(K78),IF($D78="T1",MD!$C$11*(K78)))))))))</f>
        <v>0</v>
      </c>
      <c r="O78" s="65">
        <f>SUMIFS(Shift_allowance_Entries!$G:$G,Shift_allowance_Entries!$F:$F,"6:30AM-03:30PM",Shift_allowance_Entries!$B:$B,CPY!$B78)</f>
        <v>0</v>
      </c>
      <c r="P78" s="65">
        <f>SUMIFS(Shift_allowance_Entries!$G:$G,Shift_allowance_Entries!$F:$F,"1-9PM/2:30PM-11:30PM",Shift_allowance_Entries!$B:$B,CPY!$B78)</f>
        <v>0</v>
      </c>
      <c r="Q78" s="65">
        <f>SUMIFS(Shift_allowance_Entries!$G:$G,Shift_allowance_Entries!$F:$F,"11PM-7AM",Shift_allowance_Entries!$B:$B,CPY!$B78)</f>
        <v>0</v>
      </c>
      <c r="R78" s="63">
        <f>(CPY!O78*MD!$F$4)+(CPY!P78*MD!$F$5)+(CPY!Q78*MD!$F$6)</f>
        <v>0</v>
      </c>
      <c r="T78" s="64">
        <f>ROUNDUP((SUMIFS('OOH Activities'!$K:$K,'OOH Activities'!$F:$F,"Non_workdays",'OOH Activities'!$B:$B,CPY!B78)) *24,1)</f>
        <v>0</v>
      </c>
      <c r="U78" s="64">
        <f>ROUNDUP((SUMIFS('OOH Activities'!$K:$K,'OOH Activities'!$F:$F,"Workdays",'OOH Activities'!$B:$B,CPY!B78)) *24,1)</f>
        <v>0</v>
      </c>
      <c r="V78" s="63">
        <f>ROUNDUP((SUMIFS('OOH Activities'!$L:$L,'OOH Activities'!$B:$B,CPY!B78)),1)</f>
        <v>0</v>
      </c>
      <c r="X78" s="65">
        <f>ROUNDUP((SUMIFS('ON Call_Call Out Activities'!$L:$L,'ON Call_Call Out Activities'!$F:$F,"Workdays",'ON Call_Call Out Activities'!$B:$B,CPY!B78))*24,1)</f>
        <v>0</v>
      </c>
      <c r="Y78" s="64">
        <f>ROUNDUP((SUMIFS('ON Call_Call Out Activities'!$L:$L,'ON Call_Call Out Activities'!$F:$F,"Non_workdays",'ON Call_Call Out Activities'!$B:$B,CPY!B78)) *24,1)</f>
        <v>0</v>
      </c>
      <c r="Z78" s="63">
        <f>ROUNDUP((SUMIFS('ON Call_Call Out Activities'!$M:$M,'ON Call_Call Out Activities'!$F:$F,"Non_workdays",'ON Call_Call Out Activities'!$B:$B,CPY!B78)),1) + ROUNDUP((SUMIFS('ON Call_Call Out Activities'!$M:$M,'ON Call_Call Out Activities'!$F:$F,"Workdays",'ON Call_Call Out Activities'!$B:$B,CPY!B78)),1)</f>
        <v>0</v>
      </c>
      <c r="AA78" s="66"/>
      <c r="AB78" s="64">
        <f>ROUNDUP((SUMIFS('ON Call_Call Out Activities'!$L:$L,'ON Call_Call Out Activities'!$F:$F,"Call_Out",'ON Call_Call Out Activities'!$B:$B,CPY!B78)) *24,1)</f>
        <v>0</v>
      </c>
      <c r="AC78" s="63">
        <f>ROUNDUP((SUMIFS('ON Call_Call Out Activities'!$M:$M,'ON Call_Call Out Activities'!$F:$F,"Call_Out",'ON Call_Call Out Activities'!$B:$B,CPY!B78)),1)</f>
        <v>0</v>
      </c>
      <c r="AE78" s="65">
        <f>IF((SUMIF(Shift_allowance_Entries!$B:$B,CPY!$B78,Shift_allowance_Entries!$H:$H)) &gt; (SUMIF(Shift_allowance_Entries!$B:$B,CPY!$B78,Shift_allowance_Entries!$G:$G)),0,((SUMIF(Shift_allowance_Entries!$B:$B,CPY!$B78,Shift_allowance_Entries!$G:$G))-(SUMIF(Shift_allowance_Entries!$B:$B,CPY!$B78,Shift_allowance_Entries!$H:$H))))</f>
        <v>0</v>
      </c>
      <c r="AF78" s="63">
        <f>AE78*MD!$S$4</f>
        <v>0</v>
      </c>
    </row>
    <row r="79" spans="1:32" x14ac:dyDescent="0.25">
      <c r="A79" s="62">
        <v>77</v>
      </c>
      <c r="B79" s="62"/>
      <c r="C79" s="50" t="str">
        <f>IF(ISNA(VLOOKUP($B79,Summary!$B:$D,2,FALSE))=TRUE," ",VLOOKUP($B79,Summary!$B:$D,2,FALSE))</f>
        <v> </v>
      </c>
      <c r="D79" s="50" t="str">
        <f>IF(ISNA(VLOOKUP($B79,Summary!$B:$D,3,FALSE))=TRUE," ",VLOOKUP($B79,Summary!$B:$D,3,FALSE))</f>
        <v> </v>
      </c>
      <c r="E79" s="62"/>
      <c r="F79" s="62"/>
      <c r="G79" s="62"/>
      <c r="I79" s="63">
        <f t="shared" si="1"/>
        <v>0</v>
      </c>
      <c r="K79" s="64">
        <f>IF(E79="Support(L1_L2)",IF(NOT(ISBLANK(B79)),IF(NOT(ISBLANK(D79)),NETWORKDAYS('CPY TOC'!$F$5,'CPY TOC'!$G$5))))-L79</f>
        <v>0</v>
      </c>
      <c r="L79" s="64">
        <f>IF(E79="Support(L1_L2)",SUMIFS(Support_allowance_Entries!$G:$G,Support_allowance_Entries!$B:$B,CPY!B79),0)</f>
        <v>0</v>
      </c>
      <c r="M79" s="63" t="b">
        <f>IF($D79="D0",MD!$C$4*(K79),IF($D79="D1",MD!$C$5*(K79),IF($D79="D2",MD!$C$6*(K79),IF($D79="D3",MD!$C$7*(K79),IF($D79="D4",MD!$C$8*(K79),IF($D79="D5",MD!$C$9*(K79),IF($D79="M1",MD!$C$10*(K79),IF($D79="T1",MD!$C$11*(K79)))))))))</f>
        <v>0</v>
      </c>
      <c r="O79" s="65">
        <f>SUMIFS(Shift_allowance_Entries!$G:$G,Shift_allowance_Entries!$F:$F,"6:30AM-03:30PM",Shift_allowance_Entries!$B:$B,CPY!$B79)</f>
        <v>0</v>
      </c>
      <c r="P79" s="65">
        <f>SUMIFS(Shift_allowance_Entries!$G:$G,Shift_allowance_Entries!$F:$F,"1-9PM/2:30PM-11:30PM",Shift_allowance_Entries!$B:$B,CPY!$B79)</f>
        <v>0</v>
      </c>
      <c r="Q79" s="65">
        <f>SUMIFS(Shift_allowance_Entries!$G:$G,Shift_allowance_Entries!$F:$F,"11PM-7AM",Shift_allowance_Entries!$B:$B,CPY!$B79)</f>
        <v>0</v>
      </c>
      <c r="R79" s="63">
        <f>(CPY!O79*MD!$F$4)+(CPY!P79*MD!$F$5)+(CPY!Q79*MD!$F$6)</f>
        <v>0</v>
      </c>
      <c r="T79" s="64">
        <f>ROUNDUP((SUMIFS('OOH Activities'!$K:$K,'OOH Activities'!$F:$F,"Non_workdays",'OOH Activities'!$B:$B,CPY!B79)) *24,1)</f>
        <v>0</v>
      </c>
      <c r="U79" s="64">
        <f>ROUNDUP((SUMIFS('OOH Activities'!$K:$K,'OOH Activities'!$F:$F,"Workdays",'OOH Activities'!$B:$B,CPY!B79)) *24,1)</f>
        <v>0</v>
      </c>
      <c r="V79" s="63">
        <f>ROUNDUP((SUMIFS('OOH Activities'!$L:$L,'OOH Activities'!$B:$B,CPY!B79)),1)</f>
        <v>0</v>
      </c>
      <c r="X79" s="65">
        <f>ROUNDUP((SUMIFS('ON Call_Call Out Activities'!$L:$L,'ON Call_Call Out Activities'!$F:$F,"Workdays",'ON Call_Call Out Activities'!$B:$B,CPY!B79))*24,1)</f>
        <v>0</v>
      </c>
      <c r="Y79" s="64">
        <f>ROUNDUP((SUMIFS('ON Call_Call Out Activities'!$L:$L,'ON Call_Call Out Activities'!$F:$F,"Non_workdays",'ON Call_Call Out Activities'!$B:$B,CPY!B79)) *24,1)</f>
        <v>0</v>
      </c>
      <c r="Z79" s="63">
        <f>ROUNDUP((SUMIFS('ON Call_Call Out Activities'!$M:$M,'ON Call_Call Out Activities'!$F:$F,"Non_workdays",'ON Call_Call Out Activities'!$B:$B,CPY!B79)),1) + ROUNDUP((SUMIFS('ON Call_Call Out Activities'!$M:$M,'ON Call_Call Out Activities'!$F:$F,"Workdays",'ON Call_Call Out Activities'!$B:$B,CPY!B79)),1)</f>
        <v>0</v>
      </c>
      <c r="AA79" s="66"/>
      <c r="AB79" s="64">
        <f>ROUNDUP((SUMIFS('ON Call_Call Out Activities'!$L:$L,'ON Call_Call Out Activities'!$F:$F,"Call_Out",'ON Call_Call Out Activities'!$B:$B,CPY!B79)) *24,1)</f>
        <v>0</v>
      </c>
      <c r="AC79" s="63">
        <f>ROUNDUP((SUMIFS('ON Call_Call Out Activities'!$M:$M,'ON Call_Call Out Activities'!$F:$F,"Call_Out",'ON Call_Call Out Activities'!$B:$B,CPY!B79)),1)</f>
        <v>0</v>
      </c>
      <c r="AE79" s="65">
        <f>IF((SUMIF(Shift_allowance_Entries!$B:$B,CPY!$B79,Shift_allowance_Entries!$H:$H)) &gt; (SUMIF(Shift_allowance_Entries!$B:$B,CPY!$B79,Shift_allowance_Entries!$G:$G)),0,((SUMIF(Shift_allowance_Entries!$B:$B,CPY!$B79,Shift_allowance_Entries!$G:$G))-(SUMIF(Shift_allowance_Entries!$B:$B,CPY!$B79,Shift_allowance_Entries!$H:$H))))</f>
        <v>0</v>
      </c>
      <c r="AF79" s="63">
        <f>AE79*MD!$S$4</f>
        <v>0</v>
      </c>
    </row>
    <row r="80" spans="1:32" x14ac:dyDescent="0.25">
      <c r="A80" s="62">
        <v>78</v>
      </c>
      <c r="B80" s="62"/>
      <c r="C80" s="50" t="str">
        <f>IF(ISNA(VLOOKUP($B80,Summary!$B:$D,2,FALSE))=TRUE," ",VLOOKUP($B80,Summary!$B:$D,2,FALSE))</f>
        <v> </v>
      </c>
      <c r="D80" s="50" t="str">
        <f>IF(ISNA(VLOOKUP($B80,Summary!$B:$D,3,FALSE))=TRUE," ",VLOOKUP($B80,Summary!$B:$D,3,FALSE))</f>
        <v> </v>
      </c>
      <c r="E80" s="62"/>
      <c r="F80" s="62"/>
      <c r="G80" s="62"/>
      <c r="I80" s="63">
        <f t="shared" si="1"/>
        <v>0</v>
      </c>
      <c r="K80" s="64">
        <f>IF(E80="Support(L1_L2)",IF(NOT(ISBLANK(B80)),IF(NOT(ISBLANK(D80)),NETWORKDAYS('CPY TOC'!$F$5,'CPY TOC'!$G$5))))-L80</f>
        <v>0</v>
      </c>
      <c r="L80" s="64">
        <f>IF(E80="Support(L1_L2)",SUMIFS(Support_allowance_Entries!$G:$G,Support_allowance_Entries!$B:$B,CPY!B80),0)</f>
        <v>0</v>
      </c>
      <c r="M80" s="63" t="b">
        <f>IF($D80="D0",MD!$C$4*(K80),IF($D80="D1",MD!$C$5*(K80),IF($D80="D2",MD!$C$6*(K80),IF($D80="D3",MD!$C$7*(K80),IF($D80="D4",MD!$C$8*(K80),IF($D80="D5",MD!$C$9*(K80),IF($D80="M1",MD!$C$10*(K80),IF($D80="T1",MD!$C$11*(K80)))))))))</f>
        <v>0</v>
      </c>
      <c r="O80" s="65">
        <f>SUMIFS(Shift_allowance_Entries!$G:$G,Shift_allowance_Entries!$F:$F,"6:30AM-03:30PM",Shift_allowance_Entries!$B:$B,CPY!$B80)</f>
        <v>0</v>
      </c>
      <c r="P80" s="65">
        <f>SUMIFS(Shift_allowance_Entries!$G:$G,Shift_allowance_Entries!$F:$F,"1-9PM/2:30PM-11:30PM",Shift_allowance_Entries!$B:$B,CPY!$B80)</f>
        <v>0</v>
      </c>
      <c r="Q80" s="65">
        <f>SUMIFS(Shift_allowance_Entries!$G:$G,Shift_allowance_Entries!$F:$F,"11PM-7AM",Shift_allowance_Entries!$B:$B,CPY!$B80)</f>
        <v>0</v>
      </c>
      <c r="R80" s="63">
        <f>(CPY!O80*MD!$F$4)+(CPY!P80*MD!$F$5)+(CPY!Q80*MD!$F$6)</f>
        <v>0</v>
      </c>
      <c r="T80" s="64">
        <f>ROUNDUP((SUMIFS('OOH Activities'!$K:$K,'OOH Activities'!$F:$F,"Non_workdays",'OOH Activities'!$B:$B,CPY!B80)) *24,1)</f>
        <v>0</v>
      </c>
      <c r="U80" s="64">
        <f>ROUNDUP((SUMIFS('OOH Activities'!$K:$K,'OOH Activities'!$F:$F,"Workdays",'OOH Activities'!$B:$B,CPY!B80)) *24,1)</f>
        <v>0</v>
      </c>
      <c r="V80" s="63">
        <f>ROUNDUP((SUMIFS('OOH Activities'!$L:$L,'OOH Activities'!$B:$B,CPY!B80)),1)</f>
        <v>0</v>
      </c>
      <c r="X80" s="65">
        <f>ROUNDUP((SUMIFS('ON Call_Call Out Activities'!$L:$L,'ON Call_Call Out Activities'!$F:$F,"Workdays",'ON Call_Call Out Activities'!$B:$B,CPY!B80))*24,1)</f>
        <v>0</v>
      </c>
      <c r="Y80" s="64">
        <f>ROUNDUP((SUMIFS('ON Call_Call Out Activities'!$L:$L,'ON Call_Call Out Activities'!$F:$F,"Non_workdays",'ON Call_Call Out Activities'!$B:$B,CPY!B80)) *24,1)</f>
        <v>0</v>
      </c>
      <c r="Z80" s="63">
        <f>ROUNDUP((SUMIFS('ON Call_Call Out Activities'!$M:$M,'ON Call_Call Out Activities'!$F:$F,"Non_workdays",'ON Call_Call Out Activities'!$B:$B,CPY!B80)),1) + ROUNDUP((SUMIFS('ON Call_Call Out Activities'!$M:$M,'ON Call_Call Out Activities'!$F:$F,"Workdays",'ON Call_Call Out Activities'!$B:$B,CPY!B80)),1)</f>
        <v>0</v>
      </c>
      <c r="AA80" s="66"/>
      <c r="AB80" s="64">
        <f>ROUNDUP((SUMIFS('ON Call_Call Out Activities'!$L:$L,'ON Call_Call Out Activities'!$F:$F,"Call_Out",'ON Call_Call Out Activities'!$B:$B,CPY!B80)) *24,1)</f>
        <v>0</v>
      </c>
      <c r="AC80" s="63">
        <f>ROUNDUP((SUMIFS('ON Call_Call Out Activities'!$M:$M,'ON Call_Call Out Activities'!$F:$F,"Call_Out",'ON Call_Call Out Activities'!$B:$B,CPY!B80)),1)</f>
        <v>0</v>
      </c>
      <c r="AE80" s="65">
        <f>IF((SUMIF(Shift_allowance_Entries!$B:$B,CPY!$B80,Shift_allowance_Entries!$H:$H)) &gt; (SUMIF(Shift_allowance_Entries!$B:$B,CPY!$B80,Shift_allowance_Entries!$G:$G)),0,((SUMIF(Shift_allowance_Entries!$B:$B,CPY!$B80,Shift_allowance_Entries!$G:$G))-(SUMIF(Shift_allowance_Entries!$B:$B,CPY!$B80,Shift_allowance_Entries!$H:$H))))</f>
        <v>0</v>
      </c>
      <c r="AF80" s="63">
        <f>AE80*MD!$S$4</f>
        <v>0</v>
      </c>
    </row>
    <row r="81" spans="1:32" x14ac:dyDescent="0.25">
      <c r="A81" s="62">
        <v>79</v>
      </c>
      <c r="B81" s="62"/>
      <c r="C81" s="50" t="str">
        <f>IF(ISNA(VLOOKUP($B81,Summary!$B:$D,2,FALSE))=TRUE," ",VLOOKUP($B81,Summary!$B:$D,2,FALSE))</f>
        <v> </v>
      </c>
      <c r="D81" s="50" t="str">
        <f>IF(ISNA(VLOOKUP($B81,Summary!$B:$D,3,FALSE))=TRUE," ",VLOOKUP($B81,Summary!$B:$D,3,FALSE))</f>
        <v> </v>
      </c>
      <c r="E81" s="62"/>
      <c r="F81" s="62"/>
      <c r="G81" s="62"/>
      <c r="I81" s="63">
        <f t="shared" si="1"/>
        <v>0</v>
      </c>
      <c r="K81" s="64">
        <f>IF(E81="Support(L1_L2)",IF(NOT(ISBLANK(B81)),IF(NOT(ISBLANK(D81)),NETWORKDAYS('CPY TOC'!$F$5,'CPY TOC'!$G$5))))-L81</f>
        <v>0</v>
      </c>
      <c r="L81" s="64">
        <f>IF(E81="Support(L1_L2)",SUMIFS(Support_allowance_Entries!$G:$G,Support_allowance_Entries!$B:$B,CPY!B81),0)</f>
        <v>0</v>
      </c>
      <c r="M81" s="63" t="b">
        <f>IF($D81="D0",MD!$C$4*(K81),IF($D81="D1",MD!$C$5*(K81),IF($D81="D2",MD!$C$6*(K81),IF($D81="D3",MD!$C$7*(K81),IF($D81="D4",MD!$C$8*(K81),IF($D81="D5",MD!$C$9*(K81),IF($D81="M1",MD!$C$10*(K81),IF($D81="T1",MD!$C$11*(K81)))))))))</f>
        <v>0</v>
      </c>
      <c r="O81" s="65">
        <f>SUMIFS(Shift_allowance_Entries!$G:$G,Shift_allowance_Entries!$F:$F,"6:30AM-03:30PM",Shift_allowance_Entries!$B:$B,CPY!$B81)</f>
        <v>0</v>
      </c>
      <c r="P81" s="65">
        <f>SUMIFS(Shift_allowance_Entries!$G:$G,Shift_allowance_Entries!$F:$F,"1-9PM/2:30PM-11:30PM",Shift_allowance_Entries!$B:$B,CPY!$B81)</f>
        <v>0</v>
      </c>
      <c r="Q81" s="65">
        <f>SUMIFS(Shift_allowance_Entries!$G:$G,Shift_allowance_Entries!$F:$F,"11PM-7AM",Shift_allowance_Entries!$B:$B,CPY!$B81)</f>
        <v>0</v>
      </c>
      <c r="R81" s="63">
        <f>(CPY!O81*MD!$F$4)+(CPY!P81*MD!$F$5)+(CPY!Q81*MD!$F$6)</f>
        <v>0</v>
      </c>
      <c r="T81" s="64">
        <f>ROUNDUP((SUMIFS('OOH Activities'!$K:$K,'OOH Activities'!$F:$F,"Non_workdays",'OOH Activities'!$B:$B,CPY!B81)) *24,1)</f>
        <v>0</v>
      </c>
      <c r="U81" s="64">
        <f>ROUNDUP((SUMIFS('OOH Activities'!$K:$K,'OOH Activities'!$F:$F,"Workdays",'OOH Activities'!$B:$B,CPY!B81)) *24,1)</f>
        <v>0</v>
      </c>
      <c r="V81" s="63">
        <f>ROUNDUP((SUMIFS('OOH Activities'!$L:$L,'OOH Activities'!$B:$B,CPY!B81)),1)</f>
        <v>0</v>
      </c>
      <c r="X81" s="65">
        <f>ROUNDUP((SUMIFS('ON Call_Call Out Activities'!$L:$L,'ON Call_Call Out Activities'!$F:$F,"Workdays",'ON Call_Call Out Activities'!$B:$B,CPY!B81))*24,1)</f>
        <v>0</v>
      </c>
      <c r="Y81" s="64">
        <f>ROUNDUP((SUMIFS('ON Call_Call Out Activities'!$L:$L,'ON Call_Call Out Activities'!$F:$F,"Non_workdays",'ON Call_Call Out Activities'!$B:$B,CPY!B81)) *24,1)</f>
        <v>0</v>
      </c>
      <c r="Z81" s="63">
        <f>ROUNDUP((SUMIFS('ON Call_Call Out Activities'!$M:$M,'ON Call_Call Out Activities'!$F:$F,"Non_workdays",'ON Call_Call Out Activities'!$B:$B,CPY!B81)),1) + ROUNDUP((SUMIFS('ON Call_Call Out Activities'!$M:$M,'ON Call_Call Out Activities'!$F:$F,"Workdays",'ON Call_Call Out Activities'!$B:$B,CPY!B81)),1)</f>
        <v>0</v>
      </c>
      <c r="AA81" s="66"/>
      <c r="AB81" s="64">
        <f>ROUNDUP((SUMIFS('ON Call_Call Out Activities'!$L:$L,'ON Call_Call Out Activities'!$F:$F,"Call_Out",'ON Call_Call Out Activities'!$B:$B,CPY!B81)) *24,1)</f>
        <v>0</v>
      </c>
      <c r="AC81" s="63">
        <f>ROUNDUP((SUMIFS('ON Call_Call Out Activities'!$M:$M,'ON Call_Call Out Activities'!$F:$F,"Call_Out",'ON Call_Call Out Activities'!$B:$B,CPY!B81)),1)</f>
        <v>0</v>
      </c>
      <c r="AE81" s="65">
        <f>IF((SUMIF(Shift_allowance_Entries!$B:$B,CPY!$B81,Shift_allowance_Entries!$H:$H)) &gt; (SUMIF(Shift_allowance_Entries!$B:$B,CPY!$B81,Shift_allowance_Entries!$G:$G)),0,((SUMIF(Shift_allowance_Entries!$B:$B,CPY!$B81,Shift_allowance_Entries!$G:$G))-(SUMIF(Shift_allowance_Entries!$B:$B,CPY!$B81,Shift_allowance_Entries!$H:$H))))</f>
        <v>0</v>
      </c>
      <c r="AF81" s="63">
        <f>AE81*MD!$S$4</f>
        <v>0</v>
      </c>
    </row>
    <row r="82" spans="1:32" x14ac:dyDescent="0.25">
      <c r="A82" s="62">
        <v>80</v>
      </c>
      <c r="B82" s="62"/>
      <c r="C82" s="50" t="str">
        <f>IF(ISNA(VLOOKUP($B82,Summary!$B:$D,2,FALSE))=TRUE," ",VLOOKUP($B82,Summary!$B:$D,2,FALSE))</f>
        <v> </v>
      </c>
      <c r="D82" s="50" t="str">
        <f>IF(ISNA(VLOOKUP($B82,Summary!$B:$D,3,FALSE))=TRUE," ",VLOOKUP($B82,Summary!$B:$D,3,FALSE))</f>
        <v> </v>
      </c>
      <c r="E82" s="62"/>
      <c r="F82" s="62"/>
      <c r="G82" s="62"/>
      <c r="I82" s="63">
        <f t="shared" si="1"/>
        <v>0</v>
      </c>
      <c r="K82" s="64">
        <f>IF(E82="Support(L1_L2)",IF(NOT(ISBLANK(B82)),IF(NOT(ISBLANK(D82)),NETWORKDAYS('CPY TOC'!$F$5,'CPY TOC'!$G$5))))-L82</f>
        <v>0</v>
      </c>
      <c r="L82" s="64">
        <f>IF(E82="Support(L1_L2)",SUMIFS(Support_allowance_Entries!$G:$G,Support_allowance_Entries!$B:$B,CPY!B82),0)</f>
        <v>0</v>
      </c>
      <c r="M82" s="63" t="b">
        <f>IF($D82="D0",MD!$C$4*(K82),IF($D82="D1",MD!$C$5*(K82),IF($D82="D2",MD!$C$6*(K82),IF($D82="D3",MD!$C$7*(K82),IF($D82="D4",MD!$C$8*(K82),IF($D82="D5",MD!$C$9*(K82),IF($D82="M1",MD!$C$10*(K82),IF($D82="T1",MD!$C$11*(K82)))))))))</f>
        <v>0</v>
      </c>
      <c r="O82" s="65">
        <f>SUMIFS(Shift_allowance_Entries!$G:$G,Shift_allowance_Entries!$F:$F,"6:30AM-03:30PM",Shift_allowance_Entries!$B:$B,CPY!$B82)</f>
        <v>0</v>
      </c>
      <c r="P82" s="65">
        <f>SUMIFS(Shift_allowance_Entries!$G:$G,Shift_allowance_Entries!$F:$F,"1-9PM/2:30PM-11:30PM",Shift_allowance_Entries!$B:$B,CPY!$B82)</f>
        <v>0</v>
      </c>
      <c r="Q82" s="65">
        <f>SUMIFS(Shift_allowance_Entries!$G:$G,Shift_allowance_Entries!$F:$F,"11PM-7AM",Shift_allowance_Entries!$B:$B,CPY!$B82)</f>
        <v>0</v>
      </c>
      <c r="R82" s="63">
        <f>(CPY!O82*MD!$F$4)+(CPY!P82*MD!$F$5)+(CPY!Q82*MD!$F$6)</f>
        <v>0</v>
      </c>
      <c r="T82" s="64">
        <f>ROUNDUP((SUMIFS('OOH Activities'!$K:$K,'OOH Activities'!$F:$F,"Non_workdays",'OOH Activities'!$B:$B,CPY!B82)) *24,1)</f>
        <v>0</v>
      </c>
      <c r="U82" s="64">
        <f>ROUNDUP((SUMIFS('OOH Activities'!$K:$K,'OOH Activities'!$F:$F,"Workdays",'OOH Activities'!$B:$B,CPY!B82)) *24,1)</f>
        <v>0</v>
      </c>
      <c r="V82" s="63">
        <f>ROUNDUP((SUMIFS('OOH Activities'!$L:$L,'OOH Activities'!$B:$B,CPY!B82)),1)</f>
        <v>0</v>
      </c>
      <c r="X82" s="65">
        <f>ROUNDUP((SUMIFS('ON Call_Call Out Activities'!$L:$L,'ON Call_Call Out Activities'!$F:$F,"Workdays",'ON Call_Call Out Activities'!$B:$B,CPY!B82))*24,1)</f>
        <v>0</v>
      </c>
      <c r="Y82" s="64">
        <f>ROUNDUP((SUMIFS('ON Call_Call Out Activities'!$L:$L,'ON Call_Call Out Activities'!$F:$F,"Non_workdays",'ON Call_Call Out Activities'!$B:$B,CPY!B82)) *24,1)</f>
        <v>0</v>
      </c>
      <c r="Z82" s="63">
        <f>ROUNDUP((SUMIFS('ON Call_Call Out Activities'!$M:$M,'ON Call_Call Out Activities'!$F:$F,"Non_workdays",'ON Call_Call Out Activities'!$B:$B,CPY!B82)),1) + ROUNDUP((SUMIFS('ON Call_Call Out Activities'!$M:$M,'ON Call_Call Out Activities'!$F:$F,"Workdays",'ON Call_Call Out Activities'!$B:$B,CPY!B82)),1)</f>
        <v>0</v>
      </c>
      <c r="AA82" s="66"/>
      <c r="AB82" s="64">
        <f>ROUNDUP((SUMIFS('ON Call_Call Out Activities'!$L:$L,'ON Call_Call Out Activities'!$F:$F,"Call_Out",'ON Call_Call Out Activities'!$B:$B,CPY!B82)) *24,1)</f>
        <v>0</v>
      </c>
      <c r="AC82" s="63">
        <f>ROUNDUP((SUMIFS('ON Call_Call Out Activities'!$M:$M,'ON Call_Call Out Activities'!$F:$F,"Call_Out",'ON Call_Call Out Activities'!$B:$B,CPY!B82)),1)</f>
        <v>0</v>
      </c>
      <c r="AE82" s="65">
        <f>IF((SUMIF(Shift_allowance_Entries!$B:$B,CPY!$B82,Shift_allowance_Entries!$H:$H)) &gt; (SUMIF(Shift_allowance_Entries!$B:$B,CPY!$B82,Shift_allowance_Entries!$G:$G)),0,((SUMIF(Shift_allowance_Entries!$B:$B,CPY!$B82,Shift_allowance_Entries!$G:$G))-(SUMIF(Shift_allowance_Entries!$B:$B,CPY!$B82,Shift_allowance_Entries!$H:$H))))</f>
        <v>0</v>
      </c>
      <c r="AF82" s="63">
        <f>AE82*MD!$S$4</f>
        <v>0</v>
      </c>
    </row>
    <row r="83" spans="1:32" x14ac:dyDescent="0.25">
      <c r="A83" s="62">
        <v>81</v>
      </c>
      <c r="B83" s="62"/>
      <c r="C83" s="50" t="str">
        <f>IF(ISNA(VLOOKUP($B83,Summary!$B:$D,2,FALSE))=TRUE," ",VLOOKUP($B83,Summary!$B:$D,2,FALSE))</f>
        <v> </v>
      </c>
      <c r="D83" s="50" t="str">
        <f>IF(ISNA(VLOOKUP($B83,Summary!$B:$D,3,FALSE))=TRUE," ",VLOOKUP($B83,Summary!$B:$D,3,FALSE))</f>
        <v> </v>
      </c>
      <c r="E83" s="62"/>
      <c r="F83" s="62"/>
      <c r="G83" s="62"/>
      <c r="I83" s="63">
        <f t="shared" si="1"/>
        <v>0</v>
      </c>
      <c r="K83" s="64">
        <f>IF(E83="Support(L1_L2)",IF(NOT(ISBLANK(B83)),IF(NOT(ISBLANK(D83)),NETWORKDAYS('CPY TOC'!$F$5,'CPY TOC'!$G$5))))-L83</f>
        <v>0</v>
      </c>
      <c r="L83" s="64">
        <f>IF(E83="Support(L1_L2)",SUMIFS(Support_allowance_Entries!$G:$G,Support_allowance_Entries!$B:$B,CPY!B83),0)</f>
        <v>0</v>
      </c>
      <c r="M83" s="63" t="b">
        <f>IF($D83="D0",MD!$C$4*(K83),IF($D83="D1",MD!$C$5*(K83),IF($D83="D2",MD!$C$6*(K83),IF($D83="D3",MD!$C$7*(K83),IF($D83="D4",MD!$C$8*(K83),IF($D83="D5",MD!$C$9*(K83),IF($D83="M1",MD!$C$10*(K83),IF($D83="T1",MD!$C$11*(K83)))))))))</f>
        <v>0</v>
      </c>
      <c r="O83" s="65">
        <f>SUMIFS(Shift_allowance_Entries!$G:$G,Shift_allowance_Entries!$F:$F,"6:30AM-03:30PM",Shift_allowance_Entries!$B:$B,CPY!$B83)</f>
        <v>0</v>
      </c>
      <c r="P83" s="65">
        <f>SUMIFS(Shift_allowance_Entries!$G:$G,Shift_allowance_Entries!$F:$F,"1-9PM/2:30PM-11:30PM",Shift_allowance_Entries!$B:$B,CPY!$B83)</f>
        <v>0</v>
      </c>
      <c r="Q83" s="65">
        <f>SUMIFS(Shift_allowance_Entries!$G:$G,Shift_allowance_Entries!$F:$F,"11PM-7AM",Shift_allowance_Entries!$B:$B,CPY!$B83)</f>
        <v>0</v>
      </c>
      <c r="R83" s="63">
        <f>(CPY!O83*MD!$F$4)+(CPY!P83*MD!$F$5)+(CPY!Q83*MD!$F$6)</f>
        <v>0</v>
      </c>
      <c r="T83" s="64">
        <f>ROUNDUP((SUMIFS('OOH Activities'!$K:$K,'OOH Activities'!$F:$F,"Non_workdays",'OOH Activities'!$B:$B,CPY!B83)) *24,1)</f>
        <v>0</v>
      </c>
      <c r="U83" s="64">
        <f>ROUNDUP((SUMIFS('OOH Activities'!$K:$K,'OOH Activities'!$F:$F,"Workdays",'OOH Activities'!$B:$B,CPY!B83)) *24,1)</f>
        <v>0</v>
      </c>
      <c r="V83" s="63">
        <f>ROUNDUP((SUMIFS('OOH Activities'!$L:$L,'OOH Activities'!$B:$B,CPY!B83)),1)</f>
        <v>0</v>
      </c>
      <c r="X83" s="65">
        <f>ROUNDUP((SUMIFS('ON Call_Call Out Activities'!$L:$L,'ON Call_Call Out Activities'!$F:$F,"Workdays",'ON Call_Call Out Activities'!$B:$B,CPY!B83))*24,1)</f>
        <v>0</v>
      </c>
      <c r="Y83" s="64">
        <f>ROUNDUP((SUMIFS('ON Call_Call Out Activities'!$L:$L,'ON Call_Call Out Activities'!$F:$F,"Non_workdays",'ON Call_Call Out Activities'!$B:$B,CPY!B83)) *24,1)</f>
        <v>0</v>
      </c>
      <c r="Z83" s="63">
        <f>ROUNDUP((SUMIFS('ON Call_Call Out Activities'!$M:$M,'ON Call_Call Out Activities'!$F:$F,"Non_workdays",'ON Call_Call Out Activities'!$B:$B,CPY!B83)),1) + ROUNDUP((SUMIFS('ON Call_Call Out Activities'!$M:$M,'ON Call_Call Out Activities'!$F:$F,"Workdays",'ON Call_Call Out Activities'!$B:$B,CPY!B83)),1)</f>
        <v>0</v>
      </c>
      <c r="AA83" s="66"/>
      <c r="AB83" s="64">
        <f>ROUNDUP((SUMIFS('ON Call_Call Out Activities'!$L:$L,'ON Call_Call Out Activities'!$F:$F,"Call_Out",'ON Call_Call Out Activities'!$B:$B,CPY!B83)) *24,1)</f>
        <v>0</v>
      </c>
      <c r="AC83" s="63">
        <f>ROUNDUP((SUMIFS('ON Call_Call Out Activities'!$M:$M,'ON Call_Call Out Activities'!$F:$F,"Call_Out",'ON Call_Call Out Activities'!$B:$B,CPY!B83)),1)</f>
        <v>0</v>
      </c>
      <c r="AE83" s="65">
        <f>IF((SUMIF(Shift_allowance_Entries!$B:$B,CPY!$B83,Shift_allowance_Entries!$H:$H)) &gt; (SUMIF(Shift_allowance_Entries!$B:$B,CPY!$B83,Shift_allowance_Entries!$G:$G)),0,((SUMIF(Shift_allowance_Entries!$B:$B,CPY!$B83,Shift_allowance_Entries!$G:$G))-(SUMIF(Shift_allowance_Entries!$B:$B,CPY!$B83,Shift_allowance_Entries!$H:$H))))</f>
        <v>0</v>
      </c>
      <c r="AF83" s="63">
        <f>AE83*MD!$S$4</f>
        <v>0</v>
      </c>
    </row>
    <row r="84" spans="1:32" x14ac:dyDescent="0.25">
      <c r="A84" s="62">
        <v>82</v>
      </c>
      <c r="B84" s="62"/>
      <c r="C84" s="50" t="str">
        <f>IF(ISNA(VLOOKUP($B84,Summary!$B:$D,2,FALSE))=TRUE," ",VLOOKUP($B84,Summary!$B:$D,2,FALSE))</f>
        <v> </v>
      </c>
      <c r="D84" s="50" t="str">
        <f>IF(ISNA(VLOOKUP($B84,Summary!$B:$D,3,FALSE))=TRUE," ",VLOOKUP($B84,Summary!$B:$D,3,FALSE))</f>
        <v> </v>
      </c>
      <c r="E84" s="62"/>
      <c r="F84" s="62"/>
      <c r="G84" s="62"/>
      <c r="I84" s="63">
        <f t="shared" si="1"/>
        <v>0</v>
      </c>
      <c r="K84" s="64">
        <f>IF(E84="Support(L1_L2)",IF(NOT(ISBLANK(B84)),IF(NOT(ISBLANK(D84)),NETWORKDAYS('CPY TOC'!$F$5,'CPY TOC'!$G$5))))-L84</f>
        <v>0</v>
      </c>
      <c r="L84" s="64">
        <f>IF(E84="Support(L1_L2)",SUMIFS(Support_allowance_Entries!$G:$G,Support_allowance_Entries!$B:$B,CPY!B84),0)</f>
        <v>0</v>
      </c>
      <c r="M84" s="63" t="b">
        <f>IF($D84="D0",MD!$C$4*(K84),IF($D84="D1",MD!$C$5*(K84),IF($D84="D2",MD!$C$6*(K84),IF($D84="D3",MD!$C$7*(K84),IF($D84="D4",MD!$C$8*(K84),IF($D84="D5",MD!$C$9*(K84),IF($D84="M1",MD!$C$10*(K84),IF($D84="T1",MD!$C$11*(K84)))))))))</f>
        <v>0</v>
      </c>
      <c r="O84" s="65">
        <f>SUMIFS(Shift_allowance_Entries!$G:$G,Shift_allowance_Entries!$F:$F,"6:30AM-03:30PM",Shift_allowance_Entries!$B:$B,CPY!$B84)</f>
        <v>0</v>
      </c>
      <c r="P84" s="65">
        <f>SUMIFS(Shift_allowance_Entries!$G:$G,Shift_allowance_Entries!$F:$F,"1-9PM/2:30PM-11:30PM",Shift_allowance_Entries!$B:$B,CPY!$B84)</f>
        <v>0</v>
      </c>
      <c r="Q84" s="65">
        <f>SUMIFS(Shift_allowance_Entries!$G:$G,Shift_allowance_Entries!$F:$F,"11PM-7AM",Shift_allowance_Entries!$B:$B,CPY!$B84)</f>
        <v>0</v>
      </c>
      <c r="R84" s="63">
        <f>(CPY!O84*MD!$F$4)+(CPY!P84*MD!$F$5)+(CPY!Q84*MD!$F$6)</f>
        <v>0</v>
      </c>
      <c r="T84" s="64">
        <f>ROUNDUP((SUMIFS('OOH Activities'!$K:$K,'OOH Activities'!$F:$F,"Non_workdays",'OOH Activities'!$B:$B,CPY!B84)) *24,1)</f>
        <v>0</v>
      </c>
      <c r="U84" s="64">
        <f>ROUNDUP((SUMIFS('OOH Activities'!$K:$K,'OOH Activities'!$F:$F,"Workdays",'OOH Activities'!$B:$B,CPY!B84)) *24,1)</f>
        <v>0</v>
      </c>
      <c r="V84" s="63">
        <f>ROUNDUP((SUMIFS('OOH Activities'!$L:$L,'OOH Activities'!$B:$B,CPY!B84)),1)</f>
        <v>0</v>
      </c>
      <c r="X84" s="65">
        <f>ROUNDUP((SUMIFS('ON Call_Call Out Activities'!$L:$L,'ON Call_Call Out Activities'!$F:$F,"Workdays",'ON Call_Call Out Activities'!$B:$B,CPY!B84))*24,1)</f>
        <v>0</v>
      </c>
      <c r="Y84" s="64">
        <f>ROUNDUP((SUMIFS('ON Call_Call Out Activities'!$L:$L,'ON Call_Call Out Activities'!$F:$F,"Non_workdays",'ON Call_Call Out Activities'!$B:$B,CPY!B84)) *24,1)</f>
        <v>0</v>
      </c>
      <c r="Z84" s="63">
        <f>ROUNDUP((SUMIFS('ON Call_Call Out Activities'!$M:$M,'ON Call_Call Out Activities'!$F:$F,"Non_workdays",'ON Call_Call Out Activities'!$B:$B,CPY!B84)),1) + ROUNDUP((SUMIFS('ON Call_Call Out Activities'!$M:$M,'ON Call_Call Out Activities'!$F:$F,"Workdays",'ON Call_Call Out Activities'!$B:$B,CPY!B84)),1)</f>
        <v>0</v>
      </c>
      <c r="AA84" s="66"/>
      <c r="AB84" s="64">
        <f>ROUNDUP((SUMIFS('ON Call_Call Out Activities'!$L:$L,'ON Call_Call Out Activities'!$F:$F,"Call_Out",'ON Call_Call Out Activities'!$B:$B,CPY!B84)) *24,1)</f>
        <v>0</v>
      </c>
      <c r="AC84" s="63">
        <f>ROUNDUP((SUMIFS('ON Call_Call Out Activities'!$M:$M,'ON Call_Call Out Activities'!$F:$F,"Call_Out",'ON Call_Call Out Activities'!$B:$B,CPY!B84)),1)</f>
        <v>0</v>
      </c>
      <c r="AE84" s="65">
        <f>IF((SUMIF(Shift_allowance_Entries!$B:$B,CPY!$B84,Shift_allowance_Entries!$H:$H)) &gt; (SUMIF(Shift_allowance_Entries!$B:$B,CPY!$B84,Shift_allowance_Entries!$G:$G)),0,((SUMIF(Shift_allowance_Entries!$B:$B,CPY!$B84,Shift_allowance_Entries!$G:$G))-(SUMIF(Shift_allowance_Entries!$B:$B,CPY!$B84,Shift_allowance_Entries!$H:$H))))</f>
        <v>0</v>
      </c>
      <c r="AF84" s="63">
        <f>AE84*MD!$S$4</f>
        <v>0</v>
      </c>
    </row>
    <row r="85" spans="1:32" x14ac:dyDescent="0.25">
      <c r="A85" s="62">
        <v>83</v>
      </c>
      <c r="B85" s="62"/>
      <c r="C85" s="50" t="str">
        <f>IF(ISNA(VLOOKUP($B85,Summary!$B:$D,2,FALSE))=TRUE," ",VLOOKUP($B85,Summary!$B:$D,2,FALSE))</f>
        <v> </v>
      </c>
      <c r="D85" s="50" t="str">
        <f>IF(ISNA(VLOOKUP($B85,Summary!$B:$D,3,FALSE))=TRUE," ",VLOOKUP($B85,Summary!$B:$D,3,FALSE))</f>
        <v> </v>
      </c>
      <c r="E85" s="62"/>
      <c r="F85" s="62"/>
      <c r="G85" s="62"/>
      <c r="I85" s="63">
        <f t="shared" si="1"/>
        <v>0</v>
      </c>
      <c r="K85" s="64">
        <f>IF(E85="Support(L1_L2)",IF(NOT(ISBLANK(B85)),IF(NOT(ISBLANK(D85)),NETWORKDAYS('CPY TOC'!$F$5,'CPY TOC'!$G$5))))-L85</f>
        <v>0</v>
      </c>
      <c r="L85" s="64">
        <f>IF(E85="Support(L1_L2)",SUMIFS(Support_allowance_Entries!$G:$G,Support_allowance_Entries!$B:$B,CPY!B85),0)</f>
        <v>0</v>
      </c>
      <c r="M85" s="63" t="b">
        <f>IF($D85="D0",MD!$C$4*(K85),IF($D85="D1",MD!$C$5*(K85),IF($D85="D2",MD!$C$6*(K85),IF($D85="D3",MD!$C$7*(K85),IF($D85="D4",MD!$C$8*(K85),IF($D85="D5",MD!$C$9*(K85),IF($D85="M1",MD!$C$10*(K85),IF($D85="T1",MD!$C$11*(K85)))))))))</f>
        <v>0</v>
      </c>
      <c r="O85" s="65">
        <f>SUMIFS(Shift_allowance_Entries!$G:$G,Shift_allowance_Entries!$F:$F,"6:30AM-03:30PM",Shift_allowance_Entries!$B:$B,CPY!$B85)</f>
        <v>0</v>
      </c>
      <c r="P85" s="65">
        <f>SUMIFS(Shift_allowance_Entries!$G:$G,Shift_allowance_Entries!$F:$F,"1-9PM/2:30PM-11:30PM",Shift_allowance_Entries!$B:$B,CPY!$B85)</f>
        <v>0</v>
      </c>
      <c r="Q85" s="65">
        <f>SUMIFS(Shift_allowance_Entries!$G:$G,Shift_allowance_Entries!$F:$F,"11PM-7AM",Shift_allowance_Entries!$B:$B,CPY!$B85)</f>
        <v>0</v>
      </c>
      <c r="R85" s="63">
        <f>(CPY!O85*MD!$F$4)+(CPY!P85*MD!$F$5)+(CPY!Q85*MD!$F$6)</f>
        <v>0</v>
      </c>
      <c r="T85" s="64">
        <f>ROUNDUP((SUMIFS('OOH Activities'!$K:$K,'OOH Activities'!$F:$F,"Non_workdays",'OOH Activities'!$B:$B,CPY!B85)) *24,1)</f>
        <v>0</v>
      </c>
      <c r="U85" s="64">
        <f>ROUNDUP((SUMIFS('OOH Activities'!$K:$K,'OOH Activities'!$F:$F,"Workdays",'OOH Activities'!$B:$B,CPY!B85)) *24,1)</f>
        <v>0</v>
      </c>
      <c r="V85" s="63">
        <f>ROUNDUP((SUMIFS('OOH Activities'!$L:$L,'OOH Activities'!$B:$B,CPY!B85)),1)</f>
        <v>0</v>
      </c>
      <c r="X85" s="65">
        <f>ROUNDUP((SUMIFS('ON Call_Call Out Activities'!$L:$L,'ON Call_Call Out Activities'!$F:$F,"Workdays",'ON Call_Call Out Activities'!$B:$B,CPY!B85))*24,1)</f>
        <v>0</v>
      </c>
      <c r="Y85" s="64">
        <f>ROUNDUP((SUMIFS('ON Call_Call Out Activities'!$L:$L,'ON Call_Call Out Activities'!$F:$F,"Non_workdays",'ON Call_Call Out Activities'!$B:$B,CPY!B85)) *24,1)</f>
        <v>0</v>
      </c>
      <c r="Z85" s="63">
        <f>ROUNDUP((SUMIFS('ON Call_Call Out Activities'!$M:$M,'ON Call_Call Out Activities'!$F:$F,"Non_workdays",'ON Call_Call Out Activities'!$B:$B,CPY!B85)),1) + ROUNDUP((SUMIFS('ON Call_Call Out Activities'!$M:$M,'ON Call_Call Out Activities'!$F:$F,"Workdays",'ON Call_Call Out Activities'!$B:$B,CPY!B85)),1)</f>
        <v>0</v>
      </c>
      <c r="AA85" s="66"/>
      <c r="AB85" s="64">
        <f>ROUNDUP((SUMIFS('ON Call_Call Out Activities'!$L:$L,'ON Call_Call Out Activities'!$F:$F,"Call_Out",'ON Call_Call Out Activities'!$B:$B,CPY!B85)) *24,1)</f>
        <v>0</v>
      </c>
      <c r="AC85" s="63">
        <f>ROUNDUP((SUMIFS('ON Call_Call Out Activities'!$M:$M,'ON Call_Call Out Activities'!$F:$F,"Call_Out",'ON Call_Call Out Activities'!$B:$B,CPY!B85)),1)</f>
        <v>0</v>
      </c>
      <c r="AE85" s="65">
        <f>IF((SUMIF(Shift_allowance_Entries!$B:$B,CPY!$B85,Shift_allowance_Entries!$H:$H)) &gt; (SUMIF(Shift_allowance_Entries!$B:$B,CPY!$B85,Shift_allowance_Entries!$G:$G)),0,((SUMIF(Shift_allowance_Entries!$B:$B,CPY!$B85,Shift_allowance_Entries!$G:$G))-(SUMIF(Shift_allowance_Entries!$B:$B,CPY!$B85,Shift_allowance_Entries!$H:$H))))</f>
        <v>0</v>
      </c>
      <c r="AF85" s="63">
        <f>AE85*MD!$S$4</f>
        <v>0</v>
      </c>
    </row>
    <row r="86" spans="1:32" x14ac:dyDescent="0.25">
      <c r="A86" s="62">
        <v>84</v>
      </c>
      <c r="B86" s="62"/>
      <c r="C86" s="50" t="str">
        <f>IF(ISNA(VLOOKUP($B86,Summary!$B:$D,2,FALSE))=TRUE," ",VLOOKUP($B86,Summary!$B:$D,2,FALSE))</f>
        <v> </v>
      </c>
      <c r="D86" s="50" t="str">
        <f>IF(ISNA(VLOOKUP($B86,Summary!$B:$D,3,FALSE))=TRUE," ",VLOOKUP($B86,Summary!$B:$D,3,FALSE))</f>
        <v> </v>
      </c>
      <c r="E86" s="62"/>
      <c r="F86" s="62"/>
      <c r="G86" s="62"/>
      <c r="I86" s="63">
        <f t="shared" si="1"/>
        <v>0</v>
      </c>
      <c r="K86" s="64">
        <f>IF(E86="Support(L1_L2)",IF(NOT(ISBLANK(B86)),IF(NOT(ISBLANK(D86)),NETWORKDAYS('CPY TOC'!$F$5,'CPY TOC'!$G$5))))-L86</f>
        <v>0</v>
      </c>
      <c r="L86" s="64">
        <f>IF(E86="Support(L1_L2)",SUMIFS(Support_allowance_Entries!$G:$G,Support_allowance_Entries!$B:$B,CPY!B86),0)</f>
        <v>0</v>
      </c>
      <c r="M86" s="63" t="b">
        <f>IF($D86="D0",MD!$C$4*(K86),IF($D86="D1",MD!$C$5*(K86),IF($D86="D2",MD!$C$6*(K86),IF($D86="D3",MD!$C$7*(K86),IF($D86="D4",MD!$C$8*(K86),IF($D86="D5",MD!$C$9*(K86),IF($D86="M1",MD!$C$10*(K86),IF($D86="T1",MD!$C$11*(K86)))))))))</f>
        <v>0</v>
      </c>
      <c r="O86" s="65">
        <f>SUMIFS(Shift_allowance_Entries!$G:$G,Shift_allowance_Entries!$F:$F,"6:30AM-03:30PM",Shift_allowance_Entries!$B:$B,CPY!$B86)</f>
        <v>0</v>
      </c>
      <c r="P86" s="65">
        <f>SUMIFS(Shift_allowance_Entries!$G:$G,Shift_allowance_Entries!$F:$F,"1-9PM/2:30PM-11:30PM",Shift_allowance_Entries!$B:$B,CPY!$B86)</f>
        <v>0</v>
      </c>
      <c r="Q86" s="65">
        <f>SUMIFS(Shift_allowance_Entries!$G:$G,Shift_allowance_Entries!$F:$F,"11PM-7AM",Shift_allowance_Entries!$B:$B,CPY!$B86)</f>
        <v>0</v>
      </c>
      <c r="R86" s="63">
        <f>(CPY!O86*MD!$F$4)+(CPY!P86*MD!$F$5)+(CPY!Q86*MD!$F$6)</f>
        <v>0</v>
      </c>
      <c r="T86" s="64">
        <f>ROUNDUP((SUMIFS('OOH Activities'!$K:$K,'OOH Activities'!$F:$F,"Non_workdays",'OOH Activities'!$B:$B,CPY!B86)) *24,1)</f>
        <v>0</v>
      </c>
      <c r="U86" s="64">
        <f>ROUNDUP((SUMIFS('OOH Activities'!$K:$K,'OOH Activities'!$F:$F,"Workdays",'OOH Activities'!$B:$B,CPY!B86)) *24,1)</f>
        <v>0</v>
      </c>
      <c r="V86" s="63">
        <f>ROUNDUP((SUMIFS('OOH Activities'!$L:$L,'OOH Activities'!$B:$B,CPY!B86)),1)</f>
        <v>0</v>
      </c>
      <c r="X86" s="65">
        <f>ROUNDUP((SUMIFS('ON Call_Call Out Activities'!$L:$L,'ON Call_Call Out Activities'!$F:$F,"Workdays",'ON Call_Call Out Activities'!$B:$B,CPY!B86))*24,1)</f>
        <v>0</v>
      </c>
      <c r="Y86" s="64">
        <f>ROUNDUP((SUMIFS('ON Call_Call Out Activities'!$L:$L,'ON Call_Call Out Activities'!$F:$F,"Non_workdays",'ON Call_Call Out Activities'!$B:$B,CPY!B86)) *24,1)</f>
        <v>0</v>
      </c>
      <c r="Z86" s="63">
        <f>ROUNDUP((SUMIFS('ON Call_Call Out Activities'!$M:$M,'ON Call_Call Out Activities'!$F:$F,"Non_workdays",'ON Call_Call Out Activities'!$B:$B,CPY!B86)),1) + ROUNDUP((SUMIFS('ON Call_Call Out Activities'!$M:$M,'ON Call_Call Out Activities'!$F:$F,"Workdays",'ON Call_Call Out Activities'!$B:$B,CPY!B86)),1)</f>
        <v>0</v>
      </c>
      <c r="AA86" s="66"/>
      <c r="AB86" s="64">
        <f>ROUNDUP((SUMIFS('ON Call_Call Out Activities'!$L:$L,'ON Call_Call Out Activities'!$F:$F,"Call_Out",'ON Call_Call Out Activities'!$B:$B,CPY!B86)) *24,1)</f>
        <v>0</v>
      </c>
      <c r="AC86" s="63">
        <f>ROUNDUP((SUMIFS('ON Call_Call Out Activities'!$M:$M,'ON Call_Call Out Activities'!$F:$F,"Call_Out",'ON Call_Call Out Activities'!$B:$B,CPY!B86)),1)</f>
        <v>0</v>
      </c>
      <c r="AE86" s="65">
        <f>IF((SUMIF(Shift_allowance_Entries!$B:$B,CPY!$B86,Shift_allowance_Entries!$H:$H)) &gt; (SUMIF(Shift_allowance_Entries!$B:$B,CPY!$B86,Shift_allowance_Entries!$G:$G)),0,((SUMIF(Shift_allowance_Entries!$B:$B,CPY!$B86,Shift_allowance_Entries!$G:$G))-(SUMIF(Shift_allowance_Entries!$B:$B,CPY!$B86,Shift_allowance_Entries!$H:$H))))</f>
        <v>0</v>
      </c>
      <c r="AF86" s="63">
        <f>AE86*MD!$S$4</f>
        <v>0</v>
      </c>
    </row>
    <row r="87" spans="1:32" x14ac:dyDescent="0.25">
      <c r="A87" s="62">
        <v>85</v>
      </c>
      <c r="B87" s="62"/>
      <c r="C87" s="50" t="str">
        <f>IF(ISNA(VLOOKUP($B87,Summary!$B:$D,2,FALSE))=TRUE," ",VLOOKUP($B87,Summary!$B:$D,2,FALSE))</f>
        <v> </v>
      </c>
      <c r="D87" s="50" t="str">
        <f>IF(ISNA(VLOOKUP($B87,Summary!$B:$D,3,FALSE))=TRUE," ",VLOOKUP($B87,Summary!$B:$D,3,FALSE))</f>
        <v> </v>
      </c>
      <c r="E87" s="62"/>
      <c r="F87" s="62"/>
      <c r="G87" s="62"/>
      <c r="I87" s="63">
        <f t="shared" si="1"/>
        <v>0</v>
      </c>
      <c r="K87" s="64">
        <f>IF(E87="Support(L1_L2)",IF(NOT(ISBLANK(B87)),IF(NOT(ISBLANK(D87)),NETWORKDAYS('CPY TOC'!$F$5,'CPY TOC'!$G$5))))-L87</f>
        <v>0</v>
      </c>
      <c r="L87" s="64">
        <f>IF(E87="Support(L1_L2)",SUMIFS(Support_allowance_Entries!$G:$G,Support_allowance_Entries!$B:$B,CPY!B87),0)</f>
        <v>0</v>
      </c>
      <c r="M87" s="63" t="b">
        <f>IF($D87="D0",MD!$C$4*(K87),IF($D87="D1",MD!$C$5*(K87),IF($D87="D2",MD!$C$6*(K87),IF($D87="D3",MD!$C$7*(K87),IF($D87="D4",MD!$C$8*(K87),IF($D87="D5",MD!$C$9*(K87),IF($D87="M1",MD!$C$10*(K87),IF($D87="T1",MD!$C$11*(K87)))))))))</f>
        <v>0</v>
      </c>
      <c r="O87" s="65">
        <f>SUMIFS(Shift_allowance_Entries!$G:$G,Shift_allowance_Entries!$F:$F,"6:30AM-03:30PM",Shift_allowance_Entries!$B:$B,CPY!$B87)</f>
        <v>0</v>
      </c>
      <c r="P87" s="65">
        <f>SUMIFS(Shift_allowance_Entries!$G:$G,Shift_allowance_Entries!$F:$F,"1-9PM/2:30PM-11:30PM",Shift_allowance_Entries!$B:$B,CPY!$B87)</f>
        <v>0</v>
      </c>
      <c r="Q87" s="65">
        <f>SUMIFS(Shift_allowance_Entries!$G:$G,Shift_allowance_Entries!$F:$F,"11PM-7AM",Shift_allowance_Entries!$B:$B,CPY!$B87)</f>
        <v>0</v>
      </c>
      <c r="R87" s="63">
        <f>(CPY!O87*MD!$F$4)+(CPY!P87*MD!$F$5)+(CPY!Q87*MD!$F$6)</f>
        <v>0</v>
      </c>
      <c r="T87" s="64">
        <f>ROUNDUP((SUMIFS('OOH Activities'!$K:$K,'OOH Activities'!$F:$F,"Non_workdays",'OOH Activities'!$B:$B,CPY!B87)) *24,1)</f>
        <v>0</v>
      </c>
      <c r="U87" s="64">
        <f>ROUNDUP((SUMIFS('OOH Activities'!$K:$K,'OOH Activities'!$F:$F,"Workdays",'OOH Activities'!$B:$B,CPY!B87)) *24,1)</f>
        <v>0</v>
      </c>
      <c r="V87" s="63">
        <f>ROUNDUP((SUMIFS('OOH Activities'!$L:$L,'OOH Activities'!$B:$B,CPY!B87)),1)</f>
        <v>0</v>
      </c>
      <c r="X87" s="65">
        <f>ROUNDUP((SUMIFS('ON Call_Call Out Activities'!$L:$L,'ON Call_Call Out Activities'!$F:$F,"Workdays",'ON Call_Call Out Activities'!$B:$B,CPY!B87))*24,1)</f>
        <v>0</v>
      </c>
      <c r="Y87" s="64">
        <f>ROUNDUP((SUMIFS('ON Call_Call Out Activities'!$L:$L,'ON Call_Call Out Activities'!$F:$F,"Non_workdays",'ON Call_Call Out Activities'!$B:$B,CPY!B87)) *24,1)</f>
        <v>0</v>
      </c>
      <c r="Z87" s="63">
        <f>ROUNDUP((SUMIFS('ON Call_Call Out Activities'!$M:$M,'ON Call_Call Out Activities'!$F:$F,"Non_workdays",'ON Call_Call Out Activities'!$B:$B,CPY!B87)),1) + ROUNDUP((SUMIFS('ON Call_Call Out Activities'!$M:$M,'ON Call_Call Out Activities'!$F:$F,"Workdays",'ON Call_Call Out Activities'!$B:$B,CPY!B87)),1)</f>
        <v>0</v>
      </c>
      <c r="AA87" s="66"/>
      <c r="AB87" s="64">
        <f>ROUNDUP((SUMIFS('ON Call_Call Out Activities'!$L:$L,'ON Call_Call Out Activities'!$F:$F,"Call_Out",'ON Call_Call Out Activities'!$B:$B,CPY!B87)) *24,1)</f>
        <v>0</v>
      </c>
      <c r="AC87" s="63">
        <f>ROUNDUP((SUMIFS('ON Call_Call Out Activities'!$M:$M,'ON Call_Call Out Activities'!$F:$F,"Call_Out",'ON Call_Call Out Activities'!$B:$B,CPY!B87)),1)</f>
        <v>0</v>
      </c>
      <c r="AE87" s="65">
        <f>IF((SUMIF(Shift_allowance_Entries!$B:$B,CPY!$B87,Shift_allowance_Entries!$H:$H)) &gt; (SUMIF(Shift_allowance_Entries!$B:$B,CPY!$B87,Shift_allowance_Entries!$G:$G)),0,((SUMIF(Shift_allowance_Entries!$B:$B,CPY!$B87,Shift_allowance_Entries!$G:$G))-(SUMIF(Shift_allowance_Entries!$B:$B,CPY!$B87,Shift_allowance_Entries!$H:$H))))</f>
        <v>0</v>
      </c>
      <c r="AF87" s="63">
        <f>AE87*MD!$S$4</f>
        <v>0</v>
      </c>
    </row>
    <row r="88" spans="1:32" x14ac:dyDescent="0.25">
      <c r="A88" s="62">
        <v>86</v>
      </c>
      <c r="B88" s="62"/>
      <c r="C88" s="50" t="str">
        <f>IF(ISNA(VLOOKUP($B88,Summary!$B:$D,2,FALSE))=TRUE," ",VLOOKUP($B88,Summary!$B:$D,2,FALSE))</f>
        <v> </v>
      </c>
      <c r="D88" s="50" t="str">
        <f>IF(ISNA(VLOOKUP($B88,Summary!$B:$D,3,FALSE))=TRUE," ",VLOOKUP($B88,Summary!$B:$D,3,FALSE))</f>
        <v> </v>
      </c>
      <c r="E88" s="62"/>
      <c r="F88" s="62"/>
      <c r="G88" s="62"/>
      <c r="I88" s="63">
        <f t="shared" si="1"/>
        <v>0</v>
      </c>
      <c r="K88" s="64">
        <f>IF(E88="Support(L1_L2)",IF(NOT(ISBLANK(B88)),IF(NOT(ISBLANK(D88)),NETWORKDAYS('CPY TOC'!$F$5,'CPY TOC'!$G$5))))-L88</f>
        <v>0</v>
      </c>
      <c r="L88" s="64">
        <f>IF(E88="Support(L1_L2)",SUMIFS(Support_allowance_Entries!$G:$G,Support_allowance_Entries!$B:$B,CPY!B88),0)</f>
        <v>0</v>
      </c>
      <c r="M88" s="63" t="b">
        <f>IF($D88="D0",MD!$C$4*(K88),IF($D88="D1",MD!$C$5*(K88),IF($D88="D2",MD!$C$6*(K88),IF($D88="D3",MD!$C$7*(K88),IF($D88="D4",MD!$C$8*(K88),IF($D88="D5",MD!$C$9*(K88),IF($D88="M1",MD!$C$10*(K88),IF($D88="T1",MD!$C$11*(K88)))))))))</f>
        <v>0</v>
      </c>
      <c r="O88" s="65">
        <f>SUMIFS(Shift_allowance_Entries!$G:$G,Shift_allowance_Entries!$F:$F,"6:30AM-03:30PM",Shift_allowance_Entries!$B:$B,CPY!$B88)</f>
        <v>0</v>
      </c>
      <c r="P88" s="65">
        <f>SUMIFS(Shift_allowance_Entries!$G:$G,Shift_allowance_Entries!$F:$F,"1-9PM/2:30PM-11:30PM",Shift_allowance_Entries!$B:$B,CPY!$B88)</f>
        <v>0</v>
      </c>
      <c r="Q88" s="65">
        <f>SUMIFS(Shift_allowance_Entries!$G:$G,Shift_allowance_Entries!$F:$F,"11PM-7AM",Shift_allowance_Entries!$B:$B,CPY!$B88)</f>
        <v>0</v>
      </c>
      <c r="R88" s="63">
        <f>(CPY!O88*MD!$F$4)+(CPY!P88*MD!$F$5)+(CPY!Q88*MD!$F$6)</f>
        <v>0</v>
      </c>
      <c r="T88" s="64">
        <f>ROUNDUP((SUMIFS('OOH Activities'!$K:$K,'OOH Activities'!$F:$F,"Non_workdays",'OOH Activities'!$B:$B,CPY!B88)) *24,1)</f>
        <v>0</v>
      </c>
      <c r="U88" s="64">
        <f>ROUNDUP((SUMIFS('OOH Activities'!$K:$K,'OOH Activities'!$F:$F,"Workdays",'OOH Activities'!$B:$B,CPY!B88)) *24,1)</f>
        <v>0</v>
      </c>
      <c r="V88" s="63">
        <f>ROUNDUP((SUMIFS('OOH Activities'!$L:$L,'OOH Activities'!$B:$B,CPY!B88)),1)</f>
        <v>0</v>
      </c>
      <c r="X88" s="65">
        <f>ROUNDUP((SUMIFS('ON Call_Call Out Activities'!$L:$L,'ON Call_Call Out Activities'!$F:$F,"Workdays",'ON Call_Call Out Activities'!$B:$B,CPY!B88))*24,1)</f>
        <v>0</v>
      </c>
      <c r="Y88" s="64">
        <f>ROUNDUP((SUMIFS('ON Call_Call Out Activities'!$L:$L,'ON Call_Call Out Activities'!$F:$F,"Non_workdays",'ON Call_Call Out Activities'!$B:$B,CPY!B88)) *24,1)</f>
        <v>0</v>
      </c>
      <c r="Z88" s="63">
        <f>ROUNDUP((SUMIFS('ON Call_Call Out Activities'!$M:$M,'ON Call_Call Out Activities'!$F:$F,"Non_workdays",'ON Call_Call Out Activities'!$B:$B,CPY!B88)),1) + ROUNDUP((SUMIFS('ON Call_Call Out Activities'!$M:$M,'ON Call_Call Out Activities'!$F:$F,"Workdays",'ON Call_Call Out Activities'!$B:$B,CPY!B88)),1)</f>
        <v>0</v>
      </c>
      <c r="AA88" s="66"/>
      <c r="AB88" s="64">
        <f>ROUNDUP((SUMIFS('ON Call_Call Out Activities'!$L:$L,'ON Call_Call Out Activities'!$F:$F,"Call_Out",'ON Call_Call Out Activities'!$B:$B,CPY!B88)) *24,1)</f>
        <v>0</v>
      </c>
      <c r="AC88" s="63">
        <f>ROUNDUP((SUMIFS('ON Call_Call Out Activities'!$M:$M,'ON Call_Call Out Activities'!$F:$F,"Call_Out",'ON Call_Call Out Activities'!$B:$B,CPY!B88)),1)</f>
        <v>0</v>
      </c>
      <c r="AE88" s="65">
        <f>IF((SUMIF(Shift_allowance_Entries!$B:$B,CPY!$B88,Shift_allowance_Entries!$H:$H)) &gt; (SUMIF(Shift_allowance_Entries!$B:$B,CPY!$B88,Shift_allowance_Entries!$G:$G)),0,((SUMIF(Shift_allowance_Entries!$B:$B,CPY!$B88,Shift_allowance_Entries!$G:$G))-(SUMIF(Shift_allowance_Entries!$B:$B,CPY!$B88,Shift_allowance_Entries!$H:$H))))</f>
        <v>0</v>
      </c>
      <c r="AF88" s="63">
        <f>AE88*MD!$S$4</f>
        <v>0</v>
      </c>
    </row>
    <row r="89" spans="1:32" x14ac:dyDescent="0.25">
      <c r="A89" s="62">
        <v>87</v>
      </c>
      <c r="B89" s="62"/>
      <c r="C89" s="50" t="str">
        <f>IF(ISNA(VLOOKUP($B89,Summary!$B:$D,2,FALSE))=TRUE," ",VLOOKUP($B89,Summary!$B:$D,2,FALSE))</f>
        <v> </v>
      </c>
      <c r="D89" s="50" t="str">
        <f>IF(ISNA(VLOOKUP($B89,Summary!$B:$D,3,FALSE))=TRUE," ",VLOOKUP($B89,Summary!$B:$D,3,FALSE))</f>
        <v> </v>
      </c>
      <c r="E89" s="62"/>
      <c r="F89" s="62"/>
      <c r="G89" s="62"/>
      <c r="I89" s="63">
        <f t="shared" si="1"/>
        <v>0</v>
      </c>
      <c r="K89" s="64">
        <f>IF(E89="Support(L1_L2)",IF(NOT(ISBLANK(B89)),IF(NOT(ISBLANK(D89)),NETWORKDAYS('CPY TOC'!$F$5,'CPY TOC'!$G$5))))-L89</f>
        <v>0</v>
      </c>
      <c r="L89" s="64">
        <f>IF(E89="Support(L1_L2)",SUMIFS(Support_allowance_Entries!$G:$G,Support_allowance_Entries!$B:$B,CPY!B89),0)</f>
        <v>0</v>
      </c>
      <c r="M89" s="63" t="b">
        <f>IF($D89="D0",MD!$C$4*(K89),IF($D89="D1",MD!$C$5*(K89),IF($D89="D2",MD!$C$6*(K89),IF($D89="D3",MD!$C$7*(K89),IF($D89="D4",MD!$C$8*(K89),IF($D89="D5",MD!$C$9*(K89),IF($D89="M1",MD!$C$10*(K89),IF($D89="T1",MD!$C$11*(K89)))))))))</f>
        <v>0</v>
      </c>
      <c r="O89" s="65">
        <f>SUMIFS(Shift_allowance_Entries!$G:$G,Shift_allowance_Entries!$F:$F,"6:30AM-03:30PM",Shift_allowance_Entries!$B:$B,CPY!$B89)</f>
        <v>0</v>
      </c>
      <c r="P89" s="65">
        <f>SUMIFS(Shift_allowance_Entries!$G:$G,Shift_allowance_Entries!$F:$F,"1-9PM/2:30PM-11:30PM",Shift_allowance_Entries!$B:$B,CPY!$B89)</f>
        <v>0</v>
      </c>
      <c r="Q89" s="65">
        <f>SUMIFS(Shift_allowance_Entries!$G:$G,Shift_allowance_Entries!$F:$F,"11PM-7AM",Shift_allowance_Entries!$B:$B,CPY!$B89)</f>
        <v>0</v>
      </c>
      <c r="R89" s="63">
        <f>(CPY!O89*MD!$F$4)+(CPY!P89*MD!$F$5)+(CPY!Q89*MD!$F$6)</f>
        <v>0</v>
      </c>
      <c r="T89" s="64">
        <f>ROUNDUP((SUMIFS('OOH Activities'!$K:$K,'OOH Activities'!$F:$F,"Non_workdays",'OOH Activities'!$B:$B,CPY!B89)) *24,1)</f>
        <v>0</v>
      </c>
      <c r="U89" s="64">
        <f>ROUNDUP((SUMIFS('OOH Activities'!$K:$K,'OOH Activities'!$F:$F,"Workdays",'OOH Activities'!$B:$B,CPY!B89)) *24,1)</f>
        <v>0</v>
      </c>
      <c r="V89" s="63">
        <f>ROUNDUP((SUMIFS('OOH Activities'!$L:$L,'OOH Activities'!$B:$B,CPY!B89)),1)</f>
        <v>0</v>
      </c>
      <c r="X89" s="65">
        <f>ROUNDUP((SUMIFS('ON Call_Call Out Activities'!$L:$L,'ON Call_Call Out Activities'!$F:$F,"Workdays",'ON Call_Call Out Activities'!$B:$B,CPY!B89))*24,1)</f>
        <v>0</v>
      </c>
      <c r="Y89" s="64">
        <f>ROUNDUP((SUMIFS('ON Call_Call Out Activities'!$L:$L,'ON Call_Call Out Activities'!$F:$F,"Non_workdays",'ON Call_Call Out Activities'!$B:$B,CPY!B89)) *24,1)</f>
        <v>0</v>
      </c>
      <c r="Z89" s="63">
        <f>ROUNDUP((SUMIFS('ON Call_Call Out Activities'!$M:$M,'ON Call_Call Out Activities'!$F:$F,"Non_workdays",'ON Call_Call Out Activities'!$B:$B,CPY!B89)),1) + ROUNDUP((SUMIFS('ON Call_Call Out Activities'!$M:$M,'ON Call_Call Out Activities'!$F:$F,"Workdays",'ON Call_Call Out Activities'!$B:$B,CPY!B89)),1)</f>
        <v>0</v>
      </c>
      <c r="AA89" s="66"/>
      <c r="AB89" s="64">
        <f>ROUNDUP((SUMIFS('ON Call_Call Out Activities'!$L:$L,'ON Call_Call Out Activities'!$F:$F,"Call_Out",'ON Call_Call Out Activities'!$B:$B,CPY!B89)) *24,1)</f>
        <v>0</v>
      </c>
      <c r="AC89" s="63">
        <f>ROUNDUP((SUMIFS('ON Call_Call Out Activities'!$M:$M,'ON Call_Call Out Activities'!$F:$F,"Call_Out",'ON Call_Call Out Activities'!$B:$B,CPY!B89)),1)</f>
        <v>0</v>
      </c>
      <c r="AE89" s="65">
        <f>IF((SUMIF(Shift_allowance_Entries!$B:$B,CPY!$B89,Shift_allowance_Entries!$H:$H)) &gt; (SUMIF(Shift_allowance_Entries!$B:$B,CPY!$B89,Shift_allowance_Entries!$G:$G)),0,((SUMIF(Shift_allowance_Entries!$B:$B,CPY!$B89,Shift_allowance_Entries!$G:$G))-(SUMIF(Shift_allowance_Entries!$B:$B,CPY!$B89,Shift_allowance_Entries!$H:$H))))</f>
        <v>0</v>
      </c>
      <c r="AF89" s="63">
        <f>AE89*MD!$S$4</f>
        <v>0</v>
      </c>
    </row>
    <row r="90" spans="1:32" x14ac:dyDescent="0.25">
      <c r="A90" s="62">
        <v>88</v>
      </c>
      <c r="B90" s="62"/>
      <c r="C90" s="50" t="str">
        <f>IF(ISNA(VLOOKUP($B90,Summary!$B:$D,2,FALSE))=TRUE," ",VLOOKUP($B90,Summary!$B:$D,2,FALSE))</f>
        <v> </v>
      </c>
      <c r="D90" s="50" t="str">
        <f>IF(ISNA(VLOOKUP($B90,Summary!$B:$D,3,FALSE))=TRUE," ",VLOOKUP($B90,Summary!$B:$D,3,FALSE))</f>
        <v> </v>
      </c>
      <c r="E90" s="62"/>
      <c r="F90" s="62"/>
      <c r="G90" s="62"/>
      <c r="I90" s="63">
        <f t="shared" si="1"/>
        <v>0</v>
      </c>
      <c r="K90" s="64">
        <f>IF(E90="Support(L1_L2)",IF(NOT(ISBLANK(B90)),IF(NOT(ISBLANK(D90)),NETWORKDAYS('CPY TOC'!$F$5,'CPY TOC'!$G$5))))-L90</f>
        <v>0</v>
      </c>
      <c r="L90" s="64">
        <f>IF(E90="Support(L1_L2)",SUMIFS(Support_allowance_Entries!$G:$G,Support_allowance_Entries!$B:$B,CPY!B90),0)</f>
        <v>0</v>
      </c>
      <c r="M90" s="63" t="b">
        <f>IF($D90="D0",MD!$C$4*(K90),IF($D90="D1",MD!$C$5*(K90),IF($D90="D2",MD!$C$6*(K90),IF($D90="D3",MD!$C$7*(K90),IF($D90="D4",MD!$C$8*(K90),IF($D90="D5",MD!$C$9*(K90),IF($D90="M1",MD!$C$10*(K90),IF($D90="T1",MD!$C$11*(K90)))))))))</f>
        <v>0</v>
      </c>
      <c r="O90" s="65">
        <f>SUMIFS(Shift_allowance_Entries!$G:$G,Shift_allowance_Entries!$F:$F,"6:30AM-03:30PM",Shift_allowance_Entries!$B:$B,CPY!$B90)</f>
        <v>0</v>
      </c>
      <c r="P90" s="65">
        <f>SUMIFS(Shift_allowance_Entries!$G:$G,Shift_allowance_Entries!$F:$F,"1-9PM/2:30PM-11:30PM",Shift_allowance_Entries!$B:$B,CPY!$B90)</f>
        <v>0</v>
      </c>
      <c r="Q90" s="65">
        <f>SUMIFS(Shift_allowance_Entries!$G:$G,Shift_allowance_Entries!$F:$F,"11PM-7AM",Shift_allowance_Entries!$B:$B,CPY!$B90)</f>
        <v>0</v>
      </c>
      <c r="R90" s="63">
        <f>(CPY!O90*MD!$F$4)+(CPY!P90*MD!$F$5)+(CPY!Q90*MD!$F$6)</f>
        <v>0</v>
      </c>
      <c r="T90" s="64">
        <f>ROUNDUP((SUMIFS('OOH Activities'!$K:$K,'OOH Activities'!$F:$F,"Non_workdays",'OOH Activities'!$B:$B,CPY!B90)) *24,1)</f>
        <v>0</v>
      </c>
      <c r="U90" s="64">
        <f>ROUNDUP((SUMIFS('OOH Activities'!$K:$K,'OOH Activities'!$F:$F,"Workdays",'OOH Activities'!$B:$B,CPY!B90)) *24,1)</f>
        <v>0</v>
      </c>
      <c r="V90" s="63">
        <f>ROUNDUP((SUMIFS('OOH Activities'!$L:$L,'OOH Activities'!$B:$B,CPY!B90)),1)</f>
        <v>0</v>
      </c>
      <c r="X90" s="65">
        <f>ROUNDUP((SUMIFS('ON Call_Call Out Activities'!$L:$L,'ON Call_Call Out Activities'!$F:$F,"Workdays",'ON Call_Call Out Activities'!$B:$B,CPY!B90))*24,1)</f>
        <v>0</v>
      </c>
      <c r="Y90" s="64">
        <f>ROUNDUP((SUMIFS('ON Call_Call Out Activities'!$L:$L,'ON Call_Call Out Activities'!$F:$F,"Non_workdays",'ON Call_Call Out Activities'!$B:$B,CPY!B90)) *24,1)</f>
        <v>0</v>
      </c>
      <c r="Z90" s="63">
        <f>ROUNDUP((SUMIFS('ON Call_Call Out Activities'!$M:$M,'ON Call_Call Out Activities'!$F:$F,"Non_workdays",'ON Call_Call Out Activities'!$B:$B,CPY!B90)),1) + ROUNDUP((SUMIFS('ON Call_Call Out Activities'!$M:$M,'ON Call_Call Out Activities'!$F:$F,"Workdays",'ON Call_Call Out Activities'!$B:$B,CPY!B90)),1)</f>
        <v>0</v>
      </c>
      <c r="AA90" s="66"/>
      <c r="AB90" s="64">
        <f>ROUNDUP((SUMIFS('ON Call_Call Out Activities'!$L:$L,'ON Call_Call Out Activities'!$F:$F,"Call_Out",'ON Call_Call Out Activities'!$B:$B,CPY!B90)) *24,1)</f>
        <v>0</v>
      </c>
      <c r="AC90" s="63">
        <f>ROUNDUP((SUMIFS('ON Call_Call Out Activities'!$M:$M,'ON Call_Call Out Activities'!$F:$F,"Call_Out",'ON Call_Call Out Activities'!$B:$B,CPY!B90)),1)</f>
        <v>0</v>
      </c>
      <c r="AE90" s="65">
        <f>IF((SUMIF(Shift_allowance_Entries!$B:$B,CPY!$B90,Shift_allowance_Entries!$H:$H)) &gt; (SUMIF(Shift_allowance_Entries!$B:$B,CPY!$B90,Shift_allowance_Entries!$G:$G)),0,((SUMIF(Shift_allowance_Entries!$B:$B,CPY!$B90,Shift_allowance_Entries!$G:$G))-(SUMIF(Shift_allowance_Entries!$B:$B,CPY!$B90,Shift_allowance_Entries!$H:$H))))</f>
        <v>0</v>
      </c>
      <c r="AF90" s="63">
        <f>AE90*MD!$S$4</f>
        <v>0</v>
      </c>
    </row>
    <row r="91" spans="1:32" x14ac:dyDescent="0.25">
      <c r="A91" s="62">
        <v>89</v>
      </c>
      <c r="B91" s="62"/>
      <c r="C91" s="50" t="str">
        <f>IF(ISNA(VLOOKUP($B91,Summary!$B:$D,2,FALSE))=TRUE," ",VLOOKUP($B91,Summary!$B:$D,2,FALSE))</f>
        <v> </v>
      </c>
      <c r="D91" s="50" t="str">
        <f>IF(ISNA(VLOOKUP($B91,Summary!$B:$D,3,FALSE))=TRUE," ",VLOOKUP($B91,Summary!$B:$D,3,FALSE))</f>
        <v> </v>
      </c>
      <c r="E91" s="62"/>
      <c r="F91" s="62"/>
      <c r="G91" s="62"/>
      <c r="I91" s="63">
        <f t="shared" si="1"/>
        <v>0</v>
      </c>
      <c r="K91" s="64">
        <f>IF(E91="Support(L1_L2)",IF(NOT(ISBLANK(B91)),IF(NOT(ISBLANK(D91)),NETWORKDAYS('CPY TOC'!$F$5,'CPY TOC'!$G$5))))-L91</f>
        <v>0</v>
      </c>
      <c r="L91" s="64">
        <f>IF(E91="Support(L1_L2)",SUMIFS(Support_allowance_Entries!$G:$G,Support_allowance_Entries!$B:$B,CPY!B91),0)</f>
        <v>0</v>
      </c>
      <c r="M91" s="63" t="b">
        <f>IF($D91="D0",MD!$C$4*(K91),IF($D91="D1",MD!$C$5*(K91),IF($D91="D2",MD!$C$6*(K91),IF($D91="D3",MD!$C$7*(K91),IF($D91="D4",MD!$C$8*(K91),IF($D91="D5",MD!$C$9*(K91),IF($D91="M1",MD!$C$10*(K91),IF($D91="T1",MD!$C$11*(K91)))))))))</f>
        <v>0</v>
      </c>
      <c r="O91" s="65">
        <f>SUMIFS(Shift_allowance_Entries!$G:$G,Shift_allowance_Entries!$F:$F,"6:30AM-03:30PM",Shift_allowance_Entries!$B:$B,CPY!$B91)</f>
        <v>0</v>
      </c>
      <c r="P91" s="65">
        <f>SUMIFS(Shift_allowance_Entries!$G:$G,Shift_allowance_Entries!$F:$F,"1-9PM/2:30PM-11:30PM",Shift_allowance_Entries!$B:$B,CPY!$B91)</f>
        <v>0</v>
      </c>
      <c r="Q91" s="65">
        <f>SUMIFS(Shift_allowance_Entries!$G:$G,Shift_allowance_Entries!$F:$F,"11PM-7AM",Shift_allowance_Entries!$B:$B,CPY!$B91)</f>
        <v>0</v>
      </c>
      <c r="R91" s="63">
        <f>(CPY!O91*MD!$F$4)+(CPY!P91*MD!$F$5)+(CPY!Q91*MD!$F$6)</f>
        <v>0</v>
      </c>
      <c r="T91" s="64">
        <f>ROUNDUP((SUMIFS('OOH Activities'!$K:$K,'OOH Activities'!$F:$F,"Non_workdays",'OOH Activities'!$B:$B,CPY!B91)) *24,1)</f>
        <v>0</v>
      </c>
      <c r="U91" s="64">
        <f>ROUNDUP((SUMIFS('OOH Activities'!$K:$K,'OOH Activities'!$F:$F,"Workdays",'OOH Activities'!$B:$B,CPY!B91)) *24,1)</f>
        <v>0</v>
      </c>
      <c r="V91" s="63">
        <f>ROUNDUP((SUMIFS('OOH Activities'!$L:$L,'OOH Activities'!$B:$B,CPY!B91)),1)</f>
        <v>0</v>
      </c>
      <c r="X91" s="65">
        <f>ROUNDUP((SUMIFS('ON Call_Call Out Activities'!$L:$L,'ON Call_Call Out Activities'!$F:$F,"Workdays",'ON Call_Call Out Activities'!$B:$B,CPY!B91))*24,1)</f>
        <v>0</v>
      </c>
      <c r="Y91" s="64">
        <f>ROUNDUP((SUMIFS('ON Call_Call Out Activities'!$L:$L,'ON Call_Call Out Activities'!$F:$F,"Non_workdays",'ON Call_Call Out Activities'!$B:$B,CPY!B91)) *24,1)</f>
        <v>0</v>
      </c>
      <c r="Z91" s="63">
        <f>ROUNDUP((SUMIFS('ON Call_Call Out Activities'!$M:$M,'ON Call_Call Out Activities'!$F:$F,"Non_workdays",'ON Call_Call Out Activities'!$B:$B,CPY!B91)),1) + ROUNDUP((SUMIFS('ON Call_Call Out Activities'!$M:$M,'ON Call_Call Out Activities'!$F:$F,"Workdays",'ON Call_Call Out Activities'!$B:$B,CPY!B91)),1)</f>
        <v>0</v>
      </c>
      <c r="AA91" s="66"/>
      <c r="AB91" s="64">
        <f>ROUNDUP((SUMIFS('ON Call_Call Out Activities'!$L:$L,'ON Call_Call Out Activities'!$F:$F,"Call_Out",'ON Call_Call Out Activities'!$B:$B,CPY!B91)) *24,1)</f>
        <v>0</v>
      </c>
      <c r="AC91" s="63">
        <f>ROUNDUP((SUMIFS('ON Call_Call Out Activities'!$M:$M,'ON Call_Call Out Activities'!$F:$F,"Call_Out",'ON Call_Call Out Activities'!$B:$B,CPY!B91)),1)</f>
        <v>0</v>
      </c>
      <c r="AE91" s="65">
        <f>IF((SUMIF(Shift_allowance_Entries!$B:$B,CPY!$B91,Shift_allowance_Entries!$H:$H)) &gt; (SUMIF(Shift_allowance_Entries!$B:$B,CPY!$B91,Shift_allowance_Entries!$G:$G)),0,((SUMIF(Shift_allowance_Entries!$B:$B,CPY!$B91,Shift_allowance_Entries!$G:$G))-(SUMIF(Shift_allowance_Entries!$B:$B,CPY!$B91,Shift_allowance_Entries!$H:$H))))</f>
        <v>0</v>
      </c>
      <c r="AF91" s="63">
        <f>AE91*MD!$S$4</f>
        <v>0</v>
      </c>
    </row>
    <row r="92" spans="1:32" x14ac:dyDescent="0.25">
      <c r="A92" s="62">
        <v>90</v>
      </c>
      <c r="B92" s="62"/>
      <c r="C92" s="50" t="str">
        <f>IF(ISNA(VLOOKUP($B92,Summary!$B:$D,2,FALSE))=TRUE," ",VLOOKUP($B92,Summary!$B:$D,2,FALSE))</f>
        <v> </v>
      </c>
      <c r="D92" s="50" t="str">
        <f>IF(ISNA(VLOOKUP($B92,Summary!$B:$D,3,FALSE))=TRUE," ",VLOOKUP($B92,Summary!$B:$D,3,FALSE))</f>
        <v> </v>
      </c>
      <c r="E92" s="62"/>
      <c r="F92" s="62"/>
      <c r="G92" s="62"/>
      <c r="I92" s="63">
        <f t="shared" si="1"/>
        <v>0</v>
      </c>
      <c r="K92" s="64">
        <f>IF(E92="Support(L1_L2)",IF(NOT(ISBLANK(B92)),IF(NOT(ISBLANK(D92)),NETWORKDAYS('CPY TOC'!$F$5,'CPY TOC'!$G$5))))-L92</f>
        <v>0</v>
      </c>
      <c r="L92" s="64">
        <f>IF(E92="Support(L1_L2)",SUMIFS(Support_allowance_Entries!$G:$G,Support_allowance_Entries!$B:$B,CPY!B92),0)</f>
        <v>0</v>
      </c>
      <c r="M92" s="63" t="b">
        <f>IF($D92="D0",MD!$C$4*(K92),IF($D92="D1",MD!$C$5*(K92),IF($D92="D2",MD!$C$6*(K92),IF($D92="D3",MD!$C$7*(K92),IF($D92="D4",MD!$C$8*(K92),IF($D92="D5",MD!$C$9*(K92),IF($D92="M1",MD!$C$10*(K92),IF($D92="T1",MD!$C$11*(K92)))))))))</f>
        <v>0</v>
      </c>
      <c r="O92" s="65">
        <f>SUMIFS(Shift_allowance_Entries!$G:$G,Shift_allowance_Entries!$F:$F,"6:30AM-03:30PM",Shift_allowance_Entries!$B:$B,CPY!$B92)</f>
        <v>0</v>
      </c>
      <c r="P92" s="65">
        <f>SUMIFS(Shift_allowance_Entries!$G:$G,Shift_allowance_Entries!$F:$F,"1-9PM/2:30PM-11:30PM",Shift_allowance_Entries!$B:$B,CPY!$B92)</f>
        <v>0</v>
      </c>
      <c r="Q92" s="65">
        <f>SUMIFS(Shift_allowance_Entries!$G:$G,Shift_allowance_Entries!$F:$F,"11PM-7AM",Shift_allowance_Entries!$B:$B,CPY!$B92)</f>
        <v>0</v>
      </c>
      <c r="R92" s="63">
        <f>(CPY!O92*MD!$F$4)+(CPY!P92*MD!$F$5)+(CPY!Q92*MD!$F$6)</f>
        <v>0</v>
      </c>
      <c r="T92" s="64">
        <f>ROUNDUP((SUMIFS('OOH Activities'!$K:$K,'OOH Activities'!$F:$F,"Non_workdays",'OOH Activities'!$B:$B,CPY!B92)) *24,1)</f>
        <v>0</v>
      </c>
      <c r="U92" s="64">
        <f>ROUNDUP((SUMIFS('OOH Activities'!$K:$K,'OOH Activities'!$F:$F,"Workdays",'OOH Activities'!$B:$B,CPY!B92)) *24,1)</f>
        <v>0</v>
      </c>
      <c r="V92" s="63">
        <f>ROUNDUP((SUMIFS('OOH Activities'!$L:$L,'OOH Activities'!$B:$B,CPY!B92)),1)</f>
        <v>0</v>
      </c>
      <c r="X92" s="65">
        <f>ROUNDUP((SUMIFS('ON Call_Call Out Activities'!$L:$L,'ON Call_Call Out Activities'!$F:$F,"Workdays",'ON Call_Call Out Activities'!$B:$B,CPY!B92))*24,1)</f>
        <v>0</v>
      </c>
      <c r="Y92" s="64">
        <f>ROUNDUP((SUMIFS('ON Call_Call Out Activities'!$L:$L,'ON Call_Call Out Activities'!$F:$F,"Non_workdays",'ON Call_Call Out Activities'!$B:$B,CPY!B92)) *24,1)</f>
        <v>0</v>
      </c>
      <c r="Z92" s="63">
        <f>ROUNDUP((SUMIFS('ON Call_Call Out Activities'!$M:$M,'ON Call_Call Out Activities'!$F:$F,"Non_workdays",'ON Call_Call Out Activities'!$B:$B,CPY!B92)),1) + ROUNDUP((SUMIFS('ON Call_Call Out Activities'!$M:$M,'ON Call_Call Out Activities'!$F:$F,"Workdays",'ON Call_Call Out Activities'!$B:$B,CPY!B92)),1)</f>
        <v>0</v>
      </c>
      <c r="AA92" s="66"/>
      <c r="AB92" s="64">
        <f>ROUNDUP((SUMIFS('ON Call_Call Out Activities'!$L:$L,'ON Call_Call Out Activities'!$F:$F,"Call_Out",'ON Call_Call Out Activities'!$B:$B,CPY!B92)) *24,1)</f>
        <v>0</v>
      </c>
      <c r="AC92" s="63">
        <f>ROUNDUP((SUMIFS('ON Call_Call Out Activities'!$M:$M,'ON Call_Call Out Activities'!$F:$F,"Call_Out",'ON Call_Call Out Activities'!$B:$B,CPY!B92)),1)</f>
        <v>0</v>
      </c>
      <c r="AE92" s="65">
        <f>IF((SUMIF(Shift_allowance_Entries!$B:$B,CPY!$B92,Shift_allowance_Entries!$H:$H)) &gt; (SUMIF(Shift_allowance_Entries!$B:$B,CPY!$B92,Shift_allowance_Entries!$G:$G)),0,((SUMIF(Shift_allowance_Entries!$B:$B,CPY!$B92,Shift_allowance_Entries!$G:$G))-(SUMIF(Shift_allowance_Entries!$B:$B,CPY!$B92,Shift_allowance_Entries!$H:$H))))</f>
        <v>0</v>
      </c>
      <c r="AF92" s="63">
        <f>AE92*MD!$S$4</f>
        <v>0</v>
      </c>
    </row>
    <row r="93" spans="1:32" x14ac:dyDescent="0.25">
      <c r="A93" s="62">
        <v>91</v>
      </c>
      <c r="B93" s="62"/>
      <c r="C93" s="50" t="str">
        <f>IF(ISNA(VLOOKUP($B93,Summary!$B:$D,2,FALSE))=TRUE," ",VLOOKUP($B93,Summary!$B:$D,2,FALSE))</f>
        <v> </v>
      </c>
      <c r="D93" s="50" t="str">
        <f>IF(ISNA(VLOOKUP($B93,Summary!$B:$D,3,FALSE))=TRUE," ",VLOOKUP($B93,Summary!$B:$D,3,FALSE))</f>
        <v> </v>
      </c>
      <c r="E93" s="62"/>
      <c r="F93" s="62"/>
      <c r="G93" s="62"/>
      <c r="I93" s="63">
        <f t="shared" si="1"/>
        <v>0</v>
      </c>
      <c r="K93" s="64">
        <f>IF(E93="Support(L1_L2)",IF(NOT(ISBLANK(B93)),IF(NOT(ISBLANK(D93)),NETWORKDAYS('CPY TOC'!$F$5,'CPY TOC'!$G$5))))-L93</f>
        <v>0</v>
      </c>
      <c r="L93" s="64">
        <f>IF(E93="Support(L1_L2)",SUMIFS(Support_allowance_Entries!$G:$G,Support_allowance_Entries!$B:$B,CPY!B93),0)</f>
        <v>0</v>
      </c>
      <c r="M93" s="63" t="b">
        <f>IF($D93="D0",MD!$C$4*(K93),IF($D93="D1",MD!$C$5*(K93),IF($D93="D2",MD!$C$6*(K93),IF($D93="D3",MD!$C$7*(K93),IF($D93="D4",MD!$C$8*(K93),IF($D93="D5",MD!$C$9*(K93),IF($D93="M1",MD!$C$10*(K93),IF($D93="T1",MD!$C$11*(K93)))))))))</f>
        <v>0</v>
      </c>
      <c r="O93" s="65">
        <f>SUMIFS(Shift_allowance_Entries!$G:$G,Shift_allowance_Entries!$F:$F,"6:30AM-03:30PM",Shift_allowance_Entries!$B:$B,CPY!$B93)</f>
        <v>0</v>
      </c>
      <c r="P93" s="65">
        <f>SUMIFS(Shift_allowance_Entries!$G:$G,Shift_allowance_Entries!$F:$F,"1-9PM/2:30PM-11:30PM",Shift_allowance_Entries!$B:$B,CPY!$B93)</f>
        <v>0</v>
      </c>
      <c r="Q93" s="65">
        <f>SUMIFS(Shift_allowance_Entries!$G:$G,Shift_allowance_Entries!$F:$F,"11PM-7AM",Shift_allowance_Entries!$B:$B,CPY!$B93)</f>
        <v>0</v>
      </c>
      <c r="R93" s="63">
        <f>(CPY!O93*MD!$F$4)+(CPY!P93*MD!$F$5)+(CPY!Q93*MD!$F$6)</f>
        <v>0</v>
      </c>
      <c r="T93" s="64">
        <f>ROUNDUP((SUMIFS('OOH Activities'!$K:$K,'OOH Activities'!$F:$F,"Non_workdays",'OOH Activities'!$B:$B,CPY!B93)) *24,1)</f>
        <v>0</v>
      </c>
      <c r="U93" s="64">
        <f>ROUNDUP((SUMIFS('OOH Activities'!$K:$K,'OOH Activities'!$F:$F,"Workdays",'OOH Activities'!$B:$B,CPY!B93)) *24,1)</f>
        <v>0</v>
      </c>
      <c r="V93" s="63">
        <f>ROUNDUP((SUMIFS('OOH Activities'!$L:$L,'OOH Activities'!$B:$B,CPY!B93)),1)</f>
        <v>0</v>
      </c>
      <c r="X93" s="65">
        <f>ROUNDUP((SUMIFS('ON Call_Call Out Activities'!$L:$L,'ON Call_Call Out Activities'!$F:$F,"Workdays",'ON Call_Call Out Activities'!$B:$B,CPY!B93))*24,1)</f>
        <v>0</v>
      </c>
      <c r="Y93" s="64">
        <f>ROUNDUP((SUMIFS('ON Call_Call Out Activities'!$L:$L,'ON Call_Call Out Activities'!$F:$F,"Non_workdays",'ON Call_Call Out Activities'!$B:$B,CPY!B93)) *24,1)</f>
        <v>0</v>
      </c>
      <c r="Z93" s="63">
        <f>ROUNDUP((SUMIFS('ON Call_Call Out Activities'!$M:$M,'ON Call_Call Out Activities'!$F:$F,"Non_workdays",'ON Call_Call Out Activities'!$B:$B,CPY!B93)),1) + ROUNDUP((SUMIFS('ON Call_Call Out Activities'!$M:$M,'ON Call_Call Out Activities'!$F:$F,"Workdays",'ON Call_Call Out Activities'!$B:$B,CPY!B93)),1)</f>
        <v>0</v>
      </c>
      <c r="AA93" s="66"/>
      <c r="AB93" s="64">
        <f>ROUNDUP((SUMIFS('ON Call_Call Out Activities'!$L:$L,'ON Call_Call Out Activities'!$F:$F,"Call_Out",'ON Call_Call Out Activities'!$B:$B,CPY!B93)) *24,1)</f>
        <v>0</v>
      </c>
      <c r="AC93" s="63">
        <f>ROUNDUP((SUMIFS('ON Call_Call Out Activities'!$M:$M,'ON Call_Call Out Activities'!$F:$F,"Call_Out",'ON Call_Call Out Activities'!$B:$B,CPY!B93)),1)</f>
        <v>0</v>
      </c>
      <c r="AE93" s="65">
        <f>IF((SUMIF(Shift_allowance_Entries!$B:$B,CPY!$B93,Shift_allowance_Entries!$H:$H)) &gt; (SUMIF(Shift_allowance_Entries!$B:$B,CPY!$B93,Shift_allowance_Entries!$G:$G)),0,((SUMIF(Shift_allowance_Entries!$B:$B,CPY!$B93,Shift_allowance_Entries!$G:$G))-(SUMIF(Shift_allowance_Entries!$B:$B,CPY!$B93,Shift_allowance_Entries!$H:$H))))</f>
        <v>0</v>
      </c>
      <c r="AF93" s="63">
        <f>AE93*MD!$S$4</f>
        <v>0</v>
      </c>
    </row>
    <row r="94" spans="1:32" x14ac:dyDescent="0.25">
      <c r="A94" s="62">
        <v>92</v>
      </c>
      <c r="B94" s="62"/>
      <c r="C94" s="50" t="str">
        <f>IF(ISNA(VLOOKUP($B94,Summary!$B:$D,2,FALSE))=TRUE," ",VLOOKUP($B94,Summary!$B:$D,2,FALSE))</f>
        <v> </v>
      </c>
      <c r="D94" s="50" t="str">
        <f>IF(ISNA(VLOOKUP($B94,Summary!$B:$D,3,FALSE))=TRUE," ",VLOOKUP($B94,Summary!$B:$D,3,FALSE))</f>
        <v> </v>
      </c>
      <c r="E94" s="62"/>
      <c r="F94" s="62"/>
      <c r="G94" s="62"/>
      <c r="I94" s="63">
        <f t="shared" si="1"/>
        <v>0</v>
      </c>
      <c r="K94" s="64">
        <f>IF(E94="Support(L1_L2)",IF(NOT(ISBLANK(B94)),IF(NOT(ISBLANK(D94)),NETWORKDAYS('CPY TOC'!$F$5,'CPY TOC'!$G$5))))-L94</f>
        <v>0</v>
      </c>
      <c r="L94" s="64">
        <f>IF(E94="Support(L1_L2)",SUMIFS(Support_allowance_Entries!$G:$G,Support_allowance_Entries!$B:$B,CPY!B94),0)</f>
        <v>0</v>
      </c>
      <c r="M94" s="63" t="b">
        <f>IF($D94="D0",MD!$C$4*(K94),IF($D94="D1",MD!$C$5*(K94),IF($D94="D2",MD!$C$6*(K94),IF($D94="D3",MD!$C$7*(K94),IF($D94="D4",MD!$C$8*(K94),IF($D94="D5",MD!$C$9*(K94),IF($D94="M1",MD!$C$10*(K94),IF($D94="T1",MD!$C$11*(K94)))))))))</f>
        <v>0</v>
      </c>
      <c r="O94" s="65">
        <f>SUMIFS(Shift_allowance_Entries!$G:$G,Shift_allowance_Entries!$F:$F,"6:30AM-03:30PM",Shift_allowance_Entries!$B:$B,CPY!$B94)</f>
        <v>0</v>
      </c>
      <c r="P94" s="65">
        <f>SUMIFS(Shift_allowance_Entries!$G:$G,Shift_allowance_Entries!$F:$F,"1-9PM/2:30PM-11:30PM",Shift_allowance_Entries!$B:$B,CPY!$B94)</f>
        <v>0</v>
      </c>
      <c r="Q94" s="65">
        <f>SUMIFS(Shift_allowance_Entries!$G:$G,Shift_allowance_Entries!$F:$F,"11PM-7AM",Shift_allowance_Entries!$B:$B,CPY!$B94)</f>
        <v>0</v>
      </c>
      <c r="R94" s="63">
        <f>(CPY!O94*MD!$F$4)+(CPY!P94*MD!$F$5)+(CPY!Q94*MD!$F$6)</f>
        <v>0</v>
      </c>
      <c r="T94" s="64">
        <f>ROUNDUP((SUMIFS('OOH Activities'!$K:$K,'OOH Activities'!$F:$F,"Non_workdays",'OOH Activities'!$B:$B,CPY!B94)) *24,1)</f>
        <v>0</v>
      </c>
      <c r="U94" s="64">
        <f>ROUNDUP((SUMIFS('OOH Activities'!$K:$K,'OOH Activities'!$F:$F,"Workdays",'OOH Activities'!$B:$B,CPY!B94)) *24,1)</f>
        <v>0</v>
      </c>
      <c r="V94" s="63">
        <f>ROUNDUP((SUMIFS('OOH Activities'!$L:$L,'OOH Activities'!$B:$B,CPY!B94)),1)</f>
        <v>0</v>
      </c>
      <c r="X94" s="65">
        <f>ROUNDUP((SUMIFS('ON Call_Call Out Activities'!$L:$L,'ON Call_Call Out Activities'!$F:$F,"Workdays",'ON Call_Call Out Activities'!$B:$B,CPY!B94))*24,1)</f>
        <v>0</v>
      </c>
      <c r="Y94" s="64">
        <f>ROUNDUP((SUMIFS('ON Call_Call Out Activities'!$L:$L,'ON Call_Call Out Activities'!$F:$F,"Non_workdays",'ON Call_Call Out Activities'!$B:$B,CPY!B94)) *24,1)</f>
        <v>0</v>
      </c>
      <c r="Z94" s="63">
        <f>ROUNDUP((SUMIFS('ON Call_Call Out Activities'!$M:$M,'ON Call_Call Out Activities'!$F:$F,"Non_workdays",'ON Call_Call Out Activities'!$B:$B,CPY!B94)),1) + ROUNDUP((SUMIFS('ON Call_Call Out Activities'!$M:$M,'ON Call_Call Out Activities'!$F:$F,"Workdays",'ON Call_Call Out Activities'!$B:$B,CPY!B94)),1)</f>
        <v>0</v>
      </c>
      <c r="AA94" s="66"/>
      <c r="AB94" s="64">
        <f>ROUNDUP((SUMIFS('ON Call_Call Out Activities'!$L:$L,'ON Call_Call Out Activities'!$F:$F,"Call_Out",'ON Call_Call Out Activities'!$B:$B,CPY!B94)) *24,1)</f>
        <v>0</v>
      </c>
      <c r="AC94" s="63">
        <f>ROUNDUP((SUMIFS('ON Call_Call Out Activities'!$M:$M,'ON Call_Call Out Activities'!$F:$F,"Call_Out",'ON Call_Call Out Activities'!$B:$B,CPY!B94)),1)</f>
        <v>0</v>
      </c>
      <c r="AE94" s="65">
        <f>IF((SUMIF(Shift_allowance_Entries!$B:$B,CPY!$B94,Shift_allowance_Entries!$H:$H)) &gt; (SUMIF(Shift_allowance_Entries!$B:$B,CPY!$B94,Shift_allowance_Entries!$G:$G)),0,((SUMIF(Shift_allowance_Entries!$B:$B,CPY!$B94,Shift_allowance_Entries!$G:$G))-(SUMIF(Shift_allowance_Entries!$B:$B,CPY!$B94,Shift_allowance_Entries!$H:$H))))</f>
        <v>0</v>
      </c>
      <c r="AF94" s="63">
        <f>AE94*MD!$S$4</f>
        <v>0</v>
      </c>
    </row>
    <row r="95" spans="1:32" x14ac:dyDescent="0.25">
      <c r="A95" s="62">
        <v>93</v>
      </c>
      <c r="B95" s="62"/>
      <c r="C95" s="50" t="str">
        <f>IF(ISNA(VLOOKUP($B95,Summary!$B:$D,2,FALSE))=TRUE," ",VLOOKUP($B95,Summary!$B:$D,2,FALSE))</f>
        <v> </v>
      </c>
      <c r="D95" s="50" t="str">
        <f>IF(ISNA(VLOOKUP($B95,Summary!$B:$D,3,FALSE))=TRUE," ",VLOOKUP($B95,Summary!$B:$D,3,FALSE))</f>
        <v> </v>
      </c>
      <c r="E95" s="62"/>
      <c r="F95" s="62"/>
      <c r="G95" s="62"/>
      <c r="I95" s="63">
        <f t="shared" si="1"/>
        <v>0</v>
      </c>
      <c r="K95" s="64">
        <f>IF(E95="Support(L1_L2)",IF(NOT(ISBLANK(B95)),IF(NOT(ISBLANK(D95)),NETWORKDAYS('CPY TOC'!$F$5,'CPY TOC'!$G$5))))-L95</f>
        <v>0</v>
      </c>
      <c r="L95" s="64">
        <f>IF(E95="Support(L1_L2)",SUMIFS(Support_allowance_Entries!$G:$G,Support_allowance_Entries!$B:$B,CPY!B95),0)</f>
        <v>0</v>
      </c>
      <c r="M95" s="63" t="b">
        <f>IF($D95="D0",MD!$C$4*(K95),IF($D95="D1",MD!$C$5*(K95),IF($D95="D2",MD!$C$6*(K95),IF($D95="D3",MD!$C$7*(K95),IF($D95="D4",MD!$C$8*(K95),IF($D95="D5",MD!$C$9*(K95),IF($D95="M1",MD!$C$10*(K95),IF($D95="T1",MD!$C$11*(K95)))))))))</f>
        <v>0</v>
      </c>
      <c r="O95" s="65">
        <f>SUMIFS(Shift_allowance_Entries!$G:$G,Shift_allowance_Entries!$F:$F,"6:30AM-03:30PM",Shift_allowance_Entries!$B:$B,CPY!$B95)</f>
        <v>0</v>
      </c>
      <c r="P95" s="65">
        <f>SUMIFS(Shift_allowance_Entries!$G:$G,Shift_allowance_Entries!$F:$F,"1-9PM/2:30PM-11:30PM",Shift_allowance_Entries!$B:$B,CPY!$B95)</f>
        <v>0</v>
      </c>
      <c r="Q95" s="65">
        <f>SUMIFS(Shift_allowance_Entries!$G:$G,Shift_allowance_Entries!$F:$F,"11PM-7AM",Shift_allowance_Entries!$B:$B,CPY!$B95)</f>
        <v>0</v>
      </c>
      <c r="R95" s="63">
        <f>(CPY!O95*MD!$F$4)+(CPY!P95*MD!$F$5)+(CPY!Q95*MD!$F$6)</f>
        <v>0</v>
      </c>
      <c r="T95" s="64">
        <f>ROUNDUP((SUMIFS('OOH Activities'!$K:$K,'OOH Activities'!$F:$F,"Non_workdays",'OOH Activities'!$B:$B,CPY!B95)) *24,1)</f>
        <v>0</v>
      </c>
      <c r="U95" s="64">
        <f>ROUNDUP((SUMIFS('OOH Activities'!$K:$K,'OOH Activities'!$F:$F,"Workdays",'OOH Activities'!$B:$B,CPY!B95)) *24,1)</f>
        <v>0</v>
      </c>
      <c r="V95" s="63">
        <f>ROUNDUP((SUMIFS('OOH Activities'!$L:$L,'OOH Activities'!$B:$B,CPY!B95)),1)</f>
        <v>0</v>
      </c>
      <c r="X95" s="65">
        <f>ROUNDUP((SUMIFS('ON Call_Call Out Activities'!$L:$L,'ON Call_Call Out Activities'!$F:$F,"Workdays",'ON Call_Call Out Activities'!$B:$B,CPY!B95))*24,1)</f>
        <v>0</v>
      </c>
      <c r="Y95" s="64">
        <f>ROUNDUP((SUMIFS('ON Call_Call Out Activities'!$L:$L,'ON Call_Call Out Activities'!$F:$F,"Non_workdays",'ON Call_Call Out Activities'!$B:$B,CPY!B95)) *24,1)</f>
        <v>0</v>
      </c>
      <c r="Z95" s="63">
        <f>ROUNDUP((SUMIFS('ON Call_Call Out Activities'!$M:$M,'ON Call_Call Out Activities'!$F:$F,"Non_workdays",'ON Call_Call Out Activities'!$B:$B,CPY!B95)),1) + ROUNDUP((SUMIFS('ON Call_Call Out Activities'!$M:$M,'ON Call_Call Out Activities'!$F:$F,"Workdays",'ON Call_Call Out Activities'!$B:$B,CPY!B95)),1)</f>
        <v>0</v>
      </c>
      <c r="AA95" s="66"/>
      <c r="AB95" s="64">
        <f>ROUNDUP((SUMIFS('ON Call_Call Out Activities'!$L:$L,'ON Call_Call Out Activities'!$F:$F,"Call_Out",'ON Call_Call Out Activities'!$B:$B,CPY!B95)) *24,1)</f>
        <v>0</v>
      </c>
      <c r="AC95" s="63">
        <f>ROUNDUP((SUMIFS('ON Call_Call Out Activities'!$M:$M,'ON Call_Call Out Activities'!$F:$F,"Call_Out",'ON Call_Call Out Activities'!$B:$B,CPY!B95)),1)</f>
        <v>0</v>
      </c>
      <c r="AE95" s="65">
        <f>IF((SUMIF(Shift_allowance_Entries!$B:$B,CPY!$B95,Shift_allowance_Entries!$H:$H)) &gt; (SUMIF(Shift_allowance_Entries!$B:$B,CPY!$B95,Shift_allowance_Entries!$G:$G)),0,((SUMIF(Shift_allowance_Entries!$B:$B,CPY!$B95,Shift_allowance_Entries!$G:$G))-(SUMIF(Shift_allowance_Entries!$B:$B,CPY!$B95,Shift_allowance_Entries!$H:$H))))</f>
        <v>0</v>
      </c>
      <c r="AF95" s="63">
        <f>AE95*MD!$S$4</f>
        <v>0</v>
      </c>
    </row>
    <row r="96" spans="1:32" x14ac:dyDescent="0.25">
      <c r="A96" s="62">
        <v>94</v>
      </c>
      <c r="B96" s="62"/>
      <c r="C96" s="50" t="str">
        <f>IF(ISNA(VLOOKUP($B96,Summary!$B:$D,2,FALSE))=TRUE," ",VLOOKUP($B96,Summary!$B:$D,2,FALSE))</f>
        <v> </v>
      </c>
      <c r="D96" s="50" t="str">
        <f>IF(ISNA(VLOOKUP($B96,Summary!$B:$D,3,FALSE))=TRUE," ",VLOOKUP($B96,Summary!$B:$D,3,FALSE))</f>
        <v> </v>
      </c>
      <c r="E96" s="62"/>
      <c r="F96" s="62"/>
      <c r="G96" s="62"/>
      <c r="I96" s="63">
        <f t="shared" si="1"/>
        <v>0</v>
      </c>
      <c r="K96" s="64">
        <f>IF(E96="Support(L1_L2)",IF(NOT(ISBLANK(B96)),IF(NOT(ISBLANK(D96)),NETWORKDAYS('CPY TOC'!$F$5,'CPY TOC'!$G$5))))-L96</f>
        <v>0</v>
      </c>
      <c r="L96" s="64">
        <f>IF(E96="Support(L1_L2)",SUMIFS(Support_allowance_Entries!$G:$G,Support_allowance_Entries!$B:$B,CPY!B96),0)</f>
        <v>0</v>
      </c>
      <c r="M96" s="63" t="b">
        <f>IF($D96="D0",MD!$C$4*(K96),IF($D96="D1",MD!$C$5*(K96),IF($D96="D2",MD!$C$6*(K96),IF($D96="D3",MD!$C$7*(K96),IF($D96="D4",MD!$C$8*(K96),IF($D96="D5",MD!$C$9*(K96),IF($D96="M1",MD!$C$10*(K96),IF($D96="T1",MD!$C$11*(K96)))))))))</f>
        <v>0</v>
      </c>
      <c r="O96" s="65">
        <f>SUMIFS(Shift_allowance_Entries!$G:$G,Shift_allowance_Entries!$F:$F,"6:30AM-03:30PM",Shift_allowance_Entries!$B:$B,CPY!$B96)</f>
        <v>0</v>
      </c>
      <c r="P96" s="65">
        <f>SUMIFS(Shift_allowance_Entries!$G:$G,Shift_allowance_Entries!$F:$F,"1-9PM/2:30PM-11:30PM",Shift_allowance_Entries!$B:$B,CPY!$B96)</f>
        <v>0</v>
      </c>
      <c r="Q96" s="65">
        <f>SUMIFS(Shift_allowance_Entries!$G:$G,Shift_allowance_Entries!$F:$F,"11PM-7AM",Shift_allowance_Entries!$B:$B,CPY!$B96)</f>
        <v>0</v>
      </c>
      <c r="R96" s="63">
        <f>(CPY!O96*MD!$F$4)+(CPY!P96*MD!$F$5)+(CPY!Q96*MD!$F$6)</f>
        <v>0</v>
      </c>
      <c r="T96" s="64">
        <f>ROUNDUP((SUMIFS('OOH Activities'!$K:$K,'OOH Activities'!$F:$F,"Non_workdays",'OOH Activities'!$B:$B,CPY!B96)) *24,1)</f>
        <v>0</v>
      </c>
      <c r="U96" s="64">
        <f>ROUNDUP((SUMIFS('OOH Activities'!$K:$K,'OOH Activities'!$F:$F,"Workdays",'OOH Activities'!$B:$B,CPY!B96)) *24,1)</f>
        <v>0</v>
      </c>
      <c r="V96" s="63">
        <f>ROUNDUP((SUMIFS('OOH Activities'!$L:$L,'OOH Activities'!$B:$B,CPY!B96)),1)</f>
        <v>0</v>
      </c>
      <c r="X96" s="65">
        <f>ROUNDUP((SUMIFS('ON Call_Call Out Activities'!$L:$L,'ON Call_Call Out Activities'!$F:$F,"Workdays",'ON Call_Call Out Activities'!$B:$B,CPY!B96))*24,1)</f>
        <v>0</v>
      </c>
      <c r="Y96" s="64">
        <f>ROUNDUP((SUMIFS('ON Call_Call Out Activities'!$L:$L,'ON Call_Call Out Activities'!$F:$F,"Non_workdays",'ON Call_Call Out Activities'!$B:$B,CPY!B96)) *24,1)</f>
        <v>0</v>
      </c>
      <c r="Z96" s="63">
        <f>ROUNDUP((SUMIFS('ON Call_Call Out Activities'!$M:$M,'ON Call_Call Out Activities'!$F:$F,"Non_workdays",'ON Call_Call Out Activities'!$B:$B,CPY!B96)),1) + ROUNDUP((SUMIFS('ON Call_Call Out Activities'!$M:$M,'ON Call_Call Out Activities'!$F:$F,"Workdays",'ON Call_Call Out Activities'!$B:$B,CPY!B96)),1)</f>
        <v>0</v>
      </c>
      <c r="AA96" s="66"/>
      <c r="AB96" s="64">
        <f>ROUNDUP((SUMIFS('ON Call_Call Out Activities'!$L:$L,'ON Call_Call Out Activities'!$F:$F,"Call_Out",'ON Call_Call Out Activities'!$B:$B,CPY!B96)) *24,1)</f>
        <v>0</v>
      </c>
      <c r="AC96" s="63">
        <f>ROUNDUP((SUMIFS('ON Call_Call Out Activities'!$M:$M,'ON Call_Call Out Activities'!$F:$F,"Call_Out",'ON Call_Call Out Activities'!$B:$B,CPY!B96)),1)</f>
        <v>0</v>
      </c>
      <c r="AE96" s="65">
        <f>IF((SUMIF(Shift_allowance_Entries!$B:$B,CPY!$B96,Shift_allowance_Entries!$H:$H)) &gt; (SUMIF(Shift_allowance_Entries!$B:$B,CPY!$B96,Shift_allowance_Entries!$G:$G)),0,((SUMIF(Shift_allowance_Entries!$B:$B,CPY!$B96,Shift_allowance_Entries!$G:$G))-(SUMIF(Shift_allowance_Entries!$B:$B,CPY!$B96,Shift_allowance_Entries!$H:$H))))</f>
        <v>0</v>
      </c>
      <c r="AF96" s="63">
        <f>AE96*MD!$S$4</f>
        <v>0</v>
      </c>
    </row>
    <row r="97" spans="1:32" x14ac:dyDescent="0.25">
      <c r="A97" s="62">
        <v>95</v>
      </c>
      <c r="B97" s="62"/>
      <c r="C97" s="50" t="str">
        <f>IF(ISNA(VLOOKUP($B97,Summary!$B:$D,2,FALSE))=TRUE," ",VLOOKUP($B97,Summary!$B:$D,2,FALSE))</f>
        <v> </v>
      </c>
      <c r="D97" s="50" t="str">
        <f>IF(ISNA(VLOOKUP($B97,Summary!$B:$D,3,FALSE))=TRUE," ",VLOOKUP($B97,Summary!$B:$D,3,FALSE))</f>
        <v> </v>
      </c>
      <c r="E97" s="62"/>
      <c r="F97" s="62"/>
      <c r="G97" s="62"/>
      <c r="I97" s="63">
        <f t="shared" si="1"/>
        <v>0</v>
      </c>
      <c r="K97" s="64">
        <f>IF(E97="Support(L1_L2)",IF(NOT(ISBLANK(B97)),IF(NOT(ISBLANK(D97)),NETWORKDAYS('CPY TOC'!$F$5,'CPY TOC'!$G$5))))-L97</f>
        <v>0</v>
      </c>
      <c r="L97" s="64">
        <f>IF(E97="Support(L1_L2)",SUMIFS(Support_allowance_Entries!$G:$G,Support_allowance_Entries!$B:$B,CPY!B97),0)</f>
        <v>0</v>
      </c>
      <c r="M97" s="63" t="b">
        <f>IF($D97="D0",MD!$C$4*(K97),IF($D97="D1",MD!$C$5*(K97),IF($D97="D2",MD!$C$6*(K97),IF($D97="D3",MD!$C$7*(K97),IF($D97="D4",MD!$C$8*(K97),IF($D97="D5",MD!$C$9*(K97),IF($D97="M1",MD!$C$10*(K97),IF($D97="T1",MD!$C$11*(K97)))))))))</f>
        <v>0</v>
      </c>
      <c r="O97" s="65">
        <f>SUMIFS(Shift_allowance_Entries!$G:$G,Shift_allowance_Entries!$F:$F,"6:30AM-03:30PM",Shift_allowance_Entries!$B:$B,CPY!$B97)</f>
        <v>0</v>
      </c>
      <c r="P97" s="65">
        <f>SUMIFS(Shift_allowance_Entries!$G:$G,Shift_allowance_Entries!$F:$F,"1-9PM/2:30PM-11:30PM",Shift_allowance_Entries!$B:$B,CPY!$B97)</f>
        <v>0</v>
      </c>
      <c r="Q97" s="65">
        <f>SUMIFS(Shift_allowance_Entries!$G:$G,Shift_allowance_Entries!$F:$F,"11PM-7AM",Shift_allowance_Entries!$B:$B,CPY!$B97)</f>
        <v>0</v>
      </c>
      <c r="R97" s="63">
        <f>(CPY!O97*MD!$F$4)+(CPY!P97*MD!$F$5)+(CPY!Q97*MD!$F$6)</f>
        <v>0</v>
      </c>
      <c r="T97" s="64">
        <f>ROUNDUP((SUMIFS('OOH Activities'!$K:$K,'OOH Activities'!$F:$F,"Non_workdays",'OOH Activities'!$B:$B,CPY!B97)) *24,1)</f>
        <v>0</v>
      </c>
      <c r="U97" s="64">
        <f>ROUNDUP((SUMIFS('OOH Activities'!$K:$K,'OOH Activities'!$F:$F,"Workdays",'OOH Activities'!$B:$B,CPY!B97)) *24,1)</f>
        <v>0</v>
      </c>
      <c r="V97" s="63">
        <f>ROUNDUP((SUMIFS('OOH Activities'!$L:$L,'OOH Activities'!$B:$B,CPY!B97)),1)</f>
        <v>0</v>
      </c>
      <c r="X97" s="65">
        <f>ROUNDUP((SUMIFS('ON Call_Call Out Activities'!$L:$L,'ON Call_Call Out Activities'!$F:$F,"Workdays",'ON Call_Call Out Activities'!$B:$B,CPY!B97))*24,1)</f>
        <v>0</v>
      </c>
      <c r="Y97" s="64">
        <f>ROUNDUP((SUMIFS('ON Call_Call Out Activities'!$L:$L,'ON Call_Call Out Activities'!$F:$F,"Non_workdays",'ON Call_Call Out Activities'!$B:$B,CPY!B97)) *24,1)</f>
        <v>0</v>
      </c>
      <c r="Z97" s="63">
        <f>ROUNDUP((SUMIFS('ON Call_Call Out Activities'!$M:$M,'ON Call_Call Out Activities'!$F:$F,"Non_workdays",'ON Call_Call Out Activities'!$B:$B,CPY!B97)),1) + ROUNDUP((SUMIFS('ON Call_Call Out Activities'!$M:$M,'ON Call_Call Out Activities'!$F:$F,"Workdays",'ON Call_Call Out Activities'!$B:$B,CPY!B97)),1)</f>
        <v>0</v>
      </c>
      <c r="AA97" s="66"/>
      <c r="AB97" s="64">
        <f>ROUNDUP((SUMIFS('ON Call_Call Out Activities'!$L:$L,'ON Call_Call Out Activities'!$F:$F,"Call_Out",'ON Call_Call Out Activities'!$B:$B,CPY!B97)) *24,1)</f>
        <v>0</v>
      </c>
      <c r="AC97" s="63">
        <f>ROUNDUP((SUMIFS('ON Call_Call Out Activities'!$M:$M,'ON Call_Call Out Activities'!$F:$F,"Call_Out",'ON Call_Call Out Activities'!$B:$B,CPY!B97)),1)</f>
        <v>0</v>
      </c>
      <c r="AE97" s="65">
        <f>IF((SUMIF(Shift_allowance_Entries!$B:$B,CPY!$B97,Shift_allowance_Entries!$H:$H)) &gt; (SUMIF(Shift_allowance_Entries!$B:$B,CPY!$B97,Shift_allowance_Entries!$G:$G)),0,((SUMIF(Shift_allowance_Entries!$B:$B,CPY!$B97,Shift_allowance_Entries!$G:$G))-(SUMIF(Shift_allowance_Entries!$B:$B,CPY!$B97,Shift_allowance_Entries!$H:$H))))</f>
        <v>0</v>
      </c>
      <c r="AF97" s="63">
        <f>AE97*MD!$S$4</f>
        <v>0</v>
      </c>
    </row>
    <row r="98" spans="1:32" x14ac:dyDescent="0.25">
      <c r="A98" s="62">
        <v>96</v>
      </c>
      <c r="B98" s="62"/>
      <c r="C98" s="50" t="str">
        <f>IF(ISNA(VLOOKUP($B98,Summary!$B:$D,2,FALSE))=TRUE," ",VLOOKUP($B98,Summary!$B:$D,2,FALSE))</f>
        <v> </v>
      </c>
      <c r="D98" s="50" t="str">
        <f>IF(ISNA(VLOOKUP($B98,Summary!$B:$D,3,FALSE))=TRUE," ",VLOOKUP($B98,Summary!$B:$D,3,FALSE))</f>
        <v> </v>
      </c>
      <c r="E98" s="62"/>
      <c r="F98" s="62"/>
      <c r="G98" s="62"/>
      <c r="I98" s="63">
        <f t="shared" si="1"/>
        <v>0</v>
      </c>
      <c r="K98" s="64">
        <f>IF(E98="Support(L1_L2)",IF(NOT(ISBLANK(B98)),IF(NOT(ISBLANK(D98)),NETWORKDAYS('CPY TOC'!$F$5,'CPY TOC'!$G$5))))-L98</f>
        <v>0</v>
      </c>
      <c r="L98" s="64">
        <f>IF(E98="Support(L1_L2)",SUMIFS(Support_allowance_Entries!$G:$G,Support_allowance_Entries!$B:$B,CPY!B98),0)</f>
        <v>0</v>
      </c>
      <c r="M98" s="63" t="b">
        <f>IF($D98="D0",MD!$C$4*(K98),IF($D98="D1",MD!$C$5*(K98),IF($D98="D2",MD!$C$6*(K98),IF($D98="D3",MD!$C$7*(K98),IF($D98="D4",MD!$C$8*(K98),IF($D98="D5",MD!$C$9*(K98),IF($D98="M1",MD!$C$10*(K98),IF($D98="T1",MD!$C$11*(K98)))))))))</f>
        <v>0</v>
      </c>
      <c r="O98" s="65">
        <f>SUMIFS(Shift_allowance_Entries!$G:$G,Shift_allowance_Entries!$F:$F,"6:30AM-03:30PM",Shift_allowance_Entries!$B:$B,CPY!$B98)</f>
        <v>0</v>
      </c>
      <c r="P98" s="65">
        <f>SUMIFS(Shift_allowance_Entries!$G:$G,Shift_allowance_Entries!$F:$F,"1-9PM/2:30PM-11:30PM",Shift_allowance_Entries!$B:$B,CPY!$B98)</f>
        <v>0</v>
      </c>
      <c r="Q98" s="65">
        <f>SUMIFS(Shift_allowance_Entries!$G:$G,Shift_allowance_Entries!$F:$F,"11PM-7AM",Shift_allowance_Entries!$B:$B,CPY!$B98)</f>
        <v>0</v>
      </c>
      <c r="R98" s="63">
        <f>(CPY!O98*MD!$F$4)+(CPY!P98*MD!$F$5)+(CPY!Q98*MD!$F$6)</f>
        <v>0</v>
      </c>
      <c r="T98" s="64">
        <f>ROUNDUP((SUMIFS('OOH Activities'!$K:$K,'OOH Activities'!$F:$F,"Non_workdays",'OOH Activities'!$B:$B,CPY!B98)) *24,1)</f>
        <v>0</v>
      </c>
      <c r="U98" s="64">
        <f>ROUNDUP((SUMIFS('OOH Activities'!$K:$K,'OOH Activities'!$F:$F,"Workdays",'OOH Activities'!$B:$B,CPY!B98)) *24,1)</f>
        <v>0</v>
      </c>
      <c r="V98" s="63">
        <f>ROUNDUP((SUMIFS('OOH Activities'!$L:$L,'OOH Activities'!$B:$B,CPY!B98)),1)</f>
        <v>0</v>
      </c>
      <c r="X98" s="65">
        <f>ROUNDUP((SUMIFS('ON Call_Call Out Activities'!$L:$L,'ON Call_Call Out Activities'!$F:$F,"Workdays",'ON Call_Call Out Activities'!$B:$B,CPY!B98))*24,1)</f>
        <v>0</v>
      </c>
      <c r="Y98" s="64">
        <f>ROUNDUP((SUMIFS('ON Call_Call Out Activities'!$L:$L,'ON Call_Call Out Activities'!$F:$F,"Non_workdays",'ON Call_Call Out Activities'!$B:$B,CPY!B98)) *24,1)</f>
        <v>0</v>
      </c>
      <c r="Z98" s="63">
        <f>ROUNDUP((SUMIFS('ON Call_Call Out Activities'!$M:$M,'ON Call_Call Out Activities'!$F:$F,"Non_workdays",'ON Call_Call Out Activities'!$B:$B,CPY!B98)),1) + ROUNDUP((SUMIFS('ON Call_Call Out Activities'!$M:$M,'ON Call_Call Out Activities'!$F:$F,"Workdays",'ON Call_Call Out Activities'!$B:$B,CPY!B98)),1)</f>
        <v>0</v>
      </c>
      <c r="AA98" s="66"/>
      <c r="AB98" s="64">
        <f>ROUNDUP((SUMIFS('ON Call_Call Out Activities'!$L:$L,'ON Call_Call Out Activities'!$F:$F,"Call_Out",'ON Call_Call Out Activities'!$B:$B,CPY!B98)) *24,1)</f>
        <v>0</v>
      </c>
      <c r="AC98" s="63">
        <f>ROUNDUP((SUMIFS('ON Call_Call Out Activities'!$M:$M,'ON Call_Call Out Activities'!$F:$F,"Call_Out",'ON Call_Call Out Activities'!$B:$B,CPY!B98)),1)</f>
        <v>0</v>
      </c>
      <c r="AE98" s="65">
        <f>IF((SUMIF(Shift_allowance_Entries!$B:$B,CPY!$B98,Shift_allowance_Entries!$H:$H)) &gt; (SUMIF(Shift_allowance_Entries!$B:$B,CPY!$B98,Shift_allowance_Entries!$G:$G)),0,((SUMIF(Shift_allowance_Entries!$B:$B,CPY!$B98,Shift_allowance_Entries!$G:$G))-(SUMIF(Shift_allowance_Entries!$B:$B,CPY!$B98,Shift_allowance_Entries!$H:$H))))</f>
        <v>0</v>
      </c>
      <c r="AF98" s="63">
        <f>AE98*MD!$S$4</f>
        <v>0</v>
      </c>
    </row>
    <row r="99" spans="1:32" x14ac:dyDescent="0.25">
      <c r="A99" s="62">
        <v>97</v>
      </c>
      <c r="B99" s="62"/>
      <c r="C99" s="50" t="str">
        <f>IF(ISNA(VLOOKUP($B99,Summary!$B:$D,2,FALSE))=TRUE," ",VLOOKUP($B99,Summary!$B:$D,2,FALSE))</f>
        <v> </v>
      </c>
      <c r="D99" s="50" t="str">
        <f>IF(ISNA(VLOOKUP($B99,Summary!$B:$D,3,FALSE))=TRUE," ",VLOOKUP($B99,Summary!$B:$D,3,FALSE))</f>
        <v> </v>
      </c>
      <c r="E99" s="62"/>
      <c r="F99" s="62"/>
      <c r="G99" s="62"/>
      <c r="I99" s="63">
        <f t="shared" si="1"/>
        <v>0</v>
      </c>
      <c r="K99" s="64">
        <f>IF(E99="Support(L1_L2)",IF(NOT(ISBLANK(B99)),IF(NOT(ISBLANK(D99)),NETWORKDAYS('CPY TOC'!$F$5,'CPY TOC'!$G$5))))-L99</f>
        <v>0</v>
      </c>
      <c r="L99" s="64">
        <f>IF(E99="Support(L1_L2)",SUMIFS(Support_allowance_Entries!$G:$G,Support_allowance_Entries!$B:$B,CPY!B99),0)</f>
        <v>0</v>
      </c>
      <c r="M99" s="63" t="b">
        <f>IF($D99="D0",MD!$C$4*(K99),IF($D99="D1",MD!$C$5*(K99),IF($D99="D2",MD!$C$6*(K99),IF($D99="D3",MD!$C$7*(K99),IF($D99="D4",MD!$C$8*(K99),IF($D99="D5",MD!$C$9*(K99),IF($D99="M1",MD!$C$10*(K99),IF($D99="T1",MD!$C$11*(K99)))))))))</f>
        <v>0</v>
      </c>
      <c r="O99" s="65">
        <f>SUMIFS(Shift_allowance_Entries!$G:$G,Shift_allowance_Entries!$F:$F,"6:30AM-03:30PM",Shift_allowance_Entries!$B:$B,CPY!$B99)</f>
        <v>0</v>
      </c>
      <c r="P99" s="65">
        <f>SUMIFS(Shift_allowance_Entries!$G:$G,Shift_allowance_Entries!$F:$F,"1-9PM/2:30PM-11:30PM",Shift_allowance_Entries!$B:$B,CPY!$B99)</f>
        <v>0</v>
      </c>
      <c r="Q99" s="65">
        <f>SUMIFS(Shift_allowance_Entries!$G:$G,Shift_allowance_Entries!$F:$F,"11PM-7AM",Shift_allowance_Entries!$B:$B,CPY!$B99)</f>
        <v>0</v>
      </c>
      <c r="R99" s="63">
        <f>(CPY!O99*MD!$F$4)+(CPY!P99*MD!$F$5)+(CPY!Q99*MD!$F$6)</f>
        <v>0</v>
      </c>
      <c r="T99" s="64">
        <f>ROUNDUP((SUMIFS('OOH Activities'!$K:$K,'OOH Activities'!$F:$F,"Non_workdays",'OOH Activities'!$B:$B,CPY!B99)) *24,1)</f>
        <v>0</v>
      </c>
      <c r="U99" s="64">
        <f>ROUNDUP((SUMIFS('OOH Activities'!$K:$K,'OOH Activities'!$F:$F,"Workdays",'OOH Activities'!$B:$B,CPY!B99)) *24,1)</f>
        <v>0</v>
      </c>
      <c r="V99" s="63">
        <f>ROUNDUP((SUMIFS('OOH Activities'!$L:$L,'OOH Activities'!$B:$B,CPY!B99)),1)</f>
        <v>0</v>
      </c>
      <c r="X99" s="65">
        <f>ROUNDUP((SUMIFS('ON Call_Call Out Activities'!$L:$L,'ON Call_Call Out Activities'!$F:$F,"Workdays",'ON Call_Call Out Activities'!$B:$B,CPY!B99))*24,1)</f>
        <v>0</v>
      </c>
      <c r="Y99" s="64">
        <f>ROUNDUP((SUMIFS('ON Call_Call Out Activities'!$L:$L,'ON Call_Call Out Activities'!$F:$F,"Non_workdays",'ON Call_Call Out Activities'!$B:$B,CPY!B99)) *24,1)</f>
        <v>0</v>
      </c>
      <c r="Z99" s="63">
        <f>ROUNDUP((SUMIFS('ON Call_Call Out Activities'!$M:$M,'ON Call_Call Out Activities'!$F:$F,"Non_workdays",'ON Call_Call Out Activities'!$B:$B,CPY!B99)),1) + ROUNDUP((SUMIFS('ON Call_Call Out Activities'!$M:$M,'ON Call_Call Out Activities'!$F:$F,"Workdays",'ON Call_Call Out Activities'!$B:$B,CPY!B99)),1)</f>
        <v>0</v>
      </c>
      <c r="AA99" s="66"/>
      <c r="AB99" s="64">
        <f>ROUNDUP((SUMIFS('ON Call_Call Out Activities'!$L:$L,'ON Call_Call Out Activities'!$F:$F,"Call_Out",'ON Call_Call Out Activities'!$B:$B,CPY!B99)) *24,1)</f>
        <v>0</v>
      </c>
      <c r="AC99" s="63">
        <f>ROUNDUP((SUMIFS('ON Call_Call Out Activities'!$M:$M,'ON Call_Call Out Activities'!$F:$F,"Call_Out",'ON Call_Call Out Activities'!$B:$B,CPY!B99)),1)</f>
        <v>0</v>
      </c>
      <c r="AE99" s="65">
        <f>IF((SUMIF(Shift_allowance_Entries!$B:$B,CPY!$B99,Shift_allowance_Entries!$H:$H)) &gt; (SUMIF(Shift_allowance_Entries!$B:$B,CPY!$B99,Shift_allowance_Entries!$G:$G)),0,((SUMIF(Shift_allowance_Entries!$B:$B,CPY!$B99,Shift_allowance_Entries!$G:$G))-(SUMIF(Shift_allowance_Entries!$B:$B,CPY!$B99,Shift_allowance_Entries!$H:$H))))</f>
        <v>0</v>
      </c>
      <c r="AF99" s="63">
        <f>AE99*MD!$S$4</f>
        <v>0</v>
      </c>
    </row>
    <row r="100" spans="1:32" x14ac:dyDescent="0.25">
      <c r="A100" s="62">
        <v>98</v>
      </c>
      <c r="B100" s="62"/>
      <c r="C100" s="50" t="str">
        <f>IF(ISNA(VLOOKUP($B100,Summary!$B:$D,2,FALSE))=TRUE," ",VLOOKUP($B100,Summary!$B:$D,2,FALSE))</f>
        <v> </v>
      </c>
      <c r="D100" s="50" t="str">
        <f>IF(ISNA(VLOOKUP($B100,Summary!$B:$D,3,FALSE))=TRUE," ",VLOOKUP($B100,Summary!$B:$D,3,FALSE))</f>
        <v> </v>
      </c>
      <c r="E100" s="62"/>
      <c r="F100" s="62"/>
      <c r="G100" s="62"/>
      <c r="I100" s="63">
        <f t="shared" si="1"/>
        <v>0</v>
      </c>
      <c r="K100" s="64">
        <f>IF(E100="Support(L1_L2)",IF(NOT(ISBLANK(B100)),IF(NOT(ISBLANK(D100)),NETWORKDAYS('CPY TOC'!$F$5,'CPY TOC'!$G$5))))-L100</f>
        <v>0</v>
      </c>
      <c r="L100" s="64">
        <f>IF(E100="Support(L1_L2)",SUMIFS(Support_allowance_Entries!$G:$G,Support_allowance_Entries!$B:$B,CPY!B100),0)</f>
        <v>0</v>
      </c>
      <c r="M100" s="63" t="b">
        <f>IF($D100="D0",MD!$C$4*(K100),IF($D100="D1",MD!$C$5*(K100),IF($D100="D2",MD!$C$6*(K100),IF($D100="D3",MD!$C$7*(K100),IF($D100="D4",MD!$C$8*(K100),IF($D100="D5",MD!$C$9*(K100),IF($D100="M1",MD!$C$10*(K100),IF($D100="T1",MD!$C$11*(K100)))))))))</f>
        <v>0</v>
      </c>
      <c r="O100" s="65">
        <f>SUMIFS(Shift_allowance_Entries!$G:$G,Shift_allowance_Entries!$F:$F,"6:30AM-03:30PM",Shift_allowance_Entries!$B:$B,CPY!$B100)</f>
        <v>0</v>
      </c>
      <c r="P100" s="65">
        <f>SUMIFS(Shift_allowance_Entries!$G:$G,Shift_allowance_Entries!$F:$F,"1-9PM/2:30PM-11:30PM",Shift_allowance_Entries!$B:$B,CPY!$B100)</f>
        <v>0</v>
      </c>
      <c r="Q100" s="65">
        <f>SUMIFS(Shift_allowance_Entries!$G:$G,Shift_allowance_Entries!$F:$F,"11PM-7AM",Shift_allowance_Entries!$B:$B,CPY!$B100)</f>
        <v>0</v>
      </c>
      <c r="R100" s="63">
        <f>(CPY!O100*MD!$F$4)+(CPY!P100*MD!$F$5)+(CPY!Q100*MD!$F$6)</f>
        <v>0</v>
      </c>
      <c r="T100" s="64">
        <f>ROUNDUP((SUMIFS('OOH Activities'!$K:$K,'OOH Activities'!$F:$F,"Non_workdays",'OOH Activities'!$B:$B,CPY!B100)) *24,1)</f>
        <v>0</v>
      </c>
      <c r="U100" s="64">
        <f>ROUNDUP((SUMIFS('OOH Activities'!$K:$K,'OOH Activities'!$F:$F,"Workdays",'OOH Activities'!$B:$B,CPY!B100)) *24,1)</f>
        <v>0</v>
      </c>
      <c r="V100" s="63">
        <f>ROUNDUP((SUMIFS('OOH Activities'!$L:$L,'OOH Activities'!$B:$B,CPY!B100)),1)</f>
        <v>0</v>
      </c>
      <c r="X100" s="65">
        <f>ROUNDUP((SUMIFS('ON Call_Call Out Activities'!$L:$L,'ON Call_Call Out Activities'!$F:$F,"Workdays",'ON Call_Call Out Activities'!$B:$B,CPY!B100))*24,1)</f>
        <v>0</v>
      </c>
      <c r="Y100" s="64">
        <f>ROUNDUP((SUMIFS('ON Call_Call Out Activities'!$L:$L,'ON Call_Call Out Activities'!$F:$F,"Non_workdays",'ON Call_Call Out Activities'!$B:$B,CPY!B100)) *24,1)</f>
        <v>0</v>
      </c>
      <c r="Z100" s="63">
        <f>ROUNDUP((SUMIFS('ON Call_Call Out Activities'!$M:$M,'ON Call_Call Out Activities'!$F:$F,"Non_workdays",'ON Call_Call Out Activities'!$B:$B,CPY!B100)),1) + ROUNDUP((SUMIFS('ON Call_Call Out Activities'!$M:$M,'ON Call_Call Out Activities'!$F:$F,"Workdays",'ON Call_Call Out Activities'!$B:$B,CPY!B100)),1)</f>
        <v>0</v>
      </c>
      <c r="AA100" s="66"/>
      <c r="AB100" s="64">
        <f>ROUNDUP((SUMIFS('ON Call_Call Out Activities'!$L:$L,'ON Call_Call Out Activities'!$F:$F,"Call_Out",'ON Call_Call Out Activities'!$B:$B,CPY!B100)) *24,1)</f>
        <v>0</v>
      </c>
      <c r="AC100" s="63">
        <f>ROUNDUP((SUMIFS('ON Call_Call Out Activities'!$M:$M,'ON Call_Call Out Activities'!$F:$F,"Call_Out",'ON Call_Call Out Activities'!$B:$B,CPY!B100)),1)</f>
        <v>0</v>
      </c>
      <c r="AE100" s="65">
        <f>IF((SUMIF(Shift_allowance_Entries!$B:$B,CPY!$B100,Shift_allowance_Entries!$H:$H)) &gt; (SUMIF(Shift_allowance_Entries!$B:$B,CPY!$B100,Shift_allowance_Entries!$G:$G)),0,((SUMIF(Shift_allowance_Entries!$B:$B,CPY!$B100,Shift_allowance_Entries!$G:$G))-(SUMIF(Shift_allowance_Entries!$B:$B,CPY!$B100,Shift_allowance_Entries!$H:$H))))</f>
        <v>0</v>
      </c>
      <c r="AF100" s="63">
        <f>AE100*MD!$S$4</f>
        <v>0</v>
      </c>
    </row>
    <row r="101" spans="1:32" x14ac:dyDescent="0.25">
      <c r="A101" s="62">
        <v>99</v>
      </c>
      <c r="B101" s="62"/>
      <c r="C101" s="50" t="str">
        <f>IF(ISNA(VLOOKUP($B101,Summary!$B:$D,2,FALSE))=TRUE," ",VLOOKUP($B101,Summary!$B:$D,2,FALSE))</f>
        <v> </v>
      </c>
      <c r="D101" s="50" t="str">
        <f>IF(ISNA(VLOOKUP($B101,Summary!$B:$D,3,FALSE))=TRUE," ",VLOOKUP($B101,Summary!$B:$D,3,FALSE))</f>
        <v> </v>
      </c>
      <c r="E101" s="62"/>
      <c r="F101" s="62"/>
      <c r="G101" s="62"/>
      <c r="I101" s="63">
        <f t="shared" si="1"/>
        <v>0</v>
      </c>
      <c r="K101" s="64">
        <f>IF(E101="Support(L1_L2)",IF(NOT(ISBLANK(B101)),IF(NOT(ISBLANK(D101)),NETWORKDAYS('CPY TOC'!$F$5,'CPY TOC'!$G$5))))-L101</f>
        <v>0</v>
      </c>
      <c r="L101" s="64">
        <f>IF(E101="Support(L1_L2)",SUMIFS(Support_allowance_Entries!$G:$G,Support_allowance_Entries!$B:$B,CPY!B101),0)</f>
        <v>0</v>
      </c>
      <c r="M101" s="63" t="b">
        <f>IF($D101="D0",MD!$C$4*(K101),IF($D101="D1",MD!$C$5*(K101),IF($D101="D2",MD!$C$6*(K101),IF($D101="D3",MD!$C$7*(K101),IF($D101="D4",MD!$C$8*(K101),IF($D101="D5",MD!$C$9*(K101),IF($D101="M1",MD!$C$10*(K101),IF($D101="T1",MD!$C$11*(K101)))))))))</f>
        <v>0</v>
      </c>
      <c r="O101" s="65">
        <f>SUMIFS(Shift_allowance_Entries!$G:$G,Shift_allowance_Entries!$F:$F,"6:30AM-03:30PM",Shift_allowance_Entries!$B:$B,CPY!$B101)</f>
        <v>0</v>
      </c>
      <c r="P101" s="65">
        <f>SUMIFS(Shift_allowance_Entries!$G:$G,Shift_allowance_Entries!$F:$F,"1-9PM/2:30PM-11:30PM",Shift_allowance_Entries!$B:$B,CPY!$B101)</f>
        <v>0</v>
      </c>
      <c r="Q101" s="65">
        <f>SUMIFS(Shift_allowance_Entries!$G:$G,Shift_allowance_Entries!$F:$F,"11PM-7AM",Shift_allowance_Entries!$B:$B,CPY!$B101)</f>
        <v>0</v>
      </c>
      <c r="R101" s="63">
        <f>(CPY!O101*MD!$F$4)+(CPY!P101*MD!$F$5)+(CPY!Q101*MD!$F$6)</f>
        <v>0</v>
      </c>
      <c r="T101" s="64">
        <f>ROUNDUP((SUMIFS('OOH Activities'!$K:$K,'OOH Activities'!$F:$F,"Non_workdays",'OOH Activities'!$B:$B,CPY!B101)) *24,1)</f>
        <v>0</v>
      </c>
      <c r="U101" s="64">
        <f>ROUNDUP((SUMIFS('OOH Activities'!$K:$K,'OOH Activities'!$F:$F,"Workdays",'OOH Activities'!$B:$B,CPY!B101)) *24,1)</f>
        <v>0</v>
      </c>
      <c r="V101" s="63">
        <f>ROUNDUP((SUMIFS('OOH Activities'!$L:$L,'OOH Activities'!$B:$B,CPY!B101)),1)</f>
        <v>0</v>
      </c>
      <c r="X101" s="65">
        <f>ROUNDUP((SUMIFS('ON Call_Call Out Activities'!$L:$L,'ON Call_Call Out Activities'!$F:$F,"Workdays",'ON Call_Call Out Activities'!$B:$B,CPY!B101))*24,1)</f>
        <v>0</v>
      </c>
      <c r="Y101" s="64">
        <f>ROUNDUP((SUMIFS('ON Call_Call Out Activities'!$L:$L,'ON Call_Call Out Activities'!$F:$F,"Non_workdays",'ON Call_Call Out Activities'!$B:$B,CPY!B101)) *24,1)</f>
        <v>0</v>
      </c>
      <c r="Z101" s="63">
        <f>ROUNDUP((SUMIFS('ON Call_Call Out Activities'!$M:$M,'ON Call_Call Out Activities'!$F:$F,"Non_workdays",'ON Call_Call Out Activities'!$B:$B,CPY!B101)),1) + ROUNDUP((SUMIFS('ON Call_Call Out Activities'!$M:$M,'ON Call_Call Out Activities'!$F:$F,"Workdays",'ON Call_Call Out Activities'!$B:$B,CPY!B101)),1)</f>
        <v>0</v>
      </c>
      <c r="AA101" s="66"/>
      <c r="AB101" s="64">
        <f>ROUNDUP((SUMIFS('ON Call_Call Out Activities'!$L:$L,'ON Call_Call Out Activities'!$F:$F,"Call_Out",'ON Call_Call Out Activities'!$B:$B,CPY!B101)) *24,1)</f>
        <v>0</v>
      </c>
      <c r="AC101" s="63">
        <f>ROUNDUP((SUMIFS('ON Call_Call Out Activities'!$M:$M,'ON Call_Call Out Activities'!$F:$F,"Call_Out",'ON Call_Call Out Activities'!$B:$B,CPY!B101)),1)</f>
        <v>0</v>
      </c>
      <c r="AE101" s="65">
        <f>IF((SUMIF(Shift_allowance_Entries!$B:$B,CPY!$B101,Shift_allowance_Entries!$H:$H)) &gt; (SUMIF(Shift_allowance_Entries!$B:$B,CPY!$B101,Shift_allowance_Entries!$G:$G)),0,((SUMIF(Shift_allowance_Entries!$B:$B,CPY!$B101,Shift_allowance_Entries!$G:$G))-(SUMIF(Shift_allowance_Entries!$B:$B,CPY!$B101,Shift_allowance_Entries!$H:$H))))</f>
        <v>0</v>
      </c>
      <c r="AF101" s="63">
        <f>AE101*MD!$S$4</f>
        <v>0</v>
      </c>
    </row>
    <row r="102" spans="1:32" x14ac:dyDescent="0.25">
      <c r="A102" s="62">
        <v>100</v>
      </c>
      <c r="B102" s="62"/>
      <c r="C102" s="50" t="str">
        <f>IF(ISNA(VLOOKUP($B102,Summary!$B:$D,2,FALSE))=TRUE," ",VLOOKUP($B102,Summary!$B:$D,2,FALSE))</f>
        <v> </v>
      </c>
      <c r="D102" s="50" t="str">
        <f>IF(ISNA(VLOOKUP($B102,Summary!$B:$D,3,FALSE))=TRUE," ",VLOOKUP($B102,Summary!$B:$D,3,FALSE))</f>
        <v> </v>
      </c>
      <c r="E102" s="62"/>
      <c r="F102" s="62"/>
      <c r="G102" s="62"/>
      <c r="I102" s="63">
        <f t="shared" si="1"/>
        <v>0</v>
      </c>
      <c r="K102" s="64">
        <f>IF(E102="Support(L1_L2)",IF(NOT(ISBLANK(B102)),IF(NOT(ISBLANK(D102)),NETWORKDAYS('CPY TOC'!$F$5,'CPY TOC'!$G$5))))-L102</f>
        <v>0</v>
      </c>
      <c r="L102" s="64">
        <f>IF(E102="Support(L1_L2)",SUMIFS(Support_allowance_Entries!$G:$G,Support_allowance_Entries!$B:$B,CPY!B102),0)</f>
        <v>0</v>
      </c>
      <c r="M102" s="63" t="b">
        <f>IF($D102="D0",MD!$C$4*(K102),IF($D102="D1",MD!$C$5*(K102),IF($D102="D2",MD!$C$6*(K102),IF($D102="D3",MD!$C$7*(K102),IF($D102="D4",MD!$C$8*(K102),IF($D102="D5",MD!$C$9*(K102),IF($D102="M1",MD!$C$10*(K102),IF($D102="T1",MD!$C$11*(K102)))))))))</f>
        <v>0</v>
      </c>
      <c r="O102" s="65">
        <f>SUMIFS(Shift_allowance_Entries!$G:$G,Shift_allowance_Entries!$F:$F,"6:30AM-03:30PM",Shift_allowance_Entries!$B:$B,CPY!$B102)</f>
        <v>0</v>
      </c>
      <c r="P102" s="65">
        <f>SUMIFS(Shift_allowance_Entries!$G:$G,Shift_allowance_Entries!$F:$F,"1-9PM/2:30PM-11:30PM",Shift_allowance_Entries!$B:$B,CPY!$B102)</f>
        <v>0</v>
      </c>
      <c r="Q102" s="65">
        <f>SUMIFS(Shift_allowance_Entries!$G:$G,Shift_allowance_Entries!$F:$F,"11PM-7AM",Shift_allowance_Entries!$B:$B,CPY!$B102)</f>
        <v>0</v>
      </c>
      <c r="R102" s="63">
        <f>(CPY!O102*MD!$F$4)+(CPY!P102*MD!$F$5)+(CPY!Q102*MD!$F$6)</f>
        <v>0</v>
      </c>
      <c r="T102" s="64">
        <f>ROUNDUP((SUMIFS('OOH Activities'!$K:$K,'OOH Activities'!$F:$F,"Non_workdays",'OOH Activities'!$B:$B,CPY!B102)) *24,1)</f>
        <v>0</v>
      </c>
      <c r="U102" s="64">
        <f>ROUNDUP((SUMIFS('OOH Activities'!$K:$K,'OOH Activities'!$F:$F,"Workdays",'OOH Activities'!$B:$B,CPY!B102)) *24,1)</f>
        <v>0</v>
      </c>
      <c r="V102" s="63">
        <f>ROUNDUP((SUMIFS('OOH Activities'!$L:$L,'OOH Activities'!$B:$B,CPY!B102)),1)</f>
        <v>0</v>
      </c>
      <c r="X102" s="65">
        <f>ROUNDUP((SUMIFS('ON Call_Call Out Activities'!$L:$L,'ON Call_Call Out Activities'!$F:$F,"Workdays",'ON Call_Call Out Activities'!$B:$B,CPY!B102))*24,1)</f>
        <v>0</v>
      </c>
      <c r="Y102" s="64">
        <f>ROUNDUP((SUMIFS('ON Call_Call Out Activities'!$L:$L,'ON Call_Call Out Activities'!$F:$F,"Non_workdays",'ON Call_Call Out Activities'!$B:$B,CPY!B102)) *24,1)</f>
        <v>0</v>
      </c>
      <c r="Z102" s="63">
        <f>ROUNDUP((SUMIFS('ON Call_Call Out Activities'!$M:$M,'ON Call_Call Out Activities'!$F:$F,"Non_workdays",'ON Call_Call Out Activities'!$B:$B,CPY!B102)),1) + ROUNDUP((SUMIFS('ON Call_Call Out Activities'!$M:$M,'ON Call_Call Out Activities'!$F:$F,"Workdays",'ON Call_Call Out Activities'!$B:$B,CPY!B102)),1)</f>
        <v>0</v>
      </c>
      <c r="AA102" s="66"/>
      <c r="AB102" s="64">
        <f>ROUNDUP((SUMIFS('ON Call_Call Out Activities'!$L:$L,'ON Call_Call Out Activities'!$F:$F,"Call_Out",'ON Call_Call Out Activities'!$B:$B,CPY!B102)) *24,1)</f>
        <v>0</v>
      </c>
      <c r="AC102" s="63">
        <f>ROUNDUP((SUMIFS('ON Call_Call Out Activities'!$M:$M,'ON Call_Call Out Activities'!$F:$F,"Call_Out",'ON Call_Call Out Activities'!$B:$B,CPY!B102)),1)</f>
        <v>0</v>
      </c>
      <c r="AE102" s="65">
        <f>IF((SUMIF(Shift_allowance_Entries!$B:$B,CPY!$B102,Shift_allowance_Entries!$H:$H)) &gt; (SUMIF(Shift_allowance_Entries!$B:$B,CPY!$B102,Shift_allowance_Entries!$G:$G)),0,((SUMIF(Shift_allowance_Entries!$B:$B,CPY!$B102,Shift_allowance_Entries!$G:$G))-(SUMIF(Shift_allowance_Entries!$B:$B,CPY!$B102,Shift_allowance_Entries!$H:$H))))</f>
        <v>0</v>
      </c>
      <c r="AF102" s="63">
        <f>AE102*MD!$S$4</f>
        <v>0</v>
      </c>
    </row>
    <row r="103" spans="1:32" x14ac:dyDescent="0.25">
      <c r="A103" s="62">
        <v>101</v>
      </c>
      <c r="B103" s="62"/>
      <c r="C103" s="50" t="str">
        <f>IF(ISNA(VLOOKUP($B103,Summary!$B:$D,2,FALSE))=TRUE," ",VLOOKUP($B103,Summary!$B:$D,2,FALSE))</f>
        <v> </v>
      </c>
      <c r="D103" s="50" t="str">
        <f>IF(ISNA(VLOOKUP($B103,Summary!$B:$D,3,FALSE))=TRUE," ",VLOOKUP($B103,Summary!$B:$D,3,FALSE))</f>
        <v> </v>
      </c>
      <c r="E103" s="62"/>
      <c r="F103" s="62"/>
      <c r="G103" s="62"/>
      <c r="I103" s="63">
        <f t="shared" si="1"/>
        <v>0</v>
      </c>
      <c r="K103" s="64">
        <f>IF(E103="Support(L1_L2)",IF(NOT(ISBLANK(B103)),IF(NOT(ISBLANK(D103)),NETWORKDAYS('CPY TOC'!$F$5,'CPY TOC'!$G$5))))-L103</f>
        <v>0</v>
      </c>
      <c r="L103" s="64">
        <f>IF(E103="Support(L1_L2)",SUMIFS(Support_allowance_Entries!$G:$G,Support_allowance_Entries!$B:$B,CPY!B103),0)</f>
        <v>0</v>
      </c>
      <c r="M103" s="63" t="b">
        <f>IF($D103="D0",MD!$C$4*(K103),IF($D103="D1",MD!$C$5*(K103),IF($D103="D2",MD!$C$6*(K103),IF($D103="D3",MD!$C$7*(K103),IF($D103="D4",MD!$C$8*(K103),IF($D103="D5",MD!$C$9*(K103),IF($D103="M1",MD!$C$10*(K103),IF($D103="T1",MD!$C$11*(K103)))))))))</f>
        <v>0</v>
      </c>
      <c r="O103" s="65">
        <f>SUMIFS(Shift_allowance_Entries!$G:$G,Shift_allowance_Entries!$F:$F,"6:30AM-03:30PM",Shift_allowance_Entries!$B:$B,CPY!$B103)</f>
        <v>0</v>
      </c>
      <c r="P103" s="65">
        <f>SUMIFS(Shift_allowance_Entries!$G:$G,Shift_allowance_Entries!$F:$F,"1-9PM/2:30PM-11:30PM",Shift_allowance_Entries!$B:$B,CPY!$B103)</f>
        <v>0</v>
      </c>
      <c r="Q103" s="65">
        <f>SUMIFS(Shift_allowance_Entries!$G:$G,Shift_allowance_Entries!$F:$F,"11PM-7AM",Shift_allowance_Entries!$B:$B,CPY!$B103)</f>
        <v>0</v>
      </c>
      <c r="R103" s="63">
        <f>(CPY!O103*MD!$F$4)+(CPY!P103*MD!$F$5)+(CPY!Q103*MD!$F$6)</f>
        <v>0</v>
      </c>
      <c r="T103" s="64">
        <f>ROUNDUP((SUMIFS('OOH Activities'!$K:$K,'OOH Activities'!$F:$F,"Non_workdays",'OOH Activities'!$B:$B,CPY!B103)) *24,1)</f>
        <v>0</v>
      </c>
      <c r="U103" s="64">
        <f>ROUNDUP((SUMIFS('OOH Activities'!$K:$K,'OOH Activities'!$F:$F,"Workdays",'OOH Activities'!$B:$B,CPY!B103)) *24,1)</f>
        <v>0</v>
      </c>
      <c r="V103" s="63">
        <f>ROUNDUP((SUMIFS('OOH Activities'!$L:$L,'OOH Activities'!$B:$B,CPY!B103)),1)</f>
        <v>0</v>
      </c>
      <c r="X103" s="65">
        <f>ROUNDUP((SUMIFS('ON Call_Call Out Activities'!$L:$L,'ON Call_Call Out Activities'!$F:$F,"Workdays",'ON Call_Call Out Activities'!$B:$B,CPY!B103))*24,1)</f>
        <v>0</v>
      </c>
      <c r="Y103" s="64">
        <f>ROUNDUP((SUMIFS('ON Call_Call Out Activities'!$L:$L,'ON Call_Call Out Activities'!$F:$F,"Non_workdays",'ON Call_Call Out Activities'!$B:$B,CPY!B103)) *24,1)</f>
        <v>0</v>
      </c>
      <c r="Z103" s="63">
        <f>ROUNDUP((SUMIFS('ON Call_Call Out Activities'!$M:$M,'ON Call_Call Out Activities'!$F:$F,"Non_workdays",'ON Call_Call Out Activities'!$B:$B,CPY!B103)),1) + ROUNDUP((SUMIFS('ON Call_Call Out Activities'!$M:$M,'ON Call_Call Out Activities'!$F:$F,"Workdays",'ON Call_Call Out Activities'!$B:$B,CPY!B103)),1)</f>
        <v>0</v>
      </c>
      <c r="AA103" s="66"/>
      <c r="AB103" s="64">
        <f>ROUNDUP((SUMIFS('ON Call_Call Out Activities'!$L:$L,'ON Call_Call Out Activities'!$F:$F,"Call_Out",'ON Call_Call Out Activities'!$B:$B,CPY!B103)) *24,1)</f>
        <v>0</v>
      </c>
      <c r="AC103" s="63">
        <f>ROUNDUP((SUMIFS('ON Call_Call Out Activities'!$M:$M,'ON Call_Call Out Activities'!$F:$F,"Call_Out",'ON Call_Call Out Activities'!$B:$B,CPY!B103)),1)</f>
        <v>0</v>
      </c>
      <c r="AE103" s="65">
        <f>IF((SUMIF(Shift_allowance_Entries!$B:$B,CPY!$B103,Shift_allowance_Entries!$H:$H)) &gt; (SUMIF(Shift_allowance_Entries!$B:$B,CPY!$B103,Shift_allowance_Entries!$G:$G)),0,((SUMIF(Shift_allowance_Entries!$B:$B,CPY!$B103,Shift_allowance_Entries!$G:$G))-(SUMIF(Shift_allowance_Entries!$B:$B,CPY!$B103,Shift_allowance_Entries!$H:$H))))</f>
        <v>0</v>
      </c>
      <c r="AF103" s="63">
        <f>AE103*MD!$S$4</f>
        <v>0</v>
      </c>
    </row>
    <row r="104" spans="1:32" x14ac:dyDescent="0.25">
      <c r="A104" s="62">
        <v>102</v>
      </c>
      <c r="B104" s="62"/>
      <c r="C104" s="50" t="str">
        <f>IF(ISNA(VLOOKUP($B104,Summary!$B:$D,2,FALSE))=TRUE," ",VLOOKUP($B104,Summary!$B:$D,2,FALSE))</f>
        <v> </v>
      </c>
      <c r="D104" s="50" t="str">
        <f>IF(ISNA(VLOOKUP($B104,Summary!$B:$D,3,FALSE))=TRUE," ",VLOOKUP($B104,Summary!$B:$D,3,FALSE))</f>
        <v> </v>
      </c>
      <c r="E104" s="62"/>
      <c r="F104" s="62"/>
      <c r="G104" s="62"/>
      <c r="I104" s="63">
        <f t="shared" si="1"/>
        <v>0</v>
      </c>
      <c r="K104" s="64">
        <f>IF(E104="Support(L1_L2)",IF(NOT(ISBLANK(B104)),IF(NOT(ISBLANK(D104)),NETWORKDAYS('CPY TOC'!$F$5,'CPY TOC'!$G$5))))-L104</f>
        <v>0</v>
      </c>
      <c r="L104" s="64">
        <f>IF(E104="Support(L1_L2)",SUMIFS(Support_allowance_Entries!$G:$G,Support_allowance_Entries!$B:$B,CPY!B104),0)</f>
        <v>0</v>
      </c>
      <c r="M104" s="63" t="b">
        <f>IF($D104="D0",MD!$C$4*(K104),IF($D104="D1",MD!$C$5*(K104),IF($D104="D2",MD!$C$6*(K104),IF($D104="D3",MD!$C$7*(K104),IF($D104="D4",MD!$C$8*(K104),IF($D104="D5",MD!$C$9*(K104),IF($D104="M1",MD!$C$10*(K104),IF($D104="T1",MD!$C$11*(K104)))))))))</f>
        <v>0</v>
      </c>
      <c r="O104" s="65">
        <f>SUMIFS(Shift_allowance_Entries!$G:$G,Shift_allowance_Entries!$F:$F,"6:30AM-03:30PM",Shift_allowance_Entries!$B:$B,CPY!$B104)</f>
        <v>0</v>
      </c>
      <c r="P104" s="65">
        <f>SUMIFS(Shift_allowance_Entries!$G:$G,Shift_allowance_Entries!$F:$F,"1-9PM/2:30PM-11:30PM",Shift_allowance_Entries!$B:$B,CPY!$B104)</f>
        <v>0</v>
      </c>
      <c r="Q104" s="65">
        <f>SUMIFS(Shift_allowance_Entries!$G:$G,Shift_allowance_Entries!$F:$F,"11PM-7AM",Shift_allowance_Entries!$B:$B,CPY!$B104)</f>
        <v>0</v>
      </c>
      <c r="R104" s="63">
        <f>(CPY!O104*MD!$F$4)+(CPY!P104*MD!$F$5)+(CPY!Q104*MD!$F$6)</f>
        <v>0</v>
      </c>
      <c r="T104" s="64">
        <f>ROUNDUP((SUMIFS('OOH Activities'!$K:$K,'OOH Activities'!$F:$F,"Non_workdays",'OOH Activities'!$B:$B,CPY!B104)) *24,1)</f>
        <v>0</v>
      </c>
      <c r="U104" s="64">
        <f>ROUNDUP((SUMIFS('OOH Activities'!$K:$K,'OOH Activities'!$F:$F,"Workdays",'OOH Activities'!$B:$B,CPY!B104)) *24,1)</f>
        <v>0</v>
      </c>
      <c r="V104" s="63">
        <f>ROUNDUP((SUMIFS('OOH Activities'!$L:$L,'OOH Activities'!$B:$B,CPY!B104)),1)</f>
        <v>0</v>
      </c>
      <c r="X104" s="65">
        <f>ROUNDUP((SUMIFS('ON Call_Call Out Activities'!$L:$L,'ON Call_Call Out Activities'!$F:$F,"Workdays",'ON Call_Call Out Activities'!$B:$B,CPY!B104))*24,1)</f>
        <v>0</v>
      </c>
      <c r="Y104" s="64">
        <f>ROUNDUP((SUMIFS('ON Call_Call Out Activities'!$L:$L,'ON Call_Call Out Activities'!$F:$F,"Non_workdays",'ON Call_Call Out Activities'!$B:$B,CPY!B104)) *24,1)</f>
        <v>0</v>
      </c>
      <c r="Z104" s="63">
        <f>ROUNDUP((SUMIFS('ON Call_Call Out Activities'!$M:$M,'ON Call_Call Out Activities'!$F:$F,"Non_workdays",'ON Call_Call Out Activities'!$B:$B,CPY!B104)),1) + ROUNDUP((SUMIFS('ON Call_Call Out Activities'!$M:$M,'ON Call_Call Out Activities'!$F:$F,"Workdays",'ON Call_Call Out Activities'!$B:$B,CPY!B104)),1)</f>
        <v>0</v>
      </c>
      <c r="AA104" s="66"/>
      <c r="AB104" s="64">
        <f>ROUNDUP((SUMIFS('ON Call_Call Out Activities'!$L:$L,'ON Call_Call Out Activities'!$F:$F,"Call_Out",'ON Call_Call Out Activities'!$B:$B,CPY!B104)) *24,1)</f>
        <v>0</v>
      </c>
      <c r="AC104" s="63">
        <f>ROUNDUP((SUMIFS('ON Call_Call Out Activities'!$M:$M,'ON Call_Call Out Activities'!$F:$F,"Call_Out",'ON Call_Call Out Activities'!$B:$B,CPY!B104)),1)</f>
        <v>0</v>
      </c>
      <c r="AE104" s="65">
        <f>IF((SUMIF(Shift_allowance_Entries!$B:$B,CPY!$B104,Shift_allowance_Entries!$H:$H)) &gt; (SUMIF(Shift_allowance_Entries!$B:$B,CPY!$B104,Shift_allowance_Entries!$G:$G)),0,((SUMIF(Shift_allowance_Entries!$B:$B,CPY!$B104,Shift_allowance_Entries!$G:$G))-(SUMIF(Shift_allowance_Entries!$B:$B,CPY!$B104,Shift_allowance_Entries!$H:$H))))</f>
        <v>0</v>
      </c>
      <c r="AF104" s="63">
        <f>AE104*MD!$S$4</f>
        <v>0</v>
      </c>
    </row>
    <row r="105" spans="1:32" x14ac:dyDescent="0.25">
      <c r="A105" s="62">
        <v>103</v>
      </c>
      <c r="B105" s="62"/>
      <c r="C105" s="50" t="str">
        <f>IF(ISNA(VLOOKUP($B105,Summary!$B:$D,2,FALSE))=TRUE," ",VLOOKUP($B105,Summary!$B:$D,2,FALSE))</f>
        <v> </v>
      </c>
      <c r="D105" s="50" t="str">
        <f>IF(ISNA(VLOOKUP($B105,Summary!$B:$D,3,FALSE))=TRUE," ",VLOOKUP($B105,Summary!$B:$D,3,FALSE))</f>
        <v> </v>
      </c>
      <c r="E105" s="62"/>
      <c r="F105" s="62"/>
      <c r="G105" s="62"/>
      <c r="I105" s="63">
        <f t="shared" si="1"/>
        <v>0</v>
      </c>
      <c r="K105" s="64">
        <f>IF(E105="Support(L1_L2)",IF(NOT(ISBLANK(B105)),IF(NOT(ISBLANK(D105)),NETWORKDAYS('CPY TOC'!$F$5,'CPY TOC'!$G$5))))-L105</f>
        <v>0</v>
      </c>
      <c r="L105" s="64">
        <f>IF(E105="Support(L1_L2)",SUMIFS(Support_allowance_Entries!$G:$G,Support_allowance_Entries!$B:$B,CPY!B105),0)</f>
        <v>0</v>
      </c>
      <c r="M105" s="63" t="b">
        <f>IF($D105="D0",MD!$C$4*(K105),IF($D105="D1",MD!$C$5*(K105),IF($D105="D2",MD!$C$6*(K105),IF($D105="D3",MD!$C$7*(K105),IF($D105="D4",MD!$C$8*(K105),IF($D105="D5",MD!$C$9*(K105),IF($D105="M1",MD!$C$10*(K105),IF($D105="T1",MD!$C$11*(K105)))))))))</f>
        <v>0</v>
      </c>
      <c r="O105" s="65">
        <f>SUMIFS(Shift_allowance_Entries!$G:$G,Shift_allowance_Entries!$F:$F,"6:30AM-03:30PM",Shift_allowance_Entries!$B:$B,CPY!$B105)</f>
        <v>0</v>
      </c>
      <c r="P105" s="65">
        <f>SUMIFS(Shift_allowance_Entries!$G:$G,Shift_allowance_Entries!$F:$F,"1-9PM/2:30PM-11:30PM",Shift_allowance_Entries!$B:$B,CPY!$B105)</f>
        <v>0</v>
      </c>
      <c r="Q105" s="65">
        <f>SUMIFS(Shift_allowance_Entries!$G:$G,Shift_allowance_Entries!$F:$F,"11PM-7AM",Shift_allowance_Entries!$B:$B,CPY!$B105)</f>
        <v>0</v>
      </c>
      <c r="R105" s="63">
        <f>(CPY!O105*MD!$F$4)+(CPY!P105*MD!$F$5)+(CPY!Q105*MD!$F$6)</f>
        <v>0</v>
      </c>
      <c r="T105" s="64">
        <f>ROUNDUP((SUMIFS('OOH Activities'!$K:$K,'OOH Activities'!$F:$F,"Non_workdays",'OOH Activities'!$B:$B,CPY!B105)) *24,1)</f>
        <v>0</v>
      </c>
      <c r="U105" s="64">
        <f>ROUNDUP((SUMIFS('OOH Activities'!$K:$K,'OOH Activities'!$F:$F,"Workdays",'OOH Activities'!$B:$B,CPY!B105)) *24,1)</f>
        <v>0</v>
      </c>
      <c r="V105" s="63">
        <f>ROUNDUP((SUMIFS('OOH Activities'!$L:$L,'OOH Activities'!$B:$B,CPY!B105)),1)</f>
        <v>0</v>
      </c>
      <c r="X105" s="65">
        <f>ROUNDUP((SUMIFS('ON Call_Call Out Activities'!$L:$L,'ON Call_Call Out Activities'!$F:$F,"Workdays",'ON Call_Call Out Activities'!$B:$B,CPY!B105))*24,1)</f>
        <v>0</v>
      </c>
      <c r="Y105" s="64">
        <f>ROUNDUP((SUMIFS('ON Call_Call Out Activities'!$L:$L,'ON Call_Call Out Activities'!$F:$F,"Non_workdays",'ON Call_Call Out Activities'!$B:$B,CPY!B105)) *24,1)</f>
        <v>0</v>
      </c>
      <c r="Z105" s="63">
        <f>ROUNDUP((SUMIFS('ON Call_Call Out Activities'!$M:$M,'ON Call_Call Out Activities'!$F:$F,"Non_workdays",'ON Call_Call Out Activities'!$B:$B,CPY!B105)),1) + ROUNDUP((SUMIFS('ON Call_Call Out Activities'!$M:$M,'ON Call_Call Out Activities'!$F:$F,"Workdays",'ON Call_Call Out Activities'!$B:$B,CPY!B105)),1)</f>
        <v>0</v>
      </c>
      <c r="AA105" s="66"/>
      <c r="AB105" s="64">
        <f>ROUNDUP((SUMIFS('ON Call_Call Out Activities'!$L:$L,'ON Call_Call Out Activities'!$F:$F,"Call_Out",'ON Call_Call Out Activities'!$B:$B,CPY!B105)) *24,1)</f>
        <v>0</v>
      </c>
      <c r="AC105" s="63">
        <f>ROUNDUP((SUMIFS('ON Call_Call Out Activities'!$M:$M,'ON Call_Call Out Activities'!$F:$F,"Call_Out",'ON Call_Call Out Activities'!$B:$B,CPY!B105)),1)</f>
        <v>0</v>
      </c>
      <c r="AE105" s="65">
        <f>IF((SUMIF(Shift_allowance_Entries!$B:$B,CPY!$B105,Shift_allowance_Entries!$H:$H)) &gt; (SUMIF(Shift_allowance_Entries!$B:$B,CPY!$B105,Shift_allowance_Entries!$G:$G)),0,((SUMIF(Shift_allowance_Entries!$B:$B,CPY!$B105,Shift_allowance_Entries!$G:$G))-(SUMIF(Shift_allowance_Entries!$B:$B,CPY!$B105,Shift_allowance_Entries!$H:$H))))</f>
        <v>0</v>
      </c>
      <c r="AF105" s="63">
        <f>AE105*MD!$S$4</f>
        <v>0</v>
      </c>
    </row>
    <row r="106" spans="1:32" x14ac:dyDescent="0.25">
      <c r="A106" s="62">
        <v>104</v>
      </c>
      <c r="B106" s="62"/>
      <c r="C106" s="50" t="str">
        <f>IF(ISNA(VLOOKUP($B106,Summary!$B:$D,2,FALSE))=TRUE," ",VLOOKUP($B106,Summary!$B:$D,2,FALSE))</f>
        <v> </v>
      </c>
      <c r="D106" s="50" t="str">
        <f>IF(ISNA(VLOOKUP($B106,Summary!$B:$D,3,FALSE))=TRUE," ",VLOOKUP($B106,Summary!$B:$D,3,FALSE))</f>
        <v> </v>
      </c>
      <c r="E106" s="62"/>
      <c r="F106" s="62"/>
      <c r="G106" s="62"/>
      <c r="I106" s="63">
        <f t="shared" si="1"/>
        <v>0</v>
      </c>
      <c r="K106" s="64">
        <f>IF(E106="Support(L1_L2)",IF(NOT(ISBLANK(B106)),IF(NOT(ISBLANK(D106)),NETWORKDAYS('CPY TOC'!$F$5,'CPY TOC'!$G$5))))-L106</f>
        <v>0</v>
      </c>
      <c r="L106" s="64">
        <f>IF(E106="Support(L1_L2)",SUMIFS(Support_allowance_Entries!$G:$G,Support_allowance_Entries!$B:$B,CPY!B106),0)</f>
        <v>0</v>
      </c>
      <c r="M106" s="63" t="b">
        <f>IF($D106="D0",MD!$C$4*(K106),IF($D106="D1",MD!$C$5*(K106),IF($D106="D2",MD!$C$6*(K106),IF($D106="D3",MD!$C$7*(K106),IF($D106="D4",MD!$C$8*(K106),IF($D106="D5",MD!$C$9*(K106),IF($D106="M1",MD!$C$10*(K106),IF($D106="T1",MD!$C$11*(K106)))))))))</f>
        <v>0</v>
      </c>
      <c r="O106" s="65">
        <f>SUMIFS(Shift_allowance_Entries!$G:$G,Shift_allowance_Entries!$F:$F,"6:30AM-03:30PM",Shift_allowance_Entries!$B:$B,CPY!$B106)</f>
        <v>0</v>
      </c>
      <c r="P106" s="65">
        <f>SUMIFS(Shift_allowance_Entries!$G:$G,Shift_allowance_Entries!$F:$F,"1-9PM/2:30PM-11:30PM",Shift_allowance_Entries!$B:$B,CPY!$B106)</f>
        <v>0</v>
      </c>
      <c r="Q106" s="65">
        <f>SUMIFS(Shift_allowance_Entries!$G:$G,Shift_allowance_Entries!$F:$F,"11PM-7AM",Shift_allowance_Entries!$B:$B,CPY!$B106)</f>
        <v>0</v>
      </c>
      <c r="R106" s="63">
        <f>(CPY!O106*MD!$F$4)+(CPY!P106*MD!$F$5)+(CPY!Q106*MD!$F$6)</f>
        <v>0</v>
      </c>
      <c r="T106" s="64">
        <f>ROUNDUP((SUMIFS('OOH Activities'!$K:$K,'OOH Activities'!$F:$F,"Non_workdays",'OOH Activities'!$B:$B,CPY!B106)) *24,1)</f>
        <v>0</v>
      </c>
      <c r="U106" s="64">
        <f>ROUNDUP((SUMIFS('OOH Activities'!$K:$K,'OOH Activities'!$F:$F,"Workdays",'OOH Activities'!$B:$B,CPY!B106)) *24,1)</f>
        <v>0</v>
      </c>
      <c r="V106" s="63">
        <f>ROUNDUP((SUMIFS('OOH Activities'!$L:$L,'OOH Activities'!$B:$B,CPY!B106)),1)</f>
        <v>0</v>
      </c>
      <c r="X106" s="65">
        <f>ROUNDUP((SUMIFS('ON Call_Call Out Activities'!$L:$L,'ON Call_Call Out Activities'!$F:$F,"Workdays",'ON Call_Call Out Activities'!$B:$B,CPY!B106))*24,1)</f>
        <v>0</v>
      </c>
      <c r="Y106" s="64">
        <f>ROUNDUP((SUMIFS('ON Call_Call Out Activities'!$L:$L,'ON Call_Call Out Activities'!$F:$F,"Non_workdays",'ON Call_Call Out Activities'!$B:$B,CPY!B106)) *24,1)</f>
        <v>0</v>
      </c>
      <c r="Z106" s="63">
        <f>ROUNDUP((SUMIFS('ON Call_Call Out Activities'!$M:$M,'ON Call_Call Out Activities'!$F:$F,"Non_workdays",'ON Call_Call Out Activities'!$B:$B,CPY!B106)),1) + ROUNDUP((SUMIFS('ON Call_Call Out Activities'!$M:$M,'ON Call_Call Out Activities'!$F:$F,"Workdays",'ON Call_Call Out Activities'!$B:$B,CPY!B106)),1)</f>
        <v>0</v>
      </c>
      <c r="AA106" s="66"/>
      <c r="AB106" s="64">
        <f>ROUNDUP((SUMIFS('ON Call_Call Out Activities'!$L:$L,'ON Call_Call Out Activities'!$F:$F,"Call_Out",'ON Call_Call Out Activities'!$B:$B,CPY!B106)) *24,1)</f>
        <v>0</v>
      </c>
      <c r="AC106" s="63">
        <f>ROUNDUP((SUMIFS('ON Call_Call Out Activities'!$M:$M,'ON Call_Call Out Activities'!$F:$F,"Call_Out",'ON Call_Call Out Activities'!$B:$B,CPY!B106)),1)</f>
        <v>0</v>
      </c>
      <c r="AE106" s="65">
        <f>IF((SUMIF(Shift_allowance_Entries!$B:$B,CPY!$B106,Shift_allowance_Entries!$H:$H)) &gt; (SUMIF(Shift_allowance_Entries!$B:$B,CPY!$B106,Shift_allowance_Entries!$G:$G)),0,((SUMIF(Shift_allowance_Entries!$B:$B,CPY!$B106,Shift_allowance_Entries!$G:$G))-(SUMIF(Shift_allowance_Entries!$B:$B,CPY!$B106,Shift_allowance_Entries!$H:$H))))</f>
        <v>0</v>
      </c>
      <c r="AF106" s="63">
        <f>AE106*MD!$S$4</f>
        <v>0</v>
      </c>
    </row>
    <row r="107" spans="1:32" x14ac:dyDescent="0.25">
      <c r="A107" s="62">
        <v>105</v>
      </c>
      <c r="B107" s="62"/>
      <c r="C107" s="50" t="str">
        <f>IF(ISNA(VLOOKUP($B107,Summary!$B:$D,2,FALSE))=TRUE," ",VLOOKUP($B107,Summary!$B:$D,2,FALSE))</f>
        <v> </v>
      </c>
      <c r="D107" s="50" t="str">
        <f>IF(ISNA(VLOOKUP($B107,Summary!$B:$D,3,FALSE))=TRUE," ",VLOOKUP($B107,Summary!$B:$D,3,FALSE))</f>
        <v> </v>
      </c>
      <c r="E107" s="62"/>
      <c r="F107" s="62"/>
      <c r="G107" s="62"/>
      <c r="I107" s="63">
        <f t="shared" si="1"/>
        <v>0</v>
      </c>
      <c r="K107" s="64">
        <f>IF(E107="Support(L1_L2)",IF(NOT(ISBLANK(B107)),IF(NOT(ISBLANK(D107)),NETWORKDAYS('CPY TOC'!$F$5,'CPY TOC'!$G$5))))-L107</f>
        <v>0</v>
      </c>
      <c r="L107" s="64">
        <f>IF(E107="Support(L1_L2)",SUMIFS(Support_allowance_Entries!$G:$G,Support_allowance_Entries!$B:$B,CPY!B107),0)</f>
        <v>0</v>
      </c>
      <c r="M107" s="63" t="b">
        <f>IF($D107="D0",MD!$C$4*(K107),IF($D107="D1",MD!$C$5*(K107),IF($D107="D2",MD!$C$6*(K107),IF($D107="D3",MD!$C$7*(K107),IF($D107="D4",MD!$C$8*(K107),IF($D107="D5",MD!$C$9*(K107),IF($D107="M1",MD!$C$10*(K107),IF($D107="T1",MD!$C$11*(K107)))))))))</f>
        <v>0</v>
      </c>
      <c r="O107" s="65">
        <f>SUMIFS(Shift_allowance_Entries!$G:$G,Shift_allowance_Entries!$F:$F,"6:30AM-03:30PM",Shift_allowance_Entries!$B:$B,CPY!$B107)</f>
        <v>0</v>
      </c>
      <c r="P107" s="65">
        <f>SUMIFS(Shift_allowance_Entries!$G:$G,Shift_allowance_Entries!$F:$F,"1-9PM/2:30PM-11:30PM",Shift_allowance_Entries!$B:$B,CPY!$B107)</f>
        <v>0</v>
      </c>
      <c r="Q107" s="65">
        <f>SUMIFS(Shift_allowance_Entries!$G:$G,Shift_allowance_Entries!$F:$F,"11PM-7AM",Shift_allowance_Entries!$B:$B,CPY!$B107)</f>
        <v>0</v>
      </c>
      <c r="R107" s="63">
        <f>(CPY!O107*MD!$F$4)+(CPY!P107*MD!$F$5)+(CPY!Q107*MD!$F$6)</f>
        <v>0</v>
      </c>
      <c r="T107" s="64">
        <f>ROUNDUP((SUMIFS('OOH Activities'!$K:$K,'OOH Activities'!$F:$F,"Non_workdays",'OOH Activities'!$B:$B,CPY!B107)) *24,1)</f>
        <v>0</v>
      </c>
      <c r="U107" s="64">
        <f>ROUNDUP((SUMIFS('OOH Activities'!$K:$K,'OOH Activities'!$F:$F,"Workdays",'OOH Activities'!$B:$B,CPY!B107)) *24,1)</f>
        <v>0</v>
      </c>
      <c r="V107" s="63">
        <f>ROUNDUP((SUMIFS('OOH Activities'!$L:$L,'OOH Activities'!$B:$B,CPY!B107)),1)</f>
        <v>0</v>
      </c>
      <c r="X107" s="65">
        <f>ROUNDUP((SUMIFS('ON Call_Call Out Activities'!$L:$L,'ON Call_Call Out Activities'!$F:$F,"Workdays",'ON Call_Call Out Activities'!$B:$B,CPY!B107))*24,1)</f>
        <v>0</v>
      </c>
      <c r="Y107" s="64">
        <f>ROUNDUP((SUMIFS('ON Call_Call Out Activities'!$L:$L,'ON Call_Call Out Activities'!$F:$F,"Non_workdays",'ON Call_Call Out Activities'!$B:$B,CPY!B107)) *24,1)</f>
        <v>0</v>
      </c>
      <c r="Z107" s="63">
        <f>ROUNDUP((SUMIFS('ON Call_Call Out Activities'!$M:$M,'ON Call_Call Out Activities'!$F:$F,"Non_workdays",'ON Call_Call Out Activities'!$B:$B,CPY!B107)),1) + ROUNDUP((SUMIFS('ON Call_Call Out Activities'!$M:$M,'ON Call_Call Out Activities'!$F:$F,"Workdays",'ON Call_Call Out Activities'!$B:$B,CPY!B107)),1)</f>
        <v>0</v>
      </c>
      <c r="AA107" s="66"/>
      <c r="AB107" s="64">
        <f>ROUNDUP((SUMIFS('ON Call_Call Out Activities'!$L:$L,'ON Call_Call Out Activities'!$F:$F,"Call_Out",'ON Call_Call Out Activities'!$B:$B,CPY!B107)) *24,1)</f>
        <v>0</v>
      </c>
      <c r="AC107" s="63">
        <f>ROUNDUP((SUMIFS('ON Call_Call Out Activities'!$M:$M,'ON Call_Call Out Activities'!$F:$F,"Call_Out",'ON Call_Call Out Activities'!$B:$B,CPY!B107)),1)</f>
        <v>0</v>
      </c>
      <c r="AE107" s="65">
        <f>IF((SUMIF(Shift_allowance_Entries!$B:$B,CPY!$B107,Shift_allowance_Entries!$H:$H)) &gt; (SUMIF(Shift_allowance_Entries!$B:$B,CPY!$B107,Shift_allowance_Entries!$G:$G)),0,((SUMIF(Shift_allowance_Entries!$B:$B,CPY!$B107,Shift_allowance_Entries!$G:$G))-(SUMIF(Shift_allowance_Entries!$B:$B,CPY!$B107,Shift_allowance_Entries!$H:$H))))</f>
        <v>0</v>
      </c>
      <c r="AF107" s="63">
        <f>AE107*MD!$S$4</f>
        <v>0</v>
      </c>
    </row>
    <row r="108" spans="1:32" x14ac:dyDescent="0.25">
      <c r="A108" s="62">
        <v>106</v>
      </c>
      <c r="B108" s="62"/>
      <c r="C108" s="50" t="str">
        <f>IF(ISNA(VLOOKUP($B108,Summary!$B:$D,2,FALSE))=TRUE," ",VLOOKUP($B108,Summary!$B:$D,2,FALSE))</f>
        <v> </v>
      </c>
      <c r="D108" s="50" t="str">
        <f>IF(ISNA(VLOOKUP($B108,Summary!$B:$D,3,FALSE))=TRUE," ",VLOOKUP($B108,Summary!$B:$D,3,FALSE))</f>
        <v> </v>
      </c>
      <c r="E108" s="62"/>
      <c r="F108" s="62"/>
      <c r="G108" s="62"/>
      <c r="I108" s="63">
        <f t="shared" si="1"/>
        <v>0</v>
      </c>
      <c r="K108" s="64">
        <f>IF(E108="Support(L1_L2)",IF(NOT(ISBLANK(B108)),IF(NOT(ISBLANK(D108)),NETWORKDAYS('CPY TOC'!$F$5,'CPY TOC'!$G$5))))-L108</f>
        <v>0</v>
      </c>
      <c r="L108" s="64">
        <f>IF(E108="Support(L1_L2)",SUMIFS(Support_allowance_Entries!$G:$G,Support_allowance_Entries!$B:$B,CPY!B108),0)</f>
        <v>0</v>
      </c>
      <c r="M108" s="63" t="b">
        <f>IF($D108="D0",MD!$C$4*(K108),IF($D108="D1",MD!$C$5*(K108),IF($D108="D2",MD!$C$6*(K108),IF($D108="D3",MD!$C$7*(K108),IF($D108="D4",MD!$C$8*(K108),IF($D108="D5",MD!$C$9*(K108),IF($D108="M1",MD!$C$10*(K108),IF($D108="T1",MD!$C$11*(K108)))))))))</f>
        <v>0</v>
      </c>
      <c r="O108" s="65">
        <f>SUMIFS(Shift_allowance_Entries!$G:$G,Shift_allowance_Entries!$F:$F,"6:30AM-03:30PM",Shift_allowance_Entries!$B:$B,CPY!$B108)</f>
        <v>0</v>
      </c>
      <c r="P108" s="65">
        <f>SUMIFS(Shift_allowance_Entries!$G:$G,Shift_allowance_Entries!$F:$F,"1-9PM/2:30PM-11:30PM",Shift_allowance_Entries!$B:$B,CPY!$B108)</f>
        <v>0</v>
      </c>
      <c r="Q108" s="65">
        <f>SUMIFS(Shift_allowance_Entries!$G:$G,Shift_allowance_Entries!$F:$F,"11PM-7AM",Shift_allowance_Entries!$B:$B,CPY!$B108)</f>
        <v>0</v>
      </c>
      <c r="R108" s="63">
        <f>(CPY!O108*MD!$F$4)+(CPY!P108*MD!$F$5)+(CPY!Q108*MD!$F$6)</f>
        <v>0</v>
      </c>
      <c r="T108" s="64">
        <f>ROUNDUP((SUMIFS('OOH Activities'!$K:$K,'OOH Activities'!$F:$F,"Non_workdays",'OOH Activities'!$B:$B,CPY!B108)) *24,1)</f>
        <v>0</v>
      </c>
      <c r="U108" s="64">
        <f>ROUNDUP((SUMIFS('OOH Activities'!$K:$K,'OOH Activities'!$F:$F,"Workdays",'OOH Activities'!$B:$B,CPY!B108)) *24,1)</f>
        <v>0</v>
      </c>
      <c r="V108" s="63">
        <f>ROUNDUP((SUMIFS('OOH Activities'!$L:$L,'OOH Activities'!$B:$B,CPY!B108)),1)</f>
        <v>0</v>
      </c>
      <c r="X108" s="65">
        <f>ROUNDUP((SUMIFS('ON Call_Call Out Activities'!$L:$L,'ON Call_Call Out Activities'!$F:$F,"Workdays",'ON Call_Call Out Activities'!$B:$B,CPY!B108))*24,1)</f>
        <v>0</v>
      </c>
      <c r="Y108" s="64">
        <f>ROUNDUP((SUMIFS('ON Call_Call Out Activities'!$L:$L,'ON Call_Call Out Activities'!$F:$F,"Non_workdays",'ON Call_Call Out Activities'!$B:$B,CPY!B108)) *24,1)</f>
        <v>0</v>
      </c>
      <c r="Z108" s="63">
        <f>ROUNDUP((SUMIFS('ON Call_Call Out Activities'!$M:$M,'ON Call_Call Out Activities'!$F:$F,"Non_workdays",'ON Call_Call Out Activities'!$B:$B,CPY!B108)),1) + ROUNDUP((SUMIFS('ON Call_Call Out Activities'!$M:$M,'ON Call_Call Out Activities'!$F:$F,"Workdays",'ON Call_Call Out Activities'!$B:$B,CPY!B108)),1)</f>
        <v>0</v>
      </c>
      <c r="AA108" s="66"/>
      <c r="AB108" s="64">
        <f>ROUNDUP((SUMIFS('ON Call_Call Out Activities'!$L:$L,'ON Call_Call Out Activities'!$F:$F,"Call_Out",'ON Call_Call Out Activities'!$B:$B,CPY!B108)) *24,1)</f>
        <v>0</v>
      </c>
      <c r="AC108" s="63">
        <f>ROUNDUP((SUMIFS('ON Call_Call Out Activities'!$M:$M,'ON Call_Call Out Activities'!$F:$F,"Call_Out",'ON Call_Call Out Activities'!$B:$B,CPY!B108)),1)</f>
        <v>0</v>
      </c>
      <c r="AE108" s="65">
        <f>IF((SUMIF(Shift_allowance_Entries!$B:$B,CPY!$B108,Shift_allowance_Entries!$H:$H)) &gt; (SUMIF(Shift_allowance_Entries!$B:$B,CPY!$B108,Shift_allowance_Entries!$G:$G)),0,((SUMIF(Shift_allowance_Entries!$B:$B,CPY!$B108,Shift_allowance_Entries!$G:$G))-(SUMIF(Shift_allowance_Entries!$B:$B,CPY!$B108,Shift_allowance_Entries!$H:$H))))</f>
        <v>0</v>
      </c>
      <c r="AF108" s="63">
        <f>AE108*MD!$S$4</f>
        <v>0</v>
      </c>
    </row>
    <row r="109" spans="1:32" x14ac:dyDescent="0.25">
      <c r="A109" s="62">
        <v>107</v>
      </c>
      <c r="B109" s="62"/>
      <c r="C109" s="50" t="str">
        <f>IF(ISNA(VLOOKUP($B109,Summary!$B:$D,2,FALSE))=TRUE," ",VLOOKUP($B109,Summary!$B:$D,2,FALSE))</f>
        <v> </v>
      </c>
      <c r="D109" s="50" t="str">
        <f>IF(ISNA(VLOOKUP($B109,Summary!$B:$D,3,FALSE))=TRUE," ",VLOOKUP($B109,Summary!$B:$D,3,FALSE))</f>
        <v> </v>
      </c>
      <c r="E109" s="62"/>
      <c r="F109" s="62"/>
      <c r="G109" s="62"/>
      <c r="I109" s="63">
        <f t="shared" si="1"/>
        <v>0</v>
      </c>
      <c r="K109" s="64">
        <f>IF(E109="Support(L1_L2)",IF(NOT(ISBLANK(B109)),IF(NOT(ISBLANK(D109)),NETWORKDAYS('CPY TOC'!$F$5,'CPY TOC'!$G$5))))-L109</f>
        <v>0</v>
      </c>
      <c r="L109" s="64">
        <f>IF(E109="Support(L1_L2)",SUMIFS(Support_allowance_Entries!$G:$G,Support_allowance_Entries!$B:$B,CPY!B109),0)</f>
        <v>0</v>
      </c>
      <c r="M109" s="63" t="b">
        <f>IF($D109="D0",MD!$C$4*(K109),IF($D109="D1",MD!$C$5*(K109),IF($D109="D2",MD!$C$6*(K109),IF($D109="D3",MD!$C$7*(K109),IF($D109="D4",MD!$C$8*(K109),IF($D109="D5",MD!$C$9*(K109),IF($D109="M1",MD!$C$10*(K109),IF($D109="T1",MD!$C$11*(K109)))))))))</f>
        <v>0</v>
      </c>
      <c r="O109" s="65">
        <f>SUMIFS(Shift_allowance_Entries!$G:$G,Shift_allowance_Entries!$F:$F,"6:30AM-03:30PM",Shift_allowance_Entries!$B:$B,CPY!$B109)</f>
        <v>0</v>
      </c>
      <c r="P109" s="65">
        <f>SUMIFS(Shift_allowance_Entries!$G:$G,Shift_allowance_Entries!$F:$F,"1-9PM/2:30PM-11:30PM",Shift_allowance_Entries!$B:$B,CPY!$B109)</f>
        <v>0</v>
      </c>
      <c r="Q109" s="65">
        <f>SUMIFS(Shift_allowance_Entries!$G:$G,Shift_allowance_Entries!$F:$F,"11PM-7AM",Shift_allowance_Entries!$B:$B,CPY!$B109)</f>
        <v>0</v>
      </c>
      <c r="R109" s="63">
        <f>(CPY!O109*MD!$F$4)+(CPY!P109*MD!$F$5)+(CPY!Q109*MD!$F$6)</f>
        <v>0</v>
      </c>
      <c r="T109" s="64">
        <f>ROUNDUP((SUMIFS('OOH Activities'!$K:$K,'OOH Activities'!$F:$F,"Non_workdays",'OOH Activities'!$B:$B,CPY!B109)) *24,1)</f>
        <v>0</v>
      </c>
      <c r="U109" s="64">
        <f>ROUNDUP((SUMIFS('OOH Activities'!$K:$K,'OOH Activities'!$F:$F,"Workdays",'OOH Activities'!$B:$B,CPY!B109)) *24,1)</f>
        <v>0</v>
      </c>
      <c r="V109" s="63">
        <f>ROUNDUP((SUMIFS('OOH Activities'!$L:$L,'OOH Activities'!$B:$B,CPY!B109)),1)</f>
        <v>0</v>
      </c>
      <c r="X109" s="65">
        <f>ROUNDUP((SUMIFS('ON Call_Call Out Activities'!$L:$L,'ON Call_Call Out Activities'!$F:$F,"Workdays",'ON Call_Call Out Activities'!$B:$B,CPY!B109))*24,1)</f>
        <v>0</v>
      </c>
      <c r="Y109" s="64">
        <f>ROUNDUP((SUMIFS('ON Call_Call Out Activities'!$L:$L,'ON Call_Call Out Activities'!$F:$F,"Non_workdays",'ON Call_Call Out Activities'!$B:$B,CPY!B109)) *24,1)</f>
        <v>0</v>
      </c>
      <c r="Z109" s="63">
        <f>ROUNDUP((SUMIFS('ON Call_Call Out Activities'!$M:$M,'ON Call_Call Out Activities'!$F:$F,"Non_workdays",'ON Call_Call Out Activities'!$B:$B,CPY!B109)),1) + ROUNDUP((SUMIFS('ON Call_Call Out Activities'!$M:$M,'ON Call_Call Out Activities'!$F:$F,"Workdays",'ON Call_Call Out Activities'!$B:$B,CPY!B109)),1)</f>
        <v>0</v>
      </c>
      <c r="AA109" s="66"/>
      <c r="AB109" s="64">
        <f>ROUNDUP((SUMIFS('ON Call_Call Out Activities'!$L:$L,'ON Call_Call Out Activities'!$F:$F,"Call_Out",'ON Call_Call Out Activities'!$B:$B,CPY!B109)) *24,1)</f>
        <v>0</v>
      </c>
      <c r="AC109" s="63">
        <f>ROUNDUP((SUMIFS('ON Call_Call Out Activities'!$M:$M,'ON Call_Call Out Activities'!$F:$F,"Call_Out",'ON Call_Call Out Activities'!$B:$B,CPY!B109)),1)</f>
        <v>0</v>
      </c>
      <c r="AE109" s="65">
        <f>IF((SUMIF(Shift_allowance_Entries!$B:$B,CPY!$B109,Shift_allowance_Entries!$H:$H)) &gt; (SUMIF(Shift_allowance_Entries!$B:$B,CPY!$B109,Shift_allowance_Entries!$G:$G)),0,((SUMIF(Shift_allowance_Entries!$B:$B,CPY!$B109,Shift_allowance_Entries!$G:$G))-(SUMIF(Shift_allowance_Entries!$B:$B,CPY!$B109,Shift_allowance_Entries!$H:$H))))</f>
        <v>0</v>
      </c>
      <c r="AF109" s="63">
        <f>AE109*MD!$S$4</f>
        <v>0</v>
      </c>
    </row>
    <row r="110" spans="1:32" x14ac:dyDescent="0.25">
      <c r="A110" s="62">
        <v>108</v>
      </c>
      <c r="B110" s="62"/>
      <c r="C110" s="50" t="str">
        <f>IF(ISNA(VLOOKUP($B110,Summary!$B:$D,2,FALSE))=TRUE," ",VLOOKUP($B110,Summary!$B:$D,2,FALSE))</f>
        <v> </v>
      </c>
      <c r="D110" s="50" t="str">
        <f>IF(ISNA(VLOOKUP($B110,Summary!$B:$D,3,FALSE))=TRUE," ",VLOOKUP($B110,Summary!$B:$D,3,FALSE))</f>
        <v> </v>
      </c>
      <c r="E110" s="62"/>
      <c r="F110" s="62"/>
      <c r="G110" s="62"/>
      <c r="I110" s="63">
        <f t="shared" si="1"/>
        <v>0</v>
      </c>
      <c r="K110" s="64">
        <f>IF(E110="Support(L1_L2)",IF(NOT(ISBLANK(B110)),IF(NOT(ISBLANK(D110)),NETWORKDAYS('CPY TOC'!$F$5,'CPY TOC'!$G$5))))-L110</f>
        <v>0</v>
      </c>
      <c r="L110" s="64">
        <f>IF(E110="Support(L1_L2)",SUMIFS(Support_allowance_Entries!$G:$G,Support_allowance_Entries!$B:$B,CPY!B110),0)</f>
        <v>0</v>
      </c>
      <c r="M110" s="63" t="b">
        <f>IF($D110="D0",MD!$C$4*(K110),IF($D110="D1",MD!$C$5*(K110),IF($D110="D2",MD!$C$6*(K110),IF($D110="D3",MD!$C$7*(K110),IF($D110="D4",MD!$C$8*(K110),IF($D110="D5",MD!$C$9*(K110),IF($D110="M1",MD!$C$10*(K110),IF($D110="T1",MD!$C$11*(K110)))))))))</f>
        <v>0</v>
      </c>
      <c r="O110" s="65">
        <f>SUMIFS(Shift_allowance_Entries!$G:$G,Shift_allowance_Entries!$F:$F,"6:30AM-03:30PM",Shift_allowance_Entries!$B:$B,CPY!$B110)</f>
        <v>0</v>
      </c>
      <c r="P110" s="65">
        <f>SUMIFS(Shift_allowance_Entries!$G:$G,Shift_allowance_Entries!$F:$F,"1-9PM/2:30PM-11:30PM",Shift_allowance_Entries!$B:$B,CPY!$B110)</f>
        <v>0</v>
      </c>
      <c r="Q110" s="65">
        <f>SUMIFS(Shift_allowance_Entries!$G:$G,Shift_allowance_Entries!$F:$F,"11PM-7AM",Shift_allowance_Entries!$B:$B,CPY!$B110)</f>
        <v>0</v>
      </c>
      <c r="R110" s="63">
        <f>(CPY!O110*MD!$F$4)+(CPY!P110*MD!$F$5)+(CPY!Q110*MD!$F$6)</f>
        <v>0</v>
      </c>
      <c r="T110" s="64">
        <f>ROUNDUP((SUMIFS('OOH Activities'!$K:$K,'OOH Activities'!$F:$F,"Non_workdays",'OOH Activities'!$B:$B,CPY!B110)) *24,1)</f>
        <v>0</v>
      </c>
      <c r="U110" s="64">
        <f>ROUNDUP((SUMIFS('OOH Activities'!$K:$K,'OOH Activities'!$F:$F,"Workdays",'OOH Activities'!$B:$B,CPY!B110)) *24,1)</f>
        <v>0</v>
      </c>
      <c r="V110" s="63">
        <f>ROUNDUP((SUMIFS('OOH Activities'!$L:$L,'OOH Activities'!$B:$B,CPY!B110)),1)</f>
        <v>0</v>
      </c>
      <c r="X110" s="65">
        <f>ROUNDUP((SUMIFS('ON Call_Call Out Activities'!$L:$L,'ON Call_Call Out Activities'!$F:$F,"Workdays",'ON Call_Call Out Activities'!$B:$B,CPY!B110))*24,1)</f>
        <v>0</v>
      </c>
      <c r="Y110" s="64">
        <f>ROUNDUP((SUMIFS('ON Call_Call Out Activities'!$L:$L,'ON Call_Call Out Activities'!$F:$F,"Non_workdays",'ON Call_Call Out Activities'!$B:$B,CPY!B110)) *24,1)</f>
        <v>0</v>
      </c>
      <c r="Z110" s="63">
        <f>ROUNDUP((SUMIFS('ON Call_Call Out Activities'!$M:$M,'ON Call_Call Out Activities'!$F:$F,"Non_workdays",'ON Call_Call Out Activities'!$B:$B,CPY!B110)),1) + ROUNDUP((SUMIFS('ON Call_Call Out Activities'!$M:$M,'ON Call_Call Out Activities'!$F:$F,"Workdays",'ON Call_Call Out Activities'!$B:$B,CPY!B110)),1)</f>
        <v>0</v>
      </c>
      <c r="AA110" s="66"/>
      <c r="AB110" s="64">
        <f>ROUNDUP((SUMIFS('ON Call_Call Out Activities'!$L:$L,'ON Call_Call Out Activities'!$F:$F,"Call_Out",'ON Call_Call Out Activities'!$B:$B,CPY!B110)) *24,1)</f>
        <v>0</v>
      </c>
      <c r="AC110" s="63">
        <f>ROUNDUP((SUMIFS('ON Call_Call Out Activities'!$M:$M,'ON Call_Call Out Activities'!$F:$F,"Call_Out",'ON Call_Call Out Activities'!$B:$B,CPY!B110)),1)</f>
        <v>0</v>
      </c>
      <c r="AE110" s="65">
        <f>IF((SUMIF(Shift_allowance_Entries!$B:$B,CPY!$B110,Shift_allowance_Entries!$H:$H)) &gt; (SUMIF(Shift_allowance_Entries!$B:$B,CPY!$B110,Shift_allowance_Entries!$G:$G)),0,((SUMIF(Shift_allowance_Entries!$B:$B,CPY!$B110,Shift_allowance_Entries!$G:$G))-(SUMIF(Shift_allowance_Entries!$B:$B,CPY!$B110,Shift_allowance_Entries!$H:$H))))</f>
        <v>0</v>
      </c>
      <c r="AF110" s="63">
        <f>AE110*MD!$S$4</f>
        <v>0</v>
      </c>
    </row>
    <row r="111" spans="1:32" x14ac:dyDescent="0.25">
      <c r="A111" s="62">
        <v>109</v>
      </c>
      <c r="B111" s="62"/>
      <c r="C111" s="50" t="str">
        <f>IF(ISNA(VLOOKUP($B111,Summary!$B:$D,2,FALSE))=TRUE," ",VLOOKUP($B111,Summary!$B:$D,2,FALSE))</f>
        <v> </v>
      </c>
      <c r="D111" s="50" t="str">
        <f>IF(ISNA(VLOOKUP($B111,Summary!$B:$D,3,FALSE))=TRUE," ",VLOOKUP($B111,Summary!$B:$D,3,FALSE))</f>
        <v> </v>
      </c>
      <c r="E111" s="62"/>
      <c r="F111" s="62"/>
      <c r="G111" s="62"/>
      <c r="I111" s="63">
        <f t="shared" si="1"/>
        <v>0</v>
      </c>
      <c r="K111" s="64">
        <f>IF(E111="Support(L1_L2)",IF(NOT(ISBLANK(B111)),IF(NOT(ISBLANK(D111)),NETWORKDAYS('CPY TOC'!$F$5,'CPY TOC'!$G$5))))-L111</f>
        <v>0</v>
      </c>
      <c r="L111" s="64">
        <f>IF(E111="Support(L1_L2)",SUMIFS(Support_allowance_Entries!$G:$G,Support_allowance_Entries!$B:$B,CPY!B111),0)</f>
        <v>0</v>
      </c>
      <c r="M111" s="63" t="b">
        <f>IF($D111="D0",MD!$C$4*(K111),IF($D111="D1",MD!$C$5*(K111),IF($D111="D2",MD!$C$6*(K111),IF($D111="D3",MD!$C$7*(K111),IF($D111="D4",MD!$C$8*(K111),IF($D111="D5",MD!$C$9*(K111),IF($D111="M1",MD!$C$10*(K111),IF($D111="T1",MD!$C$11*(K111)))))))))</f>
        <v>0</v>
      </c>
      <c r="O111" s="65">
        <f>SUMIFS(Shift_allowance_Entries!$G:$G,Shift_allowance_Entries!$F:$F,"6:30AM-03:30PM",Shift_allowance_Entries!$B:$B,CPY!$B111)</f>
        <v>0</v>
      </c>
      <c r="P111" s="65">
        <f>SUMIFS(Shift_allowance_Entries!$G:$G,Shift_allowance_Entries!$F:$F,"1-9PM/2:30PM-11:30PM",Shift_allowance_Entries!$B:$B,CPY!$B111)</f>
        <v>0</v>
      </c>
      <c r="Q111" s="65">
        <f>SUMIFS(Shift_allowance_Entries!$G:$G,Shift_allowance_Entries!$F:$F,"11PM-7AM",Shift_allowance_Entries!$B:$B,CPY!$B111)</f>
        <v>0</v>
      </c>
      <c r="R111" s="63">
        <f>(CPY!O111*MD!$F$4)+(CPY!P111*MD!$F$5)+(CPY!Q111*MD!$F$6)</f>
        <v>0</v>
      </c>
      <c r="T111" s="64">
        <f>ROUNDUP((SUMIFS('OOH Activities'!$K:$K,'OOH Activities'!$F:$F,"Non_workdays",'OOH Activities'!$B:$B,CPY!B111)) *24,1)</f>
        <v>0</v>
      </c>
      <c r="U111" s="64">
        <f>ROUNDUP((SUMIFS('OOH Activities'!$K:$K,'OOH Activities'!$F:$F,"Workdays",'OOH Activities'!$B:$B,CPY!B111)) *24,1)</f>
        <v>0</v>
      </c>
      <c r="V111" s="63">
        <f>ROUNDUP((SUMIFS('OOH Activities'!$L:$L,'OOH Activities'!$B:$B,CPY!B111)),1)</f>
        <v>0</v>
      </c>
      <c r="X111" s="65">
        <f>ROUNDUP((SUMIFS('ON Call_Call Out Activities'!$L:$L,'ON Call_Call Out Activities'!$F:$F,"Workdays",'ON Call_Call Out Activities'!$B:$B,CPY!B111))*24,1)</f>
        <v>0</v>
      </c>
      <c r="Y111" s="64">
        <f>ROUNDUP((SUMIFS('ON Call_Call Out Activities'!$L:$L,'ON Call_Call Out Activities'!$F:$F,"Non_workdays",'ON Call_Call Out Activities'!$B:$B,CPY!B111)) *24,1)</f>
        <v>0</v>
      </c>
      <c r="Z111" s="63">
        <f>ROUNDUP((SUMIFS('ON Call_Call Out Activities'!$M:$M,'ON Call_Call Out Activities'!$F:$F,"Non_workdays",'ON Call_Call Out Activities'!$B:$B,CPY!B111)),1) + ROUNDUP((SUMIFS('ON Call_Call Out Activities'!$M:$M,'ON Call_Call Out Activities'!$F:$F,"Workdays",'ON Call_Call Out Activities'!$B:$B,CPY!B111)),1)</f>
        <v>0</v>
      </c>
      <c r="AA111" s="66"/>
      <c r="AB111" s="64">
        <f>ROUNDUP((SUMIFS('ON Call_Call Out Activities'!$L:$L,'ON Call_Call Out Activities'!$F:$F,"Call_Out",'ON Call_Call Out Activities'!$B:$B,CPY!B111)) *24,1)</f>
        <v>0</v>
      </c>
      <c r="AC111" s="63">
        <f>ROUNDUP((SUMIFS('ON Call_Call Out Activities'!$M:$M,'ON Call_Call Out Activities'!$F:$F,"Call_Out",'ON Call_Call Out Activities'!$B:$B,CPY!B111)),1)</f>
        <v>0</v>
      </c>
      <c r="AE111" s="65">
        <f>IF((SUMIF(Shift_allowance_Entries!$B:$B,CPY!$B111,Shift_allowance_Entries!$H:$H)) &gt; (SUMIF(Shift_allowance_Entries!$B:$B,CPY!$B111,Shift_allowance_Entries!$G:$G)),0,((SUMIF(Shift_allowance_Entries!$B:$B,CPY!$B111,Shift_allowance_Entries!$G:$G))-(SUMIF(Shift_allowance_Entries!$B:$B,CPY!$B111,Shift_allowance_Entries!$H:$H))))</f>
        <v>0</v>
      </c>
      <c r="AF111" s="63">
        <f>AE111*MD!$S$4</f>
        <v>0</v>
      </c>
    </row>
    <row r="112" spans="1:32" x14ac:dyDescent="0.25">
      <c r="A112" s="62">
        <v>110</v>
      </c>
      <c r="B112" s="62"/>
      <c r="C112" s="50" t="str">
        <f>IF(ISNA(VLOOKUP($B112,Summary!$B:$D,2,FALSE))=TRUE," ",VLOOKUP($B112,Summary!$B:$D,2,FALSE))</f>
        <v> </v>
      </c>
      <c r="D112" s="50" t="str">
        <f>IF(ISNA(VLOOKUP($B112,Summary!$B:$D,3,FALSE))=TRUE," ",VLOOKUP($B112,Summary!$B:$D,3,FALSE))</f>
        <v> </v>
      </c>
      <c r="E112" s="62"/>
      <c r="F112" s="62"/>
      <c r="G112" s="62"/>
      <c r="I112" s="63">
        <f t="shared" si="1"/>
        <v>0</v>
      </c>
      <c r="K112" s="64">
        <f>IF(E112="Support(L1_L2)",IF(NOT(ISBLANK(B112)),IF(NOT(ISBLANK(D112)),NETWORKDAYS('CPY TOC'!$F$5,'CPY TOC'!$G$5))))-L112</f>
        <v>0</v>
      </c>
      <c r="L112" s="64">
        <f>IF(E112="Support(L1_L2)",SUMIFS(Support_allowance_Entries!$G:$G,Support_allowance_Entries!$B:$B,CPY!B112),0)</f>
        <v>0</v>
      </c>
      <c r="M112" s="63" t="b">
        <f>IF($D112="D0",MD!$C$4*(K112),IF($D112="D1",MD!$C$5*(K112),IF($D112="D2",MD!$C$6*(K112),IF($D112="D3",MD!$C$7*(K112),IF($D112="D4",MD!$C$8*(K112),IF($D112="D5",MD!$C$9*(K112),IF($D112="M1",MD!$C$10*(K112),IF($D112="T1",MD!$C$11*(K112)))))))))</f>
        <v>0</v>
      </c>
      <c r="O112" s="65">
        <f>SUMIFS(Shift_allowance_Entries!$G:$G,Shift_allowance_Entries!$F:$F,"6:30AM-03:30PM",Shift_allowance_Entries!$B:$B,CPY!$B112)</f>
        <v>0</v>
      </c>
      <c r="P112" s="65">
        <f>SUMIFS(Shift_allowance_Entries!$G:$G,Shift_allowance_Entries!$F:$F,"1-9PM/2:30PM-11:30PM",Shift_allowance_Entries!$B:$B,CPY!$B112)</f>
        <v>0</v>
      </c>
      <c r="Q112" s="65">
        <f>SUMIFS(Shift_allowance_Entries!$G:$G,Shift_allowance_Entries!$F:$F,"11PM-7AM",Shift_allowance_Entries!$B:$B,CPY!$B112)</f>
        <v>0</v>
      </c>
      <c r="R112" s="63">
        <f>(CPY!O112*MD!$F$4)+(CPY!P112*MD!$F$5)+(CPY!Q112*MD!$F$6)</f>
        <v>0</v>
      </c>
      <c r="T112" s="64">
        <f>ROUNDUP((SUMIFS('OOH Activities'!$K:$K,'OOH Activities'!$F:$F,"Non_workdays",'OOH Activities'!$B:$B,CPY!B112)) *24,1)</f>
        <v>0</v>
      </c>
      <c r="U112" s="64">
        <f>ROUNDUP((SUMIFS('OOH Activities'!$K:$K,'OOH Activities'!$F:$F,"Workdays",'OOH Activities'!$B:$B,CPY!B112)) *24,1)</f>
        <v>0</v>
      </c>
      <c r="V112" s="63">
        <f>ROUNDUP((SUMIFS('OOH Activities'!$L:$L,'OOH Activities'!$B:$B,CPY!B112)),1)</f>
        <v>0</v>
      </c>
      <c r="X112" s="65">
        <f>ROUNDUP((SUMIFS('ON Call_Call Out Activities'!$L:$L,'ON Call_Call Out Activities'!$F:$F,"Workdays",'ON Call_Call Out Activities'!$B:$B,CPY!B112))*24,1)</f>
        <v>0</v>
      </c>
      <c r="Y112" s="64">
        <f>ROUNDUP((SUMIFS('ON Call_Call Out Activities'!$L:$L,'ON Call_Call Out Activities'!$F:$F,"Non_workdays",'ON Call_Call Out Activities'!$B:$B,CPY!B112)) *24,1)</f>
        <v>0</v>
      </c>
      <c r="Z112" s="63">
        <f>ROUNDUP((SUMIFS('ON Call_Call Out Activities'!$M:$M,'ON Call_Call Out Activities'!$F:$F,"Non_workdays",'ON Call_Call Out Activities'!$B:$B,CPY!B112)),1) + ROUNDUP((SUMIFS('ON Call_Call Out Activities'!$M:$M,'ON Call_Call Out Activities'!$F:$F,"Workdays",'ON Call_Call Out Activities'!$B:$B,CPY!B112)),1)</f>
        <v>0</v>
      </c>
      <c r="AA112" s="66"/>
      <c r="AB112" s="64">
        <f>ROUNDUP((SUMIFS('ON Call_Call Out Activities'!$L:$L,'ON Call_Call Out Activities'!$F:$F,"Call_Out",'ON Call_Call Out Activities'!$B:$B,CPY!B112)) *24,1)</f>
        <v>0</v>
      </c>
      <c r="AC112" s="63">
        <f>ROUNDUP((SUMIFS('ON Call_Call Out Activities'!$M:$M,'ON Call_Call Out Activities'!$F:$F,"Call_Out",'ON Call_Call Out Activities'!$B:$B,CPY!B112)),1)</f>
        <v>0</v>
      </c>
      <c r="AE112" s="65">
        <f>IF((SUMIF(Shift_allowance_Entries!$B:$B,CPY!$B112,Shift_allowance_Entries!$H:$H)) &gt; (SUMIF(Shift_allowance_Entries!$B:$B,CPY!$B112,Shift_allowance_Entries!$G:$G)),0,((SUMIF(Shift_allowance_Entries!$B:$B,CPY!$B112,Shift_allowance_Entries!$G:$G))-(SUMIF(Shift_allowance_Entries!$B:$B,CPY!$B112,Shift_allowance_Entries!$H:$H))))</f>
        <v>0</v>
      </c>
      <c r="AF112" s="63">
        <f>AE112*MD!$S$4</f>
        <v>0</v>
      </c>
    </row>
    <row r="113" spans="1:32" x14ac:dyDescent="0.25">
      <c r="A113" s="62">
        <v>111</v>
      </c>
      <c r="B113" s="62"/>
      <c r="C113" s="50" t="str">
        <f>IF(ISNA(VLOOKUP($B113,Summary!$B:$D,2,FALSE))=TRUE," ",VLOOKUP($B113,Summary!$B:$D,2,FALSE))</f>
        <v> </v>
      </c>
      <c r="D113" s="50" t="str">
        <f>IF(ISNA(VLOOKUP($B113,Summary!$B:$D,3,FALSE))=TRUE," ",VLOOKUP($B113,Summary!$B:$D,3,FALSE))</f>
        <v> </v>
      </c>
      <c r="E113" s="62"/>
      <c r="F113" s="62"/>
      <c r="G113" s="62"/>
      <c r="I113" s="63">
        <f t="shared" si="1"/>
        <v>0</v>
      </c>
      <c r="K113" s="64">
        <f>IF(E113="Support(L1_L2)",IF(NOT(ISBLANK(B113)),IF(NOT(ISBLANK(D113)),NETWORKDAYS('CPY TOC'!$F$5,'CPY TOC'!$G$5))))-L113</f>
        <v>0</v>
      </c>
      <c r="L113" s="64">
        <f>IF(E113="Support(L1_L2)",SUMIFS(Support_allowance_Entries!$G:$G,Support_allowance_Entries!$B:$B,CPY!B113),0)</f>
        <v>0</v>
      </c>
      <c r="M113" s="63" t="b">
        <f>IF($D113="D0",MD!$C$4*(K113),IF($D113="D1",MD!$C$5*(K113),IF($D113="D2",MD!$C$6*(K113),IF($D113="D3",MD!$C$7*(K113),IF($D113="D4",MD!$C$8*(K113),IF($D113="D5",MD!$C$9*(K113),IF($D113="M1",MD!$C$10*(K113),IF($D113="T1",MD!$C$11*(K113)))))))))</f>
        <v>0</v>
      </c>
      <c r="O113" s="65">
        <f>SUMIFS(Shift_allowance_Entries!$G:$G,Shift_allowance_Entries!$F:$F,"6:30AM-03:30PM",Shift_allowance_Entries!$B:$B,CPY!$B113)</f>
        <v>0</v>
      </c>
      <c r="P113" s="65">
        <f>SUMIFS(Shift_allowance_Entries!$G:$G,Shift_allowance_Entries!$F:$F,"1-9PM/2:30PM-11:30PM",Shift_allowance_Entries!$B:$B,CPY!$B113)</f>
        <v>0</v>
      </c>
      <c r="Q113" s="65">
        <f>SUMIFS(Shift_allowance_Entries!$G:$G,Shift_allowance_Entries!$F:$F,"11PM-7AM",Shift_allowance_Entries!$B:$B,CPY!$B113)</f>
        <v>0</v>
      </c>
      <c r="R113" s="63">
        <f>(CPY!O113*MD!$F$4)+(CPY!P113*MD!$F$5)+(CPY!Q113*MD!$F$6)</f>
        <v>0</v>
      </c>
      <c r="T113" s="64">
        <f>ROUNDUP((SUMIFS('OOH Activities'!$K:$K,'OOH Activities'!$F:$F,"Non_workdays",'OOH Activities'!$B:$B,CPY!B113)) *24,1)</f>
        <v>0</v>
      </c>
      <c r="U113" s="64">
        <f>ROUNDUP((SUMIFS('OOH Activities'!$K:$K,'OOH Activities'!$F:$F,"Workdays",'OOH Activities'!$B:$B,CPY!B113)) *24,1)</f>
        <v>0</v>
      </c>
      <c r="V113" s="63">
        <f>ROUNDUP((SUMIFS('OOH Activities'!$L:$L,'OOH Activities'!$B:$B,CPY!B113)),1)</f>
        <v>0</v>
      </c>
      <c r="X113" s="65">
        <f>ROUNDUP((SUMIFS('ON Call_Call Out Activities'!$L:$L,'ON Call_Call Out Activities'!$F:$F,"Workdays",'ON Call_Call Out Activities'!$B:$B,CPY!B113))*24,1)</f>
        <v>0</v>
      </c>
      <c r="Y113" s="64">
        <f>ROUNDUP((SUMIFS('ON Call_Call Out Activities'!$L:$L,'ON Call_Call Out Activities'!$F:$F,"Non_workdays",'ON Call_Call Out Activities'!$B:$B,CPY!B113)) *24,1)</f>
        <v>0</v>
      </c>
      <c r="Z113" s="63">
        <f>ROUNDUP((SUMIFS('ON Call_Call Out Activities'!$M:$M,'ON Call_Call Out Activities'!$F:$F,"Non_workdays",'ON Call_Call Out Activities'!$B:$B,CPY!B113)),1) + ROUNDUP((SUMIFS('ON Call_Call Out Activities'!$M:$M,'ON Call_Call Out Activities'!$F:$F,"Workdays",'ON Call_Call Out Activities'!$B:$B,CPY!B113)),1)</f>
        <v>0</v>
      </c>
      <c r="AA113" s="66"/>
      <c r="AB113" s="64">
        <f>ROUNDUP((SUMIFS('ON Call_Call Out Activities'!$L:$L,'ON Call_Call Out Activities'!$F:$F,"Call_Out",'ON Call_Call Out Activities'!$B:$B,CPY!B113)) *24,1)</f>
        <v>0</v>
      </c>
      <c r="AC113" s="63">
        <f>ROUNDUP((SUMIFS('ON Call_Call Out Activities'!$M:$M,'ON Call_Call Out Activities'!$F:$F,"Call_Out",'ON Call_Call Out Activities'!$B:$B,CPY!B113)),1)</f>
        <v>0</v>
      </c>
      <c r="AE113" s="65">
        <f>IF((SUMIF(Shift_allowance_Entries!$B:$B,CPY!$B113,Shift_allowance_Entries!$H:$H)) &gt; (SUMIF(Shift_allowance_Entries!$B:$B,CPY!$B113,Shift_allowance_Entries!$G:$G)),0,((SUMIF(Shift_allowance_Entries!$B:$B,CPY!$B113,Shift_allowance_Entries!$G:$G))-(SUMIF(Shift_allowance_Entries!$B:$B,CPY!$B113,Shift_allowance_Entries!$H:$H))))</f>
        <v>0</v>
      </c>
      <c r="AF113" s="63">
        <f>AE113*MD!$S$4</f>
        <v>0</v>
      </c>
    </row>
    <row r="114" spans="1:32" x14ac:dyDescent="0.25">
      <c r="A114" s="62">
        <v>112</v>
      </c>
      <c r="B114" s="62"/>
      <c r="C114" s="50" t="str">
        <f>IF(ISNA(VLOOKUP($B114,Summary!$B:$D,2,FALSE))=TRUE," ",VLOOKUP($B114,Summary!$B:$D,2,FALSE))</f>
        <v> </v>
      </c>
      <c r="D114" s="50" t="str">
        <f>IF(ISNA(VLOOKUP($B114,Summary!$B:$D,3,FALSE))=TRUE," ",VLOOKUP($B114,Summary!$B:$D,3,FALSE))</f>
        <v> </v>
      </c>
      <c r="E114" s="62"/>
      <c r="F114" s="62"/>
      <c r="G114" s="62"/>
      <c r="I114" s="63">
        <f t="shared" si="1"/>
        <v>0</v>
      </c>
      <c r="K114" s="64">
        <f>IF(E114="Support(L1_L2)",IF(NOT(ISBLANK(B114)),IF(NOT(ISBLANK(D114)),NETWORKDAYS('CPY TOC'!$F$5,'CPY TOC'!$G$5))))-L114</f>
        <v>0</v>
      </c>
      <c r="L114" s="64">
        <f>IF(E114="Support(L1_L2)",SUMIFS(Support_allowance_Entries!$G:$G,Support_allowance_Entries!$B:$B,CPY!B114),0)</f>
        <v>0</v>
      </c>
      <c r="M114" s="63" t="b">
        <f>IF($D114="D0",MD!$C$4*(K114),IF($D114="D1",MD!$C$5*(K114),IF($D114="D2",MD!$C$6*(K114),IF($D114="D3",MD!$C$7*(K114),IF($D114="D4",MD!$C$8*(K114),IF($D114="D5",MD!$C$9*(K114),IF($D114="M1",MD!$C$10*(K114),IF($D114="T1",MD!$C$11*(K114)))))))))</f>
        <v>0</v>
      </c>
      <c r="O114" s="65">
        <f>SUMIFS(Shift_allowance_Entries!$G:$G,Shift_allowance_Entries!$F:$F,"6:30AM-03:30PM",Shift_allowance_Entries!$B:$B,CPY!$B114)</f>
        <v>0</v>
      </c>
      <c r="P114" s="65">
        <f>SUMIFS(Shift_allowance_Entries!$G:$G,Shift_allowance_Entries!$F:$F,"1-9PM/2:30PM-11:30PM",Shift_allowance_Entries!$B:$B,CPY!$B114)</f>
        <v>0</v>
      </c>
      <c r="Q114" s="65">
        <f>SUMIFS(Shift_allowance_Entries!$G:$G,Shift_allowance_Entries!$F:$F,"11PM-7AM",Shift_allowance_Entries!$B:$B,CPY!$B114)</f>
        <v>0</v>
      </c>
      <c r="R114" s="63">
        <f>(CPY!O114*MD!$F$4)+(CPY!P114*MD!$F$5)+(CPY!Q114*MD!$F$6)</f>
        <v>0</v>
      </c>
      <c r="T114" s="64">
        <f>ROUNDUP((SUMIFS('OOH Activities'!$K:$K,'OOH Activities'!$F:$F,"Non_workdays",'OOH Activities'!$B:$B,CPY!B114)) *24,1)</f>
        <v>0</v>
      </c>
      <c r="U114" s="64">
        <f>ROUNDUP((SUMIFS('OOH Activities'!$K:$K,'OOH Activities'!$F:$F,"Workdays",'OOH Activities'!$B:$B,CPY!B114)) *24,1)</f>
        <v>0</v>
      </c>
      <c r="V114" s="63">
        <f>ROUNDUP((SUMIFS('OOH Activities'!$L:$L,'OOH Activities'!$B:$B,CPY!B114)),1)</f>
        <v>0</v>
      </c>
      <c r="X114" s="65">
        <f>ROUNDUP((SUMIFS('ON Call_Call Out Activities'!$L:$L,'ON Call_Call Out Activities'!$F:$F,"Workdays",'ON Call_Call Out Activities'!$B:$B,CPY!B114))*24,1)</f>
        <v>0</v>
      </c>
      <c r="Y114" s="64">
        <f>ROUNDUP((SUMIFS('ON Call_Call Out Activities'!$L:$L,'ON Call_Call Out Activities'!$F:$F,"Non_workdays",'ON Call_Call Out Activities'!$B:$B,CPY!B114)) *24,1)</f>
        <v>0</v>
      </c>
      <c r="Z114" s="63">
        <f>ROUNDUP((SUMIFS('ON Call_Call Out Activities'!$M:$M,'ON Call_Call Out Activities'!$F:$F,"Non_workdays",'ON Call_Call Out Activities'!$B:$B,CPY!B114)),1) + ROUNDUP((SUMIFS('ON Call_Call Out Activities'!$M:$M,'ON Call_Call Out Activities'!$F:$F,"Workdays",'ON Call_Call Out Activities'!$B:$B,CPY!B114)),1)</f>
        <v>0</v>
      </c>
      <c r="AA114" s="66"/>
      <c r="AB114" s="64">
        <f>ROUNDUP((SUMIFS('ON Call_Call Out Activities'!$L:$L,'ON Call_Call Out Activities'!$F:$F,"Call_Out",'ON Call_Call Out Activities'!$B:$B,CPY!B114)) *24,1)</f>
        <v>0</v>
      </c>
      <c r="AC114" s="63">
        <f>ROUNDUP((SUMIFS('ON Call_Call Out Activities'!$M:$M,'ON Call_Call Out Activities'!$F:$F,"Call_Out",'ON Call_Call Out Activities'!$B:$B,CPY!B114)),1)</f>
        <v>0</v>
      </c>
      <c r="AE114" s="65">
        <f>IF((SUMIF(Shift_allowance_Entries!$B:$B,CPY!$B114,Shift_allowance_Entries!$H:$H)) &gt; (SUMIF(Shift_allowance_Entries!$B:$B,CPY!$B114,Shift_allowance_Entries!$G:$G)),0,((SUMIF(Shift_allowance_Entries!$B:$B,CPY!$B114,Shift_allowance_Entries!$G:$G))-(SUMIF(Shift_allowance_Entries!$B:$B,CPY!$B114,Shift_allowance_Entries!$H:$H))))</f>
        <v>0</v>
      </c>
      <c r="AF114" s="63">
        <f>AE114*MD!$S$4</f>
        <v>0</v>
      </c>
    </row>
    <row r="115" spans="1:32" x14ac:dyDescent="0.25">
      <c r="A115" s="62">
        <v>113</v>
      </c>
      <c r="B115" s="62"/>
      <c r="C115" s="50" t="str">
        <f>IF(ISNA(VLOOKUP($B115,Summary!$B:$D,2,FALSE))=TRUE," ",VLOOKUP($B115,Summary!$B:$D,2,FALSE))</f>
        <v> </v>
      </c>
      <c r="D115" s="50" t="str">
        <f>IF(ISNA(VLOOKUP($B115,Summary!$B:$D,3,FALSE))=TRUE," ",VLOOKUP($B115,Summary!$B:$D,3,FALSE))</f>
        <v> </v>
      </c>
      <c r="E115" s="62"/>
      <c r="F115" s="62"/>
      <c r="G115" s="62"/>
      <c r="I115" s="63">
        <f t="shared" si="1"/>
        <v>0</v>
      </c>
      <c r="K115" s="64">
        <f>IF(E115="Support(L1_L2)",IF(NOT(ISBLANK(B115)),IF(NOT(ISBLANK(D115)),NETWORKDAYS('CPY TOC'!$F$5,'CPY TOC'!$G$5))))-L115</f>
        <v>0</v>
      </c>
      <c r="L115" s="64">
        <f>IF(E115="Support(L1_L2)",SUMIFS(Support_allowance_Entries!$G:$G,Support_allowance_Entries!$B:$B,CPY!B115),0)</f>
        <v>0</v>
      </c>
      <c r="M115" s="63" t="b">
        <f>IF($D115="D0",MD!$C$4*(K115),IF($D115="D1",MD!$C$5*(K115),IF($D115="D2",MD!$C$6*(K115),IF($D115="D3",MD!$C$7*(K115),IF($D115="D4",MD!$C$8*(K115),IF($D115="D5",MD!$C$9*(K115),IF($D115="M1",MD!$C$10*(K115),IF($D115="T1",MD!$C$11*(K115)))))))))</f>
        <v>0</v>
      </c>
      <c r="O115" s="65">
        <f>SUMIFS(Shift_allowance_Entries!$G:$G,Shift_allowance_Entries!$F:$F,"6:30AM-03:30PM",Shift_allowance_Entries!$B:$B,CPY!$B115)</f>
        <v>0</v>
      </c>
      <c r="P115" s="65">
        <f>SUMIFS(Shift_allowance_Entries!$G:$G,Shift_allowance_Entries!$F:$F,"1-9PM/2:30PM-11:30PM",Shift_allowance_Entries!$B:$B,CPY!$B115)</f>
        <v>0</v>
      </c>
      <c r="Q115" s="65">
        <f>SUMIFS(Shift_allowance_Entries!$G:$G,Shift_allowance_Entries!$F:$F,"11PM-7AM",Shift_allowance_Entries!$B:$B,CPY!$B115)</f>
        <v>0</v>
      </c>
      <c r="R115" s="63">
        <f>(CPY!O115*MD!$F$4)+(CPY!P115*MD!$F$5)+(CPY!Q115*MD!$F$6)</f>
        <v>0</v>
      </c>
      <c r="T115" s="64">
        <f>ROUNDUP((SUMIFS('OOH Activities'!$K:$K,'OOH Activities'!$F:$F,"Non_workdays",'OOH Activities'!$B:$B,CPY!B115)) *24,1)</f>
        <v>0</v>
      </c>
      <c r="U115" s="64">
        <f>ROUNDUP((SUMIFS('OOH Activities'!$K:$K,'OOH Activities'!$F:$F,"Workdays",'OOH Activities'!$B:$B,CPY!B115)) *24,1)</f>
        <v>0</v>
      </c>
      <c r="V115" s="63">
        <f>ROUNDUP((SUMIFS('OOH Activities'!$L:$L,'OOH Activities'!$B:$B,CPY!B115)),1)</f>
        <v>0</v>
      </c>
      <c r="X115" s="65">
        <f>ROUNDUP((SUMIFS('ON Call_Call Out Activities'!$L:$L,'ON Call_Call Out Activities'!$F:$F,"Workdays",'ON Call_Call Out Activities'!$B:$B,CPY!B115))*24,1)</f>
        <v>0</v>
      </c>
      <c r="Y115" s="64">
        <f>ROUNDUP((SUMIFS('ON Call_Call Out Activities'!$L:$L,'ON Call_Call Out Activities'!$F:$F,"Non_workdays",'ON Call_Call Out Activities'!$B:$B,CPY!B115)) *24,1)</f>
        <v>0</v>
      </c>
      <c r="Z115" s="63">
        <f>ROUNDUP((SUMIFS('ON Call_Call Out Activities'!$M:$M,'ON Call_Call Out Activities'!$F:$F,"Non_workdays",'ON Call_Call Out Activities'!$B:$B,CPY!B115)),1) + ROUNDUP((SUMIFS('ON Call_Call Out Activities'!$M:$M,'ON Call_Call Out Activities'!$F:$F,"Workdays",'ON Call_Call Out Activities'!$B:$B,CPY!B115)),1)</f>
        <v>0</v>
      </c>
      <c r="AA115" s="66"/>
      <c r="AB115" s="64">
        <f>ROUNDUP((SUMIFS('ON Call_Call Out Activities'!$L:$L,'ON Call_Call Out Activities'!$F:$F,"Call_Out",'ON Call_Call Out Activities'!$B:$B,CPY!B115)) *24,1)</f>
        <v>0</v>
      </c>
      <c r="AC115" s="63">
        <f>ROUNDUP((SUMIFS('ON Call_Call Out Activities'!$M:$M,'ON Call_Call Out Activities'!$F:$F,"Call_Out",'ON Call_Call Out Activities'!$B:$B,CPY!B115)),1)</f>
        <v>0</v>
      </c>
      <c r="AE115" s="65">
        <f>IF((SUMIF(Shift_allowance_Entries!$B:$B,CPY!$B115,Shift_allowance_Entries!$H:$H)) &gt; (SUMIF(Shift_allowance_Entries!$B:$B,CPY!$B115,Shift_allowance_Entries!$G:$G)),0,((SUMIF(Shift_allowance_Entries!$B:$B,CPY!$B115,Shift_allowance_Entries!$G:$G))-(SUMIF(Shift_allowance_Entries!$B:$B,CPY!$B115,Shift_allowance_Entries!$H:$H))))</f>
        <v>0</v>
      </c>
      <c r="AF115" s="63">
        <f>AE115*MD!$S$4</f>
        <v>0</v>
      </c>
    </row>
    <row r="116" spans="1:32" x14ac:dyDescent="0.25">
      <c r="A116" s="62">
        <v>114</v>
      </c>
      <c r="B116" s="62"/>
      <c r="C116" s="50" t="str">
        <f>IF(ISNA(VLOOKUP($B116,Summary!$B:$D,2,FALSE))=TRUE," ",VLOOKUP($B116,Summary!$B:$D,2,FALSE))</f>
        <v> </v>
      </c>
      <c r="D116" s="50" t="str">
        <f>IF(ISNA(VLOOKUP($B116,Summary!$B:$D,3,FALSE))=TRUE," ",VLOOKUP($B116,Summary!$B:$D,3,FALSE))</f>
        <v> </v>
      </c>
      <c r="E116" s="62"/>
      <c r="F116" s="62"/>
      <c r="G116" s="62"/>
      <c r="I116" s="63">
        <f t="shared" si="1"/>
        <v>0</v>
      </c>
      <c r="K116" s="64">
        <f>IF(E116="Support(L1_L2)",IF(NOT(ISBLANK(B116)),IF(NOT(ISBLANK(D116)),NETWORKDAYS('CPY TOC'!$F$5,'CPY TOC'!$G$5))))-L116</f>
        <v>0</v>
      </c>
      <c r="L116" s="64">
        <f>IF(E116="Support(L1_L2)",SUMIFS(Support_allowance_Entries!$G:$G,Support_allowance_Entries!$B:$B,CPY!B116),0)</f>
        <v>0</v>
      </c>
      <c r="M116" s="63" t="b">
        <f>IF($D116="D0",MD!$C$4*(K116),IF($D116="D1",MD!$C$5*(K116),IF($D116="D2",MD!$C$6*(K116),IF($D116="D3",MD!$C$7*(K116),IF($D116="D4",MD!$C$8*(K116),IF($D116="D5",MD!$C$9*(K116),IF($D116="M1",MD!$C$10*(K116),IF($D116="T1",MD!$C$11*(K116)))))))))</f>
        <v>0</v>
      </c>
      <c r="O116" s="65">
        <f>SUMIFS(Shift_allowance_Entries!$G:$G,Shift_allowance_Entries!$F:$F,"6:30AM-03:30PM",Shift_allowance_Entries!$B:$B,CPY!$B116)</f>
        <v>0</v>
      </c>
      <c r="P116" s="65">
        <f>SUMIFS(Shift_allowance_Entries!$G:$G,Shift_allowance_Entries!$F:$F,"1-9PM/2:30PM-11:30PM",Shift_allowance_Entries!$B:$B,CPY!$B116)</f>
        <v>0</v>
      </c>
      <c r="Q116" s="65">
        <f>SUMIFS(Shift_allowance_Entries!$G:$G,Shift_allowance_Entries!$F:$F,"11PM-7AM",Shift_allowance_Entries!$B:$B,CPY!$B116)</f>
        <v>0</v>
      </c>
      <c r="R116" s="63">
        <f>(CPY!O116*MD!$F$4)+(CPY!P116*MD!$F$5)+(CPY!Q116*MD!$F$6)</f>
        <v>0</v>
      </c>
      <c r="T116" s="64">
        <f>ROUNDUP((SUMIFS('OOH Activities'!$K:$K,'OOH Activities'!$F:$F,"Non_workdays",'OOH Activities'!$B:$B,CPY!B116)) *24,1)</f>
        <v>0</v>
      </c>
      <c r="U116" s="64">
        <f>ROUNDUP((SUMIFS('OOH Activities'!$K:$K,'OOH Activities'!$F:$F,"Workdays",'OOH Activities'!$B:$B,CPY!B116)) *24,1)</f>
        <v>0</v>
      </c>
      <c r="V116" s="63">
        <f>ROUNDUP((SUMIFS('OOH Activities'!$L:$L,'OOH Activities'!$B:$B,CPY!B116)),1)</f>
        <v>0</v>
      </c>
      <c r="X116" s="65">
        <f>ROUNDUP((SUMIFS('ON Call_Call Out Activities'!$L:$L,'ON Call_Call Out Activities'!$F:$F,"Workdays",'ON Call_Call Out Activities'!$B:$B,CPY!B116))*24,1)</f>
        <v>0</v>
      </c>
      <c r="Y116" s="64">
        <f>ROUNDUP((SUMIFS('ON Call_Call Out Activities'!$L:$L,'ON Call_Call Out Activities'!$F:$F,"Non_workdays",'ON Call_Call Out Activities'!$B:$B,CPY!B116)) *24,1)</f>
        <v>0</v>
      </c>
      <c r="Z116" s="63">
        <f>ROUNDUP((SUMIFS('ON Call_Call Out Activities'!$M:$M,'ON Call_Call Out Activities'!$F:$F,"Non_workdays",'ON Call_Call Out Activities'!$B:$B,CPY!B116)),1) + ROUNDUP((SUMIFS('ON Call_Call Out Activities'!$M:$M,'ON Call_Call Out Activities'!$F:$F,"Workdays",'ON Call_Call Out Activities'!$B:$B,CPY!B116)),1)</f>
        <v>0</v>
      </c>
      <c r="AA116" s="66"/>
      <c r="AB116" s="64">
        <f>ROUNDUP((SUMIFS('ON Call_Call Out Activities'!$L:$L,'ON Call_Call Out Activities'!$F:$F,"Call_Out",'ON Call_Call Out Activities'!$B:$B,CPY!B116)) *24,1)</f>
        <v>0</v>
      </c>
      <c r="AC116" s="63">
        <f>ROUNDUP((SUMIFS('ON Call_Call Out Activities'!$M:$M,'ON Call_Call Out Activities'!$F:$F,"Call_Out",'ON Call_Call Out Activities'!$B:$B,CPY!B116)),1)</f>
        <v>0</v>
      </c>
      <c r="AE116" s="65">
        <f>IF((SUMIF(Shift_allowance_Entries!$B:$B,CPY!$B116,Shift_allowance_Entries!$H:$H)) &gt; (SUMIF(Shift_allowance_Entries!$B:$B,CPY!$B116,Shift_allowance_Entries!$G:$G)),0,((SUMIF(Shift_allowance_Entries!$B:$B,CPY!$B116,Shift_allowance_Entries!$G:$G))-(SUMIF(Shift_allowance_Entries!$B:$B,CPY!$B116,Shift_allowance_Entries!$H:$H))))</f>
        <v>0</v>
      </c>
      <c r="AF116" s="63">
        <f>AE116*MD!$S$4</f>
        <v>0</v>
      </c>
    </row>
    <row r="117" spans="1:32" x14ac:dyDescent="0.25">
      <c r="A117" s="62">
        <v>115</v>
      </c>
      <c r="B117" s="62"/>
      <c r="C117" s="50" t="str">
        <f>IF(ISNA(VLOOKUP($B117,Summary!$B:$D,2,FALSE))=TRUE," ",VLOOKUP($B117,Summary!$B:$D,2,FALSE))</f>
        <v> </v>
      </c>
      <c r="D117" s="50" t="str">
        <f>IF(ISNA(VLOOKUP($B117,Summary!$B:$D,3,FALSE))=TRUE," ",VLOOKUP($B117,Summary!$B:$D,3,FALSE))</f>
        <v> </v>
      </c>
      <c r="E117" s="62"/>
      <c r="F117" s="62"/>
      <c r="G117" s="62"/>
      <c r="I117" s="63">
        <f t="shared" si="1"/>
        <v>0</v>
      </c>
      <c r="K117" s="64">
        <f>IF(E117="Support(L1_L2)",IF(NOT(ISBLANK(B117)),IF(NOT(ISBLANK(D117)),NETWORKDAYS('CPY TOC'!$F$5,'CPY TOC'!$G$5))))-L117</f>
        <v>0</v>
      </c>
      <c r="L117" s="64">
        <f>IF(E117="Support(L1_L2)",SUMIFS(Support_allowance_Entries!$G:$G,Support_allowance_Entries!$B:$B,CPY!B117),0)</f>
        <v>0</v>
      </c>
      <c r="M117" s="63" t="b">
        <f>IF($D117="D0",MD!$C$4*(K117),IF($D117="D1",MD!$C$5*(K117),IF($D117="D2",MD!$C$6*(K117),IF($D117="D3",MD!$C$7*(K117),IF($D117="D4",MD!$C$8*(K117),IF($D117="D5",MD!$C$9*(K117),IF($D117="M1",MD!$C$10*(K117),IF($D117="T1",MD!$C$11*(K117)))))))))</f>
        <v>0</v>
      </c>
      <c r="O117" s="65">
        <f>SUMIFS(Shift_allowance_Entries!$G:$G,Shift_allowance_Entries!$F:$F,"6:30AM-03:30PM",Shift_allowance_Entries!$B:$B,CPY!$B117)</f>
        <v>0</v>
      </c>
      <c r="P117" s="65">
        <f>SUMIFS(Shift_allowance_Entries!$G:$G,Shift_allowance_Entries!$F:$F,"1-9PM/2:30PM-11:30PM",Shift_allowance_Entries!$B:$B,CPY!$B117)</f>
        <v>0</v>
      </c>
      <c r="Q117" s="65">
        <f>SUMIFS(Shift_allowance_Entries!$G:$G,Shift_allowance_Entries!$F:$F,"11PM-7AM",Shift_allowance_Entries!$B:$B,CPY!$B117)</f>
        <v>0</v>
      </c>
      <c r="R117" s="63">
        <f>(CPY!O117*MD!$F$4)+(CPY!P117*MD!$F$5)+(CPY!Q117*MD!$F$6)</f>
        <v>0</v>
      </c>
      <c r="T117" s="64">
        <f>ROUNDUP((SUMIFS('OOH Activities'!$K:$K,'OOH Activities'!$F:$F,"Non_workdays",'OOH Activities'!$B:$B,CPY!B117)) *24,1)</f>
        <v>0</v>
      </c>
      <c r="U117" s="64">
        <f>ROUNDUP((SUMIFS('OOH Activities'!$K:$K,'OOH Activities'!$F:$F,"Workdays",'OOH Activities'!$B:$B,CPY!B117)) *24,1)</f>
        <v>0</v>
      </c>
      <c r="V117" s="63">
        <f>ROUNDUP((SUMIFS('OOH Activities'!$L:$L,'OOH Activities'!$B:$B,CPY!B117)),1)</f>
        <v>0</v>
      </c>
      <c r="X117" s="65">
        <f>ROUNDUP((SUMIFS('ON Call_Call Out Activities'!$L:$L,'ON Call_Call Out Activities'!$F:$F,"Workdays",'ON Call_Call Out Activities'!$B:$B,CPY!B117))*24,1)</f>
        <v>0</v>
      </c>
      <c r="Y117" s="64">
        <f>ROUNDUP((SUMIFS('ON Call_Call Out Activities'!$L:$L,'ON Call_Call Out Activities'!$F:$F,"Non_workdays",'ON Call_Call Out Activities'!$B:$B,CPY!B117)) *24,1)</f>
        <v>0</v>
      </c>
      <c r="Z117" s="63">
        <f>ROUNDUP((SUMIFS('ON Call_Call Out Activities'!$M:$M,'ON Call_Call Out Activities'!$F:$F,"Non_workdays",'ON Call_Call Out Activities'!$B:$B,CPY!B117)),1) + ROUNDUP((SUMIFS('ON Call_Call Out Activities'!$M:$M,'ON Call_Call Out Activities'!$F:$F,"Workdays",'ON Call_Call Out Activities'!$B:$B,CPY!B117)),1)</f>
        <v>0</v>
      </c>
      <c r="AA117" s="66"/>
      <c r="AB117" s="64">
        <f>ROUNDUP((SUMIFS('ON Call_Call Out Activities'!$L:$L,'ON Call_Call Out Activities'!$F:$F,"Call_Out",'ON Call_Call Out Activities'!$B:$B,CPY!B117)) *24,1)</f>
        <v>0</v>
      </c>
      <c r="AC117" s="63">
        <f>ROUNDUP((SUMIFS('ON Call_Call Out Activities'!$M:$M,'ON Call_Call Out Activities'!$F:$F,"Call_Out",'ON Call_Call Out Activities'!$B:$B,CPY!B117)),1)</f>
        <v>0</v>
      </c>
      <c r="AE117" s="65">
        <f>IF((SUMIF(Shift_allowance_Entries!$B:$B,CPY!$B117,Shift_allowance_Entries!$H:$H)) &gt; (SUMIF(Shift_allowance_Entries!$B:$B,CPY!$B117,Shift_allowance_Entries!$G:$G)),0,((SUMIF(Shift_allowance_Entries!$B:$B,CPY!$B117,Shift_allowance_Entries!$G:$G))-(SUMIF(Shift_allowance_Entries!$B:$B,CPY!$B117,Shift_allowance_Entries!$H:$H))))</f>
        <v>0</v>
      </c>
      <c r="AF117" s="63">
        <f>AE117*MD!$S$4</f>
        <v>0</v>
      </c>
    </row>
    <row r="118" spans="1:32" x14ac:dyDescent="0.25">
      <c r="A118" s="62">
        <v>116</v>
      </c>
      <c r="B118" s="62"/>
      <c r="C118" s="50" t="str">
        <f>IF(ISNA(VLOOKUP($B118,Summary!$B:$D,2,FALSE))=TRUE," ",VLOOKUP($B118,Summary!$B:$D,2,FALSE))</f>
        <v> </v>
      </c>
      <c r="D118" s="50" t="str">
        <f>IF(ISNA(VLOOKUP($B118,Summary!$B:$D,3,FALSE))=TRUE," ",VLOOKUP($B118,Summary!$B:$D,3,FALSE))</f>
        <v> </v>
      </c>
      <c r="E118" s="62"/>
      <c r="F118" s="62"/>
      <c r="G118" s="62"/>
      <c r="I118" s="63">
        <f t="shared" si="1"/>
        <v>0</v>
      </c>
      <c r="K118" s="64">
        <f>IF(E118="Support(L1_L2)",IF(NOT(ISBLANK(B118)),IF(NOT(ISBLANK(D118)),NETWORKDAYS('CPY TOC'!$F$5,'CPY TOC'!$G$5))))-L118</f>
        <v>0</v>
      </c>
      <c r="L118" s="64">
        <f>IF(E118="Support(L1_L2)",SUMIFS(Support_allowance_Entries!$G:$G,Support_allowance_Entries!$B:$B,CPY!B118),0)</f>
        <v>0</v>
      </c>
      <c r="M118" s="63" t="b">
        <f>IF($D118="D0",MD!$C$4*(K118),IF($D118="D1",MD!$C$5*(K118),IF($D118="D2",MD!$C$6*(K118),IF($D118="D3",MD!$C$7*(K118),IF($D118="D4",MD!$C$8*(K118),IF($D118="D5",MD!$C$9*(K118),IF($D118="M1",MD!$C$10*(K118),IF($D118="T1",MD!$C$11*(K118)))))))))</f>
        <v>0</v>
      </c>
      <c r="O118" s="65">
        <f>SUMIFS(Shift_allowance_Entries!$G:$G,Shift_allowance_Entries!$F:$F,"6:30AM-03:30PM",Shift_allowance_Entries!$B:$B,CPY!$B118)</f>
        <v>0</v>
      </c>
      <c r="P118" s="65">
        <f>SUMIFS(Shift_allowance_Entries!$G:$G,Shift_allowance_Entries!$F:$F,"1-9PM/2:30PM-11:30PM",Shift_allowance_Entries!$B:$B,CPY!$B118)</f>
        <v>0</v>
      </c>
      <c r="Q118" s="65">
        <f>SUMIFS(Shift_allowance_Entries!$G:$G,Shift_allowance_Entries!$F:$F,"11PM-7AM",Shift_allowance_Entries!$B:$B,CPY!$B118)</f>
        <v>0</v>
      </c>
      <c r="R118" s="63">
        <f>(CPY!O118*MD!$F$4)+(CPY!P118*MD!$F$5)+(CPY!Q118*MD!$F$6)</f>
        <v>0</v>
      </c>
      <c r="T118" s="64">
        <f>ROUNDUP((SUMIFS('OOH Activities'!$K:$K,'OOH Activities'!$F:$F,"Non_workdays",'OOH Activities'!$B:$B,CPY!B118)) *24,1)</f>
        <v>0</v>
      </c>
      <c r="U118" s="64">
        <f>ROUNDUP((SUMIFS('OOH Activities'!$K:$K,'OOH Activities'!$F:$F,"Workdays",'OOH Activities'!$B:$B,CPY!B118)) *24,1)</f>
        <v>0</v>
      </c>
      <c r="V118" s="63">
        <f>ROUNDUP((SUMIFS('OOH Activities'!$L:$L,'OOH Activities'!$B:$B,CPY!B118)),1)</f>
        <v>0</v>
      </c>
      <c r="X118" s="65">
        <f>ROUNDUP((SUMIFS('ON Call_Call Out Activities'!$L:$L,'ON Call_Call Out Activities'!$F:$F,"Workdays",'ON Call_Call Out Activities'!$B:$B,CPY!B118))*24,1)</f>
        <v>0</v>
      </c>
      <c r="Y118" s="64">
        <f>ROUNDUP((SUMIFS('ON Call_Call Out Activities'!$L:$L,'ON Call_Call Out Activities'!$F:$F,"Non_workdays",'ON Call_Call Out Activities'!$B:$B,CPY!B118)) *24,1)</f>
        <v>0</v>
      </c>
      <c r="Z118" s="63">
        <f>ROUNDUP((SUMIFS('ON Call_Call Out Activities'!$M:$M,'ON Call_Call Out Activities'!$F:$F,"Non_workdays",'ON Call_Call Out Activities'!$B:$B,CPY!B118)),1) + ROUNDUP((SUMIFS('ON Call_Call Out Activities'!$M:$M,'ON Call_Call Out Activities'!$F:$F,"Workdays",'ON Call_Call Out Activities'!$B:$B,CPY!B118)),1)</f>
        <v>0</v>
      </c>
      <c r="AA118" s="66"/>
      <c r="AB118" s="64">
        <f>ROUNDUP((SUMIFS('ON Call_Call Out Activities'!$L:$L,'ON Call_Call Out Activities'!$F:$F,"Call_Out",'ON Call_Call Out Activities'!$B:$B,CPY!B118)) *24,1)</f>
        <v>0</v>
      </c>
      <c r="AC118" s="63">
        <f>ROUNDUP((SUMIFS('ON Call_Call Out Activities'!$M:$M,'ON Call_Call Out Activities'!$F:$F,"Call_Out",'ON Call_Call Out Activities'!$B:$B,CPY!B118)),1)</f>
        <v>0</v>
      </c>
      <c r="AE118" s="65">
        <f>IF((SUMIF(Shift_allowance_Entries!$B:$B,CPY!$B118,Shift_allowance_Entries!$H:$H)) &gt; (SUMIF(Shift_allowance_Entries!$B:$B,CPY!$B118,Shift_allowance_Entries!$G:$G)),0,((SUMIF(Shift_allowance_Entries!$B:$B,CPY!$B118,Shift_allowance_Entries!$G:$G))-(SUMIF(Shift_allowance_Entries!$B:$B,CPY!$B118,Shift_allowance_Entries!$H:$H))))</f>
        <v>0</v>
      </c>
      <c r="AF118" s="63">
        <f>AE118*MD!$S$4</f>
        <v>0</v>
      </c>
    </row>
    <row r="119" spans="1:32" x14ac:dyDescent="0.25">
      <c r="A119" s="62">
        <v>117</v>
      </c>
      <c r="B119" s="62"/>
      <c r="C119" s="50" t="str">
        <f>IF(ISNA(VLOOKUP($B119,Summary!$B:$D,2,FALSE))=TRUE," ",VLOOKUP($B119,Summary!$B:$D,2,FALSE))</f>
        <v> </v>
      </c>
      <c r="D119" s="50" t="str">
        <f>IF(ISNA(VLOOKUP($B119,Summary!$B:$D,3,FALSE))=TRUE," ",VLOOKUP($B119,Summary!$B:$D,3,FALSE))</f>
        <v> </v>
      </c>
      <c r="E119" s="62"/>
      <c r="F119" s="62"/>
      <c r="G119" s="62"/>
      <c r="I119" s="63">
        <f t="shared" si="1"/>
        <v>0</v>
      </c>
      <c r="K119" s="64">
        <f>IF(E119="Support(L1_L2)",IF(NOT(ISBLANK(B119)),IF(NOT(ISBLANK(D119)),NETWORKDAYS('CPY TOC'!$F$5,'CPY TOC'!$G$5))))-L119</f>
        <v>0</v>
      </c>
      <c r="L119" s="64">
        <f>IF(E119="Support(L1_L2)",SUMIFS(Support_allowance_Entries!$G:$G,Support_allowance_Entries!$B:$B,CPY!B119),0)</f>
        <v>0</v>
      </c>
      <c r="M119" s="63" t="b">
        <f>IF($D119="D0",MD!$C$4*(K119),IF($D119="D1",MD!$C$5*(K119),IF($D119="D2",MD!$C$6*(K119),IF($D119="D3",MD!$C$7*(K119),IF($D119="D4",MD!$C$8*(K119),IF($D119="D5",MD!$C$9*(K119),IF($D119="M1",MD!$C$10*(K119),IF($D119="T1",MD!$C$11*(K119)))))))))</f>
        <v>0</v>
      </c>
      <c r="O119" s="65">
        <f>SUMIFS(Shift_allowance_Entries!$G:$G,Shift_allowance_Entries!$F:$F,"6:30AM-03:30PM",Shift_allowance_Entries!$B:$B,CPY!$B119)</f>
        <v>0</v>
      </c>
      <c r="P119" s="65">
        <f>SUMIFS(Shift_allowance_Entries!$G:$G,Shift_allowance_Entries!$F:$F,"1-9PM/2:30PM-11:30PM",Shift_allowance_Entries!$B:$B,CPY!$B119)</f>
        <v>0</v>
      </c>
      <c r="Q119" s="65">
        <f>SUMIFS(Shift_allowance_Entries!$G:$G,Shift_allowance_Entries!$F:$F,"11PM-7AM",Shift_allowance_Entries!$B:$B,CPY!$B119)</f>
        <v>0</v>
      </c>
      <c r="R119" s="63">
        <f>(CPY!O119*MD!$F$4)+(CPY!P119*MD!$F$5)+(CPY!Q119*MD!$F$6)</f>
        <v>0</v>
      </c>
      <c r="T119" s="64">
        <f>ROUNDUP((SUMIFS('OOH Activities'!$K:$K,'OOH Activities'!$F:$F,"Non_workdays",'OOH Activities'!$B:$B,CPY!B119)) *24,1)</f>
        <v>0</v>
      </c>
      <c r="U119" s="64">
        <f>ROUNDUP((SUMIFS('OOH Activities'!$K:$K,'OOH Activities'!$F:$F,"Workdays",'OOH Activities'!$B:$B,CPY!B119)) *24,1)</f>
        <v>0</v>
      </c>
      <c r="V119" s="63">
        <f>ROUNDUP((SUMIFS('OOH Activities'!$L:$L,'OOH Activities'!$B:$B,CPY!B119)),1)</f>
        <v>0</v>
      </c>
      <c r="X119" s="65">
        <f>ROUNDUP((SUMIFS('ON Call_Call Out Activities'!$L:$L,'ON Call_Call Out Activities'!$F:$F,"Workdays",'ON Call_Call Out Activities'!$B:$B,CPY!B119))*24,1)</f>
        <v>0</v>
      </c>
      <c r="Y119" s="64">
        <f>ROUNDUP((SUMIFS('ON Call_Call Out Activities'!$L:$L,'ON Call_Call Out Activities'!$F:$F,"Non_workdays",'ON Call_Call Out Activities'!$B:$B,CPY!B119)) *24,1)</f>
        <v>0</v>
      </c>
      <c r="Z119" s="63">
        <f>ROUNDUP((SUMIFS('ON Call_Call Out Activities'!$M:$M,'ON Call_Call Out Activities'!$F:$F,"Non_workdays",'ON Call_Call Out Activities'!$B:$B,CPY!B119)),1) + ROUNDUP((SUMIFS('ON Call_Call Out Activities'!$M:$M,'ON Call_Call Out Activities'!$F:$F,"Workdays",'ON Call_Call Out Activities'!$B:$B,CPY!B119)),1)</f>
        <v>0</v>
      </c>
      <c r="AA119" s="66"/>
      <c r="AB119" s="64">
        <f>ROUNDUP((SUMIFS('ON Call_Call Out Activities'!$L:$L,'ON Call_Call Out Activities'!$F:$F,"Call_Out",'ON Call_Call Out Activities'!$B:$B,CPY!B119)) *24,1)</f>
        <v>0</v>
      </c>
      <c r="AC119" s="63">
        <f>ROUNDUP((SUMIFS('ON Call_Call Out Activities'!$M:$M,'ON Call_Call Out Activities'!$F:$F,"Call_Out",'ON Call_Call Out Activities'!$B:$B,CPY!B119)),1)</f>
        <v>0</v>
      </c>
      <c r="AE119" s="65">
        <f>IF((SUMIF(Shift_allowance_Entries!$B:$B,CPY!$B119,Shift_allowance_Entries!$H:$H)) &gt; (SUMIF(Shift_allowance_Entries!$B:$B,CPY!$B119,Shift_allowance_Entries!$G:$G)),0,((SUMIF(Shift_allowance_Entries!$B:$B,CPY!$B119,Shift_allowance_Entries!$G:$G))-(SUMIF(Shift_allowance_Entries!$B:$B,CPY!$B119,Shift_allowance_Entries!$H:$H))))</f>
        <v>0</v>
      </c>
      <c r="AF119" s="63">
        <f>AE119*MD!$S$4</f>
        <v>0</v>
      </c>
    </row>
    <row r="120" spans="1:32" x14ac:dyDescent="0.25">
      <c r="A120" s="62">
        <v>118</v>
      </c>
      <c r="B120" s="62"/>
      <c r="C120" s="50" t="str">
        <f>IF(ISNA(VLOOKUP($B120,Summary!$B:$D,2,FALSE))=TRUE," ",VLOOKUP($B120,Summary!$B:$D,2,FALSE))</f>
        <v> </v>
      </c>
      <c r="D120" s="50" t="str">
        <f>IF(ISNA(VLOOKUP($B120,Summary!$B:$D,3,FALSE))=TRUE," ",VLOOKUP($B120,Summary!$B:$D,3,FALSE))</f>
        <v> </v>
      </c>
      <c r="E120" s="62"/>
      <c r="F120" s="62"/>
      <c r="G120" s="62"/>
      <c r="I120" s="63">
        <f t="shared" si="1"/>
        <v>0</v>
      </c>
      <c r="K120" s="64">
        <f>IF(E120="Support(L1_L2)",IF(NOT(ISBLANK(B120)),IF(NOT(ISBLANK(D120)),NETWORKDAYS('CPY TOC'!$F$5,'CPY TOC'!$G$5))))-L120</f>
        <v>0</v>
      </c>
      <c r="L120" s="64">
        <f>IF(E120="Support(L1_L2)",SUMIFS(Support_allowance_Entries!$G:$G,Support_allowance_Entries!$B:$B,CPY!B120),0)</f>
        <v>0</v>
      </c>
      <c r="M120" s="63" t="b">
        <f>IF($D120="D0",MD!$C$4*(K120),IF($D120="D1",MD!$C$5*(K120),IF($D120="D2",MD!$C$6*(K120),IF($D120="D3",MD!$C$7*(K120),IF($D120="D4",MD!$C$8*(K120),IF($D120="D5",MD!$C$9*(K120),IF($D120="M1",MD!$C$10*(K120),IF($D120="T1",MD!$C$11*(K120)))))))))</f>
        <v>0</v>
      </c>
      <c r="O120" s="65">
        <f>SUMIFS(Shift_allowance_Entries!$G:$G,Shift_allowance_Entries!$F:$F,"6:30AM-03:30PM",Shift_allowance_Entries!$B:$B,CPY!$B120)</f>
        <v>0</v>
      </c>
      <c r="P120" s="65">
        <f>SUMIFS(Shift_allowance_Entries!$G:$G,Shift_allowance_Entries!$F:$F,"1-9PM/2:30PM-11:30PM",Shift_allowance_Entries!$B:$B,CPY!$B120)</f>
        <v>0</v>
      </c>
      <c r="Q120" s="65">
        <f>SUMIFS(Shift_allowance_Entries!$G:$G,Shift_allowance_Entries!$F:$F,"11PM-7AM",Shift_allowance_Entries!$B:$B,CPY!$B120)</f>
        <v>0</v>
      </c>
      <c r="R120" s="63">
        <f>(CPY!O120*MD!$F$4)+(CPY!P120*MD!$F$5)+(CPY!Q120*MD!$F$6)</f>
        <v>0</v>
      </c>
      <c r="T120" s="64">
        <f>ROUNDUP((SUMIFS('OOH Activities'!$K:$K,'OOH Activities'!$F:$F,"Non_workdays",'OOH Activities'!$B:$B,CPY!B120)) *24,1)</f>
        <v>0</v>
      </c>
      <c r="U120" s="64">
        <f>ROUNDUP((SUMIFS('OOH Activities'!$K:$K,'OOH Activities'!$F:$F,"Workdays",'OOH Activities'!$B:$B,CPY!B120)) *24,1)</f>
        <v>0</v>
      </c>
      <c r="V120" s="63">
        <f>ROUNDUP((SUMIFS('OOH Activities'!$L:$L,'OOH Activities'!$B:$B,CPY!B120)),1)</f>
        <v>0</v>
      </c>
      <c r="X120" s="65">
        <f>ROUNDUP((SUMIFS('ON Call_Call Out Activities'!$L:$L,'ON Call_Call Out Activities'!$F:$F,"Workdays",'ON Call_Call Out Activities'!$B:$B,CPY!B120))*24,1)</f>
        <v>0</v>
      </c>
      <c r="Y120" s="64">
        <f>ROUNDUP((SUMIFS('ON Call_Call Out Activities'!$L:$L,'ON Call_Call Out Activities'!$F:$F,"Non_workdays",'ON Call_Call Out Activities'!$B:$B,CPY!B120)) *24,1)</f>
        <v>0</v>
      </c>
      <c r="Z120" s="63">
        <f>ROUNDUP((SUMIFS('ON Call_Call Out Activities'!$M:$M,'ON Call_Call Out Activities'!$F:$F,"Non_workdays",'ON Call_Call Out Activities'!$B:$B,CPY!B120)),1) + ROUNDUP((SUMIFS('ON Call_Call Out Activities'!$M:$M,'ON Call_Call Out Activities'!$F:$F,"Workdays",'ON Call_Call Out Activities'!$B:$B,CPY!B120)),1)</f>
        <v>0</v>
      </c>
      <c r="AA120" s="66"/>
      <c r="AB120" s="64">
        <f>ROUNDUP((SUMIFS('ON Call_Call Out Activities'!$L:$L,'ON Call_Call Out Activities'!$F:$F,"Call_Out",'ON Call_Call Out Activities'!$B:$B,CPY!B120)) *24,1)</f>
        <v>0</v>
      </c>
      <c r="AC120" s="63">
        <f>ROUNDUP((SUMIFS('ON Call_Call Out Activities'!$M:$M,'ON Call_Call Out Activities'!$F:$F,"Call_Out",'ON Call_Call Out Activities'!$B:$B,CPY!B120)),1)</f>
        <v>0</v>
      </c>
      <c r="AE120" s="65">
        <f>IF((SUMIF(Shift_allowance_Entries!$B:$B,CPY!$B120,Shift_allowance_Entries!$H:$H)) &gt; (SUMIF(Shift_allowance_Entries!$B:$B,CPY!$B120,Shift_allowance_Entries!$G:$G)),0,((SUMIF(Shift_allowance_Entries!$B:$B,CPY!$B120,Shift_allowance_Entries!$G:$G))-(SUMIF(Shift_allowance_Entries!$B:$B,CPY!$B120,Shift_allowance_Entries!$H:$H))))</f>
        <v>0</v>
      </c>
      <c r="AF120" s="63">
        <f>AE120*MD!$S$4</f>
        <v>0</v>
      </c>
    </row>
    <row r="121" spans="1:32" x14ac:dyDescent="0.25">
      <c r="A121" s="62">
        <v>119</v>
      </c>
      <c r="B121" s="62"/>
      <c r="C121" s="50" t="str">
        <f>IF(ISNA(VLOOKUP($B121,Summary!$B:$D,2,FALSE))=TRUE," ",VLOOKUP($B121,Summary!$B:$D,2,FALSE))</f>
        <v> </v>
      </c>
      <c r="D121" s="50" t="str">
        <f>IF(ISNA(VLOOKUP($B121,Summary!$B:$D,3,FALSE))=TRUE," ",VLOOKUP($B121,Summary!$B:$D,3,FALSE))</f>
        <v> </v>
      </c>
      <c r="E121" s="62"/>
      <c r="F121" s="62"/>
      <c r="G121" s="62"/>
      <c r="I121" s="63">
        <f t="shared" si="1"/>
        <v>0</v>
      </c>
      <c r="K121" s="64">
        <f>IF(E121="Support(L1_L2)",IF(NOT(ISBLANK(B121)),IF(NOT(ISBLANK(D121)),NETWORKDAYS('CPY TOC'!$F$5,'CPY TOC'!$G$5))))-L121</f>
        <v>0</v>
      </c>
      <c r="L121" s="64">
        <f>IF(E121="Support(L1_L2)",SUMIFS(Support_allowance_Entries!$G:$G,Support_allowance_Entries!$B:$B,CPY!B121),0)</f>
        <v>0</v>
      </c>
      <c r="M121" s="63" t="b">
        <f>IF($D121="D0",MD!$C$4*(K121),IF($D121="D1",MD!$C$5*(K121),IF($D121="D2",MD!$C$6*(K121),IF($D121="D3",MD!$C$7*(K121),IF($D121="D4",MD!$C$8*(K121),IF($D121="D5",MD!$C$9*(K121),IF($D121="M1",MD!$C$10*(K121),IF($D121="T1",MD!$C$11*(K121)))))))))</f>
        <v>0</v>
      </c>
      <c r="O121" s="65">
        <f>SUMIFS(Shift_allowance_Entries!$G:$G,Shift_allowance_Entries!$F:$F,"6:30AM-03:30PM",Shift_allowance_Entries!$B:$B,CPY!$B121)</f>
        <v>0</v>
      </c>
      <c r="P121" s="65">
        <f>SUMIFS(Shift_allowance_Entries!$G:$G,Shift_allowance_Entries!$F:$F,"1-9PM/2:30PM-11:30PM",Shift_allowance_Entries!$B:$B,CPY!$B121)</f>
        <v>0</v>
      </c>
      <c r="Q121" s="65">
        <f>SUMIFS(Shift_allowance_Entries!$G:$G,Shift_allowance_Entries!$F:$F,"11PM-7AM",Shift_allowance_Entries!$B:$B,CPY!$B121)</f>
        <v>0</v>
      </c>
      <c r="R121" s="63">
        <f>(CPY!O121*MD!$F$4)+(CPY!P121*MD!$F$5)+(CPY!Q121*MD!$F$6)</f>
        <v>0</v>
      </c>
      <c r="T121" s="64">
        <f>ROUNDUP((SUMIFS('OOH Activities'!$K:$K,'OOH Activities'!$F:$F,"Non_workdays",'OOH Activities'!$B:$B,CPY!B121)) *24,1)</f>
        <v>0</v>
      </c>
      <c r="U121" s="64">
        <f>ROUNDUP((SUMIFS('OOH Activities'!$K:$K,'OOH Activities'!$F:$F,"Workdays",'OOH Activities'!$B:$B,CPY!B121)) *24,1)</f>
        <v>0</v>
      </c>
      <c r="V121" s="63">
        <f>ROUNDUP((SUMIFS('OOH Activities'!$L:$L,'OOH Activities'!$B:$B,CPY!B121)),1)</f>
        <v>0</v>
      </c>
      <c r="X121" s="65">
        <f>ROUNDUP((SUMIFS('ON Call_Call Out Activities'!$L:$L,'ON Call_Call Out Activities'!$F:$F,"Workdays",'ON Call_Call Out Activities'!$B:$B,CPY!B121))*24,1)</f>
        <v>0</v>
      </c>
      <c r="Y121" s="64">
        <f>ROUNDUP((SUMIFS('ON Call_Call Out Activities'!$L:$L,'ON Call_Call Out Activities'!$F:$F,"Non_workdays",'ON Call_Call Out Activities'!$B:$B,CPY!B121)) *24,1)</f>
        <v>0</v>
      </c>
      <c r="Z121" s="63">
        <f>ROUNDUP((SUMIFS('ON Call_Call Out Activities'!$M:$M,'ON Call_Call Out Activities'!$F:$F,"Non_workdays",'ON Call_Call Out Activities'!$B:$B,CPY!B121)),1) + ROUNDUP((SUMIFS('ON Call_Call Out Activities'!$M:$M,'ON Call_Call Out Activities'!$F:$F,"Workdays",'ON Call_Call Out Activities'!$B:$B,CPY!B121)),1)</f>
        <v>0</v>
      </c>
      <c r="AA121" s="66"/>
      <c r="AB121" s="64">
        <f>ROUNDUP((SUMIFS('ON Call_Call Out Activities'!$L:$L,'ON Call_Call Out Activities'!$F:$F,"Call_Out",'ON Call_Call Out Activities'!$B:$B,CPY!B121)) *24,1)</f>
        <v>0</v>
      </c>
      <c r="AC121" s="63">
        <f>ROUNDUP((SUMIFS('ON Call_Call Out Activities'!$M:$M,'ON Call_Call Out Activities'!$F:$F,"Call_Out",'ON Call_Call Out Activities'!$B:$B,CPY!B121)),1)</f>
        <v>0</v>
      </c>
      <c r="AE121" s="65">
        <f>IF((SUMIF(Shift_allowance_Entries!$B:$B,CPY!$B121,Shift_allowance_Entries!$H:$H)) &gt; (SUMIF(Shift_allowance_Entries!$B:$B,CPY!$B121,Shift_allowance_Entries!$G:$G)),0,((SUMIF(Shift_allowance_Entries!$B:$B,CPY!$B121,Shift_allowance_Entries!$G:$G))-(SUMIF(Shift_allowance_Entries!$B:$B,CPY!$B121,Shift_allowance_Entries!$H:$H))))</f>
        <v>0</v>
      </c>
      <c r="AF121" s="63">
        <f>AE121*MD!$S$4</f>
        <v>0</v>
      </c>
    </row>
    <row r="122" spans="1:32" x14ac:dyDescent="0.25">
      <c r="A122" s="62">
        <v>120</v>
      </c>
      <c r="B122" s="62"/>
      <c r="C122" s="50" t="str">
        <f>IF(ISNA(VLOOKUP($B122,Summary!$B:$D,2,FALSE))=TRUE," ",VLOOKUP($B122,Summary!$B:$D,2,FALSE))</f>
        <v> </v>
      </c>
      <c r="D122" s="50" t="str">
        <f>IF(ISNA(VLOOKUP($B122,Summary!$B:$D,3,FALSE))=TRUE," ",VLOOKUP($B122,Summary!$B:$D,3,FALSE))</f>
        <v> </v>
      </c>
      <c r="E122" s="62"/>
      <c r="F122" s="62"/>
      <c r="G122" s="62"/>
      <c r="I122" s="63">
        <f t="shared" si="1"/>
        <v>0</v>
      </c>
      <c r="K122" s="64">
        <f>IF(E122="Support(L1_L2)",IF(NOT(ISBLANK(B122)),IF(NOT(ISBLANK(D122)),NETWORKDAYS('CPY TOC'!$F$5,'CPY TOC'!$G$5))))-L122</f>
        <v>0</v>
      </c>
      <c r="L122" s="64">
        <f>IF(E122="Support(L1_L2)",SUMIFS(Support_allowance_Entries!$G:$G,Support_allowance_Entries!$B:$B,CPY!B122),0)</f>
        <v>0</v>
      </c>
      <c r="M122" s="63" t="b">
        <f>IF($D122="D0",MD!$C$4*(K122),IF($D122="D1",MD!$C$5*(K122),IF($D122="D2",MD!$C$6*(K122),IF($D122="D3",MD!$C$7*(K122),IF($D122="D4",MD!$C$8*(K122),IF($D122="D5",MD!$C$9*(K122),IF($D122="M1",MD!$C$10*(K122),IF($D122="T1",MD!$C$11*(K122)))))))))</f>
        <v>0</v>
      </c>
      <c r="O122" s="65">
        <f>SUMIFS(Shift_allowance_Entries!$G:$G,Shift_allowance_Entries!$F:$F,"6:30AM-03:30PM",Shift_allowance_Entries!$B:$B,CPY!$B122)</f>
        <v>0</v>
      </c>
      <c r="P122" s="65">
        <f>SUMIFS(Shift_allowance_Entries!$G:$G,Shift_allowance_Entries!$F:$F,"1-9PM/2:30PM-11:30PM",Shift_allowance_Entries!$B:$B,CPY!$B122)</f>
        <v>0</v>
      </c>
      <c r="Q122" s="65">
        <f>SUMIFS(Shift_allowance_Entries!$G:$G,Shift_allowance_Entries!$F:$F,"11PM-7AM",Shift_allowance_Entries!$B:$B,CPY!$B122)</f>
        <v>0</v>
      </c>
      <c r="R122" s="63">
        <f>(CPY!O122*MD!$F$4)+(CPY!P122*MD!$F$5)+(CPY!Q122*MD!$F$6)</f>
        <v>0</v>
      </c>
      <c r="T122" s="64">
        <f>ROUNDUP((SUMIFS('OOH Activities'!$K:$K,'OOH Activities'!$F:$F,"Non_workdays",'OOH Activities'!$B:$B,CPY!B122)) *24,1)</f>
        <v>0</v>
      </c>
      <c r="U122" s="64">
        <f>ROUNDUP((SUMIFS('OOH Activities'!$K:$K,'OOH Activities'!$F:$F,"Workdays",'OOH Activities'!$B:$B,CPY!B122)) *24,1)</f>
        <v>0</v>
      </c>
      <c r="V122" s="63">
        <f>ROUNDUP((SUMIFS('OOH Activities'!$L:$L,'OOH Activities'!$B:$B,CPY!B122)),1)</f>
        <v>0</v>
      </c>
      <c r="X122" s="65">
        <f>ROUNDUP((SUMIFS('ON Call_Call Out Activities'!$L:$L,'ON Call_Call Out Activities'!$F:$F,"Workdays",'ON Call_Call Out Activities'!$B:$B,CPY!B122))*24,1)</f>
        <v>0</v>
      </c>
      <c r="Y122" s="64">
        <f>ROUNDUP((SUMIFS('ON Call_Call Out Activities'!$L:$L,'ON Call_Call Out Activities'!$F:$F,"Non_workdays",'ON Call_Call Out Activities'!$B:$B,CPY!B122)) *24,1)</f>
        <v>0</v>
      </c>
      <c r="Z122" s="63">
        <f>ROUNDUP((SUMIFS('ON Call_Call Out Activities'!$M:$M,'ON Call_Call Out Activities'!$F:$F,"Non_workdays",'ON Call_Call Out Activities'!$B:$B,CPY!B122)),1) + ROUNDUP((SUMIFS('ON Call_Call Out Activities'!$M:$M,'ON Call_Call Out Activities'!$F:$F,"Workdays",'ON Call_Call Out Activities'!$B:$B,CPY!B122)),1)</f>
        <v>0</v>
      </c>
      <c r="AA122" s="66"/>
      <c r="AB122" s="64">
        <f>ROUNDUP((SUMIFS('ON Call_Call Out Activities'!$L:$L,'ON Call_Call Out Activities'!$F:$F,"Call_Out",'ON Call_Call Out Activities'!$B:$B,CPY!B122)) *24,1)</f>
        <v>0</v>
      </c>
      <c r="AC122" s="63">
        <f>ROUNDUP((SUMIFS('ON Call_Call Out Activities'!$M:$M,'ON Call_Call Out Activities'!$F:$F,"Call_Out",'ON Call_Call Out Activities'!$B:$B,CPY!B122)),1)</f>
        <v>0</v>
      </c>
      <c r="AE122" s="65">
        <f>IF((SUMIF(Shift_allowance_Entries!$B:$B,CPY!$B122,Shift_allowance_Entries!$H:$H)) &gt; (SUMIF(Shift_allowance_Entries!$B:$B,CPY!$B122,Shift_allowance_Entries!$G:$G)),0,((SUMIF(Shift_allowance_Entries!$B:$B,CPY!$B122,Shift_allowance_Entries!$G:$G))-(SUMIF(Shift_allowance_Entries!$B:$B,CPY!$B122,Shift_allowance_Entries!$H:$H))))</f>
        <v>0</v>
      </c>
      <c r="AF122" s="63">
        <f>AE122*MD!$S$4</f>
        <v>0</v>
      </c>
    </row>
    <row r="123" spans="1:32" x14ac:dyDescent="0.25">
      <c r="A123" s="62">
        <v>121</v>
      </c>
      <c r="B123" s="62"/>
      <c r="C123" s="50" t="str">
        <f>IF(ISNA(VLOOKUP($B123,Summary!$B:$D,2,FALSE))=TRUE," ",VLOOKUP($B123,Summary!$B:$D,2,FALSE))</f>
        <v> </v>
      </c>
      <c r="D123" s="50" t="str">
        <f>IF(ISNA(VLOOKUP($B123,Summary!$B:$D,3,FALSE))=TRUE," ",VLOOKUP($B123,Summary!$B:$D,3,FALSE))</f>
        <v> </v>
      </c>
      <c r="E123" s="62"/>
      <c r="F123" s="62"/>
      <c r="G123" s="62"/>
      <c r="I123" s="63">
        <f t="shared" si="1"/>
        <v>0</v>
      </c>
      <c r="K123" s="64">
        <f>IF(E123="Support(L1_L2)",IF(NOT(ISBLANK(B123)),IF(NOT(ISBLANK(D123)),NETWORKDAYS('CPY TOC'!$F$5,'CPY TOC'!$G$5))))-L123</f>
        <v>0</v>
      </c>
      <c r="L123" s="64">
        <f>IF(E123="Support(L1_L2)",SUMIFS(Support_allowance_Entries!$G:$G,Support_allowance_Entries!$B:$B,CPY!B123),0)</f>
        <v>0</v>
      </c>
      <c r="M123" s="63" t="b">
        <f>IF($D123="D0",MD!$C$4*(K123),IF($D123="D1",MD!$C$5*(K123),IF($D123="D2",MD!$C$6*(K123),IF($D123="D3",MD!$C$7*(K123),IF($D123="D4",MD!$C$8*(K123),IF($D123="D5",MD!$C$9*(K123),IF($D123="M1",MD!$C$10*(K123),IF($D123="T1",MD!$C$11*(K123)))))))))</f>
        <v>0</v>
      </c>
      <c r="O123" s="65">
        <f>SUMIFS(Shift_allowance_Entries!$G:$G,Shift_allowance_Entries!$F:$F,"6:30AM-03:30PM",Shift_allowance_Entries!$B:$B,CPY!$B123)</f>
        <v>0</v>
      </c>
      <c r="P123" s="65">
        <f>SUMIFS(Shift_allowance_Entries!$G:$G,Shift_allowance_Entries!$F:$F,"1-9PM/2:30PM-11:30PM",Shift_allowance_Entries!$B:$B,CPY!$B123)</f>
        <v>0</v>
      </c>
      <c r="Q123" s="65">
        <f>SUMIFS(Shift_allowance_Entries!$G:$G,Shift_allowance_Entries!$F:$F,"11PM-7AM",Shift_allowance_Entries!$B:$B,CPY!$B123)</f>
        <v>0</v>
      </c>
      <c r="R123" s="63">
        <f>(CPY!O123*MD!$F$4)+(CPY!P123*MD!$F$5)+(CPY!Q123*MD!$F$6)</f>
        <v>0</v>
      </c>
      <c r="T123" s="64">
        <f>ROUNDUP((SUMIFS('OOH Activities'!$K:$K,'OOH Activities'!$F:$F,"Non_workdays",'OOH Activities'!$B:$B,CPY!B123)) *24,1)</f>
        <v>0</v>
      </c>
      <c r="U123" s="64">
        <f>ROUNDUP((SUMIFS('OOH Activities'!$K:$K,'OOH Activities'!$F:$F,"Workdays",'OOH Activities'!$B:$B,CPY!B123)) *24,1)</f>
        <v>0</v>
      </c>
      <c r="V123" s="63">
        <f>ROUNDUP((SUMIFS('OOH Activities'!$L:$L,'OOH Activities'!$B:$B,CPY!B123)),1)</f>
        <v>0</v>
      </c>
      <c r="X123" s="65">
        <f>ROUNDUP((SUMIFS('ON Call_Call Out Activities'!$L:$L,'ON Call_Call Out Activities'!$F:$F,"Workdays",'ON Call_Call Out Activities'!$B:$B,CPY!B123))*24,1)</f>
        <v>0</v>
      </c>
      <c r="Y123" s="64">
        <f>ROUNDUP((SUMIFS('ON Call_Call Out Activities'!$L:$L,'ON Call_Call Out Activities'!$F:$F,"Non_workdays",'ON Call_Call Out Activities'!$B:$B,CPY!B123)) *24,1)</f>
        <v>0</v>
      </c>
      <c r="Z123" s="63">
        <f>ROUNDUP((SUMIFS('ON Call_Call Out Activities'!$M:$M,'ON Call_Call Out Activities'!$F:$F,"Non_workdays",'ON Call_Call Out Activities'!$B:$B,CPY!B123)),1) + ROUNDUP((SUMIFS('ON Call_Call Out Activities'!$M:$M,'ON Call_Call Out Activities'!$F:$F,"Workdays",'ON Call_Call Out Activities'!$B:$B,CPY!B123)),1)</f>
        <v>0</v>
      </c>
      <c r="AA123" s="66"/>
      <c r="AB123" s="64">
        <f>ROUNDUP((SUMIFS('ON Call_Call Out Activities'!$L:$L,'ON Call_Call Out Activities'!$F:$F,"Call_Out",'ON Call_Call Out Activities'!$B:$B,CPY!B123)) *24,1)</f>
        <v>0</v>
      </c>
      <c r="AC123" s="63">
        <f>ROUNDUP((SUMIFS('ON Call_Call Out Activities'!$M:$M,'ON Call_Call Out Activities'!$F:$F,"Call_Out",'ON Call_Call Out Activities'!$B:$B,CPY!B123)),1)</f>
        <v>0</v>
      </c>
      <c r="AE123" s="65">
        <f>IF((SUMIF(Shift_allowance_Entries!$B:$B,CPY!$B123,Shift_allowance_Entries!$H:$H)) &gt; (SUMIF(Shift_allowance_Entries!$B:$B,CPY!$B123,Shift_allowance_Entries!$G:$G)),0,((SUMIF(Shift_allowance_Entries!$B:$B,CPY!$B123,Shift_allowance_Entries!$G:$G))-(SUMIF(Shift_allowance_Entries!$B:$B,CPY!$B123,Shift_allowance_Entries!$H:$H))))</f>
        <v>0</v>
      </c>
      <c r="AF123" s="63">
        <f>AE123*MD!$S$4</f>
        <v>0</v>
      </c>
    </row>
    <row r="124" spans="1:32" x14ac:dyDescent="0.25">
      <c r="A124" s="62">
        <v>122</v>
      </c>
      <c r="B124" s="62"/>
      <c r="C124" s="50" t="str">
        <f>IF(ISNA(VLOOKUP($B124,Summary!$B:$D,2,FALSE))=TRUE," ",VLOOKUP($B124,Summary!$B:$D,2,FALSE))</f>
        <v> </v>
      </c>
      <c r="D124" s="50" t="str">
        <f>IF(ISNA(VLOOKUP($B124,Summary!$B:$D,3,FALSE))=TRUE," ",VLOOKUP($B124,Summary!$B:$D,3,FALSE))</f>
        <v> </v>
      </c>
      <c r="E124" s="62"/>
      <c r="F124" s="62"/>
      <c r="G124" s="62"/>
      <c r="I124" s="63">
        <f t="shared" si="1"/>
        <v>0</v>
      </c>
      <c r="K124" s="64">
        <f>IF(E124="Support(L1_L2)",IF(NOT(ISBLANK(B124)),IF(NOT(ISBLANK(D124)),NETWORKDAYS('CPY TOC'!$F$5,'CPY TOC'!$G$5))))-L124</f>
        <v>0</v>
      </c>
      <c r="L124" s="64">
        <f>IF(E124="Support(L1_L2)",SUMIFS(Support_allowance_Entries!$G:$G,Support_allowance_Entries!$B:$B,CPY!B124),0)</f>
        <v>0</v>
      </c>
      <c r="M124" s="63" t="b">
        <f>IF($D124="D0",MD!$C$4*(K124),IF($D124="D1",MD!$C$5*(K124),IF($D124="D2",MD!$C$6*(K124),IF($D124="D3",MD!$C$7*(K124),IF($D124="D4",MD!$C$8*(K124),IF($D124="D5",MD!$C$9*(K124),IF($D124="M1",MD!$C$10*(K124),IF($D124="T1",MD!$C$11*(K124)))))))))</f>
        <v>0</v>
      </c>
      <c r="O124" s="65">
        <f>SUMIFS(Shift_allowance_Entries!$G:$G,Shift_allowance_Entries!$F:$F,"6:30AM-03:30PM",Shift_allowance_Entries!$B:$B,CPY!$B124)</f>
        <v>0</v>
      </c>
      <c r="P124" s="65">
        <f>SUMIFS(Shift_allowance_Entries!$G:$G,Shift_allowance_Entries!$F:$F,"1-9PM/2:30PM-11:30PM",Shift_allowance_Entries!$B:$B,CPY!$B124)</f>
        <v>0</v>
      </c>
      <c r="Q124" s="65">
        <f>SUMIFS(Shift_allowance_Entries!$G:$G,Shift_allowance_Entries!$F:$F,"11PM-7AM",Shift_allowance_Entries!$B:$B,CPY!$B124)</f>
        <v>0</v>
      </c>
      <c r="R124" s="63">
        <f>(CPY!O124*MD!$F$4)+(CPY!P124*MD!$F$5)+(CPY!Q124*MD!$F$6)</f>
        <v>0</v>
      </c>
      <c r="T124" s="64">
        <f>ROUNDUP((SUMIFS('OOH Activities'!$K:$K,'OOH Activities'!$F:$F,"Non_workdays",'OOH Activities'!$B:$B,CPY!B124)) *24,1)</f>
        <v>0</v>
      </c>
      <c r="U124" s="64">
        <f>ROUNDUP((SUMIFS('OOH Activities'!$K:$K,'OOH Activities'!$F:$F,"Workdays",'OOH Activities'!$B:$B,CPY!B124)) *24,1)</f>
        <v>0</v>
      </c>
      <c r="V124" s="63">
        <f>ROUNDUP((SUMIFS('OOH Activities'!$L:$L,'OOH Activities'!$B:$B,CPY!B124)),1)</f>
        <v>0</v>
      </c>
      <c r="X124" s="65">
        <f>ROUNDUP((SUMIFS('ON Call_Call Out Activities'!$L:$L,'ON Call_Call Out Activities'!$F:$F,"Workdays",'ON Call_Call Out Activities'!$B:$B,CPY!B124))*24,1)</f>
        <v>0</v>
      </c>
      <c r="Y124" s="64">
        <f>ROUNDUP((SUMIFS('ON Call_Call Out Activities'!$L:$L,'ON Call_Call Out Activities'!$F:$F,"Non_workdays",'ON Call_Call Out Activities'!$B:$B,CPY!B124)) *24,1)</f>
        <v>0</v>
      </c>
      <c r="Z124" s="63">
        <f>ROUNDUP((SUMIFS('ON Call_Call Out Activities'!$M:$M,'ON Call_Call Out Activities'!$F:$F,"Non_workdays",'ON Call_Call Out Activities'!$B:$B,CPY!B124)),1) + ROUNDUP((SUMIFS('ON Call_Call Out Activities'!$M:$M,'ON Call_Call Out Activities'!$F:$F,"Workdays",'ON Call_Call Out Activities'!$B:$B,CPY!B124)),1)</f>
        <v>0</v>
      </c>
      <c r="AA124" s="66"/>
      <c r="AB124" s="64">
        <f>ROUNDUP((SUMIFS('ON Call_Call Out Activities'!$L:$L,'ON Call_Call Out Activities'!$F:$F,"Call_Out",'ON Call_Call Out Activities'!$B:$B,CPY!B124)) *24,1)</f>
        <v>0</v>
      </c>
      <c r="AC124" s="63">
        <f>ROUNDUP((SUMIFS('ON Call_Call Out Activities'!$M:$M,'ON Call_Call Out Activities'!$F:$F,"Call_Out",'ON Call_Call Out Activities'!$B:$B,CPY!B124)),1)</f>
        <v>0</v>
      </c>
      <c r="AE124" s="65">
        <f>IF((SUMIF(Shift_allowance_Entries!$B:$B,CPY!$B124,Shift_allowance_Entries!$H:$H)) &gt; (SUMIF(Shift_allowance_Entries!$B:$B,CPY!$B124,Shift_allowance_Entries!$G:$G)),0,((SUMIF(Shift_allowance_Entries!$B:$B,CPY!$B124,Shift_allowance_Entries!$G:$G))-(SUMIF(Shift_allowance_Entries!$B:$B,CPY!$B124,Shift_allowance_Entries!$H:$H))))</f>
        <v>0</v>
      </c>
      <c r="AF124" s="63">
        <f>AE124*MD!$S$4</f>
        <v>0</v>
      </c>
    </row>
    <row r="125" spans="1:32" x14ac:dyDescent="0.25">
      <c r="A125" s="62">
        <v>123</v>
      </c>
      <c r="B125" s="62"/>
      <c r="C125" s="50" t="str">
        <f>IF(ISNA(VLOOKUP($B125,Summary!$B:$D,2,FALSE))=TRUE," ",VLOOKUP($B125,Summary!$B:$D,2,FALSE))</f>
        <v> </v>
      </c>
      <c r="D125" s="50" t="str">
        <f>IF(ISNA(VLOOKUP($B125,Summary!$B:$D,3,FALSE))=TRUE," ",VLOOKUP($B125,Summary!$B:$D,3,FALSE))</f>
        <v> </v>
      </c>
      <c r="E125" s="62"/>
      <c r="F125" s="62"/>
      <c r="G125" s="62"/>
      <c r="I125" s="63">
        <f t="shared" si="1"/>
        <v>0</v>
      </c>
      <c r="K125" s="64">
        <f>IF(E125="Support(L1_L2)",IF(NOT(ISBLANK(B125)),IF(NOT(ISBLANK(D125)),NETWORKDAYS('CPY TOC'!$F$5,'CPY TOC'!$G$5))))-L125</f>
        <v>0</v>
      </c>
      <c r="L125" s="64">
        <f>IF(E125="Support(L1_L2)",SUMIFS(Support_allowance_Entries!$G:$G,Support_allowance_Entries!$B:$B,CPY!B125),0)</f>
        <v>0</v>
      </c>
      <c r="M125" s="63" t="b">
        <f>IF($D125="D0",MD!$C$4*(K125),IF($D125="D1",MD!$C$5*(K125),IF($D125="D2",MD!$C$6*(K125),IF($D125="D3",MD!$C$7*(K125),IF($D125="D4",MD!$C$8*(K125),IF($D125="D5",MD!$C$9*(K125),IF($D125="M1",MD!$C$10*(K125),IF($D125="T1",MD!$C$11*(K125)))))))))</f>
        <v>0</v>
      </c>
      <c r="O125" s="65">
        <f>SUMIFS(Shift_allowance_Entries!$G:$G,Shift_allowance_Entries!$F:$F,"6:30AM-03:30PM",Shift_allowance_Entries!$B:$B,CPY!$B125)</f>
        <v>0</v>
      </c>
      <c r="P125" s="65">
        <f>SUMIFS(Shift_allowance_Entries!$G:$G,Shift_allowance_Entries!$F:$F,"1-9PM/2:30PM-11:30PM",Shift_allowance_Entries!$B:$B,CPY!$B125)</f>
        <v>0</v>
      </c>
      <c r="Q125" s="65">
        <f>SUMIFS(Shift_allowance_Entries!$G:$G,Shift_allowance_Entries!$F:$F,"11PM-7AM",Shift_allowance_Entries!$B:$B,CPY!$B125)</f>
        <v>0</v>
      </c>
      <c r="R125" s="63">
        <f>(CPY!O125*MD!$F$4)+(CPY!P125*MD!$F$5)+(CPY!Q125*MD!$F$6)</f>
        <v>0</v>
      </c>
      <c r="T125" s="64">
        <f>ROUNDUP((SUMIFS('OOH Activities'!$K:$K,'OOH Activities'!$F:$F,"Non_workdays",'OOH Activities'!$B:$B,CPY!B125)) *24,1)</f>
        <v>0</v>
      </c>
      <c r="U125" s="64">
        <f>ROUNDUP((SUMIFS('OOH Activities'!$K:$K,'OOH Activities'!$F:$F,"Workdays",'OOH Activities'!$B:$B,CPY!B125)) *24,1)</f>
        <v>0</v>
      </c>
      <c r="V125" s="63">
        <f>ROUNDUP((SUMIFS('OOH Activities'!$L:$L,'OOH Activities'!$B:$B,CPY!B125)),1)</f>
        <v>0</v>
      </c>
      <c r="X125" s="65">
        <f>ROUNDUP((SUMIFS('ON Call_Call Out Activities'!$L:$L,'ON Call_Call Out Activities'!$F:$F,"Workdays",'ON Call_Call Out Activities'!$B:$B,CPY!B125))*24,1)</f>
        <v>0</v>
      </c>
      <c r="Y125" s="64">
        <f>ROUNDUP((SUMIFS('ON Call_Call Out Activities'!$L:$L,'ON Call_Call Out Activities'!$F:$F,"Non_workdays",'ON Call_Call Out Activities'!$B:$B,CPY!B125)) *24,1)</f>
        <v>0</v>
      </c>
      <c r="Z125" s="63">
        <f>ROUNDUP((SUMIFS('ON Call_Call Out Activities'!$M:$M,'ON Call_Call Out Activities'!$F:$F,"Non_workdays",'ON Call_Call Out Activities'!$B:$B,CPY!B125)),1) + ROUNDUP((SUMIFS('ON Call_Call Out Activities'!$M:$M,'ON Call_Call Out Activities'!$F:$F,"Workdays",'ON Call_Call Out Activities'!$B:$B,CPY!B125)),1)</f>
        <v>0</v>
      </c>
      <c r="AA125" s="66"/>
      <c r="AB125" s="64">
        <f>ROUNDUP((SUMIFS('ON Call_Call Out Activities'!$L:$L,'ON Call_Call Out Activities'!$F:$F,"Call_Out",'ON Call_Call Out Activities'!$B:$B,CPY!B125)) *24,1)</f>
        <v>0</v>
      </c>
      <c r="AC125" s="63">
        <f>ROUNDUP((SUMIFS('ON Call_Call Out Activities'!$M:$M,'ON Call_Call Out Activities'!$F:$F,"Call_Out",'ON Call_Call Out Activities'!$B:$B,CPY!B125)),1)</f>
        <v>0</v>
      </c>
      <c r="AE125" s="65">
        <f>IF((SUMIF(Shift_allowance_Entries!$B:$B,CPY!$B125,Shift_allowance_Entries!$H:$H)) &gt; (SUMIF(Shift_allowance_Entries!$B:$B,CPY!$B125,Shift_allowance_Entries!$G:$G)),0,((SUMIF(Shift_allowance_Entries!$B:$B,CPY!$B125,Shift_allowance_Entries!$G:$G))-(SUMIF(Shift_allowance_Entries!$B:$B,CPY!$B125,Shift_allowance_Entries!$H:$H))))</f>
        <v>0</v>
      </c>
      <c r="AF125" s="63">
        <f>AE125*MD!$S$4</f>
        <v>0</v>
      </c>
    </row>
    <row r="126" spans="1:32" x14ac:dyDescent="0.25">
      <c r="A126" s="62">
        <v>124</v>
      </c>
      <c r="B126" s="62"/>
      <c r="C126" s="50" t="str">
        <f>IF(ISNA(VLOOKUP($B126,Summary!$B:$D,2,FALSE))=TRUE," ",VLOOKUP($B126,Summary!$B:$D,2,FALSE))</f>
        <v> </v>
      </c>
      <c r="D126" s="50" t="str">
        <f>IF(ISNA(VLOOKUP($B126,Summary!$B:$D,3,FALSE))=TRUE," ",VLOOKUP($B126,Summary!$B:$D,3,FALSE))</f>
        <v> </v>
      </c>
      <c r="E126" s="62"/>
      <c r="F126" s="62"/>
      <c r="G126" s="62"/>
      <c r="I126" s="63">
        <f t="shared" si="1"/>
        <v>0</v>
      </c>
      <c r="K126" s="64">
        <f>IF(E126="Support(L1_L2)",IF(NOT(ISBLANK(B126)),IF(NOT(ISBLANK(D126)),NETWORKDAYS('CPY TOC'!$F$5,'CPY TOC'!$G$5))))-L126</f>
        <v>0</v>
      </c>
      <c r="L126" s="64">
        <f>IF(E126="Support(L1_L2)",SUMIFS(Support_allowance_Entries!$G:$G,Support_allowance_Entries!$B:$B,CPY!B126),0)</f>
        <v>0</v>
      </c>
      <c r="M126" s="63" t="b">
        <f>IF($D126="D0",MD!$C$4*(K126),IF($D126="D1",MD!$C$5*(K126),IF($D126="D2",MD!$C$6*(K126),IF($D126="D3",MD!$C$7*(K126),IF($D126="D4",MD!$C$8*(K126),IF($D126="D5",MD!$C$9*(K126),IF($D126="M1",MD!$C$10*(K126),IF($D126="T1",MD!$C$11*(K126)))))))))</f>
        <v>0</v>
      </c>
      <c r="O126" s="65">
        <f>SUMIFS(Shift_allowance_Entries!$G:$G,Shift_allowance_Entries!$F:$F,"6:30AM-03:30PM",Shift_allowance_Entries!$B:$B,CPY!$B126)</f>
        <v>0</v>
      </c>
      <c r="P126" s="65">
        <f>SUMIFS(Shift_allowance_Entries!$G:$G,Shift_allowance_Entries!$F:$F,"1-9PM/2:30PM-11:30PM",Shift_allowance_Entries!$B:$B,CPY!$B126)</f>
        <v>0</v>
      </c>
      <c r="Q126" s="65">
        <f>SUMIFS(Shift_allowance_Entries!$G:$G,Shift_allowance_Entries!$F:$F,"11PM-7AM",Shift_allowance_Entries!$B:$B,CPY!$B126)</f>
        <v>0</v>
      </c>
      <c r="R126" s="63">
        <f>(CPY!O126*MD!$F$4)+(CPY!P126*MD!$F$5)+(CPY!Q126*MD!$F$6)</f>
        <v>0</v>
      </c>
      <c r="T126" s="64">
        <f>ROUNDUP((SUMIFS('OOH Activities'!$K:$K,'OOH Activities'!$F:$F,"Non_workdays",'OOH Activities'!$B:$B,CPY!B126)) *24,1)</f>
        <v>0</v>
      </c>
      <c r="U126" s="64">
        <f>ROUNDUP((SUMIFS('OOH Activities'!$K:$K,'OOH Activities'!$F:$F,"Workdays",'OOH Activities'!$B:$B,CPY!B126)) *24,1)</f>
        <v>0</v>
      </c>
      <c r="V126" s="63">
        <f>ROUNDUP((SUMIFS('OOH Activities'!$L:$L,'OOH Activities'!$B:$B,CPY!B126)),1)</f>
        <v>0</v>
      </c>
      <c r="X126" s="65">
        <f>ROUNDUP((SUMIFS('ON Call_Call Out Activities'!$L:$L,'ON Call_Call Out Activities'!$F:$F,"Workdays",'ON Call_Call Out Activities'!$B:$B,CPY!B126))*24,1)</f>
        <v>0</v>
      </c>
      <c r="Y126" s="64">
        <f>ROUNDUP((SUMIFS('ON Call_Call Out Activities'!$L:$L,'ON Call_Call Out Activities'!$F:$F,"Non_workdays",'ON Call_Call Out Activities'!$B:$B,CPY!B126)) *24,1)</f>
        <v>0</v>
      </c>
      <c r="Z126" s="63">
        <f>ROUNDUP((SUMIFS('ON Call_Call Out Activities'!$M:$M,'ON Call_Call Out Activities'!$F:$F,"Non_workdays",'ON Call_Call Out Activities'!$B:$B,CPY!B126)),1) + ROUNDUP((SUMIFS('ON Call_Call Out Activities'!$M:$M,'ON Call_Call Out Activities'!$F:$F,"Workdays",'ON Call_Call Out Activities'!$B:$B,CPY!B126)),1)</f>
        <v>0</v>
      </c>
      <c r="AA126" s="66"/>
      <c r="AB126" s="64">
        <f>ROUNDUP((SUMIFS('ON Call_Call Out Activities'!$L:$L,'ON Call_Call Out Activities'!$F:$F,"Call_Out",'ON Call_Call Out Activities'!$B:$B,CPY!B126)) *24,1)</f>
        <v>0</v>
      </c>
      <c r="AC126" s="63">
        <f>ROUNDUP((SUMIFS('ON Call_Call Out Activities'!$M:$M,'ON Call_Call Out Activities'!$F:$F,"Call_Out",'ON Call_Call Out Activities'!$B:$B,CPY!B126)),1)</f>
        <v>0</v>
      </c>
      <c r="AE126" s="65">
        <f>IF((SUMIF(Shift_allowance_Entries!$B:$B,CPY!$B126,Shift_allowance_Entries!$H:$H)) &gt; (SUMIF(Shift_allowance_Entries!$B:$B,CPY!$B126,Shift_allowance_Entries!$G:$G)),0,((SUMIF(Shift_allowance_Entries!$B:$B,CPY!$B126,Shift_allowance_Entries!$G:$G))-(SUMIF(Shift_allowance_Entries!$B:$B,CPY!$B126,Shift_allowance_Entries!$H:$H))))</f>
        <v>0</v>
      </c>
      <c r="AF126" s="63">
        <f>AE126*MD!$S$4</f>
        <v>0</v>
      </c>
    </row>
    <row r="127" spans="1:32" x14ac:dyDescent="0.25">
      <c r="A127" s="62">
        <v>125</v>
      </c>
      <c r="B127" s="62"/>
      <c r="C127" s="50" t="str">
        <f>IF(ISNA(VLOOKUP($B127,Summary!$B:$D,2,FALSE))=TRUE," ",VLOOKUP($B127,Summary!$B:$D,2,FALSE))</f>
        <v> </v>
      </c>
      <c r="D127" s="50" t="str">
        <f>IF(ISNA(VLOOKUP($B127,Summary!$B:$D,3,FALSE))=TRUE," ",VLOOKUP($B127,Summary!$B:$D,3,FALSE))</f>
        <v> </v>
      </c>
      <c r="E127" s="62"/>
      <c r="F127" s="62"/>
      <c r="G127" s="62"/>
      <c r="I127" s="63">
        <f t="shared" si="1"/>
        <v>0</v>
      </c>
      <c r="K127" s="64">
        <f>IF(E127="Support(L1_L2)",IF(NOT(ISBLANK(B127)),IF(NOT(ISBLANK(D127)),NETWORKDAYS('CPY TOC'!$F$5,'CPY TOC'!$G$5))))-L127</f>
        <v>0</v>
      </c>
      <c r="L127" s="64">
        <f>IF(E127="Support(L1_L2)",SUMIFS(Support_allowance_Entries!$G:$G,Support_allowance_Entries!$B:$B,CPY!B127),0)</f>
        <v>0</v>
      </c>
      <c r="M127" s="63" t="b">
        <f>IF($D127="D0",MD!$C$4*(K127),IF($D127="D1",MD!$C$5*(K127),IF($D127="D2",MD!$C$6*(K127),IF($D127="D3",MD!$C$7*(K127),IF($D127="D4",MD!$C$8*(K127),IF($D127="D5",MD!$C$9*(K127),IF($D127="M1",MD!$C$10*(K127),IF($D127="T1",MD!$C$11*(K127)))))))))</f>
        <v>0</v>
      </c>
      <c r="O127" s="65">
        <f>SUMIFS(Shift_allowance_Entries!$G:$G,Shift_allowance_Entries!$F:$F,"6:30AM-03:30PM",Shift_allowance_Entries!$B:$B,CPY!$B127)</f>
        <v>0</v>
      </c>
      <c r="P127" s="65">
        <f>SUMIFS(Shift_allowance_Entries!$G:$G,Shift_allowance_Entries!$F:$F,"1-9PM/2:30PM-11:30PM",Shift_allowance_Entries!$B:$B,CPY!$B127)</f>
        <v>0</v>
      </c>
      <c r="Q127" s="65">
        <f>SUMIFS(Shift_allowance_Entries!$G:$G,Shift_allowance_Entries!$F:$F,"11PM-7AM",Shift_allowance_Entries!$B:$B,CPY!$B127)</f>
        <v>0</v>
      </c>
      <c r="R127" s="63">
        <f>(CPY!O127*MD!$F$4)+(CPY!P127*MD!$F$5)+(CPY!Q127*MD!$F$6)</f>
        <v>0</v>
      </c>
      <c r="T127" s="64">
        <f>ROUNDUP((SUMIFS('OOH Activities'!$K:$K,'OOH Activities'!$F:$F,"Non_workdays",'OOH Activities'!$B:$B,CPY!B127)) *24,1)</f>
        <v>0</v>
      </c>
      <c r="U127" s="64">
        <f>ROUNDUP((SUMIFS('OOH Activities'!$K:$K,'OOH Activities'!$F:$F,"Workdays",'OOH Activities'!$B:$B,CPY!B127)) *24,1)</f>
        <v>0</v>
      </c>
      <c r="V127" s="63">
        <f>ROUNDUP((SUMIFS('OOH Activities'!$L:$L,'OOH Activities'!$B:$B,CPY!B127)),1)</f>
        <v>0</v>
      </c>
      <c r="X127" s="65">
        <f>ROUNDUP((SUMIFS('ON Call_Call Out Activities'!$L:$L,'ON Call_Call Out Activities'!$F:$F,"Workdays",'ON Call_Call Out Activities'!$B:$B,CPY!B127))*24,1)</f>
        <v>0</v>
      </c>
      <c r="Y127" s="64">
        <f>ROUNDUP((SUMIFS('ON Call_Call Out Activities'!$L:$L,'ON Call_Call Out Activities'!$F:$F,"Non_workdays",'ON Call_Call Out Activities'!$B:$B,CPY!B127)) *24,1)</f>
        <v>0</v>
      </c>
      <c r="Z127" s="63">
        <f>ROUNDUP((SUMIFS('ON Call_Call Out Activities'!$M:$M,'ON Call_Call Out Activities'!$F:$F,"Non_workdays",'ON Call_Call Out Activities'!$B:$B,CPY!B127)),1) + ROUNDUP((SUMIFS('ON Call_Call Out Activities'!$M:$M,'ON Call_Call Out Activities'!$F:$F,"Workdays",'ON Call_Call Out Activities'!$B:$B,CPY!B127)),1)</f>
        <v>0</v>
      </c>
      <c r="AA127" s="66"/>
      <c r="AB127" s="64">
        <f>ROUNDUP((SUMIFS('ON Call_Call Out Activities'!$L:$L,'ON Call_Call Out Activities'!$F:$F,"Call_Out",'ON Call_Call Out Activities'!$B:$B,CPY!B127)) *24,1)</f>
        <v>0</v>
      </c>
      <c r="AC127" s="63">
        <f>ROUNDUP((SUMIFS('ON Call_Call Out Activities'!$M:$M,'ON Call_Call Out Activities'!$F:$F,"Call_Out",'ON Call_Call Out Activities'!$B:$B,CPY!B127)),1)</f>
        <v>0</v>
      </c>
      <c r="AE127" s="65">
        <f>IF((SUMIF(Shift_allowance_Entries!$B:$B,CPY!$B127,Shift_allowance_Entries!$H:$H)) &gt; (SUMIF(Shift_allowance_Entries!$B:$B,CPY!$B127,Shift_allowance_Entries!$G:$G)),0,((SUMIF(Shift_allowance_Entries!$B:$B,CPY!$B127,Shift_allowance_Entries!$G:$G))-(SUMIF(Shift_allowance_Entries!$B:$B,CPY!$B127,Shift_allowance_Entries!$H:$H))))</f>
        <v>0</v>
      </c>
      <c r="AF127" s="63">
        <f>AE127*MD!$S$4</f>
        <v>0</v>
      </c>
    </row>
    <row r="128" spans="1:32" x14ac:dyDescent="0.25">
      <c r="A128" s="62">
        <v>126</v>
      </c>
      <c r="B128" s="62"/>
      <c r="C128" s="50" t="str">
        <f>IF(ISNA(VLOOKUP($B128,Summary!$B:$D,2,FALSE))=TRUE," ",VLOOKUP($B128,Summary!$B:$D,2,FALSE))</f>
        <v> </v>
      </c>
      <c r="D128" s="50" t="str">
        <f>IF(ISNA(VLOOKUP($B128,Summary!$B:$D,3,FALSE))=TRUE," ",VLOOKUP($B128,Summary!$B:$D,3,FALSE))</f>
        <v> </v>
      </c>
      <c r="E128" s="62"/>
      <c r="F128" s="62"/>
      <c r="G128" s="62"/>
      <c r="I128" s="63">
        <f t="shared" si="1"/>
        <v>0</v>
      </c>
      <c r="K128" s="64">
        <f>IF(E128="Support(L1_L2)",IF(NOT(ISBLANK(B128)),IF(NOT(ISBLANK(D128)),NETWORKDAYS('CPY TOC'!$F$5,'CPY TOC'!$G$5))))-L128</f>
        <v>0</v>
      </c>
      <c r="L128" s="64">
        <f>IF(E128="Support(L1_L2)",SUMIFS(Support_allowance_Entries!$G:$G,Support_allowance_Entries!$B:$B,CPY!B128),0)</f>
        <v>0</v>
      </c>
      <c r="M128" s="63" t="b">
        <f>IF($D128="D0",MD!$C$4*(K128),IF($D128="D1",MD!$C$5*(K128),IF($D128="D2",MD!$C$6*(K128),IF($D128="D3",MD!$C$7*(K128),IF($D128="D4",MD!$C$8*(K128),IF($D128="D5",MD!$C$9*(K128),IF($D128="M1",MD!$C$10*(K128),IF($D128="T1",MD!$C$11*(K128)))))))))</f>
        <v>0</v>
      </c>
      <c r="O128" s="65">
        <f>SUMIFS(Shift_allowance_Entries!$G:$G,Shift_allowance_Entries!$F:$F,"6:30AM-03:30PM",Shift_allowance_Entries!$B:$B,CPY!$B128)</f>
        <v>0</v>
      </c>
      <c r="P128" s="65">
        <f>SUMIFS(Shift_allowance_Entries!$G:$G,Shift_allowance_Entries!$F:$F,"1-9PM/2:30PM-11:30PM",Shift_allowance_Entries!$B:$B,CPY!$B128)</f>
        <v>0</v>
      </c>
      <c r="Q128" s="65">
        <f>SUMIFS(Shift_allowance_Entries!$G:$G,Shift_allowance_Entries!$F:$F,"11PM-7AM",Shift_allowance_Entries!$B:$B,CPY!$B128)</f>
        <v>0</v>
      </c>
      <c r="R128" s="63">
        <f>(CPY!O128*MD!$F$4)+(CPY!P128*MD!$F$5)+(CPY!Q128*MD!$F$6)</f>
        <v>0</v>
      </c>
      <c r="T128" s="64">
        <f>ROUNDUP((SUMIFS('OOH Activities'!$K:$K,'OOH Activities'!$F:$F,"Non_workdays",'OOH Activities'!$B:$B,CPY!B128)) *24,1)</f>
        <v>0</v>
      </c>
      <c r="U128" s="64">
        <f>ROUNDUP((SUMIFS('OOH Activities'!$K:$K,'OOH Activities'!$F:$F,"Workdays",'OOH Activities'!$B:$B,CPY!B128)) *24,1)</f>
        <v>0</v>
      </c>
      <c r="V128" s="63">
        <f>ROUNDUP((SUMIFS('OOH Activities'!$L:$L,'OOH Activities'!$B:$B,CPY!B128)),1)</f>
        <v>0</v>
      </c>
      <c r="X128" s="65">
        <f>ROUNDUP((SUMIFS('ON Call_Call Out Activities'!$L:$L,'ON Call_Call Out Activities'!$F:$F,"Workdays",'ON Call_Call Out Activities'!$B:$B,CPY!B128))*24,1)</f>
        <v>0</v>
      </c>
      <c r="Y128" s="64">
        <f>ROUNDUP((SUMIFS('ON Call_Call Out Activities'!$L:$L,'ON Call_Call Out Activities'!$F:$F,"Non_workdays",'ON Call_Call Out Activities'!$B:$B,CPY!B128)) *24,1)</f>
        <v>0</v>
      </c>
      <c r="Z128" s="63">
        <f>ROUNDUP((SUMIFS('ON Call_Call Out Activities'!$M:$M,'ON Call_Call Out Activities'!$F:$F,"Non_workdays",'ON Call_Call Out Activities'!$B:$B,CPY!B128)),1) + ROUNDUP((SUMIFS('ON Call_Call Out Activities'!$M:$M,'ON Call_Call Out Activities'!$F:$F,"Workdays",'ON Call_Call Out Activities'!$B:$B,CPY!B128)),1)</f>
        <v>0</v>
      </c>
      <c r="AA128" s="66"/>
      <c r="AB128" s="64">
        <f>ROUNDUP((SUMIFS('ON Call_Call Out Activities'!$L:$L,'ON Call_Call Out Activities'!$F:$F,"Call_Out",'ON Call_Call Out Activities'!$B:$B,CPY!B128)) *24,1)</f>
        <v>0</v>
      </c>
      <c r="AC128" s="63">
        <f>ROUNDUP((SUMIFS('ON Call_Call Out Activities'!$M:$M,'ON Call_Call Out Activities'!$F:$F,"Call_Out",'ON Call_Call Out Activities'!$B:$B,CPY!B128)),1)</f>
        <v>0</v>
      </c>
      <c r="AE128" s="65">
        <f>IF((SUMIF(Shift_allowance_Entries!$B:$B,CPY!$B128,Shift_allowance_Entries!$H:$H)) &gt; (SUMIF(Shift_allowance_Entries!$B:$B,CPY!$B128,Shift_allowance_Entries!$G:$G)),0,((SUMIF(Shift_allowance_Entries!$B:$B,CPY!$B128,Shift_allowance_Entries!$G:$G))-(SUMIF(Shift_allowance_Entries!$B:$B,CPY!$B128,Shift_allowance_Entries!$H:$H))))</f>
        <v>0</v>
      </c>
      <c r="AF128" s="63">
        <f>AE128*MD!$S$4</f>
        <v>0</v>
      </c>
    </row>
    <row r="129" spans="1:32" x14ac:dyDescent="0.25">
      <c r="A129" s="62">
        <v>127</v>
      </c>
      <c r="B129" s="62"/>
      <c r="C129" s="50" t="str">
        <f>IF(ISNA(VLOOKUP($B129,Summary!$B:$D,2,FALSE))=TRUE," ",VLOOKUP($B129,Summary!$B:$D,2,FALSE))</f>
        <v> </v>
      </c>
      <c r="D129" s="50" t="str">
        <f>IF(ISNA(VLOOKUP($B129,Summary!$B:$D,3,FALSE))=TRUE," ",VLOOKUP($B129,Summary!$B:$D,3,FALSE))</f>
        <v> </v>
      </c>
      <c r="E129" s="62"/>
      <c r="F129" s="62"/>
      <c r="G129" s="62"/>
      <c r="I129" s="63">
        <f t="shared" si="1"/>
        <v>0</v>
      </c>
      <c r="K129" s="64">
        <f>IF(E129="Support(L1_L2)",IF(NOT(ISBLANK(B129)),IF(NOT(ISBLANK(D129)),NETWORKDAYS('CPY TOC'!$F$5,'CPY TOC'!$G$5))))-L129</f>
        <v>0</v>
      </c>
      <c r="L129" s="64">
        <f>IF(E129="Support(L1_L2)",SUMIFS(Support_allowance_Entries!$G:$G,Support_allowance_Entries!$B:$B,CPY!B129),0)</f>
        <v>0</v>
      </c>
      <c r="M129" s="63" t="b">
        <f>IF($D129="D0",MD!$C$4*(K129),IF($D129="D1",MD!$C$5*(K129),IF($D129="D2",MD!$C$6*(K129),IF($D129="D3",MD!$C$7*(K129),IF($D129="D4",MD!$C$8*(K129),IF($D129="D5",MD!$C$9*(K129),IF($D129="M1",MD!$C$10*(K129),IF($D129="T1",MD!$C$11*(K129)))))))))</f>
        <v>0</v>
      </c>
      <c r="O129" s="65">
        <f>SUMIFS(Shift_allowance_Entries!$G:$G,Shift_allowance_Entries!$F:$F,"6:30AM-03:30PM",Shift_allowance_Entries!$B:$B,CPY!$B129)</f>
        <v>0</v>
      </c>
      <c r="P129" s="65">
        <f>SUMIFS(Shift_allowance_Entries!$G:$G,Shift_allowance_Entries!$F:$F,"1-9PM/2:30PM-11:30PM",Shift_allowance_Entries!$B:$B,CPY!$B129)</f>
        <v>0</v>
      </c>
      <c r="Q129" s="65">
        <f>SUMIFS(Shift_allowance_Entries!$G:$G,Shift_allowance_Entries!$F:$F,"11PM-7AM",Shift_allowance_Entries!$B:$B,CPY!$B129)</f>
        <v>0</v>
      </c>
      <c r="R129" s="63">
        <f>(CPY!O129*MD!$F$4)+(CPY!P129*MD!$F$5)+(CPY!Q129*MD!$F$6)</f>
        <v>0</v>
      </c>
      <c r="T129" s="64">
        <f>ROUNDUP((SUMIFS('OOH Activities'!$K:$K,'OOH Activities'!$F:$F,"Non_workdays",'OOH Activities'!$B:$B,CPY!B129)) *24,1)</f>
        <v>0</v>
      </c>
      <c r="U129" s="64">
        <f>ROUNDUP((SUMIFS('OOH Activities'!$K:$K,'OOH Activities'!$F:$F,"Workdays",'OOH Activities'!$B:$B,CPY!B129)) *24,1)</f>
        <v>0</v>
      </c>
      <c r="V129" s="63">
        <f>ROUNDUP((SUMIFS('OOH Activities'!$L:$L,'OOH Activities'!$B:$B,CPY!B129)),1)</f>
        <v>0</v>
      </c>
      <c r="X129" s="65">
        <f>ROUNDUP((SUMIFS('ON Call_Call Out Activities'!$L:$L,'ON Call_Call Out Activities'!$F:$F,"Workdays",'ON Call_Call Out Activities'!$B:$B,CPY!B129))*24,1)</f>
        <v>0</v>
      </c>
      <c r="Y129" s="64">
        <f>ROUNDUP((SUMIFS('ON Call_Call Out Activities'!$L:$L,'ON Call_Call Out Activities'!$F:$F,"Non_workdays",'ON Call_Call Out Activities'!$B:$B,CPY!B129)) *24,1)</f>
        <v>0</v>
      </c>
      <c r="Z129" s="63">
        <f>ROUNDUP((SUMIFS('ON Call_Call Out Activities'!$M:$M,'ON Call_Call Out Activities'!$F:$F,"Non_workdays",'ON Call_Call Out Activities'!$B:$B,CPY!B129)),1) + ROUNDUP((SUMIFS('ON Call_Call Out Activities'!$M:$M,'ON Call_Call Out Activities'!$F:$F,"Workdays",'ON Call_Call Out Activities'!$B:$B,CPY!B129)),1)</f>
        <v>0</v>
      </c>
      <c r="AA129" s="66"/>
      <c r="AB129" s="64">
        <f>ROUNDUP((SUMIFS('ON Call_Call Out Activities'!$L:$L,'ON Call_Call Out Activities'!$F:$F,"Call_Out",'ON Call_Call Out Activities'!$B:$B,CPY!B129)) *24,1)</f>
        <v>0</v>
      </c>
      <c r="AC129" s="63">
        <f>ROUNDUP((SUMIFS('ON Call_Call Out Activities'!$M:$M,'ON Call_Call Out Activities'!$F:$F,"Call_Out",'ON Call_Call Out Activities'!$B:$B,CPY!B129)),1)</f>
        <v>0</v>
      </c>
      <c r="AE129" s="65">
        <f>IF((SUMIF(Shift_allowance_Entries!$B:$B,CPY!$B129,Shift_allowance_Entries!$H:$H)) &gt; (SUMIF(Shift_allowance_Entries!$B:$B,CPY!$B129,Shift_allowance_Entries!$G:$G)),0,((SUMIF(Shift_allowance_Entries!$B:$B,CPY!$B129,Shift_allowance_Entries!$G:$G))-(SUMIF(Shift_allowance_Entries!$B:$B,CPY!$B129,Shift_allowance_Entries!$H:$H))))</f>
        <v>0</v>
      </c>
      <c r="AF129" s="63">
        <f>AE129*MD!$S$4</f>
        <v>0</v>
      </c>
    </row>
    <row r="130" spans="1:32" x14ac:dyDescent="0.25">
      <c r="A130" s="62">
        <v>128</v>
      </c>
      <c r="B130" s="62"/>
      <c r="C130" s="50" t="str">
        <f>IF(ISNA(VLOOKUP($B130,Summary!$B:$D,2,FALSE))=TRUE," ",VLOOKUP($B130,Summary!$B:$D,2,FALSE))</f>
        <v> </v>
      </c>
      <c r="D130" s="50" t="str">
        <f>IF(ISNA(VLOOKUP($B130,Summary!$B:$D,3,FALSE))=TRUE," ",VLOOKUP($B130,Summary!$B:$D,3,FALSE))</f>
        <v> </v>
      </c>
      <c r="E130" s="62"/>
      <c r="F130" s="62"/>
      <c r="G130" s="62"/>
      <c r="I130" s="63">
        <f t="shared" si="1"/>
        <v>0</v>
      </c>
      <c r="K130" s="64">
        <f>IF(E130="Support(L1_L2)",IF(NOT(ISBLANK(B130)),IF(NOT(ISBLANK(D130)),NETWORKDAYS('CPY TOC'!$F$5,'CPY TOC'!$G$5))))-L130</f>
        <v>0</v>
      </c>
      <c r="L130" s="64">
        <f>IF(E130="Support(L1_L2)",SUMIFS(Support_allowance_Entries!$G:$G,Support_allowance_Entries!$B:$B,CPY!B130),0)</f>
        <v>0</v>
      </c>
      <c r="M130" s="63" t="b">
        <f>IF($D130="D0",MD!$C$4*(K130),IF($D130="D1",MD!$C$5*(K130),IF($D130="D2",MD!$C$6*(K130),IF($D130="D3",MD!$C$7*(K130),IF($D130="D4",MD!$C$8*(K130),IF($D130="D5",MD!$C$9*(K130),IF($D130="M1",MD!$C$10*(K130),IF($D130="T1",MD!$C$11*(K130)))))))))</f>
        <v>0</v>
      </c>
      <c r="O130" s="65">
        <f>SUMIFS(Shift_allowance_Entries!$G:$G,Shift_allowance_Entries!$F:$F,"6:30AM-03:30PM",Shift_allowance_Entries!$B:$B,CPY!$B130)</f>
        <v>0</v>
      </c>
      <c r="P130" s="65">
        <f>SUMIFS(Shift_allowance_Entries!$G:$G,Shift_allowance_Entries!$F:$F,"1-9PM/2:30PM-11:30PM",Shift_allowance_Entries!$B:$B,CPY!$B130)</f>
        <v>0</v>
      </c>
      <c r="Q130" s="65">
        <f>SUMIFS(Shift_allowance_Entries!$G:$G,Shift_allowance_Entries!$F:$F,"11PM-7AM",Shift_allowance_Entries!$B:$B,CPY!$B130)</f>
        <v>0</v>
      </c>
      <c r="R130" s="63">
        <f>(CPY!O130*MD!$F$4)+(CPY!P130*MD!$F$5)+(CPY!Q130*MD!$F$6)</f>
        <v>0</v>
      </c>
      <c r="T130" s="64">
        <f>ROUNDUP((SUMIFS('OOH Activities'!$K:$K,'OOH Activities'!$F:$F,"Non_workdays",'OOH Activities'!$B:$B,CPY!B130)) *24,1)</f>
        <v>0</v>
      </c>
      <c r="U130" s="64">
        <f>ROUNDUP((SUMIFS('OOH Activities'!$K:$K,'OOH Activities'!$F:$F,"Workdays",'OOH Activities'!$B:$B,CPY!B130)) *24,1)</f>
        <v>0</v>
      </c>
      <c r="V130" s="63">
        <f>ROUNDUP((SUMIFS('OOH Activities'!$L:$L,'OOH Activities'!$B:$B,CPY!B130)),1)</f>
        <v>0</v>
      </c>
      <c r="X130" s="65">
        <f>ROUNDUP((SUMIFS('ON Call_Call Out Activities'!$L:$L,'ON Call_Call Out Activities'!$F:$F,"Workdays",'ON Call_Call Out Activities'!$B:$B,CPY!B130))*24,1)</f>
        <v>0</v>
      </c>
      <c r="Y130" s="64">
        <f>ROUNDUP((SUMIFS('ON Call_Call Out Activities'!$L:$L,'ON Call_Call Out Activities'!$F:$F,"Non_workdays",'ON Call_Call Out Activities'!$B:$B,CPY!B130)) *24,1)</f>
        <v>0</v>
      </c>
      <c r="Z130" s="63">
        <f>ROUNDUP((SUMIFS('ON Call_Call Out Activities'!$M:$M,'ON Call_Call Out Activities'!$F:$F,"Non_workdays",'ON Call_Call Out Activities'!$B:$B,CPY!B130)),1) + ROUNDUP((SUMIFS('ON Call_Call Out Activities'!$M:$M,'ON Call_Call Out Activities'!$F:$F,"Workdays",'ON Call_Call Out Activities'!$B:$B,CPY!B130)),1)</f>
        <v>0</v>
      </c>
      <c r="AA130" s="66"/>
      <c r="AB130" s="64">
        <f>ROUNDUP((SUMIFS('ON Call_Call Out Activities'!$L:$L,'ON Call_Call Out Activities'!$F:$F,"Call_Out",'ON Call_Call Out Activities'!$B:$B,CPY!B130)) *24,1)</f>
        <v>0</v>
      </c>
      <c r="AC130" s="63">
        <f>ROUNDUP((SUMIFS('ON Call_Call Out Activities'!$M:$M,'ON Call_Call Out Activities'!$F:$F,"Call_Out",'ON Call_Call Out Activities'!$B:$B,CPY!B130)),1)</f>
        <v>0</v>
      </c>
      <c r="AE130" s="65">
        <f>IF((SUMIF(Shift_allowance_Entries!$B:$B,CPY!$B130,Shift_allowance_Entries!$H:$H)) &gt; (SUMIF(Shift_allowance_Entries!$B:$B,CPY!$B130,Shift_allowance_Entries!$G:$G)),0,((SUMIF(Shift_allowance_Entries!$B:$B,CPY!$B130,Shift_allowance_Entries!$G:$G))-(SUMIF(Shift_allowance_Entries!$B:$B,CPY!$B130,Shift_allowance_Entries!$H:$H))))</f>
        <v>0</v>
      </c>
      <c r="AF130" s="63">
        <f>AE130*MD!$S$4</f>
        <v>0</v>
      </c>
    </row>
    <row r="131" spans="1:32" x14ac:dyDescent="0.25">
      <c r="A131" s="62">
        <v>129</v>
      </c>
      <c r="B131" s="62"/>
      <c r="C131" s="50" t="str">
        <f>IF(ISNA(VLOOKUP($B131,Summary!$B:$D,2,FALSE))=TRUE," ",VLOOKUP($B131,Summary!$B:$D,2,FALSE))</f>
        <v> </v>
      </c>
      <c r="D131" s="50" t="str">
        <f>IF(ISNA(VLOOKUP($B131,Summary!$B:$D,3,FALSE))=TRUE," ",VLOOKUP($B131,Summary!$B:$D,3,FALSE))</f>
        <v> </v>
      </c>
      <c r="E131" s="62"/>
      <c r="F131" s="62"/>
      <c r="G131" s="62"/>
      <c r="I131" s="63">
        <f t="shared" ref="I131:I194" si="2">M131+R131+V131+Z131+AC131+AF131</f>
        <v>0</v>
      </c>
      <c r="K131" s="64">
        <f>IF(E131="Support(L1_L2)",IF(NOT(ISBLANK(B131)),IF(NOT(ISBLANK(D131)),NETWORKDAYS('CPY TOC'!$F$5,'CPY TOC'!$G$5))))-L131</f>
        <v>0</v>
      </c>
      <c r="L131" s="64">
        <f>IF(E131="Support(L1_L2)",SUMIFS(Support_allowance_Entries!$G:$G,Support_allowance_Entries!$B:$B,CPY!B131),0)</f>
        <v>0</v>
      </c>
      <c r="M131" s="63" t="b">
        <f>IF($D131="D0",MD!$C$4*(K131),IF($D131="D1",MD!$C$5*(K131),IF($D131="D2",MD!$C$6*(K131),IF($D131="D3",MD!$C$7*(K131),IF($D131="D4",MD!$C$8*(K131),IF($D131="D5",MD!$C$9*(K131),IF($D131="M1",MD!$C$10*(K131),IF($D131="T1",MD!$C$11*(K131)))))))))</f>
        <v>0</v>
      </c>
      <c r="O131" s="65">
        <f>SUMIFS(Shift_allowance_Entries!$G:$G,Shift_allowance_Entries!$F:$F,"6:30AM-03:30PM",Shift_allowance_Entries!$B:$B,CPY!$B131)</f>
        <v>0</v>
      </c>
      <c r="P131" s="65">
        <f>SUMIFS(Shift_allowance_Entries!$G:$G,Shift_allowance_Entries!$F:$F,"1-9PM/2:30PM-11:30PM",Shift_allowance_Entries!$B:$B,CPY!$B131)</f>
        <v>0</v>
      </c>
      <c r="Q131" s="65">
        <f>SUMIFS(Shift_allowance_Entries!$G:$G,Shift_allowance_Entries!$F:$F,"11PM-7AM",Shift_allowance_Entries!$B:$B,CPY!$B131)</f>
        <v>0</v>
      </c>
      <c r="R131" s="63">
        <f>(CPY!O131*MD!$F$4)+(CPY!P131*MD!$F$5)+(CPY!Q131*MD!$F$6)</f>
        <v>0</v>
      </c>
      <c r="T131" s="64">
        <f>ROUNDUP((SUMIFS('OOH Activities'!$K:$K,'OOH Activities'!$F:$F,"Non_workdays",'OOH Activities'!$B:$B,CPY!B131)) *24,1)</f>
        <v>0</v>
      </c>
      <c r="U131" s="64">
        <f>ROUNDUP((SUMIFS('OOH Activities'!$K:$K,'OOH Activities'!$F:$F,"Workdays",'OOH Activities'!$B:$B,CPY!B131)) *24,1)</f>
        <v>0</v>
      </c>
      <c r="V131" s="63">
        <f>ROUNDUP((SUMIFS('OOH Activities'!$L:$L,'OOH Activities'!$B:$B,CPY!B131)),1)</f>
        <v>0</v>
      </c>
      <c r="X131" s="65">
        <f>ROUNDUP((SUMIFS('ON Call_Call Out Activities'!$L:$L,'ON Call_Call Out Activities'!$F:$F,"Workdays",'ON Call_Call Out Activities'!$B:$B,CPY!B131))*24,1)</f>
        <v>0</v>
      </c>
      <c r="Y131" s="64">
        <f>ROUNDUP((SUMIFS('ON Call_Call Out Activities'!$L:$L,'ON Call_Call Out Activities'!$F:$F,"Non_workdays",'ON Call_Call Out Activities'!$B:$B,CPY!B131)) *24,1)</f>
        <v>0</v>
      </c>
      <c r="Z131" s="63">
        <f>ROUNDUP((SUMIFS('ON Call_Call Out Activities'!$M:$M,'ON Call_Call Out Activities'!$F:$F,"Non_workdays",'ON Call_Call Out Activities'!$B:$B,CPY!B131)),1) + ROUNDUP((SUMIFS('ON Call_Call Out Activities'!$M:$M,'ON Call_Call Out Activities'!$F:$F,"Workdays",'ON Call_Call Out Activities'!$B:$B,CPY!B131)),1)</f>
        <v>0</v>
      </c>
      <c r="AA131" s="66"/>
      <c r="AB131" s="64">
        <f>ROUNDUP((SUMIFS('ON Call_Call Out Activities'!$L:$L,'ON Call_Call Out Activities'!$F:$F,"Call_Out",'ON Call_Call Out Activities'!$B:$B,CPY!B131)) *24,1)</f>
        <v>0</v>
      </c>
      <c r="AC131" s="63">
        <f>ROUNDUP((SUMIFS('ON Call_Call Out Activities'!$M:$M,'ON Call_Call Out Activities'!$F:$F,"Call_Out",'ON Call_Call Out Activities'!$B:$B,CPY!B131)),1)</f>
        <v>0</v>
      </c>
      <c r="AE131" s="65">
        <f>IF((SUMIF(Shift_allowance_Entries!$B:$B,CPY!$B131,Shift_allowance_Entries!$H:$H)) &gt; (SUMIF(Shift_allowance_Entries!$B:$B,CPY!$B131,Shift_allowance_Entries!$G:$G)),0,((SUMIF(Shift_allowance_Entries!$B:$B,CPY!$B131,Shift_allowance_Entries!$G:$G))-(SUMIF(Shift_allowance_Entries!$B:$B,CPY!$B131,Shift_allowance_Entries!$H:$H))))</f>
        <v>0</v>
      </c>
      <c r="AF131" s="63">
        <f>AE131*MD!$S$4</f>
        <v>0</v>
      </c>
    </row>
    <row r="132" spans="1:32" x14ac:dyDescent="0.25">
      <c r="A132" s="62">
        <v>130</v>
      </c>
      <c r="B132" s="62"/>
      <c r="C132" s="50" t="str">
        <f>IF(ISNA(VLOOKUP($B132,Summary!$B:$D,2,FALSE))=TRUE," ",VLOOKUP($B132,Summary!$B:$D,2,FALSE))</f>
        <v> </v>
      </c>
      <c r="D132" s="50" t="str">
        <f>IF(ISNA(VLOOKUP($B132,Summary!$B:$D,3,FALSE))=TRUE," ",VLOOKUP($B132,Summary!$B:$D,3,FALSE))</f>
        <v> </v>
      </c>
      <c r="E132" s="62"/>
      <c r="F132" s="62"/>
      <c r="G132" s="62"/>
      <c r="I132" s="63">
        <f t="shared" si="2"/>
        <v>0</v>
      </c>
      <c r="K132" s="64">
        <f>IF(E132="Support(L1_L2)",IF(NOT(ISBLANK(B132)),IF(NOT(ISBLANK(D132)),NETWORKDAYS('CPY TOC'!$F$5,'CPY TOC'!$G$5))))-L132</f>
        <v>0</v>
      </c>
      <c r="L132" s="64">
        <f>IF(E132="Support(L1_L2)",SUMIFS(Support_allowance_Entries!$G:$G,Support_allowance_Entries!$B:$B,CPY!B132),0)</f>
        <v>0</v>
      </c>
      <c r="M132" s="63" t="b">
        <f>IF($D132="D0",MD!$C$4*(K132),IF($D132="D1",MD!$C$5*(K132),IF($D132="D2",MD!$C$6*(K132),IF($D132="D3",MD!$C$7*(K132),IF($D132="D4",MD!$C$8*(K132),IF($D132="D5",MD!$C$9*(K132),IF($D132="M1",MD!$C$10*(K132),IF($D132="T1",MD!$C$11*(K132)))))))))</f>
        <v>0</v>
      </c>
      <c r="O132" s="65">
        <f>SUMIFS(Shift_allowance_Entries!$G:$G,Shift_allowance_Entries!$F:$F,"6:30AM-03:30PM",Shift_allowance_Entries!$B:$B,CPY!$B132)</f>
        <v>0</v>
      </c>
      <c r="P132" s="65">
        <f>SUMIFS(Shift_allowance_Entries!$G:$G,Shift_allowance_Entries!$F:$F,"1-9PM/2:30PM-11:30PM",Shift_allowance_Entries!$B:$B,CPY!$B132)</f>
        <v>0</v>
      </c>
      <c r="Q132" s="65">
        <f>SUMIFS(Shift_allowance_Entries!$G:$G,Shift_allowance_Entries!$F:$F,"11PM-7AM",Shift_allowance_Entries!$B:$B,CPY!$B132)</f>
        <v>0</v>
      </c>
      <c r="R132" s="63">
        <f>(CPY!O132*MD!$F$4)+(CPY!P132*MD!$F$5)+(CPY!Q132*MD!$F$6)</f>
        <v>0</v>
      </c>
      <c r="T132" s="64">
        <f>ROUNDUP((SUMIFS('OOH Activities'!$K:$K,'OOH Activities'!$F:$F,"Non_workdays",'OOH Activities'!$B:$B,CPY!B132)) *24,1)</f>
        <v>0</v>
      </c>
      <c r="U132" s="64">
        <f>ROUNDUP((SUMIFS('OOH Activities'!$K:$K,'OOH Activities'!$F:$F,"Workdays",'OOH Activities'!$B:$B,CPY!B132)) *24,1)</f>
        <v>0</v>
      </c>
      <c r="V132" s="63">
        <f>ROUNDUP((SUMIFS('OOH Activities'!$L:$L,'OOH Activities'!$B:$B,CPY!B132)),1)</f>
        <v>0</v>
      </c>
      <c r="X132" s="65">
        <f>ROUNDUP((SUMIFS('ON Call_Call Out Activities'!$L:$L,'ON Call_Call Out Activities'!$F:$F,"Workdays",'ON Call_Call Out Activities'!$B:$B,CPY!B132))*24,1)</f>
        <v>0</v>
      </c>
      <c r="Y132" s="64">
        <f>ROUNDUP((SUMIFS('ON Call_Call Out Activities'!$L:$L,'ON Call_Call Out Activities'!$F:$F,"Non_workdays",'ON Call_Call Out Activities'!$B:$B,CPY!B132)) *24,1)</f>
        <v>0</v>
      </c>
      <c r="Z132" s="63">
        <f>ROUNDUP((SUMIFS('ON Call_Call Out Activities'!$M:$M,'ON Call_Call Out Activities'!$F:$F,"Non_workdays",'ON Call_Call Out Activities'!$B:$B,CPY!B132)),1) + ROUNDUP((SUMIFS('ON Call_Call Out Activities'!$M:$M,'ON Call_Call Out Activities'!$F:$F,"Workdays",'ON Call_Call Out Activities'!$B:$B,CPY!B132)),1)</f>
        <v>0</v>
      </c>
      <c r="AA132" s="66"/>
      <c r="AB132" s="64">
        <f>ROUNDUP((SUMIFS('ON Call_Call Out Activities'!$L:$L,'ON Call_Call Out Activities'!$F:$F,"Call_Out",'ON Call_Call Out Activities'!$B:$B,CPY!B132)) *24,1)</f>
        <v>0</v>
      </c>
      <c r="AC132" s="63">
        <f>ROUNDUP((SUMIFS('ON Call_Call Out Activities'!$M:$M,'ON Call_Call Out Activities'!$F:$F,"Call_Out",'ON Call_Call Out Activities'!$B:$B,CPY!B132)),1)</f>
        <v>0</v>
      </c>
      <c r="AE132" s="65">
        <f>IF((SUMIF(Shift_allowance_Entries!$B:$B,CPY!$B132,Shift_allowance_Entries!$H:$H)) &gt; (SUMIF(Shift_allowance_Entries!$B:$B,CPY!$B132,Shift_allowance_Entries!$G:$G)),0,((SUMIF(Shift_allowance_Entries!$B:$B,CPY!$B132,Shift_allowance_Entries!$G:$G))-(SUMIF(Shift_allowance_Entries!$B:$B,CPY!$B132,Shift_allowance_Entries!$H:$H))))</f>
        <v>0</v>
      </c>
      <c r="AF132" s="63">
        <f>AE132*MD!$S$4</f>
        <v>0</v>
      </c>
    </row>
    <row r="133" spans="1:32" x14ac:dyDescent="0.25">
      <c r="A133" s="62">
        <v>131</v>
      </c>
      <c r="B133" s="62"/>
      <c r="C133" s="50" t="str">
        <f>IF(ISNA(VLOOKUP($B133,Summary!$B:$D,2,FALSE))=TRUE," ",VLOOKUP($B133,Summary!$B:$D,2,FALSE))</f>
        <v> </v>
      </c>
      <c r="D133" s="50" t="str">
        <f>IF(ISNA(VLOOKUP($B133,Summary!$B:$D,3,FALSE))=TRUE," ",VLOOKUP($B133,Summary!$B:$D,3,FALSE))</f>
        <v> </v>
      </c>
      <c r="E133" s="62"/>
      <c r="F133" s="62"/>
      <c r="G133" s="62"/>
      <c r="I133" s="63">
        <f t="shared" si="2"/>
        <v>0</v>
      </c>
      <c r="K133" s="64">
        <f>IF(E133="Support(L1_L2)",IF(NOT(ISBLANK(B133)),IF(NOT(ISBLANK(D133)),NETWORKDAYS('CPY TOC'!$F$5,'CPY TOC'!$G$5))))-L133</f>
        <v>0</v>
      </c>
      <c r="L133" s="64">
        <f>IF(E133="Support(L1_L2)",SUMIFS(Support_allowance_Entries!$G:$G,Support_allowance_Entries!$B:$B,CPY!B133),0)</f>
        <v>0</v>
      </c>
      <c r="M133" s="63" t="b">
        <f>IF($D133="D0",MD!$C$4*(K133),IF($D133="D1",MD!$C$5*(K133),IF($D133="D2",MD!$C$6*(K133),IF($D133="D3",MD!$C$7*(K133),IF($D133="D4",MD!$C$8*(K133),IF($D133="D5",MD!$C$9*(K133),IF($D133="M1",MD!$C$10*(K133),IF($D133="T1",MD!$C$11*(K133)))))))))</f>
        <v>0</v>
      </c>
      <c r="O133" s="65">
        <f>SUMIFS(Shift_allowance_Entries!$G:$G,Shift_allowance_Entries!$F:$F,"6:30AM-03:30PM",Shift_allowance_Entries!$B:$B,CPY!$B133)</f>
        <v>0</v>
      </c>
      <c r="P133" s="65">
        <f>SUMIFS(Shift_allowance_Entries!$G:$G,Shift_allowance_Entries!$F:$F,"1-9PM/2:30PM-11:30PM",Shift_allowance_Entries!$B:$B,CPY!$B133)</f>
        <v>0</v>
      </c>
      <c r="Q133" s="65">
        <f>SUMIFS(Shift_allowance_Entries!$G:$G,Shift_allowance_Entries!$F:$F,"11PM-7AM",Shift_allowance_Entries!$B:$B,CPY!$B133)</f>
        <v>0</v>
      </c>
      <c r="R133" s="63">
        <f>(CPY!O133*MD!$F$4)+(CPY!P133*MD!$F$5)+(CPY!Q133*MD!$F$6)</f>
        <v>0</v>
      </c>
      <c r="T133" s="64">
        <f>ROUNDUP((SUMIFS('OOH Activities'!$K:$K,'OOH Activities'!$F:$F,"Non_workdays",'OOH Activities'!$B:$B,CPY!B133)) *24,1)</f>
        <v>0</v>
      </c>
      <c r="U133" s="64">
        <f>ROUNDUP((SUMIFS('OOH Activities'!$K:$K,'OOH Activities'!$F:$F,"Workdays",'OOH Activities'!$B:$B,CPY!B133)) *24,1)</f>
        <v>0</v>
      </c>
      <c r="V133" s="63">
        <f>ROUNDUP((SUMIFS('OOH Activities'!$L:$L,'OOH Activities'!$B:$B,CPY!B133)),1)</f>
        <v>0</v>
      </c>
      <c r="X133" s="65">
        <f>ROUNDUP((SUMIFS('ON Call_Call Out Activities'!$L:$L,'ON Call_Call Out Activities'!$F:$F,"Workdays",'ON Call_Call Out Activities'!$B:$B,CPY!B133))*24,1)</f>
        <v>0</v>
      </c>
      <c r="Y133" s="64">
        <f>ROUNDUP((SUMIFS('ON Call_Call Out Activities'!$L:$L,'ON Call_Call Out Activities'!$F:$F,"Non_workdays",'ON Call_Call Out Activities'!$B:$B,CPY!B133)) *24,1)</f>
        <v>0</v>
      </c>
      <c r="Z133" s="63">
        <f>ROUNDUP((SUMIFS('ON Call_Call Out Activities'!$M:$M,'ON Call_Call Out Activities'!$F:$F,"Non_workdays",'ON Call_Call Out Activities'!$B:$B,CPY!B133)),1) + ROUNDUP((SUMIFS('ON Call_Call Out Activities'!$M:$M,'ON Call_Call Out Activities'!$F:$F,"Workdays",'ON Call_Call Out Activities'!$B:$B,CPY!B133)),1)</f>
        <v>0</v>
      </c>
      <c r="AA133" s="66"/>
      <c r="AB133" s="64">
        <f>ROUNDUP((SUMIFS('ON Call_Call Out Activities'!$L:$L,'ON Call_Call Out Activities'!$F:$F,"Call_Out",'ON Call_Call Out Activities'!$B:$B,CPY!B133)) *24,1)</f>
        <v>0</v>
      </c>
      <c r="AC133" s="63">
        <f>ROUNDUP((SUMIFS('ON Call_Call Out Activities'!$M:$M,'ON Call_Call Out Activities'!$F:$F,"Call_Out",'ON Call_Call Out Activities'!$B:$B,CPY!B133)),1)</f>
        <v>0</v>
      </c>
      <c r="AE133" s="65">
        <f>IF((SUMIF(Shift_allowance_Entries!$B:$B,CPY!$B133,Shift_allowance_Entries!$H:$H)) &gt; (SUMIF(Shift_allowance_Entries!$B:$B,CPY!$B133,Shift_allowance_Entries!$G:$G)),0,((SUMIF(Shift_allowance_Entries!$B:$B,CPY!$B133,Shift_allowance_Entries!$G:$G))-(SUMIF(Shift_allowance_Entries!$B:$B,CPY!$B133,Shift_allowance_Entries!$H:$H))))</f>
        <v>0</v>
      </c>
      <c r="AF133" s="63">
        <f>AE133*MD!$S$4</f>
        <v>0</v>
      </c>
    </row>
    <row r="134" spans="1:32" x14ac:dyDescent="0.25">
      <c r="A134" s="62">
        <v>132</v>
      </c>
      <c r="B134" s="62"/>
      <c r="C134" s="50" t="str">
        <f>IF(ISNA(VLOOKUP($B134,Summary!$B:$D,2,FALSE))=TRUE," ",VLOOKUP($B134,Summary!$B:$D,2,FALSE))</f>
        <v> </v>
      </c>
      <c r="D134" s="50" t="str">
        <f>IF(ISNA(VLOOKUP($B134,Summary!$B:$D,3,FALSE))=TRUE," ",VLOOKUP($B134,Summary!$B:$D,3,FALSE))</f>
        <v> </v>
      </c>
      <c r="E134" s="62"/>
      <c r="F134" s="62"/>
      <c r="G134" s="62"/>
      <c r="I134" s="63">
        <f t="shared" si="2"/>
        <v>0</v>
      </c>
      <c r="K134" s="64">
        <f>IF(E134="Support(L1_L2)",IF(NOT(ISBLANK(B134)),IF(NOT(ISBLANK(D134)),NETWORKDAYS('CPY TOC'!$F$5,'CPY TOC'!$G$5))))-L134</f>
        <v>0</v>
      </c>
      <c r="L134" s="64">
        <f>IF(E134="Support(L1_L2)",SUMIFS(Support_allowance_Entries!$G:$G,Support_allowance_Entries!$B:$B,CPY!B134),0)</f>
        <v>0</v>
      </c>
      <c r="M134" s="63" t="b">
        <f>IF($D134="D0",MD!$C$4*(K134),IF($D134="D1",MD!$C$5*(K134),IF($D134="D2",MD!$C$6*(K134),IF($D134="D3",MD!$C$7*(K134),IF($D134="D4",MD!$C$8*(K134),IF($D134="D5",MD!$C$9*(K134),IF($D134="M1",MD!$C$10*(K134),IF($D134="T1",MD!$C$11*(K134)))))))))</f>
        <v>0</v>
      </c>
      <c r="O134" s="65">
        <f>SUMIFS(Shift_allowance_Entries!$G:$G,Shift_allowance_Entries!$F:$F,"6:30AM-03:30PM",Shift_allowance_Entries!$B:$B,CPY!$B134)</f>
        <v>0</v>
      </c>
      <c r="P134" s="65">
        <f>SUMIFS(Shift_allowance_Entries!$G:$G,Shift_allowance_Entries!$F:$F,"1-9PM/2:30PM-11:30PM",Shift_allowance_Entries!$B:$B,CPY!$B134)</f>
        <v>0</v>
      </c>
      <c r="Q134" s="65">
        <f>SUMIFS(Shift_allowance_Entries!$G:$G,Shift_allowance_Entries!$F:$F,"11PM-7AM",Shift_allowance_Entries!$B:$B,CPY!$B134)</f>
        <v>0</v>
      </c>
      <c r="R134" s="63">
        <f>(CPY!O134*MD!$F$4)+(CPY!P134*MD!$F$5)+(CPY!Q134*MD!$F$6)</f>
        <v>0</v>
      </c>
      <c r="T134" s="64">
        <f>ROUNDUP((SUMIFS('OOH Activities'!$K:$K,'OOH Activities'!$F:$F,"Non_workdays",'OOH Activities'!$B:$B,CPY!B134)) *24,1)</f>
        <v>0</v>
      </c>
      <c r="U134" s="64">
        <f>ROUNDUP((SUMIFS('OOH Activities'!$K:$K,'OOH Activities'!$F:$F,"Workdays",'OOH Activities'!$B:$B,CPY!B134)) *24,1)</f>
        <v>0</v>
      </c>
      <c r="V134" s="63">
        <f>ROUNDUP((SUMIFS('OOH Activities'!$L:$L,'OOH Activities'!$B:$B,CPY!B134)),1)</f>
        <v>0</v>
      </c>
      <c r="X134" s="65">
        <f>ROUNDUP((SUMIFS('ON Call_Call Out Activities'!$L:$L,'ON Call_Call Out Activities'!$F:$F,"Workdays",'ON Call_Call Out Activities'!$B:$B,CPY!B134))*24,1)</f>
        <v>0</v>
      </c>
      <c r="Y134" s="64">
        <f>ROUNDUP((SUMIFS('ON Call_Call Out Activities'!$L:$L,'ON Call_Call Out Activities'!$F:$F,"Non_workdays",'ON Call_Call Out Activities'!$B:$B,CPY!B134)) *24,1)</f>
        <v>0</v>
      </c>
      <c r="Z134" s="63">
        <f>ROUNDUP((SUMIFS('ON Call_Call Out Activities'!$M:$M,'ON Call_Call Out Activities'!$F:$F,"Non_workdays",'ON Call_Call Out Activities'!$B:$B,CPY!B134)),1) + ROUNDUP((SUMIFS('ON Call_Call Out Activities'!$M:$M,'ON Call_Call Out Activities'!$F:$F,"Workdays",'ON Call_Call Out Activities'!$B:$B,CPY!B134)),1)</f>
        <v>0</v>
      </c>
      <c r="AA134" s="66"/>
      <c r="AB134" s="64">
        <f>ROUNDUP((SUMIFS('ON Call_Call Out Activities'!$L:$L,'ON Call_Call Out Activities'!$F:$F,"Call_Out",'ON Call_Call Out Activities'!$B:$B,CPY!B134)) *24,1)</f>
        <v>0</v>
      </c>
      <c r="AC134" s="63">
        <f>ROUNDUP((SUMIFS('ON Call_Call Out Activities'!$M:$M,'ON Call_Call Out Activities'!$F:$F,"Call_Out",'ON Call_Call Out Activities'!$B:$B,CPY!B134)),1)</f>
        <v>0</v>
      </c>
      <c r="AE134" s="65">
        <f>IF((SUMIF(Shift_allowance_Entries!$B:$B,CPY!$B134,Shift_allowance_Entries!$H:$H)) &gt; (SUMIF(Shift_allowance_Entries!$B:$B,CPY!$B134,Shift_allowance_Entries!$G:$G)),0,((SUMIF(Shift_allowance_Entries!$B:$B,CPY!$B134,Shift_allowance_Entries!$G:$G))-(SUMIF(Shift_allowance_Entries!$B:$B,CPY!$B134,Shift_allowance_Entries!$H:$H))))</f>
        <v>0</v>
      </c>
      <c r="AF134" s="63">
        <f>AE134*MD!$S$4</f>
        <v>0</v>
      </c>
    </row>
    <row r="135" spans="1:32" x14ac:dyDescent="0.25">
      <c r="A135" s="62">
        <v>133</v>
      </c>
      <c r="B135" s="62"/>
      <c r="C135" s="50" t="str">
        <f>IF(ISNA(VLOOKUP($B135,Summary!$B:$D,2,FALSE))=TRUE," ",VLOOKUP($B135,Summary!$B:$D,2,FALSE))</f>
        <v> </v>
      </c>
      <c r="D135" s="50" t="str">
        <f>IF(ISNA(VLOOKUP($B135,Summary!$B:$D,3,FALSE))=TRUE," ",VLOOKUP($B135,Summary!$B:$D,3,FALSE))</f>
        <v> </v>
      </c>
      <c r="E135" s="62"/>
      <c r="F135" s="62"/>
      <c r="G135" s="62"/>
      <c r="I135" s="63">
        <f t="shared" si="2"/>
        <v>0</v>
      </c>
      <c r="K135" s="64">
        <f>IF(E135="Support(L1_L2)",IF(NOT(ISBLANK(B135)),IF(NOT(ISBLANK(D135)),NETWORKDAYS('CPY TOC'!$F$5,'CPY TOC'!$G$5))))-L135</f>
        <v>0</v>
      </c>
      <c r="L135" s="64">
        <f>IF(E135="Support(L1_L2)",SUMIFS(Support_allowance_Entries!$G:$G,Support_allowance_Entries!$B:$B,CPY!B135),0)</f>
        <v>0</v>
      </c>
      <c r="M135" s="63" t="b">
        <f>IF($D135="D0",MD!$C$4*(K135),IF($D135="D1",MD!$C$5*(K135),IF($D135="D2",MD!$C$6*(K135),IF($D135="D3",MD!$C$7*(K135),IF($D135="D4",MD!$C$8*(K135),IF($D135="D5",MD!$C$9*(K135),IF($D135="M1",MD!$C$10*(K135),IF($D135="T1",MD!$C$11*(K135)))))))))</f>
        <v>0</v>
      </c>
      <c r="O135" s="65">
        <f>SUMIFS(Shift_allowance_Entries!$G:$G,Shift_allowance_Entries!$F:$F,"6:30AM-03:30PM",Shift_allowance_Entries!$B:$B,CPY!$B135)</f>
        <v>0</v>
      </c>
      <c r="P135" s="65">
        <f>SUMIFS(Shift_allowance_Entries!$G:$G,Shift_allowance_Entries!$F:$F,"1-9PM/2:30PM-11:30PM",Shift_allowance_Entries!$B:$B,CPY!$B135)</f>
        <v>0</v>
      </c>
      <c r="Q135" s="65">
        <f>SUMIFS(Shift_allowance_Entries!$G:$G,Shift_allowance_Entries!$F:$F,"11PM-7AM",Shift_allowance_Entries!$B:$B,CPY!$B135)</f>
        <v>0</v>
      </c>
      <c r="R135" s="63">
        <f>(CPY!O135*MD!$F$4)+(CPY!P135*MD!$F$5)+(CPY!Q135*MD!$F$6)</f>
        <v>0</v>
      </c>
      <c r="T135" s="64">
        <f>ROUNDUP((SUMIFS('OOH Activities'!$K:$K,'OOH Activities'!$F:$F,"Non_workdays",'OOH Activities'!$B:$B,CPY!B135)) *24,1)</f>
        <v>0</v>
      </c>
      <c r="U135" s="64">
        <f>ROUNDUP((SUMIFS('OOH Activities'!$K:$K,'OOH Activities'!$F:$F,"Workdays",'OOH Activities'!$B:$B,CPY!B135)) *24,1)</f>
        <v>0</v>
      </c>
      <c r="V135" s="63">
        <f>ROUNDUP((SUMIFS('OOH Activities'!$L:$L,'OOH Activities'!$B:$B,CPY!B135)),1)</f>
        <v>0</v>
      </c>
      <c r="X135" s="65">
        <f>ROUNDUP((SUMIFS('ON Call_Call Out Activities'!$L:$L,'ON Call_Call Out Activities'!$F:$F,"Workdays",'ON Call_Call Out Activities'!$B:$B,CPY!B135))*24,1)</f>
        <v>0</v>
      </c>
      <c r="Y135" s="64">
        <f>ROUNDUP((SUMIFS('ON Call_Call Out Activities'!$L:$L,'ON Call_Call Out Activities'!$F:$F,"Non_workdays",'ON Call_Call Out Activities'!$B:$B,CPY!B135)) *24,1)</f>
        <v>0</v>
      </c>
      <c r="Z135" s="63">
        <f>ROUNDUP((SUMIFS('ON Call_Call Out Activities'!$M:$M,'ON Call_Call Out Activities'!$F:$F,"Non_workdays",'ON Call_Call Out Activities'!$B:$B,CPY!B135)),1) + ROUNDUP((SUMIFS('ON Call_Call Out Activities'!$M:$M,'ON Call_Call Out Activities'!$F:$F,"Workdays",'ON Call_Call Out Activities'!$B:$B,CPY!B135)),1)</f>
        <v>0</v>
      </c>
      <c r="AA135" s="66"/>
      <c r="AB135" s="64">
        <f>ROUNDUP((SUMIFS('ON Call_Call Out Activities'!$L:$L,'ON Call_Call Out Activities'!$F:$F,"Call_Out",'ON Call_Call Out Activities'!$B:$B,CPY!B135)) *24,1)</f>
        <v>0</v>
      </c>
      <c r="AC135" s="63">
        <f>ROUNDUP((SUMIFS('ON Call_Call Out Activities'!$M:$M,'ON Call_Call Out Activities'!$F:$F,"Call_Out",'ON Call_Call Out Activities'!$B:$B,CPY!B135)),1)</f>
        <v>0</v>
      </c>
      <c r="AE135" s="65">
        <f>IF((SUMIF(Shift_allowance_Entries!$B:$B,CPY!$B135,Shift_allowance_Entries!$H:$H)) &gt; (SUMIF(Shift_allowance_Entries!$B:$B,CPY!$B135,Shift_allowance_Entries!$G:$G)),0,((SUMIF(Shift_allowance_Entries!$B:$B,CPY!$B135,Shift_allowance_Entries!$G:$G))-(SUMIF(Shift_allowance_Entries!$B:$B,CPY!$B135,Shift_allowance_Entries!$H:$H))))</f>
        <v>0</v>
      </c>
      <c r="AF135" s="63">
        <f>AE135*MD!$S$4</f>
        <v>0</v>
      </c>
    </row>
    <row r="136" spans="1:32" x14ac:dyDescent="0.25">
      <c r="A136" s="62">
        <v>134</v>
      </c>
      <c r="B136" s="62"/>
      <c r="C136" s="50" t="str">
        <f>IF(ISNA(VLOOKUP($B136,Summary!$B:$D,2,FALSE))=TRUE," ",VLOOKUP($B136,Summary!$B:$D,2,FALSE))</f>
        <v> </v>
      </c>
      <c r="D136" s="50" t="str">
        <f>IF(ISNA(VLOOKUP($B136,Summary!$B:$D,3,FALSE))=TRUE," ",VLOOKUP($B136,Summary!$B:$D,3,FALSE))</f>
        <v> </v>
      </c>
      <c r="E136" s="62"/>
      <c r="F136" s="62"/>
      <c r="G136" s="62"/>
      <c r="I136" s="63">
        <f t="shared" si="2"/>
        <v>0</v>
      </c>
      <c r="K136" s="64">
        <f>IF(E136="Support(L1_L2)",IF(NOT(ISBLANK(B136)),IF(NOT(ISBLANK(D136)),NETWORKDAYS('CPY TOC'!$F$5,'CPY TOC'!$G$5))))-L136</f>
        <v>0</v>
      </c>
      <c r="L136" s="64">
        <f>IF(E136="Support(L1_L2)",SUMIFS(Support_allowance_Entries!$G:$G,Support_allowance_Entries!$B:$B,CPY!B136),0)</f>
        <v>0</v>
      </c>
      <c r="M136" s="63" t="b">
        <f>IF($D136="D0",MD!$C$4*(K136),IF($D136="D1",MD!$C$5*(K136),IF($D136="D2",MD!$C$6*(K136),IF($D136="D3",MD!$C$7*(K136),IF($D136="D4",MD!$C$8*(K136),IF($D136="D5",MD!$C$9*(K136),IF($D136="M1",MD!$C$10*(K136),IF($D136="T1",MD!$C$11*(K136)))))))))</f>
        <v>0</v>
      </c>
      <c r="O136" s="65">
        <f>SUMIFS(Shift_allowance_Entries!$G:$G,Shift_allowance_Entries!$F:$F,"6:30AM-03:30PM",Shift_allowance_Entries!$B:$B,CPY!$B136)</f>
        <v>0</v>
      </c>
      <c r="P136" s="65">
        <f>SUMIFS(Shift_allowance_Entries!$G:$G,Shift_allowance_Entries!$F:$F,"1-9PM/2:30PM-11:30PM",Shift_allowance_Entries!$B:$B,CPY!$B136)</f>
        <v>0</v>
      </c>
      <c r="Q136" s="65">
        <f>SUMIFS(Shift_allowance_Entries!$G:$G,Shift_allowance_Entries!$F:$F,"11PM-7AM",Shift_allowance_Entries!$B:$B,CPY!$B136)</f>
        <v>0</v>
      </c>
      <c r="R136" s="63">
        <f>(CPY!O136*MD!$F$4)+(CPY!P136*MD!$F$5)+(CPY!Q136*MD!$F$6)</f>
        <v>0</v>
      </c>
      <c r="T136" s="64">
        <f>ROUNDUP((SUMIFS('OOH Activities'!$K:$K,'OOH Activities'!$F:$F,"Non_workdays",'OOH Activities'!$B:$B,CPY!B136)) *24,1)</f>
        <v>0</v>
      </c>
      <c r="U136" s="64">
        <f>ROUNDUP((SUMIFS('OOH Activities'!$K:$K,'OOH Activities'!$F:$F,"Workdays",'OOH Activities'!$B:$B,CPY!B136)) *24,1)</f>
        <v>0</v>
      </c>
      <c r="V136" s="63">
        <f>ROUNDUP((SUMIFS('OOH Activities'!$L:$L,'OOH Activities'!$B:$B,CPY!B136)),1)</f>
        <v>0</v>
      </c>
      <c r="X136" s="65">
        <f>ROUNDUP((SUMIFS('ON Call_Call Out Activities'!$L:$L,'ON Call_Call Out Activities'!$F:$F,"Workdays",'ON Call_Call Out Activities'!$B:$B,CPY!B136))*24,1)</f>
        <v>0</v>
      </c>
      <c r="Y136" s="64">
        <f>ROUNDUP((SUMIFS('ON Call_Call Out Activities'!$L:$L,'ON Call_Call Out Activities'!$F:$F,"Non_workdays",'ON Call_Call Out Activities'!$B:$B,CPY!B136)) *24,1)</f>
        <v>0</v>
      </c>
      <c r="Z136" s="63">
        <f>ROUNDUP((SUMIFS('ON Call_Call Out Activities'!$M:$M,'ON Call_Call Out Activities'!$F:$F,"Non_workdays",'ON Call_Call Out Activities'!$B:$B,CPY!B136)),1) + ROUNDUP((SUMIFS('ON Call_Call Out Activities'!$M:$M,'ON Call_Call Out Activities'!$F:$F,"Workdays",'ON Call_Call Out Activities'!$B:$B,CPY!B136)),1)</f>
        <v>0</v>
      </c>
      <c r="AA136" s="66"/>
      <c r="AB136" s="64">
        <f>ROUNDUP((SUMIFS('ON Call_Call Out Activities'!$L:$L,'ON Call_Call Out Activities'!$F:$F,"Call_Out",'ON Call_Call Out Activities'!$B:$B,CPY!B136)) *24,1)</f>
        <v>0</v>
      </c>
      <c r="AC136" s="63">
        <f>ROUNDUP((SUMIFS('ON Call_Call Out Activities'!$M:$M,'ON Call_Call Out Activities'!$F:$F,"Call_Out",'ON Call_Call Out Activities'!$B:$B,CPY!B136)),1)</f>
        <v>0</v>
      </c>
      <c r="AE136" s="65">
        <f>IF((SUMIF(Shift_allowance_Entries!$B:$B,CPY!$B136,Shift_allowance_Entries!$H:$H)) &gt; (SUMIF(Shift_allowance_Entries!$B:$B,CPY!$B136,Shift_allowance_Entries!$G:$G)),0,((SUMIF(Shift_allowance_Entries!$B:$B,CPY!$B136,Shift_allowance_Entries!$G:$G))-(SUMIF(Shift_allowance_Entries!$B:$B,CPY!$B136,Shift_allowance_Entries!$H:$H))))</f>
        <v>0</v>
      </c>
      <c r="AF136" s="63">
        <f>AE136*MD!$S$4</f>
        <v>0</v>
      </c>
    </row>
    <row r="137" spans="1:32" x14ac:dyDescent="0.25">
      <c r="A137" s="62">
        <v>135</v>
      </c>
      <c r="B137" s="62"/>
      <c r="C137" s="50" t="str">
        <f>IF(ISNA(VLOOKUP($B137,Summary!$B:$D,2,FALSE))=TRUE," ",VLOOKUP($B137,Summary!$B:$D,2,FALSE))</f>
        <v> </v>
      </c>
      <c r="D137" s="50" t="str">
        <f>IF(ISNA(VLOOKUP($B137,Summary!$B:$D,3,FALSE))=TRUE," ",VLOOKUP($B137,Summary!$B:$D,3,FALSE))</f>
        <v> </v>
      </c>
      <c r="E137" s="62"/>
      <c r="F137" s="62"/>
      <c r="G137" s="62"/>
      <c r="I137" s="63">
        <f t="shared" si="2"/>
        <v>0</v>
      </c>
      <c r="K137" s="64">
        <f>IF(E137="Support(L1_L2)",IF(NOT(ISBLANK(B137)),IF(NOT(ISBLANK(D137)),NETWORKDAYS('CPY TOC'!$F$5,'CPY TOC'!$G$5))))-L137</f>
        <v>0</v>
      </c>
      <c r="L137" s="64">
        <f>IF(E137="Support(L1_L2)",SUMIFS(Support_allowance_Entries!$G:$G,Support_allowance_Entries!$B:$B,CPY!B137),0)</f>
        <v>0</v>
      </c>
      <c r="M137" s="63" t="b">
        <f>IF($D137="D0",MD!$C$4*(K137),IF($D137="D1",MD!$C$5*(K137),IF($D137="D2",MD!$C$6*(K137),IF($D137="D3",MD!$C$7*(K137),IF($D137="D4",MD!$C$8*(K137),IF($D137="D5",MD!$C$9*(K137),IF($D137="M1",MD!$C$10*(K137),IF($D137="T1",MD!$C$11*(K137)))))))))</f>
        <v>0</v>
      </c>
      <c r="O137" s="65">
        <f>SUMIFS(Shift_allowance_Entries!$G:$G,Shift_allowance_Entries!$F:$F,"6:30AM-03:30PM",Shift_allowance_Entries!$B:$B,CPY!$B137)</f>
        <v>0</v>
      </c>
      <c r="P137" s="65">
        <f>SUMIFS(Shift_allowance_Entries!$G:$G,Shift_allowance_Entries!$F:$F,"1-9PM/2:30PM-11:30PM",Shift_allowance_Entries!$B:$B,CPY!$B137)</f>
        <v>0</v>
      </c>
      <c r="Q137" s="65">
        <f>SUMIFS(Shift_allowance_Entries!$G:$G,Shift_allowance_Entries!$F:$F,"11PM-7AM",Shift_allowance_Entries!$B:$B,CPY!$B137)</f>
        <v>0</v>
      </c>
      <c r="R137" s="63">
        <f>(CPY!O137*MD!$F$4)+(CPY!P137*MD!$F$5)+(CPY!Q137*MD!$F$6)</f>
        <v>0</v>
      </c>
      <c r="T137" s="64">
        <f>ROUNDUP((SUMIFS('OOH Activities'!$K:$K,'OOH Activities'!$F:$F,"Non_workdays",'OOH Activities'!$B:$B,CPY!B137)) *24,1)</f>
        <v>0</v>
      </c>
      <c r="U137" s="64">
        <f>ROUNDUP((SUMIFS('OOH Activities'!$K:$K,'OOH Activities'!$F:$F,"Workdays",'OOH Activities'!$B:$B,CPY!B137)) *24,1)</f>
        <v>0</v>
      </c>
      <c r="V137" s="63">
        <f>ROUNDUP((SUMIFS('OOH Activities'!$L:$L,'OOH Activities'!$B:$B,CPY!B137)),1)</f>
        <v>0</v>
      </c>
      <c r="X137" s="65">
        <f>ROUNDUP((SUMIFS('ON Call_Call Out Activities'!$L:$L,'ON Call_Call Out Activities'!$F:$F,"Workdays",'ON Call_Call Out Activities'!$B:$B,CPY!B137))*24,1)</f>
        <v>0</v>
      </c>
      <c r="Y137" s="64">
        <f>ROUNDUP((SUMIFS('ON Call_Call Out Activities'!$L:$L,'ON Call_Call Out Activities'!$F:$F,"Non_workdays",'ON Call_Call Out Activities'!$B:$B,CPY!B137)) *24,1)</f>
        <v>0</v>
      </c>
      <c r="Z137" s="63">
        <f>ROUNDUP((SUMIFS('ON Call_Call Out Activities'!$M:$M,'ON Call_Call Out Activities'!$F:$F,"Non_workdays",'ON Call_Call Out Activities'!$B:$B,CPY!B137)),1) + ROUNDUP((SUMIFS('ON Call_Call Out Activities'!$M:$M,'ON Call_Call Out Activities'!$F:$F,"Workdays",'ON Call_Call Out Activities'!$B:$B,CPY!B137)),1)</f>
        <v>0</v>
      </c>
      <c r="AA137" s="66"/>
      <c r="AB137" s="64">
        <f>ROUNDUP((SUMIFS('ON Call_Call Out Activities'!$L:$L,'ON Call_Call Out Activities'!$F:$F,"Call_Out",'ON Call_Call Out Activities'!$B:$B,CPY!B137)) *24,1)</f>
        <v>0</v>
      </c>
      <c r="AC137" s="63">
        <f>ROUNDUP((SUMIFS('ON Call_Call Out Activities'!$M:$M,'ON Call_Call Out Activities'!$F:$F,"Call_Out",'ON Call_Call Out Activities'!$B:$B,CPY!B137)),1)</f>
        <v>0</v>
      </c>
      <c r="AE137" s="65">
        <f>IF((SUMIF(Shift_allowance_Entries!$B:$B,CPY!$B137,Shift_allowance_Entries!$H:$H)) &gt; (SUMIF(Shift_allowance_Entries!$B:$B,CPY!$B137,Shift_allowance_Entries!$G:$G)),0,((SUMIF(Shift_allowance_Entries!$B:$B,CPY!$B137,Shift_allowance_Entries!$G:$G))-(SUMIF(Shift_allowance_Entries!$B:$B,CPY!$B137,Shift_allowance_Entries!$H:$H))))</f>
        <v>0</v>
      </c>
      <c r="AF137" s="63">
        <f>AE137*MD!$S$4</f>
        <v>0</v>
      </c>
    </row>
    <row r="138" spans="1:32" x14ac:dyDescent="0.25">
      <c r="A138" s="62">
        <v>136</v>
      </c>
      <c r="B138" s="62"/>
      <c r="C138" s="50" t="str">
        <f>IF(ISNA(VLOOKUP($B138,Summary!$B:$D,2,FALSE))=TRUE," ",VLOOKUP($B138,Summary!$B:$D,2,FALSE))</f>
        <v> </v>
      </c>
      <c r="D138" s="50" t="str">
        <f>IF(ISNA(VLOOKUP($B138,Summary!$B:$D,3,FALSE))=TRUE," ",VLOOKUP($B138,Summary!$B:$D,3,FALSE))</f>
        <v> </v>
      </c>
      <c r="E138" s="62"/>
      <c r="F138" s="62"/>
      <c r="G138" s="62"/>
      <c r="I138" s="63">
        <f t="shared" si="2"/>
        <v>0</v>
      </c>
      <c r="K138" s="64">
        <f>IF(E138="Support(L1_L2)",IF(NOT(ISBLANK(B138)),IF(NOT(ISBLANK(D138)),NETWORKDAYS('CPY TOC'!$F$5,'CPY TOC'!$G$5))))-L138</f>
        <v>0</v>
      </c>
      <c r="L138" s="64">
        <f>IF(E138="Support(L1_L2)",SUMIFS(Support_allowance_Entries!$G:$G,Support_allowance_Entries!$B:$B,CPY!B138),0)</f>
        <v>0</v>
      </c>
      <c r="M138" s="63" t="b">
        <f>IF($D138="D0",MD!$C$4*(K138),IF($D138="D1",MD!$C$5*(K138),IF($D138="D2",MD!$C$6*(K138),IF($D138="D3",MD!$C$7*(K138),IF($D138="D4",MD!$C$8*(K138),IF($D138="D5",MD!$C$9*(K138),IF($D138="M1",MD!$C$10*(K138),IF($D138="T1",MD!$C$11*(K138)))))))))</f>
        <v>0</v>
      </c>
      <c r="O138" s="65">
        <f>SUMIFS(Shift_allowance_Entries!$G:$G,Shift_allowance_Entries!$F:$F,"6:30AM-03:30PM",Shift_allowance_Entries!$B:$B,CPY!$B138)</f>
        <v>0</v>
      </c>
      <c r="P138" s="65">
        <f>SUMIFS(Shift_allowance_Entries!$G:$G,Shift_allowance_Entries!$F:$F,"1-9PM/2:30PM-11:30PM",Shift_allowance_Entries!$B:$B,CPY!$B138)</f>
        <v>0</v>
      </c>
      <c r="Q138" s="65">
        <f>SUMIFS(Shift_allowance_Entries!$G:$G,Shift_allowance_Entries!$F:$F,"11PM-7AM",Shift_allowance_Entries!$B:$B,CPY!$B138)</f>
        <v>0</v>
      </c>
      <c r="R138" s="63">
        <f>(CPY!O138*MD!$F$4)+(CPY!P138*MD!$F$5)+(CPY!Q138*MD!$F$6)</f>
        <v>0</v>
      </c>
      <c r="T138" s="64">
        <f>ROUNDUP((SUMIFS('OOH Activities'!$K:$K,'OOH Activities'!$F:$F,"Non_workdays",'OOH Activities'!$B:$B,CPY!B138)) *24,1)</f>
        <v>0</v>
      </c>
      <c r="U138" s="64">
        <f>ROUNDUP((SUMIFS('OOH Activities'!$K:$K,'OOH Activities'!$F:$F,"Workdays",'OOH Activities'!$B:$B,CPY!B138)) *24,1)</f>
        <v>0</v>
      </c>
      <c r="V138" s="63">
        <f>ROUNDUP((SUMIFS('OOH Activities'!$L:$L,'OOH Activities'!$B:$B,CPY!B138)),1)</f>
        <v>0</v>
      </c>
      <c r="X138" s="65">
        <f>ROUNDUP((SUMIFS('ON Call_Call Out Activities'!$L:$L,'ON Call_Call Out Activities'!$F:$F,"Workdays",'ON Call_Call Out Activities'!$B:$B,CPY!B138))*24,1)</f>
        <v>0</v>
      </c>
      <c r="Y138" s="64">
        <f>ROUNDUP((SUMIFS('ON Call_Call Out Activities'!$L:$L,'ON Call_Call Out Activities'!$F:$F,"Non_workdays",'ON Call_Call Out Activities'!$B:$B,CPY!B138)) *24,1)</f>
        <v>0</v>
      </c>
      <c r="Z138" s="63">
        <f>ROUNDUP((SUMIFS('ON Call_Call Out Activities'!$M:$M,'ON Call_Call Out Activities'!$F:$F,"Non_workdays",'ON Call_Call Out Activities'!$B:$B,CPY!B138)),1) + ROUNDUP((SUMIFS('ON Call_Call Out Activities'!$M:$M,'ON Call_Call Out Activities'!$F:$F,"Workdays",'ON Call_Call Out Activities'!$B:$B,CPY!B138)),1)</f>
        <v>0</v>
      </c>
      <c r="AA138" s="66"/>
      <c r="AB138" s="64">
        <f>ROUNDUP((SUMIFS('ON Call_Call Out Activities'!$L:$L,'ON Call_Call Out Activities'!$F:$F,"Call_Out",'ON Call_Call Out Activities'!$B:$B,CPY!B138)) *24,1)</f>
        <v>0</v>
      </c>
      <c r="AC138" s="63">
        <f>ROUNDUP((SUMIFS('ON Call_Call Out Activities'!$M:$M,'ON Call_Call Out Activities'!$F:$F,"Call_Out",'ON Call_Call Out Activities'!$B:$B,CPY!B138)),1)</f>
        <v>0</v>
      </c>
      <c r="AE138" s="65">
        <f>IF((SUMIF(Shift_allowance_Entries!$B:$B,CPY!$B138,Shift_allowance_Entries!$H:$H)) &gt; (SUMIF(Shift_allowance_Entries!$B:$B,CPY!$B138,Shift_allowance_Entries!$G:$G)),0,((SUMIF(Shift_allowance_Entries!$B:$B,CPY!$B138,Shift_allowance_Entries!$G:$G))-(SUMIF(Shift_allowance_Entries!$B:$B,CPY!$B138,Shift_allowance_Entries!$H:$H))))</f>
        <v>0</v>
      </c>
      <c r="AF138" s="63">
        <f>AE138*MD!$S$4</f>
        <v>0</v>
      </c>
    </row>
    <row r="139" spans="1:32" x14ac:dyDescent="0.25">
      <c r="A139" s="62">
        <v>137</v>
      </c>
      <c r="B139" s="62"/>
      <c r="C139" s="50" t="str">
        <f>IF(ISNA(VLOOKUP($B139,Summary!$B:$D,2,FALSE))=TRUE," ",VLOOKUP($B139,Summary!$B:$D,2,FALSE))</f>
        <v> </v>
      </c>
      <c r="D139" s="50" t="str">
        <f>IF(ISNA(VLOOKUP($B139,Summary!$B:$D,3,FALSE))=TRUE," ",VLOOKUP($B139,Summary!$B:$D,3,FALSE))</f>
        <v> </v>
      </c>
      <c r="E139" s="62"/>
      <c r="F139" s="62"/>
      <c r="G139" s="62"/>
      <c r="I139" s="63">
        <f t="shared" si="2"/>
        <v>0</v>
      </c>
      <c r="K139" s="64">
        <f>IF(E139="Support(L1_L2)",IF(NOT(ISBLANK(B139)),IF(NOT(ISBLANK(D139)),NETWORKDAYS('CPY TOC'!$F$5,'CPY TOC'!$G$5))))-L139</f>
        <v>0</v>
      </c>
      <c r="L139" s="64">
        <f>IF(E139="Support(L1_L2)",SUMIFS(Support_allowance_Entries!$G:$G,Support_allowance_Entries!$B:$B,CPY!B139),0)</f>
        <v>0</v>
      </c>
      <c r="M139" s="63" t="b">
        <f>IF($D139="D0",MD!$C$4*(K139),IF($D139="D1",MD!$C$5*(K139),IF($D139="D2",MD!$C$6*(K139),IF($D139="D3",MD!$C$7*(K139),IF($D139="D4",MD!$C$8*(K139),IF($D139="D5",MD!$C$9*(K139),IF($D139="M1",MD!$C$10*(K139),IF($D139="T1",MD!$C$11*(K139)))))))))</f>
        <v>0</v>
      </c>
      <c r="O139" s="65">
        <f>SUMIFS(Shift_allowance_Entries!$G:$G,Shift_allowance_Entries!$F:$F,"6:30AM-03:30PM",Shift_allowance_Entries!$B:$B,CPY!$B139)</f>
        <v>0</v>
      </c>
      <c r="P139" s="65">
        <f>SUMIFS(Shift_allowance_Entries!$G:$G,Shift_allowance_Entries!$F:$F,"1-9PM/2:30PM-11:30PM",Shift_allowance_Entries!$B:$B,CPY!$B139)</f>
        <v>0</v>
      </c>
      <c r="Q139" s="65">
        <f>SUMIFS(Shift_allowance_Entries!$G:$G,Shift_allowance_Entries!$F:$F,"11PM-7AM",Shift_allowance_Entries!$B:$B,CPY!$B139)</f>
        <v>0</v>
      </c>
      <c r="R139" s="63">
        <f>(CPY!O139*MD!$F$4)+(CPY!P139*MD!$F$5)+(CPY!Q139*MD!$F$6)</f>
        <v>0</v>
      </c>
      <c r="T139" s="64">
        <f>ROUNDUP((SUMIFS('OOH Activities'!$K:$K,'OOH Activities'!$F:$F,"Non_workdays",'OOH Activities'!$B:$B,CPY!B139)) *24,1)</f>
        <v>0</v>
      </c>
      <c r="U139" s="64">
        <f>ROUNDUP((SUMIFS('OOH Activities'!$K:$K,'OOH Activities'!$F:$F,"Workdays",'OOH Activities'!$B:$B,CPY!B139)) *24,1)</f>
        <v>0</v>
      </c>
      <c r="V139" s="63">
        <f>ROUNDUP((SUMIFS('OOH Activities'!$L:$L,'OOH Activities'!$B:$B,CPY!B139)),1)</f>
        <v>0</v>
      </c>
      <c r="X139" s="65">
        <f>ROUNDUP((SUMIFS('ON Call_Call Out Activities'!$L:$L,'ON Call_Call Out Activities'!$F:$F,"Workdays",'ON Call_Call Out Activities'!$B:$B,CPY!B139))*24,1)</f>
        <v>0</v>
      </c>
      <c r="Y139" s="64">
        <f>ROUNDUP((SUMIFS('ON Call_Call Out Activities'!$L:$L,'ON Call_Call Out Activities'!$F:$F,"Non_workdays",'ON Call_Call Out Activities'!$B:$B,CPY!B139)) *24,1)</f>
        <v>0</v>
      </c>
      <c r="Z139" s="63">
        <f>ROUNDUP((SUMIFS('ON Call_Call Out Activities'!$M:$M,'ON Call_Call Out Activities'!$F:$F,"Non_workdays",'ON Call_Call Out Activities'!$B:$B,CPY!B139)),1) + ROUNDUP((SUMIFS('ON Call_Call Out Activities'!$M:$M,'ON Call_Call Out Activities'!$F:$F,"Workdays",'ON Call_Call Out Activities'!$B:$B,CPY!B139)),1)</f>
        <v>0</v>
      </c>
      <c r="AA139" s="66"/>
      <c r="AB139" s="64">
        <f>ROUNDUP((SUMIFS('ON Call_Call Out Activities'!$L:$L,'ON Call_Call Out Activities'!$F:$F,"Call_Out",'ON Call_Call Out Activities'!$B:$B,CPY!B139)) *24,1)</f>
        <v>0</v>
      </c>
      <c r="AC139" s="63">
        <f>ROUNDUP((SUMIFS('ON Call_Call Out Activities'!$M:$M,'ON Call_Call Out Activities'!$F:$F,"Call_Out",'ON Call_Call Out Activities'!$B:$B,CPY!B139)),1)</f>
        <v>0</v>
      </c>
      <c r="AE139" s="65">
        <f>IF((SUMIF(Shift_allowance_Entries!$B:$B,CPY!$B139,Shift_allowance_Entries!$H:$H)) &gt; (SUMIF(Shift_allowance_Entries!$B:$B,CPY!$B139,Shift_allowance_Entries!$G:$G)),0,((SUMIF(Shift_allowance_Entries!$B:$B,CPY!$B139,Shift_allowance_Entries!$G:$G))-(SUMIF(Shift_allowance_Entries!$B:$B,CPY!$B139,Shift_allowance_Entries!$H:$H))))</f>
        <v>0</v>
      </c>
      <c r="AF139" s="63">
        <f>AE139*MD!$S$4</f>
        <v>0</v>
      </c>
    </row>
    <row r="140" spans="1:32" x14ac:dyDescent="0.25">
      <c r="A140" s="62">
        <v>138</v>
      </c>
      <c r="B140" s="62"/>
      <c r="C140" s="50" t="str">
        <f>IF(ISNA(VLOOKUP($B140,Summary!$B:$D,2,FALSE))=TRUE," ",VLOOKUP($B140,Summary!$B:$D,2,FALSE))</f>
        <v> </v>
      </c>
      <c r="D140" s="50" t="str">
        <f>IF(ISNA(VLOOKUP($B140,Summary!$B:$D,3,FALSE))=TRUE," ",VLOOKUP($B140,Summary!$B:$D,3,FALSE))</f>
        <v> </v>
      </c>
      <c r="E140" s="62"/>
      <c r="F140" s="62"/>
      <c r="G140" s="62"/>
      <c r="I140" s="63">
        <f t="shared" si="2"/>
        <v>0</v>
      </c>
      <c r="K140" s="64">
        <f>IF(E140="Support(L1_L2)",IF(NOT(ISBLANK(B140)),IF(NOT(ISBLANK(D140)),NETWORKDAYS('CPY TOC'!$F$5,'CPY TOC'!$G$5))))-L140</f>
        <v>0</v>
      </c>
      <c r="L140" s="64">
        <f>IF(E140="Support(L1_L2)",SUMIFS(Support_allowance_Entries!$G:$G,Support_allowance_Entries!$B:$B,CPY!B140),0)</f>
        <v>0</v>
      </c>
      <c r="M140" s="63" t="b">
        <f>IF($D140="D0",MD!$C$4*(K140),IF($D140="D1",MD!$C$5*(K140),IF($D140="D2",MD!$C$6*(K140),IF($D140="D3",MD!$C$7*(K140),IF($D140="D4",MD!$C$8*(K140),IF($D140="D5",MD!$C$9*(K140),IF($D140="M1",MD!$C$10*(K140),IF($D140="T1",MD!$C$11*(K140)))))))))</f>
        <v>0</v>
      </c>
      <c r="O140" s="65">
        <f>SUMIFS(Shift_allowance_Entries!$G:$G,Shift_allowance_Entries!$F:$F,"6:30AM-03:30PM",Shift_allowance_Entries!$B:$B,CPY!$B140)</f>
        <v>0</v>
      </c>
      <c r="P140" s="65">
        <f>SUMIFS(Shift_allowance_Entries!$G:$G,Shift_allowance_Entries!$F:$F,"1-9PM/2:30PM-11:30PM",Shift_allowance_Entries!$B:$B,CPY!$B140)</f>
        <v>0</v>
      </c>
      <c r="Q140" s="65">
        <f>SUMIFS(Shift_allowance_Entries!$G:$G,Shift_allowance_Entries!$F:$F,"11PM-7AM",Shift_allowance_Entries!$B:$B,CPY!$B140)</f>
        <v>0</v>
      </c>
      <c r="R140" s="63">
        <f>(CPY!O140*MD!$F$4)+(CPY!P140*MD!$F$5)+(CPY!Q140*MD!$F$6)</f>
        <v>0</v>
      </c>
      <c r="T140" s="64">
        <f>ROUNDUP((SUMIFS('OOH Activities'!$K:$K,'OOH Activities'!$F:$F,"Non_workdays",'OOH Activities'!$B:$B,CPY!B140)) *24,1)</f>
        <v>0</v>
      </c>
      <c r="U140" s="64">
        <f>ROUNDUP((SUMIFS('OOH Activities'!$K:$K,'OOH Activities'!$F:$F,"Workdays",'OOH Activities'!$B:$B,CPY!B140)) *24,1)</f>
        <v>0</v>
      </c>
      <c r="V140" s="63">
        <f>ROUNDUP((SUMIFS('OOH Activities'!$L:$L,'OOH Activities'!$B:$B,CPY!B140)),1)</f>
        <v>0</v>
      </c>
      <c r="X140" s="65">
        <f>ROUNDUP((SUMIFS('ON Call_Call Out Activities'!$L:$L,'ON Call_Call Out Activities'!$F:$F,"Workdays",'ON Call_Call Out Activities'!$B:$B,CPY!B140))*24,1)</f>
        <v>0</v>
      </c>
      <c r="Y140" s="64">
        <f>ROUNDUP((SUMIFS('ON Call_Call Out Activities'!$L:$L,'ON Call_Call Out Activities'!$F:$F,"Non_workdays",'ON Call_Call Out Activities'!$B:$B,CPY!B140)) *24,1)</f>
        <v>0</v>
      </c>
      <c r="Z140" s="63">
        <f>ROUNDUP((SUMIFS('ON Call_Call Out Activities'!$M:$M,'ON Call_Call Out Activities'!$F:$F,"Non_workdays",'ON Call_Call Out Activities'!$B:$B,CPY!B140)),1) + ROUNDUP((SUMIFS('ON Call_Call Out Activities'!$M:$M,'ON Call_Call Out Activities'!$F:$F,"Workdays",'ON Call_Call Out Activities'!$B:$B,CPY!B140)),1)</f>
        <v>0</v>
      </c>
      <c r="AA140" s="66"/>
      <c r="AB140" s="64">
        <f>ROUNDUP((SUMIFS('ON Call_Call Out Activities'!$L:$L,'ON Call_Call Out Activities'!$F:$F,"Call_Out",'ON Call_Call Out Activities'!$B:$B,CPY!B140)) *24,1)</f>
        <v>0</v>
      </c>
      <c r="AC140" s="63">
        <f>ROUNDUP((SUMIFS('ON Call_Call Out Activities'!$M:$M,'ON Call_Call Out Activities'!$F:$F,"Call_Out",'ON Call_Call Out Activities'!$B:$B,CPY!B140)),1)</f>
        <v>0</v>
      </c>
      <c r="AE140" s="65">
        <f>IF((SUMIF(Shift_allowance_Entries!$B:$B,CPY!$B140,Shift_allowance_Entries!$H:$H)) &gt; (SUMIF(Shift_allowance_Entries!$B:$B,CPY!$B140,Shift_allowance_Entries!$G:$G)),0,((SUMIF(Shift_allowance_Entries!$B:$B,CPY!$B140,Shift_allowance_Entries!$G:$G))-(SUMIF(Shift_allowance_Entries!$B:$B,CPY!$B140,Shift_allowance_Entries!$H:$H))))</f>
        <v>0</v>
      </c>
      <c r="AF140" s="63">
        <f>AE140*MD!$S$4</f>
        <v>0</v>
      </c>
    </row>
    <row r="141" spans="1:32" x14ac:dyDescent="0.25">
      <c r="A141" s="62">
        <v>139</v>
      </c>
      <c r="B141" s="62"/>
      <c r="C141" s="50" t="str">
        <f>IF(ISNA(VLOOKUP($B141,Summary!$B:$D,2,FALSE))=TRUE," ",VLOOKUP($B141,Summary!$B:$D,2,FALSE))</f>
        <v> </v>
      </c>
      <c r="D141" s="50" t="str">
        <f>IF(ISNA(VLOOKUP($B141,Summary!$B:$D,3,FALSE))=TRUE," ",VLOOKUP($B141,Summary!$B:$D,3,FALSE))</f>
        <v> </v>
      </c>
      <c r="E141" s="62"/>
      <c r="F141" s="62"/>
      <c r="G141" s="62"/>
      <c r="I141" s="63">
        <f t="shared" si="2"/>
        <v>0</v>
      </c>
      <c r="K141" s="64">
        <f>IF(E141="Support(L1_L2)",IF(NOT(ISBLANK(B141)),IF(NOT(ISBLANK(D141)),NETWORKDAYS('CPY TOC'!$F$5,'CPY TOC'!$G$5))))-L141</f>
        <v>0</v>
      </c>
      <c r="L141" s="64">
        <f>IF(E141="Support(L1_L2)",SUMIFS(Support_allowance_Entries!$G:$G,Support_allowance_Entries!$B:$B,CPY!B141),0)</f>
        <v>0</v>
      </c>
      <c r="M141" s="63" t="b">
        <f>IF($D141="D0",MD!$C$4*(K141),IF($D141="D1",MD!$C$5*(K141),IF($D141="D2",MD!$C$6*(K141),IF($D141="D3",MD!$C$7*(K141),IF($D141="D4",MD!$C$8*(K141),IF($D141="D5",MD!$C$9*(K141),IF($D141="M1",MD!$C$10*(K141),IF($D141="T1",MD!$C$11*(K141)))))))))</f>
        <v>0</v>
      </c>
      <c r="O141" s="65">
        <f>SUMIFS(Shift_allowance_Entries!$G:$G,Shift_allowance_Entries!$F:$F,"6:30AM-03:30PM",Shift_allowance_Entries!$B:$B,CPY!$B141)</f>
        <v>0</v>
      </c>
      <c r="P141" s="65">
        <f>SUMIFS(Shift_allowance_Entries!$G:$G,Shift_allowance_Entries!$F:$F,"1-9PM/2:30PM-11:30PM",Shift_allowance_Entries!$B:$B,CPY!$B141)</f>
        <v>0</v>
      </c>
      <c r="Q141" s="65">
        <f>SUMIFS(Shift_allowance_Entries!$G:$G,Shift_allowance_Entries!$F:$F,"11PM-7AM",Shift_allowance_Entries!$B:$B,CPY!$B141)</f>
        <v>0</v>
      </c>
      <c r="R141" s="63">
        <f>(CPY!O141*MD!$F$4)+(CPY!P141*MD!$F$5)+(CPY!Q141*MD!$F$6)</f>
        <v>0</v>
      </c>
      <c r="T141" s="64">
        <f>ROUNDUP((SUMIFS('OOH Activities'!$K:$K,'OOH Activities'!$F:$F,"Non_workdays",'OOH Activities'!$B:$B,CPY!B141)) *24,1)</f>
        <v>0</v>
      </c>
      <c r="U141" s="64">
        <f>ROUNDUP((SUMIFS('OOH Activities'!$K:$K,'OOH Activities'!$F:$F,"Workdays",'OOH Activities'!$B:$B,CPY!B141)) *24,1)</f>
        <v>0</v>
      </c>
      <c r="V141" s="63">
        <f>ROUNDUP((SUMIFS('OOH Activities'!$L:$L,'OOH Activities'!$B:$B,CPY!B141)),1)</f>
        <v>0</v>
      </c>
      <c r="X141" s="65">
        <f>ROUNDUP((SUMIFS('ON Call_Call Out Activities'!$L:$L,'ON Call_Call Out Activities'!$F:$F,"Workdays",'ON Call_Call Out Activities'!$B:$B,CPY!B141))*24,1)</f>
        <v>0</v>
      </c>
      <c r="Y141" s="64">
        <f>ROUNDUP((SUMIFS('ON Call_Call Out Activities'!$L:$L,'ON Call_Call Out Activities'!$F:$F,"Non_workdays",'ON Call_Call Out Activities'!$B:$B,CPY!B141)) *24,1)</f>
        <v>0</v>
      </c>
      <c r="Z141" s="63">
        <f>ROUNDUP((SUMIFS('ON Call_Call Out Activities'!$M:$M,'ON Call_Call Out Activities'!$F:$F,"Non_workdays",'ON Call_Call Out Activities'!$B:$B,CPY!B141)),1) + ROUNDUP((SUMIFS('ON Call_Call Out Activities'!$M:$M,'ON Call_Call Out Activities'!$F:$F,"Workdays",'ON Call_Call Out Activities'!$B:$B,CPY!B141)),1)</f>
        <v>0</v>
      </c>
      <c r="AA141" s="66"/>
      <c r="AB141" s="64">
        <f>ROUNDUP((SUMIFS('ON Call_Call Out Activities'!$L:$L,'ON Call_Call Out Activities'!$F:$F,"Call_Out",'ON Call_Call Out Activities'!$B:$B,CPY!B141)) *24,1)</f>
        <v>0</v>
      </c>
      <c r="AC141" s="63">
        <f>ROUNDUP((SUMIFS('ON Call_Call Out Activities'!$M:$M,'ON Call_Call Out Activities'!$F:$F,"Call_Out",'ON Call_Call Out Activities'!$B:$B,CPY!B141)),1)</f>
        <v>0</v>
      </c>
      <c r="AE141" s="65">
        <f>IF((SUMIF(Shift_allowance_Entries!$B:$B,CPY!$B141,Shift_allowance_Entries!$H:$H)) &gt; (SUMIF(Shift_allowance_Entries!$B:$B,CPY!$B141,Shift_allowance_Entries!$G:$G)),0,((SUMIF(Shift_allowance_Entries!$B:$B,CPY!$B141,Shift_allowance_Entries!$G:$G))-(SUMIF(Shift_allowance_Entries!$B:$B,CPY!$B141,Shift_allowance_Entries!$H:$H))))</f>
        <v>0</v>
      </c>
      <c r="AF141" s="63">
        <f>AE141*MD!$S$4</f>
        <v>0</v>
      </c>
    </row>
    <row r="142" spans="1:32" x14ac:dyDescent="0.25">
      <c r="A142" s="62">
        <v>140</v>
      </c>
      <c r="B142" s="62"/>
      <c r="C142" s="50" t="str">
        <f>IF(ISNA(VLOOKUP($B142,Summary!$B:$D,2,FALSE))=TRUE," ",VLOOKUP($B142,Summary!$B:$D,2,FALSE))</f>
        <v> </v>
      </c>
      <c r="D142" s="50" t="str">
        <f>IF(ISNA(VLOOKUP($B142,Summary!$B:$D,3,FALSE))=TRUE," ",VLOOKUP($B142,Summary!$B:$D,3,FALSE))</f>
        <v> </v>
      </c>
      <c r="E142" s="62"/>
      <c r="F142" s="62"/>
      <c r="G142" s="62"/>
      <c r="I142" s="63">
        <f t="shared" si="2"/>
        <v>0</v>
      </c>
      <c r="K142" s="64">
        <f>IF(E142="Support(L1_L2)",IF(NOT(ISBLANK(B142)),IF(NOT(ISBLANK(D142)),NETWORKDAYS('CPY TOC'!$F$5,'CPY TOC'!$G$5))))-L142</f>
        <v>0</v>
      </c>
      <c r="L142" s="64">
        <f>IF(E142="Support(L1_L2)",SUMIFS(Support_allowance_Entries!$G:$G,Support_allowance_Entries!$B:$B,CPY!B142),0)</f>
        <v>0</v>
      </c>
      <c r="M142" s="63" t="b">
        <f>IF($D142="D0",MD!$C$4*(K142),IF($D142="D1",MD!$C$5*(K142),IF($D142="D2",MD!$C$6*(K142),IF($D142="D3",MD!$C$7*(K142),IF($D142="D4",MD!$C$8*(K142),IF($D142="D5",MD!$C$9*(K142),IF($D142="M1",MD!$C$10*(K142),IF($D142="T1",MD!$C$11*(K142)))))))))</f>
        <v>0</v>
      </c>
      <c r="O142" s="65">
        <f>SUMIFS(Shift_allowance_Entries!$G:$G,Shift_allowance_Entries!$F:$F,"6:30AM-03:30PM",Shift_allowance_Entries!$B:$B,CPY!$B142)</f>
        <v>0</v>
      </c>
      <c r="P142" s="65">
        <f>SUMIFS(Shift_allowance_Entries!$G:$G,Shift_allowance_Entries!$F:$F,"1-9PM/2:30PM-11:30PM",Shift_allowance_Entries!$B:$B,CPY!$B142)</f>
        <v>0</v>
      </c>
      <c r="Q142" s="65">
        <f>SUMIFS(Shift_allowance_Entries!$G:$G,Shift_allowance_Entries!$F:$F,"11PM-7AM",Shift_allowance_Entries!$B:$B,CPY!$B142)</f>
        <v>0</v>
      </c>
      <c r="R142" s="63">
        <f>(CPY!O142*MD!$F$4)+(CPY!P142*MD!$F$5)+(CPY!Q142*MD!$F$6)</f>
        <v>0</v>
      </c>
      <c r="T142" s="64">
        <f>ROUNDUP((SUMIFS('OOH Activities'!$K:$K,'OOH Activities'!$F:$F,"Non_workdays",'OOH Activities'!$B:$B,CPY!B142)) *24,1)</f>
        <v>0</v>
      </c>
      <c r="U142" s="64">
        <f>ROUNDUP((SUMIFS('OOH Activities'!$K:$K,'OOH Activities'!$F:$F,"Workdays",'OOH Activities'!$B:$B,CPY!B142)) *24,1)</f>
        <v>0</v>
      </c>
      <c r="V142" s="63">
        <f>ROUNDUP((SUMIFS('OOH Activities'!$L:$L,'OOH Activities'!$B:$B,CPY!B142)),1)</f>
        <v>0</v>
      </c>
      <c r="X142" s="65">
        <f>ROUNDUP((SUMIFS('ON Call_Call Out Activities'!$L:$L,'ON Call_Call Out Activities'!$F:$F,"Workdays",'ON Call_Call Out Activities'!$B:$B,CPY!B142))*24,1)</f>
        <v>0</v>
      </c>
      <c r="Y142" s="64">
        <f>ROUNDUP((SUMIFS('ON Call_Call Out Activities'!$L:$L,'ON Call_Call Out Activities'!$F:$F,"Non_workdays",'ON Call_Call Out Activities'!$B:$B,CPY!B142)) *24,1)</f>
        <v>0</v>
      </c>
      <c r="Z142" s="63">
        <f>ROUNDUP((SUMIFS('ON Call_Call Out Activities'!$M:$M,'ON Call_Call Out Activities'!$F:$F,"Non_workdays",'ON Call_Call Out Activities'!$B:$B,CPY!B142)),1) + ROUNDUP((SUMIFS('ON Call_Call Out Activities'!$M:$M,'ON Call_Call Out Activities'!$F:$F,"Workdays",'ON Call_Call Out Activities'!$B:$B,CPY!B142)),1)</f>
        <v>0</v>
      </c>
      <c r="AA142" s="66"/>
      <c r="AB142" s="64">
        <f>ROUNDUP((SUMIFS('ON Call_Call Out Activities'!$L:$L,'ON Call_Call Out Activities'!$F:$F,"Call_Out",'ON Call_Call Out Activities'!$B:$B,CPY!B142)) *24,1)</f>
        <v>0</v>
      </c>
      <c r="AC142" s="63">
        <f>ROUNDUP((SUMIFS('ON Call_Call Out Activities'!$M:$M,'ON Call_Call Out Activities'!$F:$F,"Call_Out",'ON Call_Call Out Activities'!$B:$B,CPY!B142)),1)</f>
        <v>0</v>
      </c>
      <c r="AE142" s="65">
        <f>IF((SUMIF(Shift_allowance_Entries!$B:$B,CPY!$B142,Shift_allowance_Entries!$H:$H)) &gt; (SUMIF(Shift_allowance_Entries!$B:$B,CPY!$B142,Shift_allowance_Entries!$G:$G)),0,((SUMIF(Shift_allowance_Entries!$B:$B,CPY!$B142,Shift_allowance_Entries!$G:$G))-(SUMIF(Shift_allowance_Entries!$B:$B,CPY!$B142,Shift_allowance_Entries!$H:$H))))</f>
        <v>0</v>
      </c>
      <c r="AF142" s="63">
        <f>AE142*MD!$S$4</f>
        <v>0</v>
      </c>
    </row>
    <row r="143" spans="1:32" x14ac:dyDescent="0.25">
      <c r="A143" s="62">
        <v>141</v>
      </c>
      <c r="B143" s="62"/>
      <c r="C143" s="50" t="str">
        <f>IF(ISNA(VLOOKUP($B143,Summary!$B:$D,2,FALSE))=TRUE," ",VLOOKUP($B143,Summary!$B:$D,2,FALSE))</f>
        <v> </v>
      </c>
      <c r="D143" s="50" t="str">
        <f>IF(ISNA(VLOOKUP($B143,Summary!$B:$D,3,FALSE))=TRUE," ",VLOOKUP($B143,Summary!$B:$D,3,FALSE))</f>
        <v> </v>
      </c>
      <c r="E143" s="62"/>
      <c r="F143" s="62"/>
      <c r="G143" s="62"/>
      <c r="I143" s="63">
        <f t="shared" si="2"/>
        <v>0</v>
      </c>
      <c r="K143" s="64">
        <f>IF(E143="Support(L1_L2)",IF(NOT(ISBLANK(B143)),IF(NOT(ISBLANK(D143)),NETWORKDAYS('CPY TOC'!$F$5,'CPY TOC'!$G$5))))-L143</f>
        <v>0</v>
      </c>
      <c r="L143" s="64">
        <f>IF(E143="Support(L1_L2)",SUMIFS(Support_allowance_Entries!$G:$G,Support_allowance_Entries!$B:$B,CPY!B143),0)</f>
        <v>0</v>
      </c>
      <c r="M143" s="63" t="b">
        <f>IF($D143="D0",MD!$C$4*(K143),IF($D143="D1",MD!$C$5*(K143),IF($D143="D2",MD!$C$6*(K143),IF($D143="D3",MD!$C$7*(K143),IF($D143="D4",MD!$C$8*(K143),IF($D143="D5",MD!$C$9*(K143),IF($D143="M1",MD!$C$10*(K143),IF($D143="T1",MD!$C$11*(K143)))))))))</f>
        <v>0</v>
      </c>
      <c r="O143" s="65">
        <f>SUMIFS(Shift_allowance_Entries!$G:$G,Shift_allowance_Entries!$F:$F,"6:30AM-03:30PM",Shift_allowance_Entries!$B:$B,CPY!$B143)</f>
        <v>0</v>
      </c>
      <c r="P143" s="65">
        <f>SUMIFS(Shift_allowance_Entries!$G:$G,Shift_allowance_Entries!$F:$F,"1-9PM/2:30PM-11:30PM",Shift_allowance_Entries!$B:$B,CPY!$B143)</f>
        <v>0</v>
      </c>
      <c r="Q143" s="65">
        <f>SUMIFS(Shift_allowance_Entries!$G:$G,Shift_allowance_Entries!$F:$F,"11PM-7AM",Shift_allowance_Entries!$B:$B,CPY!$B143)</f>
        <v>0</v>
      </c>
      <c r="R143" s="63">
        <f>(CPY!O143*MD!$F$4)+(CPY!P143*MD!$F$5)+(CPY!Q143*MD!$F$6)</f>
        <v>0</v>
      </c>
      <c r="T143" s="64">
        <f>ROUNDUP((SUMIFS('OOH Activities'!$K:$K,'OOH Activities'!$F:$F,"Non_workdays",'OOH Activities'!$B:$B,CPY!B143)) *24,1)</f>
        <v>0</v>
      </c>
      <c r="U143" s="64">
        <f>ROUNDUP((SUMIFS('OOH Activities'!$K:$K,'OOH Activities'!$F:$F,"Workdays",'OOH Activities'!$B:$B,CPY!B143)) *24,1)</f>
        <v>0</v>
      </c>
      <c r="V143" s="63">
        <f>ROUNDUP((SUMIFS('OOH Activities'!$L:$L,'OOH Activities'!$B:$B,CPY!B143)),1)</f>
        <v>0</v>
      </c>
      <c r="X143" s="65">
        <f>ROUNDUP((SUMIFS('ON Call_Call Out Activities'!$L:$L,'ON Call_Call Out Activities'!$F:$F,"Workdays",'ON Call_Call Out Activities'!$B:$B,CPY!B143))*24,1)</f>
        <v>0</v>
      </c>
      <c r="Y143" s="64">
        <f>ROUNDUP((SUMIFS('ON Call_Call Out Activities'!$L:$L,'ON Call_Call Out Activities'!$F:$F,"Non_workdays",'ON Call_Call Out Activities'!$B:$B,CPY!B143)) *24,1)</f>
        <v>0</v>
      </c>
      <c r="Z143" s="63">
        <f>ROUNDUP((SUMIFS('ON Call_Call Out Activities'!$M:$M,'ON Call_Call Out Activities'!$F:$F,"Non_workdays",'ON Call_Call Out Activities'!$B:$B,CPY!B143)),1) + ROUNDUP((SUMIFS('ON Call_Call Out Activities'!$M:$M,'ON Call_Call Out Activities'!$F:$F,"Workdays",'ON Call_Call Out Activities'!$B:$B,CPY!B143)),1)</f>
        <v>0</v>
      </c>
      <c r="AA143" s="66"/>
      <c r="AB143" s="64">
        <f>ROUNDUP((SUMIFS('ON Call_Call Out Activities'!$L:$L,'ON Call_Call Out Activities'!$F:$F,"Call_Out",'ON Call_Call Out Activities'!$B:$B,CPY!B143)) *24,1)</f>
        <v>0</v>
      </c>
      <c r="AC143" s="63">
        <f>ROUNDUP((SUMIFS('ON Call_Call Out Activities'!$M:$M,'ON Call_Call Out Activities'!$F:$F,"Call_Out",'ON Call_Call Out Activities'!$B:$B,CPY!B143)),1)</f>
        <v>0</v>
      </c>
      <c r="AE143" s="65">
        <f>IF((SUMIF(Shift_allowance_Entries!$B:$B,CPY!$B143,Shift_allowance_Entries!$H:$H)) &gt; (SUMIF(Shift_allowance_Entries!$B:$B,CPY!$B143,Shift_allowance_Entries!$G:$G)),0,((SUMIF(Shift_allowance_Entries!$B:$B,CPY!$B143,Shift_allowance_Entries!$G:$G))-(SUMIF(Shift_allowance_Entries!$B:$B,CPY!$B143,Shift_allowance_Entries!$H:$H))))</f>
        <v>0</v>
      </c>
      <c r="AF143" s="63">
        <f>AE143*MD!$S$4</f>
        <v>0</v>
      </c>
    </row>
    <row r="144" spans="1:32" x14ac:dyDescent="0.25">
      <c r="A144" s="62">
        <v>142</v>
      </c>
      <c r="B144" s="62"/>
      <c r="C144" s="50" t="str">
        <f>IF(ISNA(VLOOKUP($B144,Summary!$B:$D,2,FALSE))=TRUE," ",VLOOKUP($B144,Summary!$B:$D,2,FALSE))</f>
        <v> </v>
      </c>
      <c r="D144" s="50" t="str">
        <f>IF(ISNA(VLOOKUP($B144,Summary!$B:$D,3,FALSE))=TRUE," ",VLOOKUP($B144,Summary!$B:$D,3,FALSE))</f>
        <v> </v>
      </c>
      <c r="E144" s="62"/>
      <c r="F144" s="62"/>
      <c r="G144" s="62"/>
      <c r="I144" s="63">
        <f t="shared" si="2"/>
        <v>0</v>
      </c>
      <c r="K144" s="64">
        <f>IF(E144="Support(L1_L2)",IF(NOT(ISBLANK(B144)),IF(NOT(ISBLANK(D144)),NETWORKDAYS('CPY TOC'!$F$5,'CPY TOC'!$G$5))))-L144</f>
        <v>0</v>
      </c>
      <c r="L144" s="64">
        <f>IF(E144="Support(L1_L2)",SUMIFS(Support_allowance_Entries!$G:$G,Support_allowance_Entries!$B:$B,CPY!B144),0)</f>
        <v>0</v>
      </c>
      <c r="M144" s="63" t="b">
        <f>IF($D144="D0",MD!$C$4*(K144),IF($D144="D1",MD!$C$5*(K144),IF($D144="D2",MD!$C$6*(K144),IF($D144="D3",MD!$C$7*(K144),IF($D144="D4",MD!$C$8*(K144),IF($D144="D5",MD!$C$9*(K144),IF($D144="M1",MD!$C$10*(K144),IF($D144="T1",MD!$C$11*(K144)))))))))</f>
        <v>0</v>
      </c>
      <c r="O144" s="65">
        <f>SUMIFS(Shift_allowance_Entries!$G:$G,Shift_allowance_Entries!$F:$F,"6:30AM-03:30PM",Shift_allowance_Entries!$B:$B,CPY!$B144)</f>
        <v>0</v>
      </c>
      <c r="P144" s="65">
        <f>SUMIFS(Shift_allowance_Entries!$G:$G,Shift_allowance_Entries!$F:$F,"1-9PM/2:30PM-11:30PM",Shift_allowance_Entries!$B:$B,CPY!$B144)</f>
        <v>0</v>
      </c>
      <c r="Q144" s="65">
        <f>SUMIFS(Shift_allowance_Entries!$G:$G,Shift_allowance_Entries!$F:$F,"11PM-7AM",Shift_allowance_Entries!$B:$B,CPY!$B144)</f>
        <v>0</v>
      </c>
      <c r="R144" s="63">
        <f>(CPY!O144*MD!$F$4)+(CPY!P144*MD!$F$5)+(CPY!Q144*MD!$F$6)</f>
        <v>0</v>
      </c>
      <c r="T144" s="64">
        <f>ROUNDUP((SUMIFS('OOH Activities'!$K:$K,'OOH Activities'!$F:$F,"Non_workdays",'OOH Activities'!$B:$B,CPY!B144)) *24,1)</f>
        <v>0</v>
      </c>
      <c r="U144" s="64">
        <f>ROUNDUP((SUMIFS('OOH Activities'!$K:$K,'OOH Activities'!$F:$F,"Workdays",'OOH Activities'!$B:$B,CPY!B144)) *24,1)</f>
        <v>0</v>
      </c>
      <c r="V144" s="63">
        <f>ROUNDUP((SUMIFS('OOH Activities'!$L:$L,'OOH Activities'!$B:$B,CPY!B144)),1)</f>
        <v>0</v>
      </c>
      <c r="X144" s="65">
        <f>ROUNDUP((SUMIFS('ON Call_Call Out Activities'!$L:$L,'ON Call_Call Out Activities'!$F:$F,"Workdays",'ON Call_Call Out Activities'!$B:$B,CPY!B144))*24,1)</f>
        <v>0</v>
      </c>
      <c r="Y144" s="64">
        <f>ROUNDUP((SUMIFS('ON Call_Call Out Activities'!$L:$L,'ON Call_Call Out Activities'!$F:$F,"Non_workdays",'ON Call_Call Out Activities'!$B:$B,CPY!B144)) *24,1)</f>
        <v>0</v>
      </c>
      <c r="Z144" s="63">
        <f>ROUNDUP((SUMIFS('ON Call_Call Out Activities'!$M:$M,'ON Call_Call Out Activities'!$F:$F,"Non_workdays",'ON Call_Call Out Activities'!$B:$B,CPY!B144)),1) + ROUNDUP((SUMIFS('ON Call_Call Out Activities'!$M:$M,'ON Call_Call Out Activities'!$F:$F,"Workdays",'ON Call_Call Out Activities'!$B:$B,CPY!B144)),1)</f>
        <v>0</v>
      </c>
      <c r="AA144" s="66"/>
      <c r="AB144" s="64">
        <f>ROUNDUP((SUMIFS('ON Call_Call Out Activities'!$L:$L,'ON Call_Call Out Activities'!$F:$F,"Call_Out",'ON Call_Call Out Activities'!$B:$B,CPY!B144)) *24,1)</f>
        <v>0</v>
      </c>
      <c r="AC144" s="63">
        <f>ROUNDUP((SUMIFS('ON Call_Call Out Activities'!$M:$M,'ON Call_Call Out Activities'!$F:$F,"Call_Out",'ON Call_Call Out Activities'!$B:$B,CPY!B144)),1)</f>
        <v>0</v>
      </c>
      <c r="AE144" s="65">
        <f>IF((SUMIF(Shift_allowance_Entries!$B:$B,CPY!$B144,Shift_allowance_Entries!$H:$H)) &gt; (SUMIF(Shift_allowance_Entries!$B:$B,CPY!$B144,Shift_allowance_Entries!$G:$G)),0,((SUMIF(Shift_allowance_Entries!$B:$B,CPY!$B144,Shift_allowance_Entries!$G:$G))-(SUMIF(Shift_allowance_Entries!$B:$B,CPY!$B144,Shift_allowance_Entries!$H:$H))))</f>
        <v>0</v>
      </c>
      <c r="AF144" s="63">
        <f>AE144*MD!$S$4</f>
        <v>0</v>
      </c>
    </row>
    <row r="145" spans="1:32" x14ac:dyDescent="0.25">
      <c r="A145" s="62">
        <v>143</v>
      </c>
      <c r="B145" s="62"/>
      <c r="C145" s="50" t="str">
        <f>IF(ISNA(VLOOKUP($B145,Summary!$B:$D,2,FALSE))=TRUE," ",VLOOKUP($B145,Summary!$B:$D,2,FALSE))</f>
        <v> </v>
      </c>
      <c r="D145" s="50" t="str">
        <f>IF(ISNA(VLOOKUP($B145,Summary!$B:$D,3,FALSE))=TRUE," ",VLOOKUP($B145,Summary!$B:$D,3,FALSE))</f>
        <v> </v>
      </c>
      <c r="E145" s="62"/>
      <c r="F145" s="62"/>
      <c r="G145" s="62"/>
      <c r="I145" s="63">
        <f t="shared" si="2"/>
        <v>0</v>
      </c>
      <c r="K145" s="64">
        <f>IF(E145="Support(L1_L2)",IF(NOT(ISBLANK(B145)),IF(NOT(ISBLANK(D145)),NETWORKDAYS('CPY TOC'!$F$5,'CPY TOC'!$G$5))))-L145</f>
        <v>0</v>
      </c>
      <c r="L145" s="64">
        <f>IF(E145="Support(L1_L2)",SUMIFS(Support_allowance_Entries!$G:$G,Support_allowance_Entries!$B:$B,CPY!B145),0)</f>
        <v>0</v>
      </c>
      <c r="M145" s="63" t="b">
        <f>IF($D145="D0",MD!$C$4*(K145),IF($D145="D1",MD!$C$5*(K145),IF($D145="D2",MD!$C$6*(K145),IF($D145="D3",MD!$C$7*(K145),IF($D145="D4",MD!$C$8*(K145),IF($D145="D5",MD!$C$9*(K145),IF($D145="M1",MD!$C$10*(K145),IF($D145="T1",MD!$C$11*(K145)))))))))</f>
        <v>0</v>
      </c>
      <c r="O145" s="65">
        <f>SUMIFS(Shift_allowance_Entries!$G:$G,Shift_allowance_Entries!$F:$F,"6:30AM-03:30PM",Shift_allowance_Entries!$B:$B,CPY!$B145)</f>
        <v>0</v>
      </c>
      <c r="P145" s="65">
        <f>SUMIFS(Shift_allowance_Entries!$G:$G,Shift_allowance_Entries!$F:$F,"1-9PM/2:30PM-11:30PM",Shift_allowance_Entries!$B:$B,CPY!$B145)</f>
        <v>0</v>
      </c>
      <c r="Q145" s="65">
        <f>SUMIFS(Shift_allowance_Entries!$G:$G,Shift_allowance_Entries!$F:$F,"11PM-7AM",Shift_allowance_Entries!$B:$B,CPY!$B145)</f>
        <v>0</v>
      </c>
      <c r="R145" s="63">
        <f>(CPY!O145*MD!$F$4)+(CPY!P145*MD!$F$5)+(CPY!Q145*MD!$F$6)</f>
        <v>0</v>
      </c>
      <c r="T145" s="64">
        <f>ROUNDUP((SUMIFS('OOH Activities'!$K:$K,'OOH Activities'!$F:$F,"Non_workdays",'OOH Activities'!$B:$B,CPY!B145)) *24,1)</f>
        <v>0</v>
      </c>
      <c r="U145" s="64">
        <f>ROUNDUP((SUMIFS('OOH Activities'!$K:$K,'OOH Activities'!$F:$F,"Workdays",'OOH Activities'!$B:$B,CPY!B145)) *24,1)</f>
        <v>0</v>
      </c>
      <c r="V145" s="63">
        <f>ROUNDUP((SUMIFS('OOH Activities'!$L:$L,'OOH Activities'!$B:$B,CPY!B145)),1)</f>
        <v>0</v>
      </c>
      <c r="X145" s="65">
        <f>ROUNDUP((SUMIFS('ON Call_Call Out Activities'!$L:$L,'ON Call_Call Out Activities'!$F:$F,"Workdays",'ON Call_Call Out Activities'!$B:$B,CPY!B145))*24,1)</f>
        <v>0</v>
      </c>
      <c r="Y145" s="64">
        <f>ROUNDUP((SUMIFS('ON Call_Call Out Activities'!$L:$L,'ON Call_Call Out Activities'!$F:$F,"Non_workdays",'ON Call_Call Out Activities'!$B:$B,CPY!B145)) *24,1)</f>
        <v>0</v>
      </c>
      <c r="Z145" s="63">
        <f>ROUNDUP((SUMIFS('ON Call_Call Out Activities'!$M:$M,'ON Call_Call Out Activities'!$F:$F,"Non_workdays",'ON Call_Call Out Activities'!$B:$B,CPY!B145)),1) + ROUNDUP((SUMIFS('ON Call_Call Out Activities'!$M:$M,'ON Call_Call Out Activities'!$F:$F,"Workdays",'ON Call_Call Out Activities'!$B:$B,CPY!B145)),1)</f>
        <v>0</v>
      </c>
      <c r="AA145" s="66"/>
      <c r="AB145" s="64">
        <f>ROUNDUP((SUMIFS('ON Call_Call Out Activities'!$L:$L,'ON Call_Call Out Activities'!$F:$F,"Call_Out",'ON Call_Call Out Activities'!$B:$B,CPY!B145)) *24,1)</f>
        <v>0</v>
      </c>
      <c r="AC145" s="63">
        <f>ROUNDUP((SUMIFS('ON Call_Call Out Activities'!$M:$M,'ON Call_Call Out Activities'!$F:$F,"Call_Out",'ON Call_Call Out Activities'!$B:$B,CPY!B145)),1)</f>
        <v>0</v>
      </c>
      <c r="AE145" s="65">
        <f>IF((SUMIF(Shift_allowance_Entries!$B:$B,CPY!$B145,Shift_allowance_Entries!$H:$H)) &gt; (SUMIF(Shift_allowance_Entries!$B:$B,CPY!$B145,Shift_allowance_Entries!$G:$G)),0,((SUMIF(Shift_allowance_Entries!$B:$B,CPY!$B145,Shift_allowance_Entries!$G:$G))-(SUMIF(Shift_allowance_Entries!$B:$B,CPY!$B145,Shift_allowance_Entries!$H:$H))))</f>
        <v>0</v>
      </c>
      <c r="AF145" s="63">
        <f>AE145*MD!$S$4</f>
        <v>0</v>
      </c>
    </row>
    <row r="146" spans="1:32" x14ac:dyDescent="0.25">
      <c r="A146" s="62">
        <v>144</v>
      </c>
      <c r="B146" s="62"/>
      <c r="C146" s="50" t="str">
        <f>IF(ISNA(VLOOKUP($B146,Summary!$B:$D,2,FALSE))=TRUE," ",VLOOKUP($B146,Summary!$B:$D,2,FALSE))</f>
        <v> </v>
      </c>
      <c r="D146" s="50" t="str">
        <f>IF(ISNA(VLOOKUP($B146,Summary!$B:$D,3,FALSE))=TRUE," ",VLOOKUP($B146,Summary!$B:$D,3,FALSE))</f>
        <v> </v>
      </c>
      <c r="E146" s="62"/>
      <c r="F146" s="62"/>
      <c r="G146" s="62"/>
      <c r="I146" s="63">
        <f t="shared" si="2"/>
        <v>0</v>
      </c>
      <c r="K146" s="64">
        <f>IF(E146="Support(L1_L2)",IF(NOT(ISBLANK(B146)),IF(NOT(ISBLANK(D146)),NETWORKDAYS('CPY TOC'!$F$5,'CPY TOC'!$G$5))))-L146</f>
        <v>0</v>
      </c>
      <c r="L146" s="64">
        <f>IF(E146="Support(L1_L2)",SUMIFS(Support_allowance_Entries!$G:$G,Support_allowance_Entries!$B:$B,CPY!B146),0)</f>
        <v>0</v>
      </c>
      <c r="M146" s="63" t="b">
        <f>IF($D146="D0",MD!$C$4*(K146),IF($D146="D1",MD!$C$5*(K146),IF($D146="D2",MD!$C$6*(K146),IF($D146="D3",MD!$C$7*(K146),IF($D146="D4",MD!$C$8*(K146),IF($D146="D5",MD!$C$9*(K146),IF($D146="M1",MD!$C$10*(K146),IF($D146="T1",MD!$C$11*(K146)))))))))</f>
        <v>0</v>
      </c>
      <c r="O146" s="65">
        <f>SUMIFS(Shift_allowance_Entries!$G:$G,Shift_allowance_Entries!$F:$F,"6:30AM-03:30PM",Shift_allowance_Entries!$B:$B,CPY!$B146)</f>
        <v>0</v>
      </c>
      <c r="P146" s="65">
        <f>SUMIFS(Shift_allowance_Entries!$G:$G,Shift_allowance_Entries!$F:$F,"1-9PM/2:30PM-11:30PM",Shift_allowance_Entries!$B:$B,CPY!$B146)</f>
        <v>0</v>
      </c>
      <c r="Q146" s="65">
        <f>SUMIFS(Shift_allowance_Entries!$G:$G,Shift_allowance_Entries!$F:$F,"11PM-7AM",Shift_allowance_Entries!$B:$B,CPY!$B146)</f>
        <v>0</v>
      </c>
      <c r="R146" s="63">
        <f>(CPY!O146*MD!$F$4)+(CPY!P146*MD!$F$5)+(CPY!Q146*MD!$F$6)</f>
        <v>0</v>
      </c>
      <c r="T146" s="64">
        <f>ROUNDUP((SUMIFS('OOH Activities'!$K:$K,'OOH Activities'!$F:$F,"Non_workdays",'OOH Activities'!$B:$B,CPY!B146)) *24,1)</f>
        <v>0</v>
      </c>
      <c r="U146" s="64">
        <f>ROUNDUP((SUMIFS('OOH Activities'!$K:$K,'OOH Activities'!$F:$F,"Workdays",'OOH Activities'!$B:$B,CPY!B146)) *24,1)</f>
        <v>0</v>
      </c>
      <c r="V146" s="63">
        <f>ROUNDUP((SUMIFS('OOH Activities'!$L:$L,'OOH Activities'!$B:$B,CPY!B146)),1)</f>
        <v>0</v>
      </c>
      <c r="X146" s="65">
        <f>ROUNDUP((SUMIFS('ON Call_Call Out Activities'!$L:$L,'ON Call_Call Out Activities'!$F:$F,"Workdays",'ON Call_Call Out Activities'!$B:$B,CPY!B146))*24,1)</f>
        <v>0</v>
      </c>
      <c r="Y146" s="64">
        <f>ROUNDUP((SUMIFS('ON Call_Call Out Activities'!$L:$L,'ON Call_Call Out Activities'!$F:$F,"Non_workdays",'ON Call_Call Out Activities'!$B:$B,CPY!B146)) *24,1)</f>
        <v>0</v>
      </c>
      <c r="Z146" s="63">
        <f>ROUNDUP((SUMIFS('ON Call_Call Out Activities'!$M:$M,'ON Call_Call Out Activities'!$F:$F,"Non_workdays",'ON Call_Call Out Activities'!$B:$B,CPY!B146)),1) + ROUNDUP((SUMIFS('ON Call_Call Out Activities'!$M:$M,'ON Call_Call Out Activities'!$F:$F,"Workdays",'ON Call_Call Out Activities'!$B:$B,CPY!B146)),1)</f>
        <v>0</v>
      </c>
      <c r="AA146" s="66"/>
      <c r="AB146" s="64">
        <f>ROUNDUP((SUMIFS('ON Call_Call Out Activities'!$L:$L,'ON Call_Call Out Activities'!$F:$F,"Call_Out",'ON Call_Call Out Activities'!$B:$B,CPY!B146)) *24,1)</f>
        <v>0</v>
      </c>
      <c r="AC146" s="63">
        <f>ROUNDUP((SUMIFS('ON Call_Call Out Activities'!$M:$M,'ON Call_Call Out Activities'!$F:$F,"Call_Out",'ON Call_Call Out Activities'!$B:$B,CPY!B146)),1)</f>
        <v>0</v>
      </c>
      <c r="AE146" s="65">
        <f>IF((SUMIF(Shift_allowance_Entries!$B:$B,CPY!$B146,Shift_allowance_Entries!$H:$H)) &gt; (SUMIF(Shift_allowance_Entries!$B:$B,CPY!$B146,Shift_allowance_Entries!$G:$G)),0,((SUMIF(Shift_allowance_Entries!$B:$B,CPY!$B146,Shift_allowance_Entries!$G:$G))-(SUMIF(Shift_allowance_Entries!$B:$B,CPY!$B146,Shift_allowance_Entries!$H:$H))))</f>
        <v>0</v>
      </c>
      <c r="AF146" s="63">
        <f>AE146*MD!$S$4</f>
        <v>0</v>
      </c>
    </row>
    <row r="147" spans="1:32" x14ac:dyDescent="0.25">
      <c r="A147" s="62">
        <v>145</v>
      </c>
      <c r="B147" s="62"/>
      <c r="C147" s="50" t="str">
        <f>IF(ISNA(VLOOKUP($B147,Summary!$B:$D,2,FALSE))=TRUE," ",VLOOKUP($B147,Summary!$B:$D,2,FALSE))</f>
        <v> </v>
      </c>
      <c r="D147" s="50" t="str">
        <f>IF(ISNA(VLOOKUP($B147,Summary!$B:$D,3,FALSE))=TRUE," ",VLOOKUP($B147,Summary!$B:$D,3,FALSE))</f>
        <v> </v>
      </c>
      <c r="E147" s="62"/>
      <c r="F147" s="62"/>
      <c r="G147" s="62"/>
      <c r="I147" s="63">
        <f t="shared" si="2"/>
        <v>0</v>
      </c>
      <c r="K147" s="64">
        <f>IF(E147="Support(L1_L2)",IF(NOT(ISBLANK(B147)),IF(NOT(ISBLANK(D147)),NETWORKDAYS('CPY TOC'!$F$5,'CPY TOC'!$G$5))))-L147</f>
        <v>0</v>
      </c>
      <c r="L147" s="64">
        <f>IF(E147="Support(L1_L2)",SUMIFS(Support_allowance_Entries!$G:$G,Support_allowance_Entries!$B:$B,CPY!B147),0)</f>
        <v>0</v>
      </c>
      <c r="M147" s="63" t="b">
        <f>IF($D147="D0",MD!$C$4*(K147),IF($D147="D1",MD!$C$5*(K147),IF($D147="D2",MD!$C$6*(K147),IF($D147="D3",MD!$C$7*(K147),IF($D147="D4",MD!$C$8*(K147),IF($D147="D5",MD!$C$9*(K147),IF($D147="M1",MD!$C$10*(K147),IF($D147="T1",MD!$C$11*(K147)))))))))</f>
        <v>0</v>
      </c>
      <c r="O147" s="65">
        <f>SUMIFS(Shift_allowance_Entries!$G:$G,Shift_allowance_Entries!$F:$F,"6:30AM-03:30PM",Shift_allowance_Entries!$B:$B,CPY!$B147)</f>
        <v>0</v>
      </c>
      <c r="P147" s="65">
        <f>SUMIFS(Shift_allowance_Entries!$G:$G,Shift_allowance_Entries!$F:$F,"1-9PM/2:30PM-11:30PM",Shift_allowance_Entries!$B:$B,CPY!$B147)</f>
        <v>0</v>
      </c>
      <c r="Q147" s="65">
        <f>SUMIFS(Shift_allowance_Entries!$G:$G,Shift_allowance_Entries!$F:$F,"11PM-7AM",Shift_allowance_Entries!$B:$B,CPY!$B147)</f>
        <v>0</v>
      </c>
      <c r="R147" s="63">
        <f>(CPY!O147*MD!$F$4)+(CPY!P147*MD!$F$5)+(CPY!Q147*MD!$F$6)</f>
        <v>0</v>
      </c>
      <c r="T147" s="64">
        <f>ROUNDUP((SUMIFS('OOH Activities'!$K:$K,'OOH Activities'!$F:$F,"Non_workdays",'OOH Activities'!$B:$B,CPY!B147)) *24,1)</f>
        <v>0</v>
      </c>
      <c r="U147" s="64">
        <f>ROUNDUP((SUMIFS('OOH Activities'!$K:$K,'OOH Activities'!$F:$F,"Workdays",'OOH Activities'!$B:$B,CPY!B147)) *24,1)</f>
        <v>0</v>
      </c>
      <c r="V147" s="63">
        <f>ROUNDUP((SUMIFS('OOH Activities'!$L:$L,'OOH Activities'!$B:$B,CPY!B147)),1)</f>
        <v>0</v>
      </c>
      <c r="X147" s="65">
        <f>ROUNDUP((SUMIFS('ON Call_Call Out Activities'!$L:$L,'ON Call_Call Out Activities'!$F:$F,"Workdays",'ON Call_Call Out Activities'!$B:$B,CPY!B147))*24,1)</f>
        <v>0</v>
      </c>
      <c r="Y147" s="64">
        <f>ROUNDUP((SUMIFS('ON Call_Call Out Activities'!$L:$L,'ON Call_Call Out Activities'!$F:$F,"Non_workdays",'ON Call_Call Out Activities'!$B:$B,CPY!B147)) *24,1)</f>
        <v>0</v>
      </c>
      <c r="Z147" s="63">
        <f>ROUNDUP((SUMIFS('ON Call_Call Out Activities'!$M:$M,'ON Call_Call Out Activities'!$F:$F,"Non_workdays",'ON Call_Call Out Activities'!$B:$B,CPY!B147)),1) + ROUNDUP((SUMIFS('ON Call_Call Out Activities'!$M:$M,'ON Call_Call Out Activities'!$F:$F,"Workdays",'ON Call_Call Out Activities'!$B:$B,CPY!B147)),1)</f>
        <v>0</v>
      </c>
      <c r="AA147" s="66"/>
      <c r="AB147" s="64">
        <f>ROUNDUP((SUMIFS('ON Call_Call Out Activities'!$L:$L,'ON Call_Call Out Activities'!$F:$F,"Call_Out",'ON Call_Call Out Activities'!$B:$B,CPY!B147)) *24,1)</f>
        <v>0</v>
      </c>
      <c r="AC147" s="63">
        <f>ROUNDUP((SUMIFS('ON Call_Call Out Activities'!$M:$M,'ON Call_Call Out Activities'!$F:$F,"Call_Out",'ON Call_Call Out Activities'!$B:$B,CPY!B147)),1)</f>
        <v>0</v>
      </c>
      <c r="AE147" s="65">
        <f>IF((SUMIF(Shift_allowance_Entries!$B:$B,CPY!$B147,Shift_allowance_Entries!$H:$H)) &gt; (SUMIF(Shift_allowance_Entries!$B:$B,CPY!$B147,Shift_allowance_Entries!$G:$G)),0,((SUMIF(Shift_allowance_Entries!$B:$B,CPY!$B147,Shift_allowance_Entries!$G:$G))-(SUMIF(Shift_allowance_Entries!$B:$B,CPY!$B147,Shift_allowance_Entries!$H:$H))))</f>
        <v>0</v>
      </c>
      <c r="AF147" s="63">
        <f>AE147*MD!$S$4</f>
        <v>0</v>
      </c>
    </row>
    <row r="148" spans="1:32" x14ac:dyDescent="0.25">
      <c r="A148" s="62">
        <v>146</v>
      </c>
      <c r="B148" s="62"/>
      <c r="C148" s="50" t="str">
        <f>IF(ISNA(VLOOKUP($B148,Summary!$B:$D,2,FALSE))=TRUE," ",VLOOKUP($B148,Summary!$B:$D,2,FALSE))</f>
        <v> </v>
      </c>
      <c r="D148" s="50" t="str">
        <f>IF(ISNA(VLOOKUP($B148,Summary!$B:$D,3,FALSE))=TRUE," ",VLOOKUP($B148,Summary!$B:$D,3,FALSE))</f>
        <v> </v>
      </c>
      <c r="E148" s="62"/>
      <c r="F148" s="62"/>
      <c r="G148" s="62"/>
      <c r="I148" s="63">
        <f t="shared" si="2"/>
        <v>0</v>
      </c>
      <c r="K148" s="64">
        <f>IF(E148="Support(L1_L2)",IF(NOT(ISBLANK(B148)),IF(NOT(ISBLANK(D148)),NETWORKDAYS('CPY TOC'!$F$5,'CPY TOC'!$G$5))))-L148</f>
        <v>0</v>
      </c>
      <c r="L148" s="64">
        <f>IF(E148="Support(L1_L2)",SUMIFS(Support_allowance_Entries!$G:$G,Support_allowance_Entries!$B:$B,CPY!B148),0)</f>
        <v>0</v>
      </c>
      <c r="M148" s="63" t="b">
        <f>IF($D148="D0",MD!$C$4*(K148),IF($D148="D1",MD!$C$5*(K148),IF($D148="D2",MD!$C$6*(K148),IF($D148="D3",MD!$C$7*(K148),IF($D148="D4",MD!$C$8*(K148),IF($D148="D5",MD!$C$9*(K148),IF($D148="M1",MD!$C$10*(K148),IF($D148="T1",MD!$C$11*(K148)))))))))</f>
        <v>0</v>
      </c>
      <c r="O148" s="65">
        <f>SUMIFS(Shift_allowance_Entries!$G:$G,Shift_allowance_Entries!$F:$F,"6:30AM-03:30PM",Shift_allowance_Entries!$B:$B,CPY!$B148)</f>
        <v>0</v>
      </c>
      <c r="P148" s="65">
        <f>SUMIFS(Shift_allowance_Entries!$G:$G,Shift_allowance_Entries!$F:$F,"1-9PM/2:30PM-11:30PM",Shift_allowance_Entries!$B:$B,CPY!$B148)</f>
        <v>0</v>
      </c>
      <c r="Q148" s="65">
        <f>SUMIFS(Shift_allowance_Entries!$G:$G,Shift_allowance_Entries!$F:$F,"11PM-7AM",Shift_allowance_Entries!$B:$B,CPY!$B148)</f>
        <v>0</v>
      </c>
      <c r="R148" s="63">
        <f>(CPY!O148*MD!$F$4)+(CPY!P148*MD!$F$5)+(CPY!Q148*MD!$F$6)</f>
        <v>0</v>
      </c>
      <c r="T148" s="64">
        <f>ROUNDUP((SUMIFS('OOH Activities'!$K:$K,'OOH Activities'!$F:$F,"Non_workdays",'OOH Activities'!$B:$B,CPY!B148)) *24,1)</f>
        <v>0</v>
      </c>
      <c r="U148" s="64">
        <f>ROUNDUP((SUMIFS('OOH Activities'!$K:$K,'OOH Activities'!$F:$F,"Workdays",'OOH Activities'!$B:$B,CPY!B148)) *24,1)</f>
        <v>0</v>
      </c>
      <c r="V148" s="63">
        <f>ROUNDUP((SUMIFS('OOH Activities'!$L:$L,'OOH Activities'!$B:$B,CPY!B148)),1)</f>
        <v>0</v>
      </c>
      <c r="X148" s="65">
        <f>ROUNDUP((SUMIFS('ON Call_Call Out Activities'!$L:$L,'ON Call_Call Out Activities'!$F:$F,"Workdays",'ON Call_Call Out Activities'!$B:$B,CPY!B148))*24,1)</f>
        <v>0</v>
      </c>
      <c r="Y148" s="64">
        <f>ROUNDUP((SUMIFS('ON Call_Call Out Activities'!$L:$L,'ON Call_Call Out Activities'!$F:$F,"Non_workdays",'ON Call_Call Out Activities'!$B:$B,CPY!B148)) *24,1)</f>
        <v>0</v>
      </c>
      <c r="Z148" s="63">
        <f>ROUNDUP((SUMIFS('ON Call_Call Out Activities'!$M:$M,'ON Call_Call Out Activities'!$F:$F,"Non_workdays",'ON Call_Call Out Activities'!$B:$B,CPY!B148)),1) + ROUNDUP((SUMIFS('ON Call_Call Out Activities'!$M:$M,'ON Call_Call Out Activities'!$F:$F,"Workdays",'ON Call_Call Out Activities'!$B:$B,CPY!B148)),1)</f>
        <v>0</v>
      </c>
      <c r="AA148" s="66"/>
      <c r="AB148" s="64">
        <f>ROUNDUP((SUMIFS('ON Call_Call Out Activities'!$L:$L,'ON Call_Call Out Activities'!$F:$F,"Call_Out",'ON Call_Call Out Activities'!$B:$B,CPY!B148)) *24,1)</f>
        <v>0</v>
      </c>
      <c r="AC148" s="63">
        <f>ROUNDUP((SUMIFS('ON Call_Call Out Activities'!$M:$M,'ON Call_Call Out Activities'!$F:$F,"Call_Out",'ON Call_Call Out Activities'!$B:$B,CPY!B148)),1)</f>
        <v>0</v>
      </c>
      <c r="AE148" s="65">
        <f>IF((SUMIF(Shift_allowance_Entries!$B:$B,CPY!$B148,Shift_allowance_Entries!$H:$H)) &gt; (SUMIF(Shift_allowance_Entries!$B:$B,CPY!$B148,Shift_allowance_Entries!$G:$G)),0,((SUMIF(Shift_allowance_Entries!$B:$B,CPY!$B148,Shift_allowance_Entries!$G:$G))-(SUMIF(Shift_allowance_Entries!$B:$B,CPY!$B148,Shift_allowance_Entries!$H:$H))))</f>
        <v>0</v>
      </c>
      <c r="AF148" s="63">
        <f>AE148*MD!$S$4</f>
        <v>0</v>
      </c>
    </row>
    <row r="149" spans="1:32" x14ac:dyDescent="0.25">
      <c r="A149" s="62">
        <v>147</v>
      </c>
      <c r="B149" s="62"/>
      <c r="C149" s="50" t="str">
        <f>IF(ISNA(VLOOKUP($B149,Summary!$B:$D,2,FALSE))=TRUE," ",VLOOKUP($B149,Summary!$B:$D,2,FALSE))</f>
        <v> </v>
      </c>
      <c r="D149" s="50" t="str">
        <f>IF(ISNA(VLOOKUP($B149,Summary!$B:$D,3,FALSE))=TRUE," ",VLOOKUP($B149,Summary!$B:$D,3,FALSE))</f>
        <v> </v>
      </c>
      <c r="E149" s="62"/>
      <c r="F149" s="62"/>
      <c r="G149" s="62"/>
      <c r="I149" s="63">
        <f t="shared" si="2"/>
        <v>0</v>
      </c>
      <c r="K149" s="64">
        <f>IF(E149="Support(L1_L2)",IF(NOT(ISBLANK(B149)),IF(NOT(ISBLANK(D149)),NETWORKDAYS('CPY TOC'!$F$5,'CPY TOC'!$G$5))))-L149</f>
        <v>0</v>
      </c>
      <c r="L149" s="64">
        <f>IF(E149="Support(L1_L2)",SUMIFS(Support_allowance_Entries!$G:$G,Support_allowance_Entries!$B:$B,CPY!B149),0)</f>
        <v>0</v>
      </c>
      <c r="M149" s="63" t="b">
        <f>IF($D149="D0",MD!$C$4*(K149),IF($D149="D1",MD!$C$5*(K149),IF($D149="D2",MD!$C$6*(K149),IF($D149="D3",MD!$C$7*(K149),IF($D149="D4",MD!$C$8*(K149),IF($D149="D5",MD!$C$9*(K149),IF($D149="M1",MD!$C$10*(K149),IF($D149="T1",MD!$C$11*(K149)))))))))</f>
        <v>0</v>
      </c>
      <c r="O149" s="65">
        <f>SUMIFS(Shift_allowance_Entries!$G:$G,Shift_allowance_Entries!$F:$F,"6:30AM-03:30PM",Shift_allowance_Entries!$B:$B,CPY!$B149)</f>
        <v>0</v>
      </c>
      <c r="P149" s="65">
        <f>SUMIFS(Shift_allowance_Entries!$G:$G,Shift_allowance_Entries!$F:$F,"1-9PM/2:30PM-11:30PM",Shift_allowance_Entries!$B:$B,CPY!$B149)</f>
        <v>0</v>
      </c>
      <c r="Q149" s="65">
        <f>SUMIFS(Shift_allowance_Entries!$G:$G,Shift_allowance_Entries!$F:$F,"11PM-7AM",Shift_allowance_Entries!$B:$B,CPY!$B149)</f>
        <v>0</v>
      </c>
      <c r="R149" s="63">
        <f>(CPY!O149*MD!$F$4)+(CPY!P149*MD!$F$5)+(CPY!Q149*MD!$F$6)</f>
        <v>0</v>
      </c>
      <c r="T149" s="64">
        <f>ROUNDUP((SUMIFS('OOH Activities'!$K:$K,'OOH Activities'!$F:$F,"Non_workdays",'OOH Activities'!$B:$B,CPY!B149)) *24,1)</f>
        <v>0</v>
      </c>
      <c r="U149" s="64">
        <f>ROUNDUP((SUMIFS('OOH Activities'!$K:$K,'OOH Activities'!$F:$F,"Workdays",'OOH Activities'!$B:$B,CPY!B149)) *24,1)</f>
        <v>0</v>
      </c>
      <c r="V149" s="63">
        <f>ROUNDUP((SUMIFS('OOH Activities'!$L:$L,'OOH Activities'!$B:$B,CPY!B149)),1)</f>
        <v>0</v>
      </c>
      <c r="X149" s="65">
        <f>ROUNDUP((SUMIFS('ON Call_Call Out Activities'!$L:$L,'ON Call_Call Out Activities'!$F:$F,"Workdays",'ON Call_Call Out Activities'!$B:$B,CPY!B149))*24,1)</f>
        <v>0</v>
      </c>
      <c r="Y149" s="64">
        <f>ROUNDUP((SUMIFS('ON Call_Call Out Activities'!$L:$L,'ON Call_Call Out Activities'!$F:$F,"Non_workdays",'ON Call_Call Out Activities'!$B:$B,CPY!B149)) *24,1)</f>
        <v>0</v>
      </c>
      <c r="Z149" s="63">
        <f>ROUNDUP((SUMIFS('ON Call_Call Out Activities'!$M:$M,'ON Call_Call Out Activities'!$F:$F,"Non_workdays",'ON Call_Call Out Activities'!$B:$B,CPY!B149)),1) + ROUNDUP((SUMIFS('ON Call_Call Out Activities'!$M:$M,'ON Call_Call Out Activities'!$F:$F,"Workdays",'ON Call_Call Out Activities'!$B:$B,CPY!B149)),1)</f>
        <v>0</v>
      </c>
      <c r="AA149" s="66"/>
      <c r="AB149" s="64">
        <f>ROUNDUP((SUMIFS('ON Call_Call Out Activities'!$L:$L,'ON Call_Call Out Activities'!$F:$F,"Call_Out",'ON Call_Call Out Activities'!$B:$B,CPY!B149)) *24,1)</f>
        <v>0</v>
      </c>
      <c r="AC149" s="63">
        <f>ROUNDUP((SUMIFS('ON Call_Call Out Activities'!$M:$M,'ON Call_Call Out Activities'!$F:$F,"Call_Out",'ON Call_Call Out Activities'!$B:$B,CPY!B149)),1)</f>
        <v>0</v>
      </c>
      <c r="AE149" s="65">
        <f>IF((SUMIF(Shift_allowance_Entries!$B:$B,CPY!$B149,Shift_allowance_Entries!$H:$H)) &gt; (SUMIF(Shift_allowance_Entries!$B:$B,CPY!$B149,Shift_allowance_Entries!$G:$G)),0,((SUMIF(Shift_allowance_Entries!$B:$B,CPY!$B149,Shift_allowance_Entries!$G:$G))-(SUMIF(Shift_allowance_Entries!$B:$B,CPY!$B149,Shift_allowance_Entries!$H:$H))))</f>
        <v>0</v>
      </c>
      <c r="AF149" s="63">
        <f>AE149*MD!$S$4</f>
        <v>0</v>
      </c>
    </row>
    <row r="150" spans="1:32" x14ac:dyDescent="0.25">
      <c r="A150" s="62">
        <v>148</v>
      </c>
      <c r="B150" s="62"/>
      <c r="C150" s="50" t="str">
        <f>IF(ISNA(VLOOKUP($B150,Summary!$B:$D,2,FALSE))=TRUE," ",VLOOKUP($B150,Summary!$B:$D,2,FALSE))</f>
        <v> </v>
      </c>
      <c r="D150" s="50" t="str">
        <f>IF(ISNA(VLOOKUP($B150,Summary!$B:$D,3,FALSE))=TRUE," ",VLOOKUP($B150,Summary!$B:$D,3,FALSE))</f>
        <v> </v>
      </c>
      <c r="E150" s="62"/>
      <c r="F150" s="62"/>
      <c r="G150" s="62"/>
      <c r="I150" s="63">
        <f t="shared" si="2"/>
        <v>0</v>
      </c>
      <c r="K150" s="64">
        <f>IF(E150="Support(L1_L2)",IF(NOT(ISBLANK(B150)),IF(NOT(ISBLANK(D150)),NETWORKDAYS('CPY TOC'!$F$5,'CPY TOC'!$G$5))))-L150</f>
        <v>0</v>
      </c>
      <c r="L150" s="64">
        <f>IF(E150="Support(L1_L2)",SUMIFS(Support_allowance_Entries!$G:$G,Support_allowance_Entries!$B:$B,CPY!B150),0)</f>
        <v>0</v>
      </c>
      <c r="M150" s="63" t="b">
        <f>IF($D150="D0",MD!$C$4*(K150),IF($D150="D1",MD!$C$5*(K150),IF($D150="D2",MD!$C$6*(K150),IF($D150="D3",MD!$C$7*(K150),IF($D150="D4",MD!$C$8*(K150),IF($D150="D5",MD!$C$9*(K150),IF($D150="M1",MD!$C$10*(K150),IF($D150="T1",MD!$C$11*(K150)))))))))</f>
        <v>0</v>
      </c>
      <c r="O150" s="65">
        <f>SUMIFS(Shift_allowance_Entries!$G:$G,Shift_allowance_Entries!$F:$F,"6:30AM-03:30PM",Shift_allowance_Entries!$B:$B,CPY!$B150)</f>
        <v>0</v>
      </c>
      <c r="P150" s="65">
        <f>SUMIFS(Shift_allowance_Entries!$G:$G,Shift_allowance_Entries!$F:$F,"1-9PM/2:30PM-11:30PM",Shift_allowance_Entries!$B:$B,CPY!$B150)</f>
        <v>0</v>
      </c>
      <c r="Q150" s="65">
        <f>SUMIFS(Shift_allowance_Entries!$G:$G,Shift_allowance_Entries!$F:$F,"11PM-7AM",Shift_allowance_Entries!$B:$B,CPY!$B150)</f>
        <v>0</v>
      </c>
      <c r="R150" s="63">
        <f>(CPY!O150*MD!$F$4)+(CPY!P150*MD!$F$5)+(CPY!Q150*MD!$F$6)</f>
        <v>0</v>
      </c>
      <c r="T150" s="64">
        <f>ROUNDUP((SUMIFS('OOH Activities'!$K:$K,'OOH Activities'!$F:$F,"Non_workdays",'OOH Activities'!$B:$B,CPY!B150)) *24,1)</f>
        <v>0</v>
      </c>
      <c r="U150" s="64">
        <f>ROUNDUP((SUMIFS('OOH Activities'!$K:$K,'OOH Activities'!$F:$F,"Workdays",'OOH Activities'!$B:$B,CPY!B150)) *24,1)</f>
        <v>0</v>
      </c>
      <c r="V150" s="63">
        <f>ROUNDUP((SUMIFS('OOH Activities'!$L:$L,'OOH Activities'!$B:$B,CPY!B150)),1)</f>
        <v>0</v>
      </c>
      <c r="X150" s="65">
        <f>ROUNDUP((SUMIFS('ON Call_Call Out Activities'!$L:$L,'ON Call_Call Out Activities'!$F:$F,"Workdays",'ON Call_Call Out Activities'!$B:$B,CPY!B150))*24,1)</f>
        <v>0</v>
      </c>
      <c r="Y150" s="64">
        <f>ROUNDUP((SUMIFS('ON Call_Call Out Activities'!$L:$L,'ON Call_Call Out Activities'!$F:$F,"Non_workdays",'ON Call_Call Out Activities'!$B:$B,CPY!B150)) *24,1)</f>
        <v>0</v>
      </c>
      <c r="Z150" s="63">
        <f>ROUNDUP((SUMIFS('ON Call_Call Out Activities'!$M:$M,'ON Call_Call Out Activities'!$F:$F,"Non_workdays",'ON Call_Call Out Activities'!$B:$B,CPY!B150)),1) + ROUNDUP((SUMIFS('ON Call_Call Out Activities'!$M:$M,'ON Call_Call Out Activities'!$F:$F,"Workdays",'ON Call_Call Out Activities'!$B:$B,CPY!B150)),1)</f>
        <v>0</v>
      </c>
      <c r="AA150" s="66"/>
      <c r="AB150" s="64">
        <f>ROUNDUP((SUMIFS('ON Call_Call Out Activities'!$L:$L,'ON Call_Call Out Activities'!$F:$F,"Call_Out",'ON Call_Call Out Activities'!$B:$B,CPY!B150)) *24,1)</f>
        <v>0</v>
      </c>
      <c r="AC150" s="63">
        <f>ROUNDUP((SUMIFS('ON Call_Call Out Activities'!$M:$M,'ON Call_Call Out Activities'!$F:$F,"Call_Out",'ON Call_Call Out Activities'!$B:$B,CPY!B150)),1)</f>
        <v>0</v>
      </c>
      <c r="AE150" s="65">
        <f>IF((SUMIF(Shift_allowance_Entries!$B:$B,CPY!$B150,Shift_allowance_Entries!$H:$H)) &gt; (SUMIF(Shift_allowance_Entries!$B:$B,CPY!$B150,Shift_allowance_Entries!$G:$G)),0,((SUMIF(Shift_allowance_Entries!$B:$B,CPY!$B150,Shift_allowance_Entries!$G:$G))-(SUMIF(Shift_allowance_Entries!$B:$B,CPY!$B150,Shift_allowance_Entries!$H:$H))))</f>
        <v>0</v>
      </c>
      <c r="AF150" s="63">
        <f>AE150*MD!$S$4</f>
        <v>0</v>
      </c>
    </row>
    <row r="151" spans="1:32" x14ac:dyDescent="0.25">
      <c r="A151" s="62">
        <v>149</v>
      </c>
      <c r="B151" s="62"/>
      <c r="C151" s="50" t="str">
        <f>IF(ISNA(VLOOKUP($B151,Summary!$B:$D,2,FALSE))=TRUE," ",VLOOKUP($B151,Summary!$B:$D,2,FALSE))</f>
        <v> </v>
      </c>
      <c r="D151" s="50" t="str">
        <f>IF(ISNA(VLOOKUP($B151,Summary!$B:$D,3,FALSE))=TRUE," ",VLOOKUP($B151,Summary!$B:$D,3,FALSE))</f>
        <v> </v>
      </c>
      <c r="E151" s="62"/>
      <c r="F151" s="62"/>
      <c r="G151" s="62"/>
      <c r="I151" s="63">
        <f t="shared" si="2"/>
        <v>0</v>
      </c>
      <c r="K151" s="64">
        <f>IF(E151="Support(L1_L2)",IF(NOT(ISBLANK(B151)),IF(NOT(ISBLANK(D151)),NETWORKDAYS('CPY TOC'!$F$5,'CPY TOC'!$G$5))))-L151</f>
        <v>0</v>
      </c>
      <c r="L151" s="64">
        <f>IF(E151="Support(L1_L2)",SUMIFS(Support_allowance_Entries!$G:$G,Support_allowance_Entries!$B:$B,CPY!B151),0)</f>
        <v>0</v>
      </c>
      <c r="M151" s="63" t="b">
        <f>IF($D151="D0",MD!$C$4*(K151),IF($D151="D1",MD!$C$5*(K151),IF($D151="D2",MD!$C$6*(K151),IF($D151="D3",MD!$C$7*(K151),IF($D151="D4",MD!$C$8*(K151),IF($D151="D5",MD!$C$9*(K151),IF($D151="M1",MD!$C$10*(K151),IF($D151="T1",MD!$C$11*(K151)))))))))</f>
        <v>0</v>
      </c>
      <c r="O151" s="65">
        <f>SUMIFS(Shift_allowance_Entries!$G:$G,Shift_allowance_Entries!$F:$F,"6:30AM-03:30PM",Shift_allowance_Entries!$B:$B,CPY!$B151)</f>
        <v>0</v>
      </c>
      <c r="P151" s="65">
        <f>SUMIFS(Shift_allowance_Entries!$G:$G,Shift_allowance_Entries!$F:$F,"1-9PM/2:30PM-11:30PM",Shift_allowance_Entries!$B:$B,CPY!$B151)</f>
        <v>0</v>
      </c>
      <c r="Q151" s="65">
        <f>SUMIFS(Shift_allowance_Entries!$G:$G,Shift_allowance_Entries!$F:$F,"11PM-7AM",Shift_allowance_Entries!$B:$B,CPY!$B151)</f>
        <v>0</v>
      </c>
      <c r="R151" s="63">
        <f>(CPY!O151*MD!$F$4)+(CPY!P151*MD!$F$5)+(CPY!Q151*MD!$F$6)</f>
        <v>0</v>
      </c>
      <c r="T151" s="64">
        <f>ROUNDUP((SUMIFS('OOH Activities'!$K:$K,'OOH Activities'!$F:$F,"Non_workdays",'OOH Activities'!$B:$B,CPY!B151)) *24,1)</f>
        <v>0</v>
      </c>
      <c r="U151" s="64">
        <f>ROUNDUP((SUMIFS('OOH Activities'!$K:$K,'OOH Activities'!$F:$F,"Workdays",'OOH Activities'!$B:$B,CPY!B151)) *24,1)</f>
        <v>0</v>
      </c>
      <c r="V151" s="63">
        <f>ROUNDUP((SUMIFS('OOH Activities'!$L:$L,'OOH Activities'!$B:$B,CPY!B151)),1)</f>
        <v>0</v>
      </c>
      <c r="X151" s="65">
        <f>ROUNDUP((SUMIFS('ON Call_Call Out Activities'!$L:$L,'ON Call_Call Out Activities'!$F:$F,"Workdays",'ON Call_Call Out Activities'!$B:$B,CPY!B151))*24,1)</f>
        <v>0</v>
      </c>
      <c r="Y151" s="64">
        <f>ROUNDUP((SUMIFS('ON Call_Call Out Activities'!$L:$L,'ON Call_Call Out Activities'!$F:$F,"Non_workdays",'ON Call_Call Out Activities'!$B:$B,CPY!B151)) *24,1)</f>
        <v>0</v>
      </c>
      <c r="Z151" s="63">
        <f>ROUNDUP((SUMIFS('ON Call_Call Out Activities'!$M:$M,'ON Call_Call Out Activities'!$F:$F,"Non_workdays",'ON Call_Call Out Activities'!$B:$B,CPY!B151)),1) + ROUNDUP((SUMIFS('ON Call_Call Out Activities'!$M:$M,'ON Call_Call Out Activities'!$F:$F,"Workdays",'ON Call_Call Out Activities'!$B:$B,CPY!B151)),1)</f>
        <v>0</v>
      </c>
      <c r="AA151" s="66"/>
      <c r="AB151" s="64">
        <f>ROUNDUP((SUMIFS('ON Call_Call Out Activities'!$L:$L,'ON Call_Call Out Activities'!$F:$F,"Call_Out",'ON Call_Call Out Activities'!$B:$B,CPY!B151)) *24,1)</f>
        <v>0</v>
      </c>
      <c r="AC151" s="63">
        <f>ROUNDUP((SUMIFS('ON Call_Call Out Activities'!$M:$M,'ON Call_Call Out Activities'!$F:$F,"Call_Out",'ON Call_Call Out Activities'!$B:$B,CPY!B151)),1)</f>
        <v>0</v>
      </c>
      <c r="AE151" s="65">
        <f>IF((SUMIF(Shift_allowance_Entries!$B:$B,CPY!$B151,Shift_allowance_Entries!$H:$H)) &gt; (SUMIF(Shift_allowance_Entries!$B:$B,CPY!$B151,Shift_allowance_Entries!$G:$G)),0,((SUMIF(Shift_allowance_Entries!$B:$B,CPY!$B151,Shift_allowance_Entries!$G:$G))-(SUMIF(Shift_allowance_Entries!$B:$B,CPY!$B151,Shift_allowance_Entries!$H:$H))))</f>
        <v>0</v>
      </c>
      <c r="AF151" s="63">
        <f>AE151*MD!$S$4</f>
        <v>0</v>
      </c>
    </row>
    <row r="152" spans="1:32" x14ac:dyDescent="0.25">
      <c r="A152" s="62">
        <v>150</v>
      </c>
      <c r="B152" s="62"/>
      <c r="C152" s="50" t="str">
        <f>IF(ISNA(VLOOKUP($B152,Summary!$B:$D,2,FALSE))=TRUE," ",VLOOKUP($B152,Summary!$B:$D,2,FALSE))</f>
        <v> </v>
      </c>
      <c r="D152" s="50" t="str">
        <f>IF(ISNA(VLOOKUP($B152,Summary!$B:$D,3,FALSE))=TRUE," ",VLOOKUP($B152,Summary!$B:$D,3,FALSE))</f>
        <v> </v>
      </c>
      <c r="E152" s="62"/>
      <c r="F152" s="62"/>
      <c r="G152" s="62"/>
      <c r="I152" s="63">
        <f t="shared" si="2"/>
        <v>0</v>
      </c>
      <c r="K152" s="64">
        <f>IF(E152="Support(L1_L2)",IF(NOT(ISBLANK(B152)),IF(NOT(ISBLANK(D152)),NETWORKDAYS('CPY TOC'!$F$5,'CPY TOC'!$G$5))))-L152</f>
        <v>0</v>
      </c>
      <c r="L152" s="64">
        <f>IF(E152="Support(L1_L2)",SUMIFS(Support_allowance_Entries!$G:$G,Support_allowance_Entries!$B:$B,CPY!B152),0)</f>
        <v>0</v>
      </c>
      <c r="M152" s="63" t="b">
        <f>IF($D152="D0",MD!$C$4*(K152),IF($D152="D1",MD!$C$5*(K152),IF($D152="D2",MD!$C$6*(K152),IF($D152="D3",MD!$C$7*(K152),IF($D152="D4",MD!$C$8*(K152),IF($D152="D5",MD!$C$9*(K152),IF($D152="M1",MD!$C$10*(K152),IF($D152="T1",MD!$C$11*(K152)))))))))</f>
        <v>0</v>
      </c>
      <c r="O152" s="65">
        <f>SUMIFS(Shift_allowance_Entries!$G:$G,Shift_allowance_Entries!$F:$F,"6:30AM-03:30PM",Shift_allowance_Entries!$B:$B,CPY!$B152)</f>
        <v>0</v>
      </c>
      <c r="P152" s="65">
        <f>SUMIFS(Shift_allowance_Entries!$G:$G,Shift_allowance_Entries!$F:$F,"1-9PM/2:30PM-11:30PM",Shift_allowance_Entries!$B:$B,CPY!$B152)</f>
        <v>0</v>
      </c>
      <c r="Q152" s="65">
        <f>SUMIFS(Shift_allowance_Entries!$G:$G,Shift_allowance_Entries!$F:$F,"11PM-7AM",Shift_allowance_Entries!$B:$B,CPY!$B152)</f>
        <v>0</v>
      </c>
      <c r="R152" s="63">
        <f>(CPY!O152*MD!$F$4)+(CPY!P152*MD!$F$5)+(CPY!Q152*MD!$F$6)</f>
        <v>0</v>
      </c>
      <c r="T152" s="64">
        <f>ROUNDUP((SUMIFS('OOH Activities'!$K:$K,'OOH Activities'!$F:$F,"Non_workdays",'OOH Activities'!$B:$B,CPY!B152)) *24,1)</f>
        <v>0</v>
      </c>
      <c r="U152" s="64">
        <f>ROUNDUP((SUMIFS('OOH Activities'!$K:$K,'OOH Activities'!$F:$F,"Workdays",'OOH Activities'!$B:$B,CPY!B152)) *24,1)</f>
        <v>0</v>
      </c>
      <c r="V152" s="63">
        <f>ROUNDUP((SUMIFS('OOH Activities'!$L:$L,'OOH Activities'!$B:$B,CPY!B152)),1)</f>
        <v>0</v>
      </c>
      <c r="X152" s="65">
        <f>ROUNDUP((SUMIFS('ON Call_Call Out Activities'!$L:$L,'ON Call_Call Out Activities'!$F:$F,"Workdays",'ON Call_Call Out Activities'!$B:$B,CPY!B152))*24,1)</f>
        <v>0</v>
      </c>
      <c r="Y152" s="64">
        <f>ROUNDUP((SUMIFS('ON Call_Call Out Activities'!$L:$L,'ON Call_Call Out Activities'!$F:$F,"Non_workdays",'ON Call_Call Out Activities'!$B:$B,CPY!B152)) *24,1)</f>
        <v>0</v>
      </c>
      <c r="Z152" s="63">
        <f>ROUNDUP((SUMIFS('ON Call_Call Out Activities'!$M:$M,'ON Call_Call Out Activities'!$F:$F,"Non_workdays",'ON Call_Call Out Activities'!$B:$B,CPY!B152)),1) + ROUNDUP((SUMIFS('ON Call_Call Out Activities'!$M:$M,'ON Call_Call Out Activities'!$F:$F,"Workdays",'ON Call_Call Out Activities'!$B:$B,CPY!B152)),1)</f>
        <v>0</v>
      </c>
      <c r="AA152" s="66"/>
      <c r="AB152" s="64">
        <f>ROUNDUP((SUMIFS('ON Call_Call Out Activities'!$L:$L,'ON Call_Call Out Activities'!$F:$F,"Call_Out",'ON Call_Call Out Activities'!$B:$B,CPY!B152)) *24,1)</f>
        <v>0</v>
      </c>
      <c r="AC152" s="63">
        <f>ROUNDUP((SUMIFS('ON Call_Call Out Activities'!$M:$M,'ON Call_Call Out Activities'!$F:$F,"Call_Out",'ON Call_Call Out Activities'!$B:$B,CPY!B152)),1)</f>
        <v>0</v>
      </c>
      <c r="AE152" s="65">
        <f>IF((SUMIF(Shift_allowance_Entries!$B:$B,CPY!$B152,Shift_allowance_Entries!$H:$H)) &gt; (SUMIF(Shift_allowance_Entries!$B:$B,CPY!$B152,Shift_allowance_Entries!$G:$G)),0,((SUMIF(Shift_allowance_Entries!$B:$B,CPY!$B152,Shift_allowance_Entries!$G:$G))-(SUMIF(Shift_allowance_Entries!$B:$B,CPY!$B152,Shift_allowance_Entries!$H:$H))))</f>
        <v>0</v>
      </c>
      <c r="AF152" s="63">
        <f>AE152*MD!$S$4</f>
        <v>0</v>
      </c>
    </row>
    <row r="153" spans="1:32" x14ac:dyDescent="0.25">
      <c r="A153" s="62">
        <v>151</v>
      </c>
      <c r="B153" s="62"/>
      <c r="C153" s="50" t="str">
        <f>IF(ISNA(VLOOKUP($B153,Summary!$B:$D,2,FALSE))=TRUE," ",VLOOKUP($B153,Summary!$B:$D,2,FALSE))</f>
        <v> </v>
      </c>
      <c r="D153" s="50" t="str">
        <f>IF(ISNA(VLOOKUP($B153,Summary!$B:$D,3,FALSE))=TRUE," ",VLOOKUP($B153,Summary!$B:$D,3,FALSE))</f>
        <v> </v>
      </c>
      <c r="E153" s="62"/>
      <c r="F153" s="62"/>
      <c r="G153" s="62"/>
      <c r="I153" s="63">
        <f t="shared" si="2"/>
        <v>0</v>
      </c>
      <c r="K153" s="64">
        <f>IF(E153="Support(L1_L2)",IF(NOT(ISBLANK(B153)),IF(NOT(ISBLANK(D153)),NETWORKDAYS('CPY TOC'!$F$5,'CPY TOC'!$G$5))))-L153</f>
        <v>0</v>
      </c>
      <c r="L153" s="64">
        <f>IF(E153="Support(L1_L2)",SUMIFS(Support_allowance_Entries!$G:$G,Support_allowance_Entries!$B:$B,CPY!B153),0)</f>
        <v>0</v>
      </c>
      <c r="M153" s="63" t="b">
        <f>IF($D153="D0",MD!$C$4*(K153),IF($D153="D1",MD!$C$5*(K153),IF($D153="D2",MD!$C$6*(K153),IF($D153="D3",MD!$C$7*(K153),IF($D153="D4",MD!$C$8*(K153),IF($D153="D5",MD!$C$9*(K153),IF($D153="M1",MD!$C$10*(K153),IF($D153="T1",MD!$C$11*(K153)))))))))</f>
        <v>0</v>
      </c>
      <c r="O153" s="65">
        <f>SUMIFS(Shift_allowance_Entries!$G:$G,Shift_allowance_Entries!$F:$F,"6:30AM-03:30PM",Shift_allowance_Entries!$B:$B,CPY!$B153)</f>
        <v>0</v>
      </c>
      <c r="P153" s="65">
        <f>SUMIFS(Shift_allowance_Entries!$G:$G,Shift_allowance_Entries!$F:$F,"1-9PM/2:30PM-11:30PM",Shift_allowance_Entries!$B:$B,CPY!$B153)</f>
        <v>0</v>
      </c>
      <c r="Q153" s="65">
        <f>SUMIFS(Shift_allowance_Entries!$G:$G,Shift_allowance_Entries!$F:$F,"11PM-7AM",Shift_allowance_Entries!$B:$B,CPY!$B153)</f>
        <v>0</v>
      </c>
      <c r="R153" s="63">
        <f>(CPY!O153*MD!$F$4)+(CPY!P153*MD!$F$5)+(CPY!Q153*MD!$F$6)</f>
        <v>0</v>
      </c>
      <c r="T153" s="64">
        <f>ROUNDUP((SUMIFS('OOH Activities'!$K:$K,'OOH Activities'!$F:$F,"Non_workdays",'OOH Activities'!$B:$B,CPY!B153)) *24,1)</f>
        <v>0</v>
      </c>
      <c r="U153" s="64">
        <f>ROUNDUP((SUMIFS('OOH Activities'!$K:$K,'OOH Activities'!$F:$F,"Workdays",'OOH Activities'!$B:$B,CPY!B153)) *24,1)</f>
        <v>0</v>
      </c>
      <c r="V153" s="63">
        <f>ROUNDUP((SUMIFS('OOH Activities'!$L:$L,'OOH Activities'!$B:$B,CPY!B153)),1)</f>
        <v>0</v>
      </c>
      <c r="X153" s="65">
        <f>ROUNDUP((SUMIFS('ON Call_Call Out Activities'!$L:$L,'ON Call_Call Out Activities'!$F:$F,"Workdays",'ON Call_Call Out Activities'!$B:$B,CPY!B153))*24,1)</f>
        <v>0</v>
      </c>
      <c r="Y153" s="64">
        <f>ROUNDUP((SUMIFS('ON Call_Call Out Activities'!$L:$L,'ON Call_Call Out Activities'!$F:$F,"Non_workdays",'ON Call_Call Out Activities'!$B:$B,CPY!B153)) *24,1)</f>
        <v>0</v>
      </c>
      <c r="Z153" s="63">
        <f>ROUNDUP((SUMIFS('ON Call_Call Out Activities'!$M:$M,'ON Call_Call Out Activities'!$F:$F,"Non_workdays",'ON Call_Call Out Activities'!$B:$B,CPY!B153)),1) + ROUNDUP((SUMIFS('ON Call_Call Out Activities'!$M:$M,'ON Call_Call Out Activities'!$F:$F,"Workdays",'ON Call_Call Out Activities'!$B:$B,CPY!B153)),1)</f>
        <v>0</v>
      </c>
      <c r="AA153" s="66"/>
      <c r="AB153" s="64">
        <f>ROUNDUP((SUMIFS('ON Call_Call Out Activities'!$L:$L,'ON Call_Call Out Activities'!$F:$F,"Call_Out",'ON Call_Call Out Activities'!$B:$B,CPY!B153)) *24,1)</f>
        <v>0</v>
      </c>
      <c r="AC153" s="63">
        <f>ROUNDUP((SUMIFS('ON Call_Call Out Activities'!$M:$M,'ON Call_Call Out Activities'!$F:$F,"Call_Out",'ON Call_Call Out Activities'!$B:$B,CPY!B153)),1)</f>
        <v>0</v>
      </c>
      <c r="AE153" s="65">
        <f>IF((SUMIF(Shift_allowance_Entries!$B:$B,CPY!$B153,Shift_allowance_Entries!$H:$H)) &gt; (SUMIF(Shift_allowance_Entries!$B:$B,CPY!$B153,Shift_allowance_Entries!$G:$G)),0,((SUMIF(Shift_allowance_Entries!$B:$B,CPY!$B153,Shift_allowance_Entries!$G:$G))-(SUMIF(Shift_allowance_Entries!$B:$B,CPY!$B153,Shift_allowance_Entries!$H:$H))))</f>
        <v>0</v>
      </c>
      <c r="AF153" s="63">
        <f>AE153*MD!$S$4</f>
        <v>0</v>
      </c>
    </row>
    <row r="154" spans="1:32" x14ac:dyDescent="0.25">
      <c r="A154" s="62">
        <v>152</v>
      </c>
      <c r="B154" s="62"/>
      <c r="C154" s="50" t="str">
        <f>IF(ISNA(VLOOKUP($B154,Summary!$B:$D,2,FALSE))=TRUE," ",VLOOKUP($B154,Summary!$B:$D,2,FALSE))</f>
        <v> </v>
      </c>
      <c r="D154" s="50" t="str">
        <f>IF(ISNA(VLOOKUP($B154,Summary!$B:$D,3,FALSE))=TRUE," ",VLOOKUP($B154,Summary!$B:$D,3,FALSE))</f>
        <v> </v>
      </c>
      <c r="E154" s="62"/>
      <c r="F154" s="62"/>
      <c r="G154" s="62"/>
      <c r="I154" s="63">
        <f t="shared" si="2"/>
        <v>0</v>
      </c>
      <c r="K154" s="64">
        <f>IF(E154="Support(L1_L2)",IF(NOT(ISBLANK(B154)),IF(NOT(ISBLANK(D154)),NETWORKDAYS('CPY TOC'!$F$5,'CPY TOC'!$G$5))))-L154</f>
        <v>0</v>
      </c>
      <c r="L154" s="64">
        <f>IF(E154="Support(L1_L2)",SUMIFS(Support_allowance_Entries!$G:$G,Support_allowance_Entries!$B:$B,CPY!B154),0)</f>
        <v>0</v>
      </c>
      <c r="M154" s="63" t="b">
        <f>IF($D154="D0",MD!$C$4*(K154),IF($D154="D1",MD!$C$5*(K154),IF($D154="D2",MD!$C$6*(K154),IF($D154="D3",MD!$C$7*(K154),IF($D154="D4",MD!$C$8*(K154),IF($D154="D5",MD!$C$9*(K154),IF($D154="M1",MD!$C$10*(K154),IF($D154="T1",MD!$C$11*(K154)))))))))</f>
        <v>0</v>
      </c>
      <c r="O154" s="65">
        <f>SUMIFS(Shift_allowance_Entries!$G:$G,Shift_allowance_Entries!$F:$F,"6:30AM-03:30PM",Shift_allowance_Entries!$B:$B,CPY!$B154)</f>
        <v>0</v>
      </c>
      <c r="P154" s="65">
        <f>SUMIFS(Shift_allowance_Entries!$G:$G,Shift_allowance_Entries!$F:$F,"1-9PM/2:30PM-11:30PM",Shift_allowance_Entries!$B:$B,CPY!$B154)</f>
        <v>0</v>
      </c>
      <c r="Q154" s="65">
        <f>SUMIFS(Shift_allowance_Entries!$G:$G,Shift_allowance_Entries!$F:$F,"11PM-7AM",Shift_allowance_Entries!$B:$B,CPY!$B154)</f>
        <v>0</v>
      </c>
      <c r="R154" s="63">
        <f>(CPY!O154*MD!$F$4)+(CPY!P154*MD!$F$5)+(CPY!Q154*MD!$F$6)</f>
        <v>0</v>
      </c>
      <c r="T154" s="64">
        <f>ROUNDUP((SUMIFS('OOH Activities'!$K:$K,'OOH Activities'!$F:$F,"Non_workdays",'OOH Activities'!$B:$B,CPY!B154)) *24,1)</f>
        <v>0</v>
      </c>
      <c r="U154" s="64">
        <f>ROUNDUP((SUMIFS('OOH Activities'!$K:$K,'OOH Activities'!$F:$F,"Workdays",'OOH Activities'!$B:$B,CPY!B154)) *24,1)</f>
        <v>0</v>
      </c>
      <c r="V154" s="63">
        <f>ROUNDUP((SUMIFS('OOH Activities'!$L:$L,'OOH Activities'!$B:$B,CPY!B154)),1)</f>
        <v>0</v>
      </c>
      <c r="X154" s="65">
        <f>ROUNDUP((SUMIFS('ON Call_Call Out Activities'!$L:$L,'ON Call_Call Out Activities'!$F:$F,"Workdays",'ON Call_Call Out Activities'!$B:$B,CPY!B154))*24,1)</f>
        <v>0</v>
      </c>
      <c r="Y154" s="64">
        <f>ROUNDUP((SUMIFS('ON Call_Call Out Activities'!$L:$L,'ON Call_Call Out Activities'!$F:$F,"Non_workdays",'ON Call_Call Out Activities'!$B:$B,CPY!B154)) *24,1)</f>
        <v>0</v>
      </c>
      <c r="Z154" s="63">
        <f>ROUNDUP((SUMIFS('ON Call_Call Out Activities'!$M:$M,'ON Call_Call Out Activities'!$F:$F,"Non_workdays",'ON Call_Call Out Activities'!$B:$B,CPY!B154)),1) + ROUNDUP((SUMIFS('ON Call_Call Out Activities'!$M:$M,'ON Call_Call Out Activities'!$F:$F,"Workdays",'ON Call_Call Out Activities'!$B:$B,CPY!B154)),1)</f>
        <v>0</v>
      </c>
      <c r="AA154" s="66"/>
      <c r="AB154" s="64">
        <f>ROUNDUP((SUMIFS('ON Call_Call Out Activities'!$L:$L,'ON Call_Call Out Activities'!$F:$F,"Call_Out",'ON Call_Call Out Activities'!$B:$B,CPY!B154)) *24,1)</f>
        <v>0</v>
      </c>
      <c r="AC154" s="63">
        <f>ROUNDUP((SUMIFS('ON Call_Call Out Activities'!$M:$M,'ON Call_Call Out Activities'!$F:$F,"Call_Out",'ON Call_Call Out Activities'!$B:$B,CPY!B154)),1)</f>
        <v>0</v>
      </c>
      <c r="AE154" s="65">
        <f>IF((SUMIF(Shift_allowance_Entries!$B:$B,CPY!$B154,Shift_allowance_Entries!$H:$H)) &gt; (SUMIF(Shift_allowance_Entries!$B:$B,CPY!$B154,Shift_allowance_Entries!$G:$G)),0,((SUMIF(Shift_allowance_Entries!$B:$B,CPY!$B154,Shift_allowance_Entries!$G:$G))-(SUMIF(Shift_allowance_Entries!$B:$B,CPY!$B154,Shift_allowance_Entries!$H:$H))))</f>
        <v>0</v>
      </c>
      <c r="AF154" s="63">
        <f>AE154*MD!$S$4</f>
        <v>0</v>
      </c>
    </row>
    <row r="155" spans="1:32" x14ac:dyDescent="0.25">
      <c r="A155" s="62">
        <v>153</v>
      </c>
      <c r="B155" s="62"/>
      <c r="C155" s="50" t="str">
        <f>IF(ISNA(VLOOKUP($B155,Summary!$B:$D,2,FALSE))=TRUE," ",VLOOKUP($B155,Summary!$B:$D,2,FALSE))</f>
        <v> </v>
      </c>
      <c r="D155" s="50" t="str">
        <f>IF(ISNA(VLOOKUP($B155,Summary!$B:$D,3,FALSE))=TRUE," ",VLOOKUP($B155,Summary!$B:$D,3,FALSE))</f>
        <v> </v>
      </c>
      <c r="E155" s="62"/>
      <c r="F155" s="62"/>
      <c r="G155" s="62"/>
      <c r="I155" s="63">
        <f t="shared" si="2"/>
        <v>0</v>
      </c>
      <c r="K155" s="64">
        <f>IF(E155="Support(L1_L2)",IF(NOT(ISBLANK(B155)),IF(NOT(ISBLANK(D155)),NETWORKDAYS('CPY TOC'!$F$5,'CPY TOC'!$G$5))))-L155</f>
        <v>0</v>
      </c>
      <c r="L155" s="64">
        <f>IF(E155="Support(L1_L2)",SUMIFS(Support_allowance_Entries!$G:$G,Support_allowance_Entries!$B:$B,CPY!B155),0)</f>
        <v>0</v>
      </c>
      <c r="M155" s="63" t="b">
        <f>IF($D155="D0",MD!$C$4*(K155),IF($D155="D1",MD!$C$5*(K155),IF($D155="D2",MD!$C$6*(K155),IF($D155="D3",MD!$C$7*(K155),IF($D155="D4",MD!$C$8*(K155),IF($D155="D5",MD!$C$9*(K155),IF($D155="M1",MD!$C$10*(K155),IF($D155="T1",MD!$C$11*(K155)))))))))</f>
        <v>0</v>
      </c>
      <c r="O155" s="65">
        <f>SUMIFS(Shift_allowance_Entries!$G:$G,Shift_allowance_Entries!$F:$F,"6:30AM-03:30PM",Shift_allowance_Entries!$B:$B,CPY!$B155)</f>
        <v>0</v>
      </c>
      <c r="P155" s="65">
        <f>SUMIFS(Shift_allowance_Entries!$G:$G,Shift_allowance_Entries!$F:$F,"1-9PM/2:30PM-11:30PM",Shift_allowance_Entries!$B:$B,CPY!$B155)</f>
        <v>0</v>
      </c>
      <c r="Q155" s="65">
        <f>SUMIFS(Shift_allowance_Entries!$G:$G,Shift_allowance_Entries!$F:$F,"11PM-7AM",Shift_allowance_Entries!$B:$B,CPY!$B155)</f>
        <v>0</v>
      </c>
      <c r="R155" s="63">
        <f>(CPY!O155*MD!$F$4)+(CPY!P155*MD!$F$5)+(CPY!Q155*MD!$F$6)</f>
        <v>0</v>
      </c>
      <c r="T155" s="64">
        <f>ROUNDUP((SUMIFS('OOH Activities'!$K:$K,'OOH Activities'!$F:$F,"Non_workdays",'OOH Activities'!$B:$B,CPY!B155)) *24,1)</f>
        <v>0</v>
      </c>
      <c r="U155" s="64">
        <f>ROUNDUP((SUMIFS('OOH Activities'!$K:$K,'OOH Activities'!$F:$F,"Workdays",'OOH Activities'!$B:$B,CPY!B155)) *24,1)</f>
        <v>0</v>
      </c>
      <c r="V155" s="63">
        <f>ROUNDUP((SUMIFS('OOH Activities'!$L:$L,'OOH Activities'!$B:$B,CPY!B155)),1)</f>
        <v>0</v>
      </c>
      <c r="X155" s="65">
        <f>ROUNDUP((SUMIFS('ON Call_Call Out Activities'!$L:$L,'ON Call_Call Out Activities'!$F:$F,"Workdays",'ON Call_Call Out Activities'!$B:$B,CPY!B155))*24,1)</f>
        <v>0</v>
      </c>
      <c r="Y155" s="64">
        <f>ROUNDUP((SUMIFS('ON Call_Call Out Activities'!$L:$L,'ON Call_Call Out Activities'!$F:$F,"Non_workdays",'ON Call_Call Out Activities'!$B:$B,CPY!B155)) *24,1)</f>
        <v>0</v>
      </c>
      <c r="Z155" s="63">
        <f>ROUNDUP((SUMIFS('ON Call_Call Out Activities'!$M:$M,'ON Call_Call Out Activities'!$F:$F,"Non_workdays",'ON Call_Call Out Activities'!$B:$B,CPY!B155)),1) + ROUNDUP((SUMIFS('ON Call_Call Out Activities'!$M:$M,'ON Call_Call Out Activities'!$F:$F,"Workdays",'ON Call_Call Out Activities'!$B:$B,CPY!B155)),1)</f>
        <v>0</v>
      </c>
      <c r="AA155" s="66"/>
      <c r="AB155" s="64">
        <f>ROUNDUP((SUMIFS('ON Call_Call Out Activities'!$L:$L,'ON Call_Call Out Activities'!$F:$F,"Call_Out",'ON Call_Call Out Activities'!$B:$B,CPY!B155)) *24,1)</f>
        <v>0</v>
      </c>
      <c r="AC155" s="63">
        <f>ROUNDUP((SUMIFS('ON Call_Call Out Activities'!$M:$M,'ON Call_Call Out Activities'!$F:$F,"Call_Out",'ON Call_Call Out Activities'!$B:$B,CPY!B155)),1)</f>
        <v>0</v>
      </c>
      <c r="AE155" s="65">
        <f>IF((SUMIF(Shift_allowance_Entries!$B:$B,CPY!$B155,Shift_allowance_Entries!$H:$H)) &gt; (SUMIF(Shift_allowance_Entries!$B:$B,CPY!$B155,Shift_allowance_Entries!$G:$G)),0,((SUMIF(Shift_allowance_Entries!$B:$B,CPY!$B155,Shift_allowance_Entries!$G:$G))-(SUMIF(Shift_allowance_Entries!$B:$B,CPY!$B155,Shift_allowance_Entries!$H:$H))))</f>
        <v>0</v>
      </c>
      <c r="AF155" s="63">
        <f>AE155*MD!$S$4</f>
        <v>0</v>
      </c>
    </row>
    <row r="156" spans="1:32" x14ac:dyDescent="0.25">
      <c r="A156" s="62">
        <v>154</v>
      </c>
      <c r="B156" s="62"/>
      <c r="C156" s="50" t="str">
        <f>IF(ISNA(VLOOKUP($B156,Summary!$B:$D,2,FALSE))=TRUE," ",VLOOKUP($B156,Summary!$B:$D,2,FALSE))</f>
        <v> </v>
      </c>
      <c r="D156" s="50" t="str">
        <f>IF(ISNA(VLOOKUP($B156,Summary!$B:$D,3,FALSE))=TRUE," ",VLOOKUP($B156,Summary!$B:$D,3,FALSE))</f>
        <v> </v>
      </c>
      <c r="E156" s="62"/>
      <c r="F156" s="62"/>
      <c r="G156" s="62"/>
      <c r="I156" s="63">
        <f t="shared" si="2"/>
        <v>0</v>
      </c>
      <c r="K156" s="64">
        <f>IF(E156="Support(L1_L2)",IF(NOT(ISBLANK(B156)),IF(NOT(ISBLANK(D156)),NETWORKDAYS('CPY TOC'!$F$5,'CPY TOC'!$G$5))))-L156</f>
        <v>0</v>
      </c>
      <c r="L156" s="64">
        <f>IF(E156="Support(L1_L2)",SUMIFS(Support_allowance_Entries!$G:$G,Support_allowance_Entries!$B:$B,CPY!B156),0)</f>
        <v>0</v>
      </c>
      <c r="M156" s="63" t="b">
        <f>IF($D156="D0",MD!$C$4*(K156),IF($D156="D1",MD!$C$5*(K156),IF($D156="D2",MD!$C$6*(K156),IF($D156="D3",MD!$C$7*(K156),IF($D156="D4",MD!$C$8*(K156),IF($D156="D5",MD!$C$9*(K156),IF($D156="M1",MD!$C$10*(K156),IF($D156="T1",MD!$C$11*(K156)))))))))</f>
        <v>0</v>
      </c>
      <c r="O156" s="65">
        <f>SUMIFS(Shift_allowance_Entries!$G:$G,Shift_allowance_Entries!$F:$F,"6:30AM-03:30PM",Shift_allowance_Entries!$B:$B,CPY!$B156)</f>
        <v>0</v>
      </c>
      <c r="P156" s="65">
        <f>SUMIFS(Shift_allowance_Entries!$G:$G,Shift_allowance_Entries!$F:$F,"1-9PM/2:30PM-11:30PM",Shift_allowance_Entries!$B:$B,CPY!$B156)</f>
        <v>0</v>
      </c>
      <c r="Q156" s="65">
        <f>SUMIFS(Shift_allowance_Entries!$G:$G,Shift_allowance_Entries!$F:$F,"11PM-7AM",Shift_allowance_Entries!$B:$B,CPY!$B156)</f>
        <v>0</v>
      </c>
      <c r="R156" s="63">
        <f>(CPY!O156*MD!$F$4)+(CPY!P156*MD!$F$5)+(CPY!Q156*MD!$F$6)</f>
        <v>0</v>
      </c>
      <c r="T156" s="64">
        <f>ROUNDUP((SUMIFS('OOH Activities'!$K:$K,'OOH Activities'!$F:$F,"Non_workdays",'OOH Activities'!$B:$B,CPY!B156)) *24,1)</f>
        <v>0</v>
      </c>
      <c r="U156" s="64">
        <f>ROUNDUP((SUMIFS('OOH Activities'!$K:$K,'OOH Activities'!$F:$F,"Workdays",'OOH Activities'!$B:$B,CPY!B156)) *24,1)</f>
        <v>0</v>
      </c>
      <c r="V156" s="63">
        <f>ROUNDUP((SUMIFS('OOH Activities'!$L:$L,'OOH Activities'!$B:$B,CPY!B156)),1)</f>
        <v>0</v>
      </c>
      <c r="X156" s="65">
        <f>ROUNDUP((SUMIFS('ON Call_Call Out Activities'!$L:$L,'ON Call_Call Out Activities'!$F:$F,"Workdays",'ON Call_Call Out Activities'!$B:$B,CPY!B156))*24,1)</f>
        <v>0</v>
      </c>
      <c r="Y156" s="64">
        <f>ROUNDUP((SUMIFS('ON Call_Call Out Activities'!$L:$L,'ON Call_Call Out Activities'!$F:$F,"Non_workdays",'ON Call_Call Out Activities'!$B:$B,CPY!B156)) *24,1)</f>
        <v>0</v>
      </c>
      <c r="Z156" s="63">
        <f>ROUNDUP((SUMIFS('ON Call_Call Out Activities'!$M:$M,'ON Call_Call Out Activities'!$F:$F,"Non_workdays",'ON Call_Call Out Activities'!$B:$B,CPY!B156)),1) + ROUNDUP((SUMIFS('ON Call_Call Out Activities'!$M:$M,'ON Call_Call Out Activities'!$F:$F,"Workdays",'ON Call_Call Out Activities'!$B:$B,CPY!B156)),1)</f>
        <v>0</v>
      </c>
      <c r="AA156" s="66"/>
      <c r="AB156" s="64">
        <f>ROUNDUP((SUMIFS('ON Call_Call Out Activities'!$L:$L,'ON Call_Call Out Activities'!$F:$F,"Call_Out",'ON Call_Call Out Activities'!$B:$B,CPY!B156)) *24,1)</f>
        <v>0</v>
      </c>
      <c r="AC156" s="63">
        <f>ROUNDUP((SUMIFS('ON Call_Call Out Activities'!$M:$M,'ON Call_Call Out Activities'!$F:$F,"Call_Out",'ON Call_Call Out Activities'!$B:$B,CPY!B156)),1)</f>
        <v>0</v>
      </c>
      <c r="AE156" s="65">
        <f>IF((SUMIF(Shift_allowance_Entries!$B:$B,CPY!$B156,Shift_allowance_Entries!$H:$H)) &gt; (SUMIF(Shift_allowance_Entries!$B:$B,CPY!$B156,Shift_allowance_Entries!$G:$G)),0,((SUMIF(Shift_allowance_Entries!$B:$B,CPY!$B156,Shift_allowance_Entries!$G:$G))-(SUMIF(Shift_allowance_Entries!$B:$B,CPY!$B156,Shift_allowance_Entries!$H:$H))))</f>
        <v>0</v>
      </c>
      <c r="AF156" s="63">
        <f>AE156*MD!$S$4</f>
        <v>0</v>
      </c>
    </row>
    <row r="157" spans="1:32" x14ac:dyDescent="0.25">
      <c r="A157" s="62">
        <v>155</v>
      </c>
      <c r="B157" s="62"/>
      <c r="C157" s="50" t="str">
        <f>IF(ISNA(VLOOKUP($B157,Summary!$B:$D,2,FALSE))=TRUE," ",VLOOKUP($B157,Summary!$B:$D,2,FALSE))</f>
        <v> </v>
      </c>
      <c r="D157" s="50" t="str">
        <f>IF(ISNA(VLOOKUP($B157,Summary!$B:$D,3,FALSE))=TRUE," ",VLOOKUP($B157,Summary!$B:$D,3,FALSE))</f>
        <v> </v>
      </c>
      <c r="E157" s="62"/>
      <c r="F157" s="62"/>
      <c r="G157" s="62"/>
      <c r="I157" s="63">
        <f t="shared" si="2"/>
        <v>0</v>
      </c>
      <c r="K157" s="64">
        <f>IF(E157="Support(L1_L2)",IF(NOT(ISBLANK(B157)),IF(NOT(ISBLANK(D157)),NETWORKDAYS('CPY TOC'!$F$5,'CPY TOC'!$G$5))))-L157</f>
        <v>0</v>
      </c>
      <c r="L157" s="64">
        <f>IF(E157="Support(L1_L2)",SUMIFS(Support_allowance_Entries!$G:$G,Support_allowance_Entries!$B:$B,CPY!B157),0)</f>
        <v>0</v>
      </c>
      <c r="M157" s="63" t="b">
        <f>IF($D157="D0",MD!$C$4*(K157),IF($D157="D1",MD!$C$5*(K157),IF($D157="D2",MD!$C$6*(K157),IF($D157="D3",MD!$C$7*(K157),IF($D157="D4",MD!$C$8*(K157),IF($D157="D5",MD!$C$9*(K157),IF($D157="M1",MD!$C$10*(K157),IF($D157="T1",MD!$C$11*(K157)))))))))</f>
        <v>0</v>
      </c>
      <c r="O157" s="65">
        <f>SUMIFS(Shift_allowance_Entries!$G:$G,Shift_allowance_Entries!$F:$F,"6:30AM-03:30PM",Shift_allowance_Entries!$B:$B,CPY!$B157)</f>
        <v>0</v>
      </c>
      <c r="P157" s="65">
        <f>SUMIFS(Shift_allowance_Entries!$G:$G,Shift_allowance_Entries!$F:$F,"1-9PM/2:30PM-11:30PM",Shift_allowance_Entries!$B:$B,CPY!$B157)</f>
        <v>0</v>
      </c>
      <c r="Q157" s="65">
        <f>SUMIFS(Shift_allowance_Entries!$G:$G,Shift_allowance_Entries!$F:$F,"11PM-7AM",Shift_allowance_Entries!$B:$B,CPY!$B157)</f>
        <v>0</v>
      </c>
      <c r="R157" s="63">
        <f>(CPY!O157*MD!$F$4)+(CPY!P157*MD!$F$5)+(CPY!Q157*MD!$F$6)</f>
        <v>0</v>
      </c>
      <c r="T157" s="64">
        <f>ROUNDUP((SUMIFS('OOH Activities'!$K:$K,'OOH Activities'!$F:$F,"Non_workdays",'OOH Activities'!$B:$B,CPY!B157)) *24,1)</f>
        <v>0</v>
      </c>
      <c r="U157" s="64">
        <f>ROUNDUP((SUMIFS('OOH Activities'!$K:$K,'OOH Activities'!$F:$F,"Workdays",'OOH Activities'!$B:$B,CPY!B157)) *24,1)</f>
        <v>0</v>
      </c>
      <c r="V157" s="63">
        <f>ROUNDUP((SUMIFS('OOH Activities'!$L:$L,'OOH Activities'!$B:$B,CPY!B157)),1)</f>
        <v>0</v>
      </c>
      <c r="X157" s="65">
        <f>ROUNDUP((SUMIFS('ON Call_Call Out Activities'!$L:$L,'ON Call_Call Out Activities'!$F:$F,"Workdays",'ON Call_Call Out Activities'!$B:$B,CPY!B157))*24,1)</f>
        <v>0</v>
      </c>
      <c r="Y157" s="64">
        <f>ROUNDUP((SUMIFS('ON Call_Call Out Activities'!$L:$L,'ON Call_Call Out Activities'!$F:$F,"Non_workdays",'ON Call_Call Out Activities'!$B:$B,CPY!B157)) *24,1)</f>
        <v>0</v>
      </c>
      <c r="Z157" s="63">
        <f>ROUNDUP((SUMIFS('ON Call_Call Out Activities'!$M:$M,'ON Call_Call Out Activities'!$F:$F,"Non_workdays",'ON Call_Call Out Activities'!$B:$B,CPY!B157)),1) + ROUNDUP((SUMIFS('ON Call_Call Out Activities'!$M:$M,'ON Call_Call Out Activities'!$F:$F,"Workdays",'ON Call_Call Out Activities'!$B:$B,CPY!B157)),1)</f>
        <v>0</v>
      </c>
      <c r="AA157" s="66"/>
      <c r="AB157" s="64">
        <f>ROUNDUP((SUMIFS('ON Call_Call Out Activities'!$L:$L,'ON Call_Call Out Activities'!$F:$F,"Call_Out",'ON Call_Call Out Activities'!$B:$B,CPY!B157)) *24,1)</f>
        <v>0</v>
      </c>
      <c r="AC157" s="63">
        <f>ROUNDUP((SUMIFS('ON Call_Call Out Activities'!$M:$M,'ON Call_Call Out Activities'!$F:$F,"Call_Out",'ON Call_Call Out Activities'!$B:$B,CPY!B157)),1)</f>
        <v>0</v>
      </c>
      <c r="AE157" s="65">
        <f>IF((SUMIF(Shift_allowance_Entries!$B:$B,CPY!$B157,Shift_allowance_Entries!$H:$H)) &gt; (SUMIF(Shift_allowance_Entries!$B:$B,CPY!$B157,Shift_allowance_Entries!$G:$G)),0,((SUMIF(Shift_allowance_Entries!$B:$B,CPY!$B157,Shift_allowance_Entries!$G:$G))-(SUMIF(Shift_allowance_Entries!$B:$B,CPY!$B157,Shift_allowance_Entries!$H:$H))))</f>
        <v>0</v>
      </c>
      <c r="AF157" s="63">
        <f>AE157*MD!$S$4</f>
        <v>0</v>
      </c>
    </row>
    <row r="158" spans="1:32" x14ac:dyDescent="0.25">
      <c r="A158" s="62">
        <v>156</v>
      </c>
      <c r="B158" s="62"/>
      <c r="C158" s="50" t="str">
        <f>IF(ISNA(VLOOKUP($B158,Summary!$B:$D,2,FALSE))=TRUE," ",VLOOKUP($B158,Summary!$B:$D,2,FALSE))</f>
        <v> </v>
      </c>
      <c r="D158" s="50" t="str">
        <f>IF(ISNA(VLOOKUP($B158,Summary!$B:$D,3,FALSE))=TRUE," ",VLOOKUP($B158,Summary!$B:$D,3,FALSE))</f>
        <v> </v>
      </c>
      <c r="E158" s="62"/>
      <c r="F158" s="62"/>
      <c r="G158" s="62"/>
      <c r="I158" s="63">
        <f t="shared" si="2"/>
        <v>0</v>
      </c>
      <c r="K158" s="64">
        <f>IF(E158="Support(L1_L2)",IF(NOT(ISBLANK(B158)),IF(NOT(ISBLANK(D158)),NETWORKDAYS('CPY TOC'!$F$5,'CPY TOC'!$G$5))))-L158</f>
        <v>0</v>
      </c>
      <c r="L158" s="64">
        <f>IF(E158="Support(L1_L2)",SUMIFS(Support_allowance_Entries!$G:$G,Support_allowance_Entries!$B:$B,CPY!B158),0)</f>
        <v>0</v>
      </c>
      <c r="M158" s="63" t="b">
        <f>IF($D158="D0",MD!$C$4*(K158),IF($D158="D1",MD!$C$5*(K158),IF($D158="D2",MD!$C$6*(K158),IF($D158="D3",MD!$C$7*(K158),IF($D158="D4",MD!$C$8*(K158),IF($D158="D5",MD!$C$9*(K158),IF($D158="M1",MD!$C$10*(K158),IF($D158="T1",MD!$C$11*(K158)))))))))</f>
        <v>0</v>
      </c>
      <c r="O158" s="65">
        <f>SUMIFS(Shift_allowance_Entries!$G:$G,Shift_allowance_Entries!$F:$F,"6:30AM-03:30PM",Shift_allowance_Entries!$B:$B,CPY!$B158)</f>
        <v>0</v>
      </c>
      <c r="P158" s="65">
        <f>SUMIFS(Shift_allowance_Entries!$G:$G,Shift_allowance_Entries!$F:$F,"1-9PM/2:30PM-11:30PM",Shift_allowance_Entries!$B:$B,CPY!$B158)</f>
        <v>0</v>
      </c>
      <c r="Q158" s="65">
        <f>SUMIFS(Shift_allowance_Entries!$G:$G,Shift_allowance_Entries!$F:$F,"11PM-7AM",Shift_allowance_Entries!$B:$B,CPY!$B158)</f>
        <v>0</v>
      </c>
      <c r="R158" s="63">
        <f>(CPY!O158*MD!$F$4)+(CPY!P158*MD!$F$5)+(CPY!Q158*MD!$F$6)</f>
        <v>0</v>
      </c>
      <c r="T158" s="64">
        <f>ROUNDUP((SUMIFS('OOH Activities'!$K:$K,'OOH Activities'!$F:$F,"Non_workdays",'OOH Activities'!$B:$B,CPY!B158)) *24,1)</f>
        <v>0</v>
      </c>
      <c r="U158" s="64">
        <f>ROUNDUP((SUMIFS('OOH Activities'!$K:$K,'OOH Activities'!$F:$F,"Workdays",'OOH Activities'!$B:$B,CPY!B158)) *24,1)</f>
        <v>0</v>
      </c>
      <c r="V158" s="63">
        <f>ROUNDUP((SUMIFS('OOH Activities'!$L:$L,'OOH Activities'!$B:$B,CPY!B158)),1)</f>
        <v>0</v>
      </c>
      <c r="X158" s="65">
        <f>ROUNDUP((SUMIFS('ON Call_Call Out Activities'!$L:$L,'ON Call_Call Out Activities'!$F:$F,"Workdays",'ON Call_Call Out Activities'!$B:$B,CPY!B158))*24,1)</f>
        <v>0</v>
      </c>
      <c r="Y158" s="64">
        <f>ROUNDUP((SUMIFS('ON Call_Call Out Activities'!$L:$L,'ON Call_Call Out Activities'!$F:$F,"Non_workdays",'ON Call_Call Out Activities'!$B:$B,CPY!B158)) *24,1)</f>
        <v>0</v>
      </c>
      <c r="Z158" s="63">
        <f>ROUNDUP((SUMIFS('ON Call_Call Out Activities'!$M:$M,'ON Call_Call Out Activities'!$F:$F,"Non_workdays",'ON Call_Call Out Activities'!$B:$B,CPY!B158)),1) + ROUNDUP((SUMIFS('ON Call_Call Out Activities'!$M:$M,'ON Call_Call Out Activities'!$F:$F,"Workdays",'ON Call_Call Out Activities'!$B:$B,CPY!B158)),1)</f>
        <v>0</v>
      </c>
      <c r="AA158" s="66"/>
      <c r="AB158" s="64">
        <f>ROUNDUP((SUMIFS('ON Call_Call Out Activities'!$L:$L,'ON Call_Call Out Activities'!$F:$F,"Call_Out",'ON Call_Call Out Activities'!$B:$B,CPY!B158)) *24,1)</f>
        <v>0</v>
      </c>
      <c r="AC158" s="63">
        <f>ROUNDUP((SUMIFS('ON Call_Call Out Activities'!$M:$M,'ON Call_Call Out Activities'!$F:$F,"Call_Out",'ON Call_Call Out Activities'!$B:$B,CPY!B158)),1)</f>
        <v>0</v>
      </c>
      <c r="AE158" s="65">
        <f>IF((SUMIF(Shift_allowance_Entries!$B:$B,CPY!$B158,Shift_allowance_Entries!$H:$H)) &gt; (SUMIF(Shift_allowance_Entries!$B:$B,CPY!$B158,Shift_allowance_Entries!$G:$G)),0,((SUMIF(Shift_allowance_Entries!$B:$B,CPY!$B158,Shift_allowance_Entries!$G:$G))-(SUMIF(Shift_allowance_Entries!$B:$B,CPY!$B158,Shift_allowance_Entries!$H:$H))))</f>
        <v>0</v>
      </c>
      <c r="AF158" s="63">
        <f>AE158*MD!$S$4</f>
        <v>0</v>
      </c>
    </row>
    <row r="159" spans="1:32" x14ac:dyDescent="0.25">
      <c r="A159" s="62">
        <v>157</v>
      </c>
      <c r="B159" s="62"/>
      <c r="C159" s="50" t="str">
        <f>IF(ISNA(VLOOKUP($B159,Summary!$B:$D,2,FALSE))=TRUE," ",VLOOKUP($B159,Summary!$B:$D,2,FALSE))</f>
        <v> </v>
      </c>
      <c r="D159" s="50" t="str">
        <f>IF(ISNA(VLOOKUP($B159,Summary!$B:$D,3,FALSE))=TRUE," ",VLOOKUP($B159,Summary!$B:$D,3,FALSE))</f>
        <v> </v>
      </c>
      <c r="E159" s="62"/>
      <c r="F159" s="62"/>
      <c r="G159" s="62"/>
      <c r="I159" s="63">
        <f t="shared" si="2"/>
        <v>0</v>
      </c>
      <c r="K159" s="64">
        <f>IF(E159="Support(L1_L2)",IF(NOT(ISBLANK(B159)),IF(NOT(ISBLANK(D159)),NETWORKDAYS('CPY TOC'!$F$5,'CPY TOC'!$G$5))))-L159</f>
        <v>0</v>
      </c>
      <c r="L159" s="64">
        <f>IF(E159="Support(L1_L2)",SUMIFS(Support_allowance_Entries!$G:$G,Support_allowance_Entries!$B:$B,CPY!B159),0)</f>
        <v>0</v>
      </c>
      <c r="M159" s="63" t="b">
        <f>IF($D159="D0",MD!$C$4*(K159),IF($D159="D1",MD!$C$5*(K159),IF($D159="D2",MD!$C$6*(K159),IF($D159="D3",MD!$C$7*(K159),IF($D159="D4",MD!$C$8*(K159),IF($D159="D5",MD!$C$9*(K159),IF($D159="M1",MD!$C$10*(K159),IF($D159="T1",MD!$C$11*(K159)))))))))</f>
        <v>0</v>
      </c>
      <c r="O159" s="65">
        <f>SUMIFS(Shift_allowance_Entries!$G:$G,Shift_allowance_Entries!$F:$F,"6:30AM-03:30PM",Shift_allowance_Entries!$B:$B,CPY!$B159)</f>
        <v>0</v>
      </c>
      <c r="P159" s="65">
        <f>SUMIFS(Shift_allowance_Entries!$G:$G,Shift_allowance_Entries!$F:$F,"1-9PM/2:30PM-11:30PM",Shift_allowance_Entries!$B:$B,CPY!$B159)</f>
        <v>0</v>
      </c>
      <c r="Q159" s="65">
        <f>SUMIFS(Shift_allowance_Entries!$G:$G,Shift_allowance_Entries!$F:$F,"11PM-7AM",Shift_allowance_Entries!$B:$B,CPY!$B159)</f>
        <v>0</v>
      </c>
      <c r="R159" s="63">
        <f>(CPY!O159*MD!$F$4)+(CPY!P159*MD!$F$5)+(CPY!Q159*MD!$F$6)</f>
        <v>0</v>
      </c>
      <c r="T159" s="64">
        <f>ROUNDUP((SUMIFS('OOH Activities'!$K:$K,'OOH Activities'!$F:$F,"Non_workdays",'OOH Activities'!$B:$B,CPY!B159)) *24,1)</f>
        <v>0</v>
      </c>
      <c r="U159" s="64">
        <f>ROUNDUP((SUMIFS('OOH Activities'!$K:$K,'OOH Activities'!$F:$F,"Workdays",'OOH Activities'!$B:$B,CPY!B159)) *24,1)</f>
        <v>0</v>
      </c>
      <c r="V159" s="63">
        <f>ROUNDUP((SUMIFS('OOH Activities'!$L:$L,'OOH Activities'!$B:$B,CPY!B159)),1)</f>
        <v>0</v>
      </c>
      <c r="X159" s="65">
        <f>ROUNDUP((SUMIFS('ON Call_Call Out Activities'!$L:$L,'ON Call_Call Out Activities'!$F:$F,"Workdays",'ON Call_Call Out Activities'!$B:$B,CPY!B159))*24,1)</f>
        <v>0</v>
      </c>
      <c r="Y159" s="64">
        <f>ROUNDUP((SUMIFS('ON Call_Call Out Activities'!$L:$L,'ON Call_Call Out Activities'!$F:$F,"Non_workdays",'ON Call_Call Out Activities'!$B:$B,CPY!B159)) *24,1)</f>
        <v>0</v>
      </c>
      <c r="Z159" s="63">
        <f>ROUNDUP((SUMIFS('ON Call_Call Out Activities'!$M:$M,'ON Call_Call Out Activities'!$F:$F,"Non_workdays",'ON Call_Call Out Activities'!$B:$B,CPY!B159)),1) + ROUNDUP((SUMIFS('ON Call_Call Out Activities'!$M:$M,'ON Call_Call Out Activities'!$F:$F,"Workdays",'ON Call_Call Out Activities'!$B:$B,CPY!B159)),1)</f>
        <v>0</v>
      </c>
      <c r="AA159" s="66"/>
      <c r="AB159" s="64">
        <f>ROUNDUP((SUMIFS('ON Call_Call Out Activities'!$L:$L,'ON Call_Call Out Activities'!$F:$F,"Call_Out",'ON Call_Call Out Activities'!$B:$B,CPY!B159)) *24,1)</f>
        <v>0</v>
      </c>
      <c r="AC159" s="63">
        <f>ROUNDUP((SUMIFS('ON Call_Call Out Activities'!$M:$M,'ON Call_Call Out Activities'!$F:$F,"Call_Out",'ON Call_Call Out Activities'!$B:$B,CPY!B159)),1)</f>
        <v>0</v>
      </c>
      <c r="AE159" s="65">
        <f>IF((SUMIF(Shift_allowance_Entries!$B:$B,CPY!$B159,Shift_allowance_Entries!$H:$H)) &gt; (SUMIF(Shift_allowance_Entries!$B:$B,CPY!$B159,Shift_allowance_Entries!$G:$G)),0,((SUMIF(Shift_allowance_Entries!$B:$B,CPY!$B159,Shift_allowance_Entries!$G:$G))-(SUMIF(Shift_allowance_Entries!$B:$B,CPY!$B159,Shift_allowance_Entries!$H:$H))))</f>
        <v>0</v>
      </c>
      <c r="AF159" s="63">
        <f>AE159*MD!$S$4</f>
        <v>0</v>
      </c>
    </row>
    <row r="160" spans="1:32" x14ac:dyDescent="0.25">
      <c r="A160" s="62">
        <v>158</v>
      </c>
      <c r="B160" s="62"/>
      <c r="C160" s="50" t="str">
        <f>IF(ISNA(VLOOKUP($B160,Summary!$B:$D,2,FALSE))=TRUE," ",VLOOKUP($B160,Summary!$B:$D,2,FALSE))</f>
        <v> </v>
      </c>
      <c r="D160" s="50" t="str">
        <f>IF(ISNA(VLOOKUP($B160,Summary!$B:$D,3,FALSE))=TRUE," ",VLOOKUP($B160,Summary!$B:$D,3,FALSE))</f>
        <v> </v>
      </c>
      <c r="E160" s="62"/>
      <c r="F160" s="62"/>
      <c r="G160" s="62"/>
      <c r="I160" s="63">
        <f t="shared" si="2"/>
        <v>0</v>
      </c>
      <c r="K160" s="64">
        <f>IF(E160="Support(L1_L2)",IF(NOT(ISBLANK(B160)),IF(NOT(ISBLANK(D160)),NETWORKDAYS('CPY TOC'!$F$5,'CPY TOC'!$G$5))))-L160</f>
        <v>0</v>
      </c>
      <c r="L160" s="64">
        <f>IF(E160="Support(L1_L2)",SUMIFS(Support_allowance_Entries!$G:$G,Support_allowance_Entries!$B:$B,CPY!B160),0)</f>
        <v>0</v>
      </c>
      <c r="M160" s="63" t="b">
        <f>IF($D160="D0",MD!$C$4*(K160),IF($D160="D1",MD!$C$5*(K160),IF($D160="D2",MD!$C$6*(K160),IF($D160="D3",MD!$C$7*(K160),IF($D160="D4",MD!$C$8*(K160),IF($D160="D5",MD!$C$9*(K160),IF($D160="M1",MD!$C$10*(K160),IF($D160="T1",MD!$C$11*(K160)))))))))</f>
        <v>0</v>
      </c>
      <c r="O160" s="65">
        <f>SUMIFS(Shift_allowance_Entries!$G:$G,Shift_allowance_Entries!$F:$F,"6:30AM-03:30PM",Shift_allowance_Entries!$B:$B,CPY!$B160)</f>
        <v>0</v>
      </c>
      <c r="P160" s="65">
        <f>SUMIFS(Shift_allowance_Entries!$G:$G,Shift_allowance_Entries!$F:$F,"1-9PM/2:30PM-11:30PM",Shift_allowance_Entries!$B:$B,CPY!$B160)</f>
        <v>0</v>
      </c>
      <c r="Q160" s="65">
        <f>SUMIFS(Shift_allowance_Entries!$G:$G,Shift_allowance_Entries!$F:$F,"11PM-7AM",Shift_allowance_Entries!$B:$B,CPY!$B160)</f>
        <v>0</v>
      </c>
      <c r="R160" s="63">
        <f>(CPY!O160*MD!$F$4)+(CPY!P160*MD!$F$5)+(CPY!Q160*MD!$F$6)</f>
        <v>0</v>
      </c>
      <c r="T160" s="64">
        <f>ROUNDUP((SUMIFS('OOH Activities'!$K:$K,'OOH Activities'!$F:$F,"Non_workdays",'OOH Activities'!$B:$B,CPY!B160)) *24,1)</f>
        <v>0</v>
      </c>
      <c r="U160" s="64">
        <f>ROUNDUP((SUMIFS('OOH Activities'!$K:$K,'OOH Activities'!$F:$F,"Workdays",'OOH Activities'!$B:$B,CPY!B160)) *24,1)</f>
        <v>0</v>
      </c>
      <c r="V160" s="63">
        <f>ROUNDUP((SUMIFS('OOH Activities'!$L:$L,'OOH Activities'!$B:$B,CPY!B160)),1)</f>
        <v>0</v>
      </c>
      <c r="X160" s="65">
        <f>ROUNDUP((SUMIFS('ON Call_Call Out Activities'!$L:$L,'ON Call_Call Out Activities'!$F:$F,"Workdays",'ON Call_Call Out Activities'!$B:$B,CPY!B160))*24,1)</f>
        <v>0</v>
      </c>
      <c r="Y160" s="64">
        <f>ROUNDUP((SUMIFS('ON Call_Call Out Activities'!$L:$L,'ON Call_Call Out Activities'!$F:$F,"Non_workdays",'ON Call_Call Out Activities'!$B:$B,CPY!B160)) *24,1)</f>
        <v>0</v>
      </c>
      <c r="Z160" s="63">
        <f>ROUNDUP((SUMIFS('ON Call_Call Out Activities'!$M:$M,'ON Call_Call Out Activities'!$F:$F,"Non_workdays",'ON Call_Call Out Activities'!$B:$B,CPY!B160)),1) + ROUNDUP((SUMIFS('ON Call_Call Out Activities'!$M:$M,'ON Call_Call Out Activities'!$F:$F,"Workdays",'ON Call_Call Out Activities'!$B:$B,CPY!B160)),1)</f>
        <v>0</v>
      </c>
      <c r="AA160" s="66"/>
      <c r="AB160" s="64">
        <f>ROUNDUP((SUMIFS('ON Call_Call Out Activities'!$L:$L,'ON Call_Call Out Activities'!$F:$F,"Call_Out",'ON Call_Call Out Activities'!$B:$B,CPY!B160)) *24,1)</f>
        <v>0</v>
      </c>
      <c r="AC160" s="63">
        <f>ROUNDUP((SUMIFS('ON Call_Call Out Activities'!$M:$M,'ON Call_Call Out Activities'!$F:$F,"Call_Out",'ON Call_Call Out Activities'!$B:$B,CPY!B160)),1)</f>
        <v>0</v>
      </c>
      <c r="AE160" s="65">
        <f>IF((SUMIF(Shift_allowance_Entries!$B:$B,CPY!$B160,Shift_allowance_Entries!$H:$H)) &gt; (SUMIF(Shift_allowance_Entries!$B:$B,CPY!$B160,Shift_allowance_Entries!$G:$G)),0,((SUMIF(Shift_allowance_Entries!$B:$B,CPY!$B160,Shift_allowance_Entries!$G:$G))-(SUMIF(Shift_allowance_Entries!$B:$B,CPY!$B160,Shift_allowance_Entries!$H:$H))))</f>
        <v>0</v>
      </c>
      <c r="AF160" s="63">
        <f>AE160*MD!$S$4</f>
        <v>0</v>
      </c>
    </row>
    <row r="161" spans="1:32" x14ac:dyDescent="0.25">
      <c r="A161" s="62">
        <v>159</v>
      </c>
      <c r="B161" s="62"/>
      <c r="C161" s="50" t="str">
        <f>IF(ISNA(VLOOKUP($B161,Summary!$B:$D,2,FALSE))=TRUE," ",VLOOKUP($B161,Summary!$B:$D,2,FALSE))</f>
        <v> </v>
      </c>
      <c r="D161" s="50" t="str">
        <f>IF(ISNA(VLOOKUP($B161,Summary!$B:$D,3,FALSE))=TRUE," ",VLOOKUP($B161,Summary!$B:$D,3,FALSE))</f>
        <v> </v>
      </c>
      <c r="E161" s="62"/>
      <c r="F161" s="62"/>
      <c r="G161" s="62"/>
      <c r="I161" s="63">
        <f t="shared" si="2"/>
        <v>0</v>
      </c>
      <c r="K161" s="64">
        <f>IF(E161="Support(L1_L2)",IF(NOT(ISBLANK(B161)),IF(NOT(ISBLANK(D161)),NETWORKDAYS('CPY TOC'!$F$5,'CPY TOC'!$G$5))))-L161</f>
        <v>0</v>
      </c>
      <c r="L161" s="64">
        <f>IF(E161="Support(L1_L2)",SUMIFS(Support_allowance_Entries!$G:$G,Support_allowance_Entries!$B:$B,CPY!B161),0)</f>
        <v>0</v>
      </c>
      <c r="M161" s="63" t="b">
        <f>IF($D161="D0",MD!$C$4*(K161),IF($D161="D1",MD!$C$5*(K161),IF($D161="D2",MD!$C$6*(K161),IF($D161="D3",MD!$C$7*(K161),IF($D161="D4",MD!$C$8*(K161),IF($D161="D5",MD!$C$9*(K161),IF($D161="M1",MD!$C$10*(K161),IF($D161="T1",MD!$C$11*(K161)))))))))</f>
        <v>0</v>
      </c>
      <c r="O161" s="65">
        <f>SUMIFS(Shift_allowance_Entries!$G:$G,Shift_allowance_Entries!$F:$F,"6:30AM-03:30PM",Shift_allowance_Entries!$B:$B,CPY!$B161)</f>
        <v>0</v>
      </c>
      <c r="P161" s="65">
        <f>SUMIFS(Shift_allowance_Entries!$G:$G,Shift_allowance_Entries!$F:$F,"1-9PM/2:30PM-11:30PM",Shift_allowance_Entries!$B:$B,CPY!$B161)</f>
        <v>0</v>
      </c>
      <c r="Q161" s="65">
        <f>SUMIFS(Shift_allowance_Entries!$G:$G,Shift_allowance_Entries!$F:$F,"11PM-7AM",Shift_allowance_Entries!$B:$B,CPY!$B161)</f>
        <v>0</v>
      </c>
      <c r="R161" s="63">
        <f>(CPY!O161*MD!$F$4)+(CPY!P161*MD!$F$5)+(CPY!Q161*MD!$F$6)</f>
        <v>0</v>
      </c>
      <c r="T161" s="64">
        <f>ROUNDUP((SUMIFS('OOH Activities'!$K:$K,'OOH Activities'!$F:$F,"Non_workdays",'OOH Activities'!$B:$B,CPY!B161)) *24,1)</f>
        <v>0</v>
      </c>
      <c r="U161" s="64">
        <f>ROUNDUP((SUMIFS('OOH Activities'!$K:$K,'OOH Activities'!$F:$F,"Workdays",'OOH Activities'!$B:$B,CPY!B161)) *24,1)</f>
        <v>0</v>
      </c>
      <c r="V161" s="63">
        <f>ROUNDUP((SUMIFS('OOH Activities'!$L:$L,'OOH Activities'!$B:$B,CPY!B161)),1)</f>
        <v>0</v>
      </c>
      <c r="X161" s="65">
        <f>ROUNDUP((SUMIFS('ON Call_Call Out Activities'!$L:$L,'ON Call_Call Out Activities'!$F:$F,"Workdays",'ON Call_Call Out Activities'!$B:$B,CPY!B161))*24,1)</f>
        <v>0</v>
      </c>
      <c r="Y161" s="64">
        <f>ROUNDUP((SUMIFS('ON Call_Call Out Activities'!$L:$L,'ON Call_Call Out Activities'!$F:$F,"Non_workdays",'ON Call_Call Out Activities'!$B:$B,CPY!B161)) *24,1)</f>
        <v>0</v>
      </c>
      <c r="Z161" s="63">
        <f>ROUNDUP((SUMIFS('ON Call_Call Out Activities'!$M:$M,'ON Call_Call Out Activities'!$F:$F,"Non_workdays",'ON Call_Call Out Activities'!$B:$B,CPY!B161)),1) + ROUNDUP((SUMIFS('ON Call_Call Out Activities'!$M:$M,'ON Call_Call Out Activities'!$F:$F,"Workdays",'ON Call_Call Out Activities'!$B:$B,CPY!B161)),1)</f>
        <v>0</v>
      </c>
      <c r="AA161" s="66"/>
      <c r="AB161" s="64">
        <f>ROUNDUP((SUMIFS('ON Call_Call Out Activities'!$L:$L,'ON Call_Call Out Activities'!$F:$F,"Call_Out",'ON Call_Call Out Activities'!$B:$B,CPY!B161)) *24,1)</f>
        <v>0</v>
      </c>
      <c r="AC161" s="63">
        <f>ROUNDUP((SUMIFS('ON Call_Call Out Activities'!$M:$M,'ON Call_Call Out Activities'!$F:$F,"Call_Out",'ON Call_Call Out Activities'!$B:$B,CPY!B161)),1)</f>
        <v>0</v>
      </c>
      <c r="AE161" s="65">
        <f>IF((SUMIF(Shift_allowance_Entries!$B:$B,CPY!$B161,Shift_allowance_Entries!$H:$H)) &gt; (SUMIF(Shift_allowance_Entries!$B:$B,CPY!$B161,Shift_allowance_Entries!$G:$G)),0,((SUMIF(Shift_allowance_Entries!$B:$B,CPY!$B161,Shift_allowance_Entries!$G:$G))-(SUMIF(Shift_allowance_Entries!$B:$B,CPY!$B161,Shift_allowance_Entries!$H:$H))))</f>
        <v>0</v>
      </c>
      <c r="AF161" s="63">
        <f>AE161*MD!$S$4</f>
        <v>0</v>
      </c>
    </row>
    <row r="162" spans="1:32" x14ac:dyDescent="0.25">
      <c r="A162" s="62">
        <v>160</v>
      </c>
      <c r="B162" s="62"/>
      <c r="C162" s="50" t="str">
        <f>IF(ISNA(VLOOKUP($B162,Summary!$B:$D,2,FALSE))=TRUE," ",VLOOKUP($B162,Summary!$B:$D,2,FALSE))</f>
        <v> </v>
      </c>
      <c r="D162" s="50" t="str">
        <f>IF(ISNA(VLOOKUP($B162,Summary!$B:$D,3,FALSE))=TRUE," ",VLOOKUP($B162,Summary!$B:$D,3,FALSE))</f>
        <v> </v>
      </c>
      <c r="E162" s="62"/>
      <c r="F162" s="62"/>
      <c r="G162" s="62"/>
      <c r="I162" s="63">
        <f t="shared" si="2"/>
        <v>0</v>
      </c>
      <c r="K162" s="64">
        <f>IF(E162="Support(L1_L2)",IF(NOT(ISBLANK(B162)),IF(NOT(ISBLANK(D162)),NETWORKDAYS('CPY TOC'!$F$5,'CPY TOC'!$G$5))))-L162</f>
        <v>0</v>
      </c>
      <c r="L162" s="64">
        <f>IF(E162="Support(L1_L2)",SUMIFS(Support_allowance_Entries!$G:$G,Support_allowance_Entries!$B:$B,CPY!B162),0)</f>
        <v>0</v>
      </c>
      <c r="M162" s="63" t="b">
        <f>IF($D162="D0",MD!$C$4*(K162),IF($D162="D1",MD!$C$5*(K162),IF($D162="D2",MD!$C$6*(K162),IF($D162="D3",MD!$C$7*(K162),IF($D162="D4",MD!$C$8*(K162),IF($D162="D5",MD!$C$9*(K162),IF($D162="M1",MD!$C$10*(K162),IF($D162="T1",MD!$C$11*(K162)))))))))</f>
        <v>0</v>
      </c>
      <c r="O162" s="65">
        <f>SUMIFS(Shift_allowance_Entries!$G:$G,Shift_allowance_Entries!$F:$F,"6:30AM-03:30PM",Shift_allowance_Entries!$B:$B,CPY!$B162)</f>
        <v>0</v>
      </c>
      <c r="P162" s="65">
        <f>SUMIFS(Shift_allowance_Entries!$G:$G,Shift_allowance_Entries!$F:$F,"1-9PM/2:30PM-11:30PM",Shift_allowance_Entries!$B:$B,CPY!$B162)</f>
        <v>0</v>
      </c>
      <c r="Q162" s="65">
        <f>SUMIFS(Shift_allowance_Entries!$G:$G,Shift_allowance_Entries!$F:$F,"11PM-7AM",Shift_allowance_Entries!$B:$B,CPY!$B162)</f>
        <v>0</v>
      </c>
      <c r="R162" s="63">
        <f>(CPY!O162*MD!$F$4)+(CPY!P162*MD!$F$5)+(CPY!Q162*MD!$F$6)</f>
        <v>0</v>
      </c>
      <c r="T162" s="64">
        <f>ROUNDUP((SUMIFS('OOH Activities'!$K:$K,'OOH Activities'!$F:$F,"Non_workdays",'OOH Activities'!$B:$B,CPY!B162)) *24,1)</f>
        <v>0</v>
      </c>
      <c r="U162" s="64">
        <f>ROUNDUP((SUMIFS('OOH Activities'!$K:$K,'OOH Activities'!$F:$F,"Workdays",'OOH Activities'!$B:$B,CPY!B162)) *24,1)</f>
        <v>0</v>
      </c>
      <c r="V162" s="63">
        <f>ROUNDUP((SUMIFS('OOH Activities'!$L:$L,'OOH Activities'!$B:$B,CPY!B162)),1)</f>
        <v>0</v>
      </c>
      <c r="X162" s="65">
        <f>ROUNDUP((SUMIFS('ON Call_Call Out Activities'!$L:$L,'ON Call_Call Out Activities'!$F:$F,"Workdays",'ON Call_Call Out Activities'!$B:$B,CPY!B162))*24,1)</f>
        <v>0</v>
      </c>
      <c r="Y162" s="64">
        <f>ROUNDUP((SUMIFS('ON Call_Call Out Activities'!$L:$L,'ON Call_Call Out Activities'!$F:$F,"Non_workdays",'ON Call_Call Out Activities'!$B:$B,CPY!B162)) *24,1)</f>
        <v>0</v>
      </c>
      <c r="Z162" s="63">
        <f>ROUNDUP((SUMIFS('ON Call_Call Out Activities'!$M:$M,'ON Call_Call Out Activities'!$F:$F,"Non_workdays",'ON Call_Call Out Activities'!$B:$B,CPY!B162)),1) + ROUNDUP((SUMIFS('ON Call_Call Out Activities'!$M:$M,'ON Call_Call Out Activities'!$F:$F,"Workdays",'ON Call_Call Out Activities'!$B:$B,CPY!B162)),1)</f>
        <v>0</v>
      </c>
      <c r="AA162" s="66"/>
      <c r="AB162" s="64">
        <f>ROUNDUP((SUMIFS('ON Call_Call Out Activities'!$L:$L,'ON Call_Call Out Activities'!$F:$F,"Call_Out",'ON Call_Call Out Activities'!$B:$B,CPY!B162)) *24,1)</f>
        <v>0</v>
      </c>
      <c r="AC162" s="63">
        <f>ROUNDUP((SUMIFS('ON Call_Call Out Activities'!$M:$M,'ON Call_Call Out Activities'!$F:$F,"Call_Out",'ON Call_Call Out Activities'!$B:$B,CPY!B162)),1)</f>
        <v>0</v>
      </c>
      <c r="AE162" s="65">
        <f>IF((SUMIF(Shift_allowance_Entries!$B:$B,CPY!$B162,Shift_allowance_Entries!$H:$H)) &gt; (SUMIF(Shift_allowance_Entries!$B:$B,CPY!$B162,Shift_allowance_Entries!$G:$G)),0,((SUMIF(Shift_allowance_Entries!$B:$B,CPY!$B162,Shift_allowance_Entries!$G:$G))-(SUMIF(Shift_allowance_Entries!$B:$B,CPY!$B162,Shift_allowance_Entries!$H:$H))))</f>
        <v>0</v>
      </c>
      <c r="AF162" s="63">
        <f>AE162*MD!$S$4</f>
        <v>0</v>
      </c>
    </row>
    <row r="163" spans="1:32" x14ac:dyDescent="0.25">
      <c r="A163" s="62">
        <v>161</v>
      </c>
      <c r="B163" s="62"/>
      <c r="C163" s="50" t="str">
        <f>IF(ISNA(VLOOKUP($B163,Summary!$B:$D,2,FALSE))=TRUE," ",VLOOKUP($B163,Summary!$B:$D,2,FALSE))</f>
        <v> </v>
      </c>
      <c r="D163" s="50" t="str">
        <f>IF(ISNA(VLOOKUP($B163,Summary!$B:$D,3,FALSE))=TRUE," ",VLOOKUP($B163,Summary!$B:$D,3,FALSE))</f>
        <v> </v>
      </c>
      <c r="E163" s="62"/>
      <c r="F163" s="62"/>
      <c r="G163" s="62"/>
      <c r="I163" s="63">
        <f t="shared" si="2"/>
        <v>0</v>
      </c>
      <c r="K163" s="64">
        <f>IF(E163="Support(L1_L2)",IF(NOT(ISBLANK(B163)),IF(NOT(ISBLANK(D163)),NETWORKDAYS('CPY TOC'!$F$5,'CPY TOC'!$G$5))))-L163</f>
        <v>0</v>
      </c>
      <c r="L163" s="64">
        <f>IF(E163="Support(L1_L2)",SUMIFS(Support_allowance_Entries!$G:$G,Support_allowance_Entries!$B:$B,CPY!B163),0)</f>
        <v>0</v>
      </c>
      <c r="M163" s="63" t="b">
        <f>IF($D163="D0",MD!$C$4*(K163),IF($D163="D1",MD!$C$5*(K163),IF($D163="D2",MD!$C$6*(K163),IF($D163="D3",MD!$C$7*(K163),IF($D163="D4",MD!$C$8*(K163),IF($D163="D5",MD!$C$9*(K163),IF($D163="M1",MD!$C$10*(K163),IF($D163="T1",MD!$C$11*(K163)))))))))</f>
        <v>0</v>
      </c>
      <c r="O163" s="65">
        <f>SUMIFS(Shift_allowance_Entries!$G:$G,Shift_allowance_Entries!$F:$F,"6:30AM-03:30PM",Shift_allowance_Entries!$B:$B,CPY!$B163)</f>
        <v>0</v>
      </c>
      <c r="P163" s="65">
        <f>SUMIFS(Shift_allowance_Entries!$G:$G,Shift_allowance_Entries!$F:$F,"1-9PM/2:30PM-11:30PM",Shift_allowance_Entries!$B:$B,CPY!$B163)</f>
        <v>0</v>
      </c>
      <c r="Q163" s="65">
        <f>SUMIFS(Shift_allowance_Entries!$G:$G,Shift_allowance_Entries!$F:$F,"11PM-7AM",Shift_allowance_Entries!$B:$B,CPY!$B163)</f>
        <v>0</v>
      </c>
      <c r="R163" s="63">
        <f>(CPY!O163*MD!$F$4)+(CPY!P163*MD!$F$5)+(CPY!Q163*MD!$F$6)</f>
        <v>0</v>
      </c>
      <c r="T163" s="64">
        <f>ROUNDUP((SUMIFS('OOH Activities'!$K:$K,'OOH Activities'!$F:$F,"Non_workdays",'OOH Activities'!$B:$B,CPY!B163)) *24,1)</f>
        <v>0</v>
      </c>
      <c r="U163" s="64">
        <f>ROUNDUP((SUMIFS('OOH Activities'!$K:$K,'OOH Activities'!$F:$F,"Workdays",'OOH Activities'!$B:$B,CPY!B163)) *24,1)</f>
        <v>0</v>
      </c>
      <c r="V163" s="63">
        <f>ROUNDUP((SUMIFS('OOH Activities'!$L:$L,'OOH Activities'!$B:$B,CPY!B163)),1)</f>
        <v>0</v>
      </c>
      <c r="X163" s="65">
        <f>ROUNDUP((SUMIFS('ON Call_Call Out Activities'!$L:$L,'ON Call_Call Out Activities'!$F:$F,"Workdays",'ON Call_Call Out Activities'!$B:$B,CPY!B163))*24,1)</f>
        <v>0</v>
      </c>
      <c r="Y163" s="64">
        <f>ROUNDUP((SUMIFS('ON Call_Call Out Activities'!$L:$L,'ON Call_Call Out Activities'!$F:$F,"Non_workdays",'ON Call_Call Out Activities'!$B:$B,CPY!B163)) *24,1)</f>
        <v>0</v>
      </c>
      <c r="Z163" s="63">
        <f>ROUNDUP((SUMIFS('ON Call_Call Out Activities'!$M:$M,'ON Call_Call Out Activities'!$F:$F,"Non_workdays",'ON Call_Call Out Activities'!$B:$B,CPY!B163)),1) + ROUNDUP((SUMIFS('ON Call_Call Out Activities'!$M:$M,'ON Call_Call Out Activities'!$F:$F,"Workdays",'ON Call_Call Out Activities'!$B:$B,CPY!B163)),1)</f>
        <v>0</v>
      </c>
      <c r="AA163" s="66"/>
      <c r="AB163" s="64">
        <f>ROUNDUP((SUMIFS('ON Call_Call Out Activities'!$L:$L,'ON Call_Call Out Activities'!$F:$F,"Call_Out",'ON Call_Call Out Activities'!$B:$B,CPY!B163)) *24,1)</f>
        <v>0</v>
      </c>
      <c r="AC163" s="63">
        <f>ROUNDUP((SUMIFS('ON Call_Call Out Activities'!$M:$M,'ON Call_Call Out Activities'!$F:$F,"Call_Out",'ON Call_Call Out Activities'!$B:$B,CPY!B163)),1)</f>
        <v>0</v>
      </c>
      <c r="AE163" s="65">
        <f>IF((SUMIF(Shift_allowance_Entries!$B:$B,CPY!$B163,Shift_allowance_Entries!$H:$H)) &gt; (SUMIF(Shift_allowance_Entries!$B:$B,CPY!$B163,Shift_allowance_Entries!$G:$G)),0,((SUMIF(Shift_allowance_Entries!$B:$B,CPY!$B163,Shift_allowance_Entries!$G:$G))-(SUMIF(Shift_allowance_Entries!$B:$B,CPY!$B163,Shift_allowance_Entries!$H:$H))))</f>
        <v>0</v>
      </c>
      <c r="AF163" s="63">
        <f>AE163*MD!$S$4</f>
        <v>0</v>
      </c>
    </row>
    <row r="164" spans="1:32" x14ac:dyDescent="0.25">
      <c r="A164" s="62">
        <v>162</v>
      </c>
      <c r="B164" s="62"/>
      <c r="C164" s="50" t="str">
        <f>IF(ISNA(VLOOKUP($B164,Summary!$B:$D,2,FALSE))=TRUE," ",VLOOKUP($B164,Summary!$B:$D,2,FALSE))</f>
        <v> </v>
      </c>
      <c r="D164" s="50" t="str">
        <f>IF(ISNA(VLOOKUP($B164,Summary!$B:$D,3,FALSE))=TRUE," ",VLOOKUP($B164,Summary!$B:$D,3,FALSE))</f>
        <v> </v>
      </c>
      <c r="E164" s="62"/>
      <c r="F164" s="62"/>
      <c r="G164" s="62"/>
      <c r="I164" s="63">
        <f t="shared" si="2"/>
        <v>0</v>
      </c>
      <c r="K164" s="64">
        <f>IF(E164="Support(L1_L2)",IF(NOT(ISBLANK(B164)),IF(NOT(ISBLANK(D164)),NETWORKDAYS('CPY TOC'!$F$5,'CPY TOC'!$G$5))))-L164</f>
        <v>0</v>
      </c>
      <c r="L164" s="64">
        <f>IF(E164="Support(L1_L2)",SUMIFS(Support_allowance_Entries!$G:$G,Support_allowance_Entries!$B:$B,CPY!B164),0)</f>
        <v>0</v>
      </c>
      <c r="M164" s="63" t="b">
        <f>IF($D164="D0",MD!$C$4*(K164),IF($D164="D1",MD!$C$5*(K164),IF($D164="D2",MD!$C$6*(K164),IF($D164="D3",MD!$C$7*(K164),IF($D164="D4",MD!$C$8*(K164),IF($D164="D5",MD!$C$9*(K164),IF($D164="M1",MD!$C$10*(K164),IF($D164="T1",MD!$C$11*(K164)))))))))</f>
        <v>0</v>
      </c>
      <c r="O164" s="65">
        <f>SUMIFS(Shift_allowance_Entries!$G:$G,Shift_allowance_Entries!$F:$F,"6:30AM-03:30PM",Shift_allowance_Entries!$B:$B,CPY!$B164)</f>
        <v>0</v>
      </c>
      <c r="P164" s="65">
        <f>SUMIFS(Shift_allowance_Entries!$G:$G,Shift_allowance_Entries!$F:$F,"1-9PM/2:30PM-11:30PM",Shift_allowance_Entries!$B:$B,CPY!$B164)</f>
        <v>0</v>
      </c>
      <c r="Q164" s="65">
        <f>SUMIFS(Shift_allowance_Entries!$G:$G,Shift_allowance_Entries!$F:$F,"11PM-7AM",Shift_allowance_Entries!$B:$B,CPY!$B164)</f>
        <v>0</v>
      </c>
      <c r="R164" s="63">
        <f>(CPY!O164*MD!$F$4)+(CPY!P164*MD!$F$5)+(CPY!Q164*MD!$F$6)</f>
        <v>0</v>
      </c>
      <c r="T164" s="64">
        <f>ROUNDUP((SUMIFS('OOH Activities'!$K:$K,'OOH Activities'!$F:$F,"Non_workdays",'OOH Activities'!$B:$B,CPY!B164)) *24,1)</f>
        <v>0</v>
      </c>
      <c r="U164" s="64">
        <f>ROUNDUP((SUMIFS('OOH Activities'!$K:$K,'OOH Activities'!$F:$F,"Workdays",'OOH Activities'!$B:$B,CPY!B164)) *24,1)</f>
        <v>0</v>
      </c>
      <c r="V164" s="63">
        <f>ROUNDUP((SUMIFS('OOH Activities'!$L:$L,'OOH Activities'!$B:$B,CPY!B164)),1)</f>
        <v>0</v>
      </c>
      <c r="X164" s="65">
        <f>ROUNDUP((SUMIFS('ON Call_Call Out Activities'!$L:$L,'ON Call_Call Out Activities'!$F:$F,"Workdays",'ON Call_Call Out Activities'!$B:$B,CPY!B164))*24,1)</f>
        <v>0</v>
      </c>
      <c r="Y164" s="64">
        <f>ROUNDUP((SUMIFS('ON Call_Call Out Activities'!$L:$L,'ON Call_Call Out Activities'!$F:$F,"Non_workdays",'ON Call_Call Out Activities'!$B:$B,CPY!B164)) *24,1)</f>
        <v>0</v>
      </c>
      <c r="Z164" s="63">
        <f>ROUNDUP((SUMIFS('ON Call_Call Out Activities'!$M:$M,'ON Call_Call Out Activities'!$F:$F,"Non_workdays",'ON Call_Call Out Activities'!$B:$B,CPY!B164)),1) + ROUNDUP((SUMIFS('ON Call_Call Out Activities'!$M:$M,'ON Call_Call Out Activities'!$F:$F,"Workdays",'ON Call_Call Out Activities'!$B:$B,CPY!B164)),1)</f>
        <v>0</v>
      </c>
      <c r="AA164" s="66"/>
      <c r="AB164" s="64">
        <f>ROUNDUP((SUMIFS('ON Call_Call Out Activities'!$L:$L,'ON Call_Call Out Activities'!$F:$F,"Call_Out",'ON Call_Call Out Activities'!$B:$B,CPY!B164)) *24,1)</f>
        <v>0</v>
      </c>
      <c r="AC164" s="63">
        <f>ROUNDUP((SUMIFS('ON Call_Call Out Activities'!$M:$M,'ON Call_Call Out Activities'!$F:$F,"Call_Out",'ON Call_Call Out Activities'!$B:$B,CPY!B164)),1)</f>
        <v>0</v>
      </c>
      <c r="AE164" s="65">
        <f>IF((SUMIF(Shift_allowance_Entries!$B:$B,CPY!$B164,Shift_allowance_Entries!$H:$H)) &gt; (SUMIF(Shift_allowance_Entries!$B:$B,CPY!$B164,Shift_allowance_Entries!$G:$G)),0,((SUMIF(Shift_allowance_Entries!$B:$B,CPY!$B164,Shift_allowance_Entries!$G:$G))-(SUMIF(Shift_allowance_Entries!$B:$B,CPY!$B164,Shift_allowance_Entries!$H:$H))))</f>
        <v>0</v>
      </c>
      <c r="AF164" s="63">
        <f>AE164*MD!$S$4</f>
        <v>0</v>
      </c>
    </row>
    <row r="165" spans="1:32" x14ac:dyDescent="0.25">
      <c r="A165" s="62">
        <v>163</v>
      </c>
      <c r="B165" s="62"/>
      <c r="C165" s="50" t="str">
        <f>IF(ISNA(VLOOKUP($B165,Summary!$B:$D,2,FALSE))=TRUE," ",VLOOKUP($B165,Summary!$B:$D,2,FALSE))</f>
        <v> </v>
      </c>
      <c r="D165" s="50" t="str">
        <f>IF(ISNA(VLOOKUP($B165,Summary!$B:$D,3,FALSE))=TRUE," ",VLOOKUP($B165,Summary!$B:$D,3,FALSE))</f>
        <v> </v>
      </c>
      <c r="E165" s="62"/>
      <c r="F165" s="62"/>
      <c r="G165" s="62"/>
      <c r="I165" s="63">
        <f t="shared" si="2"/>
        <v>0</v>
      </c>
      <c r="K165" s="64">
        <f>IF(E165="Support(L1_L2)",IF(NOT(ISBLANK(B165)),IF(NOT(ISBLANK(D165)),NETWORKDAYS('CPY TOC'!$F$5,'CPY TOC'!$G$5))))-L165</f>
        <v>0</v>
      </c>
      <c r="L165" s="64">
        <f>IF(E165="Support(L1_L2)",SUMIFS(Support_allowance_Entries!$G:$G,Support_allowance_Entries!$B:$B,CPY!B165),0)</f>
        <v>0</v>
      </c>
      <c r="M165" s="63" t="b">
        <f>IF($D165="D0",MD!$C$4*(K165),IF($D165="D1",MD!$C$5*(K165),IF($D165="D2",MD!$C$6*(K165),IF($D165="D3",MD!$C$7*(K165),IF($D165="D4",MD!$C$8*(K165),IF($D165="D5",MD!$C$9*(K165),IF($D165="M1",MD!$C$10*(K165),IF($D165="T1",MD!$C$11*(K165)))))))))</f>
        <v>0</v>
      </c>
      <c r="O165" s="65">
        <f>SUMIFS(Shift_allowance_Entries!$G:$G,Shift_allowance_Entries!$F:$F,"6:30AM-03:30PM",Shift_allowance_Entries!$B:$B,CPY!$B165)</f>
        <v>0</v>
      </c>
      <c r="P165" s="65">
        <f>SUMIFS(Shift_allowance_Entries!$G:$G,Shift_allowance_Entries!$F:$F,"1-9PM/2:30PM-11:30PM",Shift_allowance_Entries!$B:$B,CPY!$B165)</f>
        <v>0</v>
      </c>
      <c r="Q165" s="65">
        <f>SUMIFS(Shift_allowance_Entries!$G:$G,Shift_allowance_Entries!$F:$F,"11PM-7AM",Shift_allowance_Entries!$B:$B,CPY!$B165)</f>
        <v>0</v>
      </c>
      <c r="R165" s="63">
        <f>(CPY!O165*MD!$F$4)+(CPY!P165*MD!$F$5)+(CPY!Q165*MD!$F$6)</f>
        <v>0</v>
      </c>
      <c r="T165" s="64">
        <f>ROUNDUP((SUMIFS('OOH Activities'!$K:$K,'OOH Activities'!$F:$F,"Non_workdays",'OOH Activities'!$B:$B,CPY!B165)) *24,1)</f>
        <v>0</v>
      </c>
      <c r="U165" s="64">
        <f>ROUNDUP((SUMIFS('OOH Activities'!$K:$K,'OOH Activities'!$F:$F,"Workdays",'OOH Activities'!$B:$B,CPY!B165)) *24,1)</f>
        <v>0</v>
      </c>
      <c r="V165" s="63">
        <f>ROUNDUP((SUMIFS('OOH Activities'!$L:$L,'OOH Activities'!$B:$B,CPY!B165)),1)</f>
        <v>0</v>
      </c>
      <c r="X165" s="65">
        <f>ROUNDUP((SUMIFS('ON Call_Call Out Activities'!$L:$L,'ON Call_Call Out Activities'!$F:$F,"Workdays",'ON Call_Call Out Activities'!$B:$B,CPY!B165))*24,1)</f>
        <v>0</v>
      </c>
      <c r="Y165" s="64">
        <f>ROUNDUP((SUMIFS('ON Call_Call Out Activities'!$L:$L,'ON Call_Call Out Activities'!$F:$F,"Non_workdays",'ON Call_Call Out Activities'!$B:$B,CPY!B165)) *24,1)</f>
        <v>0</v>
      </c>
      <c r="Z165" s="63">
        <f>ROUNDUP((SUMIFS('ON Call_Call Out Activities'!$M:$M,'ON Call_Call Out Activities'!$F:$F,"Non_workdays",'ON Call_Call Out Activities'!$B:$B,CPY!B165)),1) + ROUNDUP((SUMIFS('ON Call_Call Out Activities'!$M:$M,'ON Call_Call Out Activities'!$F:$F,"Workdays",'ON Call_Call Out Activities'!$B:$B,CPY!B165)),1)</f>
        <v>0</v>
      </c>
      <c r="AA165" s="66"/>
      <c r="AB165" s="64">
        <f>ROUNDUP((SUMIFS('ON Call_Call Out Activities'!$L:$L,'ON Call_Call Out Activities'!$F:$F,"Call_Out",'ON Call_Call Out Activities'!$B:$B,CPY!B165)) *24,1)</f>
        <v>0</v>
      </c>
      <c r="AC165" s="63">
        <f>ROUNDUP((SUMIFS('ON Call_Call Out Activities'!$M:$M,'ON Call_Call Out Activities'!$F:$F,"Call_Out",'ON Call_Call Out Activities'!$B:$B,CPY!B165)),1)</f>
        <v>0</v>
      </c>
      <c r="AE165" s="65">
        <f>IF((SUMIF(Shift_allowance_Entries!$B:$B,CPY!$B165,Shift_allowance_Entries!$H:$H)) &gt; (SUMIF(Shift_allowance_Entries!$B:$B,CPY!$B165,Shift_allowance_Entries!$G:$G)),0,((SUMIF(Shift_allowance_Entries!$B:$B,CPY!$B165,Shift_allowance_Entries!$G:$G))-(SUMIF(Shift_allowance_Entries!$B:$B,CPY!$B165,Shift_allowance_Entries!$H:$H))))</f>
        <v>0</v>
      </c>
      <c r="AF165" s="63">
        <f>AE165*MD!$S$4</f>
        <v>0</v>
      </c>
    </row>
    <row r="166" spans="1:32" x14ac:dyDescent="0.25">
      <c r="A166" s="62">
        <v>164</v>
      </c>
      <c r="B166" s="62"/>
      <c r="C166" s="50" t="str">
        <f>IF(ISNA(VLOOKUP($B166,Summary!$B:$D,2,FALSE))=TRUE," ",VLOOKUP($B166,Summary!$B:$D,2,FALSE))</f>
        <v> </v>
      </c>
      <c r="D166" s="50" t="str">
        <f>IF(ISNA(VLOOKUP($B166,Summary!$B:$D,3,FALSE))=TRUE," ",VLOOKUP($B166,Summary!$B:$D,3,FALSE))</f>
        <v> </v>
      </c>
      <c r="E166" s="62"/>
      <c r="F166" s="62"/>
      <c r="G166" s="62"/>
      <c r="I166" s="63">
        <f t="shared" si="2"/>
        <v>0</v>
      </c>
      <c r="K166" s="64">
        <f>IF(E166="Support(L1_L2)",IF(NOT(ISBLANK(B166)),IF(NOT(ISBLANK(D166)),NETWORKDAYS('CPY TOC'!$F$5,'CPY TOC'!$G$5))))-L166</f>
        <v>0</v>
      </c>
      <c r="L166" s="64">
        <f>IF(E166="Support(L1_L2)",SUMIFS(Support_allowance_Entries!$G:$G,Support_allowance_Entries!$B:$B,CPY!B166),0)</f>
        <v>0</v>
      </c>
      <c r="M166" s="63" t="b">
        <f>IF($D166="D0",MD!$C$4*(K166),IF($D166="D1",MD!$C$5*(K166),IF($D166="D2",MD!$C$6*(K166),IF($D166="D3",MD!$C$7*(K166),IF($D166="D4",MD!$C$8*(K166),IF($D166="D5",MD!$C$9*(K166),IF($D166="M1",MD!$C$10*(K166),IF($D166="T1",MD!$C$11*(K166)))))))))</f>
        <v>0</v>
      </c>
      <c r="O166" s="65">
        <f>SUMIFS(Shift_allowance_Entries!$G:$G,Shift_allowance_Entries!$F:$F,"6:30AM-03:30PM",Shift_allowance_Entries!$B:$B,CPY!$B166)</f>
        <v>0</v>
      </c>
      <c r="P166" s="65">
        <f>SUMIFS(Shift_allowance_Entries!$G:$G,Shift_allowance_Entries!$F:$F,"1-9PM/2:30PM-11:30PM",Shift_allowance_Entries!$B:$B,CPY!$B166)</f>
        <v>0</v>
      </c>
      <c r="Q166" s="65">
        <f>SUMIFS(Shift_allowance_Entries!$G:$G,Shift_allowance_Entries!$F:$F,"11PM-7AM",Shift_allowance_Entries!$B:$B,CPY!$B166)</f>
        <v>0</v>
      </c>
      <c r="R166" s="63">
        <f>(CPY!O166*MD!$F$4)+(CPY!P166*MD!$F$5)+(CPY!Q166*MD!$F$6)</f>
        <v>0</v>
      </c>
      <c r="T166" s="64">
        <f>ROUNDUP((SUMIFS('OOH Activities'!$K:$K,'OOH Activities'!$F:$F,"Non_workdays",'OOH Activities'!$B:$B,CPY!B166)) *24,1)</f>
        <v>0</v>
      </c>
      <c r="U166" s="64">
        <f>ROUNDUP((SUMIFS('OOH Activities'!$K:$K,'OOH Activities'!$F:$F,"Workdays",'OOH Activities'!$B:$B,CPY!B166)) *24,1)</f>
        <v>0</v>
      </c>
      <c r="V166" s="63">
        <f>ROUNDUP((SUMIFS('OOH Activities'!$L:$L,'OOH Activities'!$B:$B,CPY!B166)),1)</f>
        <v>0</v>
      </c>
      <c r="X166" s="65">
        <f>ROUNDUP((SUMIFS('ON Call_Call Out Activities'!$L:$L,'ON Call_Call Out Activities'!$F:$F,"Workdays",'ON Call_Call Out Activities'!$B:$B,CPY!B166))*24,1)</f>
        <v>0</v>
      </c>
      <c r="Y166" s="64">
        <f>ROUNDUP((SUMIFS('ON Call_Call Out Activities'!$L:$L,'ON Call_Call Out Activities'!$F:$F,"Non_workdays",'ON Call_Call Out Activities'!$B:$B,CPY!B166)) *24,1)</f>
        <v>0</v>
      </c>
      <c r="Z166" s="63">
        <f>ROUNDUP((SUMIFS('ON Call_Call Out Activities'!$M:$M,'ON Call_Call Out Activities'!$F:$F,"Non_workdays",'ON Call_Call Out Activities'!$B:$B,CPY!B166)),1) + ROUNDUP((SUMIFS('ON Call_Call Out Activities'!$M:$M,'ON Call_Call Out Activities'!$F:$F,"Workdays",'ON Call_Call Out Activities'!$B:$B,CPY!B166)),1)</f>
        <v>0</v>
      </c>
      <c r="AA166" s="66"/>
      <c r="AB166" s="64">
        <f>ROUNDUP((SUMIFS('ON Call_Call Out Activities'!$L:$L,'ON Call_Call Out Activities'!$F:$F,"Call_Out",'ON Call_Call Out Activities'!$B:$B,CPY!B166)) *24,1)</f>
        <v>0</v>
      </c>
      <c r="AC166" s="63">
        <f>ROUNDUP((SUMIFS('ON Call_Call Out Activities'!$M:$M,'ON Call_Call Out Activities'!$F:$F,"Call_Out",'ON Call_Call Out Activities'!$B:$B,CPY!B166)),1)</f>
        <v>0</v>
      </c>
      <c r="AE166" s="65">
        <f>IF((SUMIF(Shift_allowance_Entries!$B:$B,CPY!$B166,Shift_allowance_Entries!$H:$H)) &gt; (SUMIF(Shift_allowance_Entries!$B:$B,CPY!$B166,Shift_allowance_Entries!$G:$G)),0,((SUMIF(Shift_allowance_Entries!$B:$B,CPY!$B166,Shift_allowance_Entries!$G:$G))-(SUMIF(Shift_allowance_Entries!$B:$B,CPY!$B166,Shift_allowance_Entries!$H:$H))))</f>
        <v>0</v>
      </c>
      <c r="AF166" s="63">
        <f>AE166*MD!$S$4</f>
        <v>0</v>
      </c>
    </row>
    <row r="167" spans="1:32" x14ac:dyDescent="0.25">
      <c r="A167" s="62">
        <v>165</v>
      </c>
      <c r="B167" s="62"/>
      <c r="C167" s="50" t="str">
        <f>IF(ISNA(VLOOKUP($B167,Summary!$B:$D,2,FALSE))=TRUE," ",VLOOKUP($B167,Summary!$B:$D,2,FALSE))</f>
        <v> </v>
      </c>
      <c r="D167" s="50" t="str">
        <f>IF(ISNA(VLOOKUP($B167,Summary!$B:$D,3,FALSE))=TRUE," ",VLOOKUP($B167,Summary!$B:$D,3,FALSE))</f>
        <v> </v>
      </c>
      <c r="E167" s="62"/>
      <c r="F167" s="62"/>
      <c r="G167" s="62"/>
      <c r="I167" s="63">
        <f t="shared" si="2"/>
        <v>0</v>
      </c>
      <c r="K167" s="64">
        <f>IF(E167="Support(L1_L2)",IF(NOT(ISBLANK(B167)),IF(NOT(ISBLANK(D167)),NETWORKDAYS('CPY TOC'!$F$5,'CPY TOC'!$G$5))))-L167</f>
        <v>0</v>
      </c>
      <c r="L167" s="64">
        <f>IF(E167="Support(L1_L2)",SUMIFS(Support_allowance_Entries!$G:$G,Support_allowance_Entries!$B:$B,CPY!B167),0)</f>
        <v>0</v>
      </c>
      <c r="M167" s="63" t="b">
        <f>IF($D167="D0",MD!$C$4*(K167),IF($D167="D1",MD!$C$5*(K167),IF($D167="D2",MD!$C$6*(K167),IF($D167="D3",MD!$C$7*(K167),IF($D167="D4",MD!$C$8*(K167),IF($D167="D5",MD!$C$9*(K167),IF($D167="M1",MD!$C$10*(K167),IF($D167="T1",MD!$C$11*(K167)))))))))</f>
        <v>0</v>
      </c>
      <c r="O167" s="65">
        <f>SUMIFS(Shift_allowance_Entries!$G:$G,Shift_allowance_Entries!$F:$F,"6:30AM-03:30PM",Shift_allowance_Entries!$B:$B,CPY!$B167)</f>
        <v>0</v>
      </c>
      <c r="P167" s="65">
        <f>SUMIFS(Shift_allowance_Entries!$G:$G,Shift_allowance_Entries!$F:$F,"1-9PM/2:30PM-11:30PM",Shift_allowance_Entries!$B:$B,CPY!$B167)</f>
        <v>0</v>
      </c>
      <c r="Q167" s="65">
        <f>SUMIFS(Shift_allowance_Entries!$G:$G,Shift_allowance_Entries!$F:$F,"11PM-7AM",Shift_allowance_Entries!$B:$B,CPY!$B167)</f>
        <v>0</v>
      </c>
      <c r="R167" s="63">
        <f>(CPY!O167*MD!$F$4)+(CPY!P167*MD!$F$5)+(CPY!Q167*MD!$F$6)</f>
        <v>0</v>
      </c>
      <c r="T167" s="64">
        <f>ROUNDUP((SUMIFS('OOH Activities'!$K:$K,'OOH Activities'!$F:$F,"Non_workdays",'OOH Activities'!$B:$B,CPY!B167)) *24,1)</f>
        <v>0</v>
      </c>
      <c r="U167" s="64">
        <f>ROUNDUP((SUMIFS('OOH Activities'!$K:$K,'OOH Activities'!$F:$F,"Workdays",'OOH Activities'!$B:$B,CPY!B167)) *24,1)</f>
        <v>0</v>
      </c>
      <c r="V167" s="63">
        <f>ROUNDUP((SUMIFS('OOH Activities'!$L:$L,'OOH Activities'!$B:$B,CPY!B167)),1)</f>
        <v>0</v>
      </c>
      <c r="X167" s="65">
        <f>ROUNDUP((SUMIFS('ON Call_Call Out Activities'!$L:$L,'ON Call_Call Out Activities'!$F:$F,"Workdays",'ON Call_Call Out Activities'!$B:$B,CPY!B167))*24,1)</f>
        <v>0</v>
      </c>
      <c r="Y167" s="64">
        <f>ROUNDUP((SUMIFS('ON Call_Call Out Activities'!$L:$L,'ON Call_Call Out Activities'!$F:$F,"Non_workdays",'ON Call_Call Out Activities'!$B:$B,CPY!B167)) *24,1)</f>
        <v>0</v>
      </c>
      <c r="Z167" s="63">
        <f>ROUNDUP((SUMIFS('ON Call_Call Out Activities'!$M:$M,'ON Call_Call Out Activities'!$F:$F,"Non_workdays",'ON Call_Call Out Activities'!$B:$B,CPY!B167)),1) + ROUNDUP((SUMIFS('ON Call_Call Out Activities'!$M:$M,'ON Call_Call Out Activities'!$F:$F,"Workdays",'ON Call_Call Out Activities'!$B:$B,CPY!B167)),1)</f>
        <v>0</v>
      </c>
      <c r="AA167" s="66"/>
      <c r="AB167" s="64">
        <f>ROUNDUP((SUMIFS('ON Call_Call Out Activities'!$L:$L,'ON Call_Call Out Activities'!$F:$F,"Call_Out",'ON Call_Call Out Activities'!$B:$B,CPY!B167)) *24,1)</f>
        <v>0</v>
      </c>
      <c r="AC167" s="63">
        <f>ROUNDUP((SUMIFS('ON Call_Call Out Activities'!$M:$M,'ON Call_Call Out Activities'!$F:$F,"Call_Out",'ON Call_Call Out Activities'!$B:$B,CPY!B167)),1)</f>
        <v>0</v>
      </c>
      <c r="AE167" s="65">
        <f>IF((SUMIF(Shift_allowance_Entries!$B:$B,CPY!$B167,Shift_allowance_Entries!$H:$H)) &gt; (SUMIF(Shift_allowance_Entries!$B:$B,CPY!$B167,Shift_allowance_Entries!$G:$G)),0,((SUMIF(Shift_allowance_Entries!$B:$B,CPY!$B167,Shift_allowance_Entries!$G:$G))-(SUMIF(Shift_allowance_Entries!$B:$B,CPY!$B167,Shift_allowance_Entries!$H:$H))))</f>
        <v>0</v>
      </c>
      <c r="AF167" s="63">
        <f>AE167*MD!$S$4</f>
        <v>0</v>
      </c>
    </row>
    <row r="168" spans="1:32" x14ac:dyDescent="0.25">
      <c r="A168" s="62">
        <v>166</v>
      </c>
      <c r="B168" s="62"/>
      <c r="C168" s="50" t="str">
        <f>IF(ISNA(VLOOKUP($B168,Summary!$B:$D,2,FALSE))=TRUE," ",VLOOKUP($B168,Summary!$B:$D,2,FALSE))</f>
        <v> </v>
      </c>
      <c r="D168" s="50" t="str">
        <f>IF(ISNA(VLOOKUP($B168,Summary!$B:$D,3,FALSE))=TRUE," ",VLOOKUP($B168,Summary!$B:$D,3,FALSE))</f>
        <v> </v>
      </c>
      <c r="E168" s="62"/>
      <c r="F168" s="62"/>
      <c r="G168" s="62"/>
      <c r="I168" s="63">
        <f t="shared" si="2"/>
        <v>0</v>
      </c>
      <c r="K168" s="64">
        <f>IF(E168="Support(L1_L2)",IF(NOT(ISBLANK(B168)),IF(NOT(ISBLANK(D168)),NETWORKDAYS('CPY TOC'!$F$5,'CPY TOC'!$G$5))))-L168</f>
        <v>0</v>
      </c>
      <c r="L168" s="64">
        <f>IF(E168="Support(L1_L2)",SUMIFS(Support_allowance_Entries!$G:$G,Support_allowance_Entries!$B:$B,CPY!B168),0)</f>
        <v>0</v>
      </c>
      <c r="M168" s="63" t="b">
        <f>IF($D168="D0",MD!$C$4*(K168),IF($D168="D1",MD!$C$5*(K168),IF($D168="D2",MD!$C$6*(K168),IF($D168="D3",MD!$C$7*(K168),IF($D168="D4",MD!$C$8*(K168),IF($D168="D5",MD!$C$9*(K168),IF($D168="M1",MD!$C$10*(K168),IF($D168="T1",MD!$C$11*(K168)))))))))</f>
        <v>0</v>
      </c>
      <c r="O168" s="65">
        <f>SUMIFS(Shift_allowance_Entries!$G:$G,Shift_allowance_Entries!$F:$F,"6:30AM-03:30PM",Shift_allowance_Entries!$B:$B,CPY!$B168)</f>
        <v>0</v>
      </c>
      <c r="P168" s="65">
        <f>SUMIFS(Shift_allowance_Entries!$G:$G,Shift_allowance_Entries!$F:$F,"1-9PM/2:30PM-11:30PM",Shift_allowance_Entries!$B:$B,CPY!$B168)</f>
        <v>0</v>
      </c>
      <c r="Q168" s="65">
        <f>SUMIFS(Shift_allowance_Entries!$G:$G,Shift_allowance_Entries!$F:$F,"11PM-7AM",Shift_allowance_Entries!$B:$B,CPY!$B168)</f>
        <v>0</v>
      </c>
      <c r="R168" s="63">
        <f>(CPY!O168*MD!$F$4)+(CPY!P168*MD!$F$5)+(CPY!Q168*MD!$F$6)</f>
        <v>0</v>
      </c>
      <c r="T168" s="64">
        <f>ROUNDUP((SUMIFS('OOH Activities'!$K:$K,'OOH Activities'!$F:$F,"Non_workdays",'OOH Activities'!$B:$B,CPY!B168)) *24,1)</f>
        <v>0</v>
      </c>
      <c r="U168" s="64">
        <f>ROUNDUP((SUMIFS('OOH Activities'!$K:$K,'OOH Activities'!$F:$F,"Workdays",'OOH Activities'!$B:$B,CPY!B168)) *24,1)</f>
        <v>0</v>
      </c>
      <c r="V168" s="63">
        <f>ROUNDUP((SUMIFS('OOH Activities'!$L:$L,'OOH Activities'!$B:$B,CPY!B168)),1)</f>
        <v>0</v>
      </c>
      <c r="X168" s="65">
        <f>ROUNDUP((SUMIFS('ON Call_Call Out Activities'!$L:$L,'ON Call_Call Out Activities'!$F:$F,"Workdays",'ON Call_Call Out Activities'!$B:$B,CPY!B168))*24,1)</f>
        <v>0</v>
      </c>
      <c r="Y168" s="64">
        <f>ROUNDUP((SUMIFS('ON Call_Call Out Activities'!$L:$L,'ON Call_Call Out Activities'!$F:$F,"Non_workdays",'ON Call_Call Out Activities'!$B:$B,CPY!B168)) *24,1)</f>
        <v>0</v>
      </c>
      <c r="Z168" s="63">
        <f>ROUNDUP((SUMIFS('ON Call_Call Out Activities'!$M:$M,'ON Call_Call Out Activities'!$F:$F,"Non_workdays",'ON Call_Call Out Activities'!$B:$B,CPY!B168)),1) + ROUNDUP((SUMIFS('ON Call_Call Out Activities'!$M:$M,'ON Call_Call Out Activities'!$F:$F,"Workdays",'ON Call_Call Out Activities'!$B:$B,CPY!B168)),1)</f>
        <v>0</v>
      </c>
      <c r="AA168" s="66"/>
      <c r="AB168" s="64">
        <f>ROUNDUP((SUMIFS('ON Call_Call Out Activities'!$L:$L,'ON Call_Call Out Activities'!$F:$F,"Call_Out",'ON Call_Call Out Activities'!$B:$B,CPY!B168)) *24,1)</f>
        <v>0</v>
      </c>
      <c r="AC168" s="63">
        <f>ROUNDUP((SUMIFS('ON Call_Call Out Activities'!$M:$M,'ON Call_Call Out Activities'!$F:$F,"Call_Out",'ON Call_Call Out Activities'!$B:$B,CPY!B168)),1)</f>
        <v>0</v>
      </c>
      <c r="AE168" s="65">
        <f>IF((SUMIF(Shift_allowance_Entries!$B:$B,CPY!$B168,Shift_allowance_Entries!$H:$H)) &gt; (SUMIF(Shift_allowance_Entries!$B:$B,CPY!$B168,Shift_allowance_Entries!$G:$G)),0,((SUMIF(Shift_allowance_Entries!$B:$B,CPY!$B168,Shift_allowance_Entries!$G:$G))-(SUMIF(Shift_allowance_Entries!$B:$B,CPY!$B168,Shift_allowance_Entries!$H:$H))))</f>
        <v>0</v>
      </c>
      <c r="AF168" s="63">
        <f>AE168*MD!$S$4</f>
        <v>0</v>
      </c>
    </row>
    <row r="169" spans="1:32" x14ac:dyDescent="0.25">
      <c r="A169" s="62">
        <v>167</v>
      </c>
      <c r="B169" s="62"/>
      <c r="C169" s="50" t="str">
        <f>IF(ISNA(VLOOKUP($B169,Summary!$B:$D,2,FALSE))=TRUE," ",VLOOKUP($B169,Summary!$B:$D,2,FALSE))</f>
        <v> </v>
      </c>
      <c r="D169" s="50" t="str">
        <f>IF(ISNA(VLOOKUP($B169,Summary!$B:$D,3,FALSE))=TRUE," ",VLOOKUP($B169,Summary!$B:$D,3,FALSE))</f>
        <v> </v>
      </c>
      <c r="E169" s="62"/>
      <c r="F169" s="62"/>
      <c r="G169" s="62"/>
      <c r="I169" s="63">
        <f t="shared" si="2"/>
        <v>0</v>
      </c>
      <c r="K169" s="64">
        <f>IF(E169="Support(L1_L2)",IF(NOT(ISBLANK(B169)),IF(NOT(ISBLANK(D169)),NETWORKDAYS('CPY TOC'!$F$5,'CPY TOC'!$G$5))))-L169</f>
        <v>0</v>
      </c>
      <c r="L169" s="64">
        <f>IF(E169="Support(L1_L2)",SUMIFS(Support_allowance_Entries!$G:$G,Support_allowance_Entries!$B:$B,CPY!B169),0)</f>
        <v>0</v>
      </c>
      <c r="M169" s="63" t="b">
        <f>IF($D169="D0",MD!$C$4*(K169),IF($D169="D1",MD!$C$5*(K169),IF($D169="D2",MD!$C$6*(K169),IF($D169="D3",MD!$C$7*(K169),IF($D169="D4",MD!$C$8*(K169),IF($D169="D5",MD!$C$9*(K169),IF($D169="M1",MD!$C$10*(K169),IF($D169="T1",MD!$C$11*(K169)))))))))</f>
        <v>0</v>
      </c>
      <c r="O169" s="65">
        <f>SUMIFS(Shift_allowance_Entries!$G:$G,Shift_allowance_Entries!$F:$F,"6:30AM-03:30PM",Shift_allowance_Entries!$B:$B,CPY!$B169)</f>
        <v>0</v>
      </c>
      <c r="P169" s="65">
        <f>SUMIFS(Shift_allowance_Entries!$G:$G,Shift_allowance_Entries!$F:$F,"1-9PM/2:30PM-11:30PM",Shift_allowance_Entries!$B:$B,CPY!$B169)</f>
        <v>0</v>
      </c>
      <c r="Q169" s="65">
        <f>SUMIFS(Shift_allowance_Entries!$G:$G,Shift_allowance_Entries!$F:$F,"11PM-7AM",Shift_allowance_Entries!$B:$B,CPY!$B169)</f>
        <v>0</v>
      </c>
      <c r="R169" s="63">
        <f>(CPY!O169*MD!$F$4)+(CPY!P169*MD!$F$5)+(CPY!Q169*MD!$F$6)</f>
        <v>0</v>
      </c>
      <c r="T169" s="64">
        <f>ROUNDUP((SUMIFS('OOH Activities'!$K:$K,'OOH Activities'!$F:$F,"Non_workdays",'OOH Activities'!$B:$B,CPY!B169)) *24,1)</f>
        <v>0</v>
      </c>
      <c r="U169" s="64">
        <f>ROUNDUP((SUMIFS('OOH Activities'!$K:$K,'OOH Activities'!$F:$F,"Workdays",'OOH Activities'!$B:$B,CPY!B169)) *24,1)</f>
        <v>0</v>
      </c>
      <c r="V169" s="63">
        <f>ROUNDUP((SUMIFS('OOH Activities'!$L:$L,'OOH Activities'!$B:$B,CPY!B169)),1)</f>
        <v>0</v>
      </c>
      <c r="X169" s="65">
        <f>ROUNDUP((SUMIFS('ON Call_Call Out Activities'!$L:$L,'ON Call_Call Out Activities'!$F:$F,"Workdays",'ON Call_Call Out Activities'!$B:$B,CPY!B169))*24,1)</f>
        <v>0</v>
      </c>
      <c r="Y169" s="64">
        <f>ROUNDUP((SUMIFS('ON Call_Call Out Activities'!$L:$L,'ON Call_Call Out Activities'!$F:$F,"Non_workdays",'ON Call_Call Out Activities'!$B:$B,CPY!B169)) *24,1)</f>
        <v>0</v>
      </c>
      <c r="Z169" s="63">
        <f>ROUNDUP((SUMIFS('ON Call_Call Out Activities'!$M:$M,'ON Call_Call Out Activities'!$F:$F,"Non_workdays",'ON Call_Call Out Activities'!$B:$B,CPY!B169)),1) + ROUNDUP((SUMIFS('ON Call_Call Out Activities'!$M:$M,'ON Call_Call Out Activities'!$F:$F,"Workdays",'ON Call_Call Out Activities'!$B:$B,CPY!B169)),1)</f>
        <v>0</v>
      </c>
      <c r="AA169" s="66"/>
      <c r="AB169" s="64">
        <f>ROUNDUP((SUMIFS('ON Call_Call Out Activities'!$L:$L,'ON Call_Call Out Activities'!$F:$F,"Call_Out",'ON Call_Call Out Activities'!$B:$B,CPY!B169)) *24,1)</f>
        <v>0</v>
      </c>
      <c r="AC169" s="63">
        <f>ROUNDUP((SUMIFS('ON Call_Call Out Activities'!$M:$M,'ON Call_Call Out Activities'!$F:$F,"Call_Out",'ON Call_Call Out Activities'!$B:$B,CPY!B169)),1)</f>
        <v>0</v>
      </c>
      <c r="AE169" s="65">
        <f>IF((SUMIF(Shift_allowance_Entries!$B:$B,CPY!$B169,Shift_allowance_Entries!$H:$H)) &gt; (SUMIF(Shift_allowance_Entries!$B:$B,CPY!$B169,Shift_allowance_Entries!$G:$G)),0,((SUMIF(Shift_allowance_Entries!$B:$B,CPY!$B169,Shift_allowance_Entries!$G:$G))-(SUMIF(Shift_allowance_Entries!$B:$B,CPY!$B169,Shift_allowance_Entries!$H:$H))))</f>
        <v>0</v>
      </c>
      <c r="AF169" s="63">
        <f>AE169*MD!$S$4</f>
        <v>0</v>
      </c>
    </row>
    <row r="170" spans="1:32" x14ac:dyDescent="0.25">
      <c r="A170" s="62">
        <v>168</v>
      </c>
      <c r="B170" s="62"/>
      <c r="C170" s="50" t="str">
        <f>IF(ISNA(VLOOKUP($B170,Summary!$B:$D,2,FALSE))=TRUE," ",VLOOKUP($B170,Summary!$B:$D,2,FALSE))</f>
        <v> </v>
      </c>
      <c r="D170" s="50" t="str">
        <f>IF(ISNA(VLOOKUP($B170,Summary!$B:$D,3,FALSE))=TRUE," ",VLOOKUP($B170,Summary!$B:$D,3,FALSE))</f>
        <v> </v>
      </c>
      <c r="E170" s="62"/>
      <c r="F170" s="62"/>
      <c r="G170" s="62"/>
      <c r="I170" s="63">
        <f t="shared" si="2"/>
        <v>0</v>
      </c>
      <c r="K170" s="64">
        <f>IF(E170="Support(L1_L2)",IF(NOT(ISBLANK(B170)),IF(NOT(ISBLANK(D170)),NETWORKDAYS('CPY TOC'!$F$5,'CPY TOC'!$G$5))))-L170</f>
        <v>0</v>
      </c>
      <c r="L170" s="64">
        <f>IF(E170="Support(L1_L2)",SUMIFS(Support_allowance_Entries!$G:$G,Support_allowance_Entries!$B:$B,CPY!B170),0)</f>
        <v>0</v>
      </c>
      <c r="M170" s="63" t="b">
        <f>IF($D170="D0",MD!$C$4*(K170),IF($D170="D1",MD!$C$5*(K170),IF($D170="D2",MD!$C$6*(K170),IF($D170="D3",MD!$C$7*(K170),IF($D170="D4",MD!$C$8*(K170),IF($D170="D5",MD!$C$9*(K170),IF($D170="M1",MD!$C$10*(K170),IF($D170="T1",MD!$C$11*(K170)))))))))</f>
        <v>0</v>
      </c>
      <c r="O170" s="65">
        <f>SUMIFS(Shift_allowance_Entries!$G:$G,Shift_allowance_Entries!$F:$F,"6:30AM-03:30PM",Shift_allowance_Entries!$B:$B,CPY!$B170)</f>
        <v>0</v>
      </c>
      <c r="P170" s="65">
        <f>SUMIFS(Shift_allowance_Entries!$G:$G,Shift_allowance_Entries!$F:$F,"1-9PM/2:30PM-11:30PM",Shift_allowance_Entries!$B:$B,CPY!$B170)</f>
        <v>0</v>
      </c>
      <c r="Q170" s="65">
        <f>SUMIFS(Shift_allowance_Entries!$G:$G,Shift_allowance_Entries!$F:$F,"11PM-7AM",Shift_allowance_Entries!$B:$B,CPY!$B170)</f>
        <v>0</v>
      </c>
      <c r="R170" s="63">
        <f>(CPY!O170*MD!$F$4)+(CPY!P170*MD!$F$5)+(CPY!Q170*MD!$F$6)</f>
        <v>0</v>
      </c>
      <c r="T170" s="64">
        <f>ROUNDUP((SUMIFS('OOH Activities'!$K:$K,'OOH Activities'!$F:$F,"Non_workdays",'OOH Activities'!$B:$B,CPY!B170)) *24,1)</f>
        <v>0</v>
      </c>
      <c r="U170" s="64">
        <f>ROUNDUP((SUMIFS('OOH Activities'!$K:$K,'OOH Activities'!$F:$F,"Workdays",'OOH Activities'!$B:$B,CPY!B170)) *24,1)</f>
        <v>0</v>
      </c>
      <c r="V170" s="63">
        <f>ROUNDUP((SUMIFS('OOH Activities'!$L:$L,'OOH Activities'!$B:$B,CPY!B170)),1)</f>
        <v>0</v>
      </c>
      <c r="X170" s="65">
        <f>ROUNDUP((SUMIFS('ON Call_Call Out Activities'!$L:$L,'ON Call_Call Out Activities'!$F:$F,"Workdays",'ON Call_Call Out Activities'!$B:$B,CPY!B170))*24,1)</f>
        <v>0</v>
      </c>
      <c r="Y170" s="64">
        <f>ROUNDUP((SUMIFS('ON Call_Call Out Activities'!$L:$L,'ON Call_Call Out Activities'!$F:$F,"Non_workdays",'ON Call_Call Out Activities'!$B:$B,CPY!B170)) *24,1)</f>
        <v>0</v>
      </c>
      <c r="Z170" s="63">
        <f>ROUNDUP((SUMIFS('ON Call_Call Out Activities'!$M:$M,'ON Call_Call Out Activities'!$F:$F,"Non_workdays",'ON Call_Call Out Activities'!$B:$B,CPY!B170)),1) + ROUNDUP((SUMIFS('ON Call_Call Out Activities'!$M:$M,'ON Call_Call Out Activities'!$F:$F,"Workdays",'ON Call_Call Out Activities'!$B:$B,CPY!B170)),1)</f>
        <v>0</v>
      </c>
      <c r="AA170" s="66"/>
      <c r="AB170" s="64">
        <f>ROUNDUP((SUMIFS('ON Call_Call Out Activities'!$L:$L,'ON Call_Call Out Activities'!$F:$F,"Call_Out",'ON Call_Call Out Activities'!$B:$B,CPY!B170)) *24,1)</f>
        <v>0</v>
      </c>
      <c r="AC170" s="63">
        <f>ROUNDUP((SUMIFS('ON Call_Call Out Activities'!$M:$M,'ON Call_Call Out Activities'!$F:$F,"Call_Out",'ON Call_Call Out Activities'!$B:$B,CPY!B170)),1)</f>
        <v>0</v>
      </c>
      <c r="AE170" s="65">
        <f>IF((SUMIF(Shift_allowance_Entries!$B:$B,CPY!$B170,Shift_allowance_Entries!$H:$H)) &gt; (SUMIF(Shift_allowance_Entries!$B:$B,CPY!$B170,Shift_allowance_Entries!$G:$G)),0,((SUMIF(Shift_allowance_Entries!$B:$B,CPY!$B170,Shift_allowance_Entries!$G:$G))-(SUMIF(Shift_allowance_Entries!$B:$B,CPY!$B170,Shift_allowance_Entries!$H:$H))))</f>
        <v>0</v>
      </c>
      <c r="AF170" s="63">
        <f>AE170*MD!$S$4</f>
        <v>0</v>
      </c>
    </row>
    <row r="171" spans="1:32" x14ac:dyDescent="0.25">
      <c r="A171" s="62">
        <v>169</v>
      </c>
      <c r="B171" s="62"/>
      <c r="C171" s="50" t="str">
        <f>IF(ISNA(VLOOKUP($B171,Summary!$B:$D,2,FALSE))=TRUE," ",VLOOKUP($B171,Summary!$B:$D,2,FALSE))</f>
        <v> </v>
      </c>
      <c r="D171" s="50" t="str">
        <f>IF(ISNA(VLOOKUP($B171,Summary!$B:$D,3,FALSE))=TRUE," ",VLOOKUP($B171,Summary!$B:$D,3,FALSE))</f>
        <v> </v>
      </c>
      <c r="E171" s="62"/>
      <c r="F171" s="62"/>
      <c r="G171" s="62"/>
      <c r="I171" s="63">
        <f t="shared" si="2"/>
        <v>0</v>
      </c>
      <c r="K171" s="64">
        <f>IF(E171="Support(L1_L2)",IF(NOT(ISBLANK(B171)),IF(NOT(ISBLANK(D171)),NETWORKDAYS('CPY TOC'!$F$5,'CPY TOC'!$G$5))))-L171</f>
        <v>0</v>
      </c>
      <c r="L171" s="64">
        <f>IF(E171="Support(L1_L2)",SUMIFS(Support_allowance_Entries!$G:$G,Support_allowance_Entries!$B:$B,CPY!B171),0)</f>
        <v>0</v>
      </c>
      <c r="M171" s="63" t="b">
        <f>IF($D171="D0",MD!$C$4*(K171),IF($D171="D1",MD!$C$5*(K171),IF($D171="D2",MD!$C$6*(K171),IF($D171="D3",MD!$C$7*(K171),IF($D171="D4",MD!$C$8*(K171),IF($D171="D5",MD!$C$9*(K171),IF($D171="M1",MD!$C$10*(K171),IF($D171="T1",MD!$C$11*(K171)))))))))</f>
        <v>0</v>
      </c>
      <c r="O171" s="65">
        <f>SUMIFS(Shift_allowance_Entries!$G:$G,Shift_allowance_Entries!$F:$F,"6:30AM-03:30PM",Shift_allowance_Entries!$B:$B,CPY!$B171)</f>
        <v>0</v>
      </c>
      <c r="P171" s="65">
        <f>SUMIFS(Shift_allowance_Entries!$G:$G,Shift_allowance_Entries!$F:$F,"1-9PM/2:30PM-11:30PM",Shift_allowance_Entries!$B:$B,CPY!$B171)</f>
        <v>0</v>
      </c>
      <c r="Q171" s="65">
        <f>SUMIFS(Shift_allowance_Entries!$G:$G,Shift_allowance_Entries!$F:$F,"11PM-7AM",Shift_allowance_Entries!$B:$B,CPY!$B171)</f>
        <v>0</v>
      </c>
      <c r="R171" s="63">
        <f>(CPY!O171*MD!$F$4)+(CPY!P171*MD!$F$5)+(CPY!Q171*MD!$F$6)</f>
        <v>0</v>
      </c>
      <c r="T171" s="64">
        <f>ROUNDUP((SUMIFS('OOH Activities'!$K:$K,'OOH Activities'!$F:$F,"Non_workdays",'OOH Activities'!$B:$B,CPY!B171)) *24,1)</f>
        <v>0</v>
      </c>
      <c r="U171" s="64">
        <f>ROUNDUP((SUMIFS('OOH Activities'!$K:$K,'OOH Activities'!$F:$F,"Workdays",'OOH Activities'!$B:$B,CPY!B171)) *24,1)</f>
        <v>0</v>
      </c>
      <c r="V171" s="63">
        <f>ROUNDUP((SUMIFS('OOH Activities'!$L:$L,'OOH Activities'!$B:$B,CPY!B171)),1)</f>
        <v>0</v>
      </c>
      <c r="X171" s="65">
        <f>ROUNDUP((SUMIFS('ON Call_Call Out Activities'!$L:$L,'ON Call_Call Out Activities'!$F:$F,"Workdays",'ON Call_Call Out Activities'!$B:$B,CPY!B171))*24,1)</f>
        <v>0</v>
      </c>
      <c r="Y171" s="64">
        <f>ROUNDUP((SUMIFS('ON Call_Call Out Activities'!$L:$L,'ON Call_Call Out Activities'!$F:$F,"Non_workdays",'ON Call_Call Out Activities'!$B:$B,CPY!B171)) *24,1)</f>
        <v>0</v>
      </c>
      <c r="Z171" s="63">
        <f>ROUNDUP((SUMIFS('ON Call_Call Out Activities'!$M:$M,'ON Call_Call Out Activities'!$F:$F,"Non_workdays",'ON Call_Call Out Activities'!$B:$B,CPY!B171)),1) + ROUNDUP((SUMIFS('ON Call_Call Out Activities'!$M:$M,'ON Call_Call Out Activities'!$F:$F,"Workdays",'ON Call_Call Out Activities'!$B:$B,CPY!B171)),1)</f>
        <v>0</v>
      </c>
      <c r="AA171" s="66"/>
      <c r="AB171" s="64">
        <f>ROUNDUP((SUMIFS('ON Call_Call Out Activities'!$L:$L,'ON Call_Call Out Activities'!$F:$F,"Call_Out",'ON Call_Call Out Activities'!$B:$B,CPY!B171)) *24,1)</f>
        <v>0</v>
      </c>
      <c r="AC171" s="63">
        <f>ROUNDUP((SUMIFS('ON Call_Call Out Activities'!$M:$M,'ON Call_Call Out Activities'!$F:$F,"Call_Out",'ON Call_Call Out Activities'!$B:$B,CPY!B171)),1)</f>
        <v>0</v>
      </c>
      <c r="AE171" s="65">
        <f>IF((SUMIF(Shift_allowance_Entries!$B:$B,CPY!$B171,Shift_allowance_Entries!$H:$H)) &gt; (SUMIF(Shift_allowance_Entries!$B:$B,CPY!$B171,Shift_allowance_Entries!$G:$G)),0,((SUMIF(Shift_allowance_Entries!$B:$B,CPY!$B171,Shift_allowance_Entries!$G:$G))-(SUMIF(Shift_allowance_Entries!$B:$B,CPY!$B171,Shift_allowance_Entries!$H:$H))))</f>
        <v>0</v>
      </c>
      <c r="AF171" s="63">
        <f>AE171*MD!$S$4</f>
        <v>0</v>
      </c>
    </row>
    <row r="172" spans="1:32" x14ac:dyDescent="0.25">
      <c r="A172" s="62">
        <v>170</v>
      </c>
      <c r="B172" s="62"/>
      <c r="C172" s="50" t="str">
        <f>IF(ISNA(VLOOKUP($B172,Summary!$B:$D,2,FALSE))=TRUE," ",VLOOKUP($B172,Summary!$B:$D,2,FALSE))</f>
        <v> </v>
      </c>
      <c r="D172" s="50" t="str">
        <f>IF(ISNA(VLOOKUP($B172,Summary!$B:$D,3,FALSE))=TRUE," ",VLOOKUP($B172,Summary!$B:$D,3,FALSE))</f>
        <v> </v>
      </c>
      <c r="E172" s="62"/>
      <c r="F172" s="62"/>
      <c r="G172" s="62"/>
      <c r="I172" s="63">
        <f t="shared" si="2"/>
        <v>0</v>
      </c>
      <c r="K172" s="64">
        <f>IF(E172="Support(L1_L2)",IF(NOT(ISBLANK(B172)),IF(NOT(ISBLANK(D172)),NETWORKDAYS('CPY TOC'!$F$5,'CPY TOC'!$G$5))))-L172</f>
        <v>0</v>
      </c>
      <c r="L172" s="64">
        <f>IF(E172="Support(L1_L2)",SUMIFS(Support_allowance_Entries!$G:$G,Support_allowance_Entries!$B:$B,CPY!B172),0)</f>
        <v>0</v>
      </c>
      <c r="M172" s="63" t="b">
        <f>IF($D172="D0",MD!$C$4*(K172),IF($D172="D1",MD!$C$5*(K172),IF($D172="D2",MD!$C$6*(K172),IF($D172="D3",MD!$C$7*(K172),IF($D172="D4",MD!$C$8*(K172),IF($D172="D5",MD!$C$9*(K172),IF($D172="M1",MD!$C$10*(K172),IF($D172="T1",MD!$C$11*(K172)))))))))</f>
        <v>0</v>
      </c>
      <c r="O172" s="65">
        <f>SUMIFS(Shift_allowance_Entries!$G:$G,Shift_allowance_Entries!$F:$F,"6:30AM-03:30PM",Shift_allowance_Entries!$B:$B,CPY!$B172)</f>
        <v>0</v>
      </c>
      <c r="P172" s="65">
        <f>SUMIFS(Shift_allowance_Entries!$G:$G,Shift_allowance_Entries!$F:$F,"1-9PM/2:30PM-11:30PM",Shift_allowance_Entries!$B:$B,CPY!$B172)</f>
        <v>0</v>
      </c>
      <c r="Q172" s="65">
        <f>SUMIFS(Shift_allowance_Entries!$G:$G,Shift_allowance_Entries!$F:$F,"11PM-7AM",Shift_allowance_Entries!$B:$B,CPY!$B172)</f>
        <v>0</v>
      </c>
      <c r="R172" s="63">
        <f>(CPY!O172*MD!$F$4)+(CPY!P172*MD!$F$5)+(CPY!Q172*MD!$F$6)</f>
        <v>0</v>
      </c>
      <c r="T172" s="64">
        <f>ROUNDUP((SUMIFS('OOH Activities'!$K:$K,'OOH Activities'!$F:$F,"Non_workdays",'OOH Activities'!$B:$B,CPY!B172)) *24,1)</f>
        <v>0</v>
      </c>
      <c r="U172" s="64">
        <f>ROUNDUP((SUMIFS('OOH Activities'!$K:$K,'OOH Activities'!$F:$F,"Workdays",'OOH Activities'!$B:$B,CPY!B172)) *24,1)</f>
        <v>0</v>
      </c>
      <c r="V172" s="63">
        <f>ROUNDUP((SUMIFS('OOH Activities'!$L:$L,'OOH Activities'!$B:$B,CPY!B172)),1)</f>
        <v>0</v>
      </c>
      <c r="X172" s="65">
        <f>ROUNDUP((SUMIFS('ON Call_Call Out Activities'!$L:$L,'ON Call_Call Out Activities'!$F:$F,"Workdays",'ON Call_Call Out Activities'!$B:$B,CPY!B172))*24,1)</f>
        <v>0</v>
      </c>
      <c r="Y172" s="64">
        <f>ROUNDUP((SUMIFS('ON Call_Call Out Activities'!$L:$L,'ON Call_Call Out Activities'!$F:$F,"Non_workdays",'ON Call_Call Out Activities'!$B:$B,CPY!B172)) *24,1)</f>
        <v>0</v>
      </c>
      <c r="Z172" s="63">
        <f>ROUNDUP((SUMIFS('ON Call_Call Out Activities'!$M:$M,'ON Call_Call Out Activities'!$F:$F,"Non_workdays",'ON Call_Call Out Activities'!$B:$B,CPY!B172)),1) + ROUNDUP((SUMIFS('ON Call_Call Out Activities'!$M:$M,'ON Call_Call Out Activities'!$F:$F,"Workdays",'ON Call_Call Out Activities'!$B:$B,CPY!B172)),1)</f>
        <v>0</v>
      </c>
      <c r="AA172" s="66"/>
      <c r="AB172" s="64">
        <f>ROUNDUP((SUMIFS('ON Call_Call Out Activities'!$L:$L,'ON Call_Call Out Activities'!$F:$F,"Call_Out",'ON Call_Call Out Activities'!$B:$B,CPY!B172)) *24,1)</f>
        <v>0</v>
      </c>
      <c r="AC172" s="63">
        <f>ROUNDUP((SUMIFS('ON Call_Call Out Activities'!$M:$M,'ON Call_Call Out Activities'!$F:$F,"Call_Out",'ON Call_Call Out Activities'!$B:$B,CPY!B172)),1)</f>
        <v>0</v>
      </c>
      <c r="AE172" s="65">
        <f>IF((SUMIF(Shift_allowance_Entries!$B:$B,CPY!$B172,Shift_allowance_Entries!$H:$H)) &gt; (SUMIF(Shift_allowance_Entries!$B:$B,CPY!$B172,Shift_allowance_Entries!$G:$G)),0,((SUMIF(Shift_allowance_Entries!$B:$B,CPY!$B172,Shift_allowance_Entries!$G:$G))-(SUMIF(Shift_allowance_Entries!$B:$B,CPY!$B172,Shift_allowance_Entries!$H:$H))))</f>
        <v>0</v>
      </c>
      <c r="AF172" s="63">
        <f>AE172*MD!$S$4</f>
        <v>0</v>
      </c>
    </row>
    <row r="173" spans="1:32" x14ac:dyDescent="0.25">
      <c r="A173" s="62">
        <v>171</v>
      </c>
      <c r="B173" s="62"/>
      <c r="C173" s="50" t="str">
        <f>IF(ISNA(VLOOKUP($B173,Summary!$B:$D,2,FALSE))=TRUE," ",VLOOKUP($B173,Summary!$B:$D,2,FALSE))</f>
        <v> </v>
      </c>
      <c r="D173" s="50" t="str">
        <f>IF(ISNA(VLOOKUP($B173,Summary!$B:$D,3,FALSE))=TRUE," ",VLOOKUP($B173,Summary!$B:$D,3,FALSE))</f>
        <v> </v>
      </c>
      <c r="E173" s="62"/>
      <c r="F173" s="62"/>
      <c r="G173" s="62"/>
      <c r="I173" s="63">
        <f t="shared" si="2"/>
        <v>0</v>
      </c>
      <c r="K173" s="64">
        <f>IF(E173="Support(L1_L2)",IF(NOT(ISBLANK(B173)),IF(NOT(ISBLANK(D173)),NETWORKDAYS('CPY TOC'!$F$5,'CPY TOC'!$G$5))))-L173</f>
        <v>0</v>
      </c>
      <c r="L173" s="64">
        <f>IF(E173="Support(L1_L2)",SUMIFS(Support_allowance_Entries!$G:$G,Support_allowance_Entries!$B:$B,CPY!B173),0)</f>
        <v>0</v>
      </c>
      <c r="M173" s="63" t="b">
        <f>IF($D173="D0",MD!$C$4*(K173),IF($D173="D1",MD!$C$5*(K173),IF($D173="D2",MD!$C$6*(K173),IF($D173="D3",MD!$C$7*(K173),IF($D173="D4",MD!$C$8*(K173),IF($D173="D5",MD!$C$9*(K173),IF($D173="M1",MD!$C$10*(K173),IF($D173="T1",MD!$C$11*(K173)))))))))</f>
        <v>0</v>
      </c>
      <c r="O173" s="65">
        <f>SUMIFS(Shift_allowance_Entries!$G:$G,Shift_allowance_Entries!$F:$F,"6:30AM-03:30PM",Shift_allowance_Entries!$B:$B,CPY!$B173)</f>
        <v>0</v>
      </c>
      <c r="P173" s="65">
        <f>SUMIFS(Shift_allowance_Entries!$G:$G,Shift_allowance_Entries!$F:$F,"1-9PM/2:30PM-11:30PM",Shift_allowance_Entries!$B:$B,CPY!$B173)</f>
        <v>0</v>
      </c>
      <c r="Q173" s="65">
        <f>SUMIFS(Shift_allowance_Entries!$G:$G,Shift_allowance_Entries!$F:$F,"11PM-7AM",Shift_allowance_Entries!$B:$B,CPY!$B173)</f>
        <v>0</v>
      </c>
      <c r="R173" s="63">
        <f>(CPY!O173*MD!$F$4)+(CPY!P173*MD!$F$5)+(CPY!Q173*MD!$F$6)</f>
        <v>0</v>
      </c>
      <c r="T173" s="64">
        <f>ROUNDUP((SUMIFS('OOH Activities'!$K:$K,'OOH Activities'!$F:$F,"Non_workdays",'OOH Activities'!$B:$B,CPY!B173)) *24,1)</f>
        <v>0</v>
      </c>
      <c r="U173" s="64">
        <f>ROUNDUP((SUMIFS('OOH Activities'!$K:$K,'OOH Activities'!$F:$F,"Workdays",'OOH Activities'!$B:$B,CPY!B173)) *24,1)</f>
        <v>0</v>
      </c>
      <c r="V173" s="63">
        <f>ROUNDUP((SUMIFS('OOH Activities'!$L:$L,'OOH Activities'!$B:$B,CPY!B173)),1)</f>
        <v>0</v>
      </c>
      <c r="X173" s="65">
        <f>ROUNDUP((SUMIFS('ON Call_Call Out Activities'!$L:$L,'ON Call_Call Out Activities'!$F:$F,"Workdays",'ON Call_Call Out Activities'!$B:$B,CPY!B173))*24,1)</f>
        <v>0</v>
      </c>
      <c r="Y173" s="64">
        <f>ROUNDUP((SUMIFS('ON Call_Call Out Activities'!$L:$L,'ON Call_Call Out Activities'!$F:$F,"Non_workdays",'ON Call_Call Out Activities'!$B:$B,CPY!B173)) *24,1)</f>
        <v>0</v>
      </c>
      <c r="Z173" s="63">
        <f>ROUNDUP((SUMIFS('ON Call_Call Out Activities'!$M:$M,'ON Call_Call Out Activities'!$F:$F,"Non_workdays",'ON Call_Call Out Activities'!$B:$B,CPY!B173)),1) + ROUNDUP((SUMIFS('ON Call_Call Out Activities'!$M:$M,'ON Call_Call Out Activities'!$F:$F,"Workdays",'ON Call_Call Out Activities'!$B:$B,CPY!B173)),1)</f>
        <v>0</v>
      </c>
      <c r="AA173" s="66"/>
      <c r="AB173" s="64">
        <f>ROUNDUP((SUMIFS('ON Call_Call Out Activities'!$L:$L,'ON Call_Call Out Activities'!$F:$F,"Call_Out",'ON Call_Call Out Activities'!$B:$B,CPY!B173)) *24,1)</f>
        <v>0</v>
      </c>
      <c r="AC173" s="63">
        <f>ROUNDUP((SUMIFS('ON Call_Call Out Activities'!$M:$M,'ON Call_Call Out Activities'!$F:$F,"Call_Out",'ON Call_Call Out Activities'!$B:$B,CPY!B173)),1)</f>
        <v>0</v>
      </c>
      <c r="AE173" s="65">
        <f>IF((SUMIF(Shift_allowance_Entries!$B:$B,CPY!$B173,Shift_allowance_Entries!$H:$H)) &gt; (SUMIF(Shift_allowance_Entries!$B:$B,CPY!$B173,Shift_allowance_Entries!$G:$G)),0,((SUMIF(Shift_allowance_Entries!$B:$B,CPY!$B173,Shift_allowance_Entries!$G:$G))-(SUMIF(Shift_allowance_Entries!$B:$B,CPY!$B173,Shift_allowance_Entries!$H:$H))))</f>
        <v>0</v>
      </c>
      <c r="AF173" s="63">
        <f>AE173*MD!$S$4</f>
        <v>0</v>
      </c>
    </row>
    <row r="174" spans="1:32" x14ac:dyDescent="0.25">
      <c r="A174" s="62">
        <v>172</v>
      </c>
      <c r="B174" s="62"/>
      <c r="C174" s="50" t="str">
        <f>IF(ISNA(VLOOKUP($B174,Summary!$B:$D,2,FALSE))=TRUE," ",VLOOKUP($B174,Summary!$B:$D,2,FALSE))</f>
        <v> </v>
      </c>
      <c r="D174" s="50" t="str">
        <f>IF(ISNA(VLOOKUP($B174,Summary!$B:$D,3,FALSE))=TRUE," ",VLOOKUP($B174,Summary!$B:$D,3,FALSE))</f>
        <v> </v>
      </c>
      <c r="E174" s="62"/>
      <c r="F174" s="62"/>
      <c r="G174" s="62"/>
      <c r="I174" s="63">
        <f t="shared" si="2"/>
        <v>0</v>
      </c>
      <c r="K174" s="64">
        <f>IF(E174="Support(L1_L2)",IF(NOT(ISBLANK(B174)),IF(NOT(ISBLANK(D174)),NETWORKDAYS('CPY TOC'!$F$5,'CPY TOC'!$G$5))))-L174</f>
        <v>0</v>
      </c>
      <c r="L174" s="64">
        <f>IF(E174="Support(L1_L2)",SUMIFS(Support_allowance_Entries!$G:$G,Support_allowance_Entries!$B:$B,CPY!B174),0)</f>
        <v>0</v>
      </c>
      <c r="M174" s="63" t="b">
        <f>IF($D174="D0",MD!$C$4*(K174),IF($D174="D1",MD!$C$5*(K174),IF($D174="D2",MD!$C$6*(K174),IF($D174="D3",MD!$C$7*(K174),IF($D174="D4",MD!$C$8*(K174),IF($D174="D5",MD!$C$9*(K174),IF($D174="M1",MD!$C$10*(K174),IF($D174="T1",MD!$C$11*(K174)))))))))</f>
        <v>0</v>
      </c>
      <c r="O174" s="65">
        <f>SUMIFS(Shift_allowance_Entries!$G:$G,Shift_allowance_Entries!$F:$F,"6:30AM-03:30PM",Shift_allowance_Entries!$B:$B,CPY!$B174)</f>
        <v>0</v>
      </c>
      <c r="P174" s="65">
        <f>SUMIFS(Shift_allowance_Entries!$G:$G,Shift_allowance_Entries!$F:$F,"1-9PM/2:30PM-11:30PM",Shift_allowance_Entries!$B:$B,CPY!$B174)</f>
        <v>0</v>
      </c>
      <c r="Q174" s="65">
        <f>SUMIFS(Shift_allowance_Entries!$G:$G,Shift_allowance_Entries!$F:$F,"11PM-7AM",Shift_allowance_Entries!$B:$B,CPY!$B174)</f>
        <v>0</v>
      </c>
      <c r="R174" s="63">
        <f>(CPY!O174*MD!$F$4)+(CPY!P174*MD!$F$5)+(CPY!Q174*MD!$F$6)</f>
        <v>0</v>
      </c>
      <c r="T174" s="64">
        <f>ROUNDUP((SUMIFS('OOH Activities'!$K:$K,'OOH Activities'!$F:$F,"Non_workdays",'OOH Activities'!$B:$B,CPY!B174)) *24,1)</f>
        <v>0</v>
      </c>
      <c r="U174" s="64">
        <f>ROUNDUP((SUMIFS('OOH Activities'!$K:$K,'OOH Activities'!$F:$F,"Workdays",'OOH Activities'!$B:$B,CPY!B174)) *24,1)</f>
        <v>0</v>
      </c>
      <c r="V174" s="63">
        <f>ROUNDUP((SUMIFS('OOH Activities'!$L:$L,'OOH Activities'!$B:$B,CPY!B174)),1)</f>
        <v>0</v>
      </c>
      <c r="X174" s="65">
        <f>ROUNDUP((SUMIFS('ON Call_Call Out Activities'!$L:$L,'ON Call_Call Out Activities'!$F:$F,"Workdays",'ON Call_Call Out Activities'!$B:$B,CPY!B174))*24,1)</f>
        <v>0</v>
      </c>
      <c r="Y174" s="64">
        <f>ROUNDUP((SUMIFS('ON Call_Call Out Activities'!$L:$L,'ON Call_Call Out Activities'!$F:$F,"Non_workdays",'ON Call_Call Out Activities'!$B:$B,CPY!B174)) *24,1)</f>
        <v>0</v>
      </c>
      <c r="Z174" s="63">
        <f>ROUNDUP((SUMIFS('ON Call_Call Out Activities'!$M:$M,'ON Call_Call Out Activities'!$F:$F,"Non_workdays",'ON Call_Call Out Activities'!$B:$B,CPY!B174)),1) + ROUNDUP((SUMIFS('ON Call_Call Out Activities'!$M:$M,'ON Call_Call Out Activities'!$F:$F,"Workdays",'ON Call_Call Out Activities'!$B:$B,CPY!B174)),1)</f>
        <v>0</v>
      </c>
      <c r="AA174" s="66"/>
      <c r="AB174" s="64">
        <f>ROUNDUP((SUMIFS('ON Call_Call Out Activities'!$L:$L,'ON Call_Call Out Activities'!$F:$F,"Call_Out",'ON Call_Call Out Activities'!$B:$B,CPY!B174)) *24,1)</f>
        <v>0</v>
      </c>
      <c r="AC174" s="63">
        <f>ROUNDUP((SUMIFS('ON Call_Call Out Activities'!$M:$M,'ON Call_Call Out Activities'!$F:$F,"Call_Out",'ON Call_Call Out Activities'!$B:$B,CPY!B174)),1)</f>
        <v>0</v>
      </c>
      <c r="AE174" s="65">
        <f>IF((SUMIF(Shift_allowance_Entries!$B:$B,CPY!$B174,Shift_allowance_Entries!$H:$H)) &gt; (SUMIF(Shift_allowance_Entries!$B:$B,CPY!$B174,Shift_allowance_Entries!$G:$G)),0,((SUMIF(Shift_allowance_Entries!$B:$B,CPY!$B174,Shift_allowance_Entries!$G:$G))-(SUMIF(Shift_allowance_Entries!$B:$B,CPY!$B174,Shift_allowance_Entries!$H:$H))))</f>
        <v>0</v>
      </c>
      <c r="AF174" s="63">
        <f>AE174*MD!$S$4</f>
        <v>0</v>
      </c>
    </row>
    <row r="175" spans="1:32" x14ac:dyDescent="0.25">
      <c r="A175" s="62">
        <v>173</v>
      </c>
      <c r="B175" s="62"/>
      <c r="C175" s="50" t="str">
        <f>IF(ISNA(VLOOKUP($B175,Summary!$B:$D,2,FALSE))=TRUE," ",VLOOKUP($B175,Summary!$B:$D,2,FALSE))</f>
        <v> </v>
      </c>
      <c r="D175" s="50" t="str">
        <f>IF(ISNA(VLOOKUP($B175,Summary!$B:$D,3,FALSE))=TRUE," ",VLOOKUP($B175,Summary!$B:$D,3,FALSE))</f>
        <v> </v>
      </c>
      <c r="E175" s="62"/>
      <c r="F175" s="62"/>
      <c r="G175" s="62"/>
      <c r="I175" s="63">
        <f t="shared" si="2"/>
        <v>0</v>
      </c>
      <c r="K175" s="64">
        <f>IF(E175="Support(L1_L2)",IF(NOT(ISBLANK(B175)),IF(NOT(ISBLANK(D175)),NETWORKDAYS('CPY TOC'!$F$5,'CPY TOC'!$G$5))))-L175</f>
        <v>0</v>
      </c>
      <c r="L175" s="64">
        <f>IF(E175="Support(L1_L2)",SUMIFS(Support_allowance_Entries!$G:$G,Support_allowance_Entries!$B:$B,CPY!B175),0)</f>
        <v>0</v>
      </c>
      <c r="M175" s="63" t="b">
        <f>IF($D175="D0",MD!$C$4*(K175),IF($D175="D1",MD!$C$5*(K175),IF($D175="D2",MD!$C$6*(K175),IF($D175="D3",MD!$C$7*(K175),IF($D175="D4",MD!$C$8*(K175),IF($D175="D5",MD!$C$9*(K175),IF($D175="M1",MD!$C$10*(K175),IF($D175="T1",MD!$C$11*(K175)))))))))</f>
        <v>0</v>
      </c>
      <c r="O175" s="65">
        <f>SUMIFS(Shift_allowance_Entries!$G:$G,Shift_allowance_Entries!$F:$F,"6:30AM-03:30PM",Shift_allowance_Entries!$B:$B,CPY!$B175)</f>
        <v>0</v>
      </c>
      <c r="P175" s="65">
        <f>SUMIFS(Shift_allowance_Entries!$G:$G,Shift_allowance_Entries!$F:$F,"1-9PM/2:30PM-11:30PM",Shift_allowance_Entries!$B:$B,CPY!$B175)</f>
        <v>0</v>
      </c>
      <c r="Q175" s="65">
        <f>SUMIFS(Shift_allowance_Entries!$G:$G,Shift_allowance_Entries!$F:$F,"11PM-7AM",Shift_allowance_Entries!$B:$B,CPY!$B175)</f>
        <v>0</v>
      </c>
      <c r="R175" s="63">
        <f>(CPY!O175*MD!$F$4)+(CPY!P175*MD!$F$5)+(CPY!Q175*MD!$F$6)</f>
        <v>0</v>
      </c>
      <c r="T175" s="64">
        <f>ROUNDUP((SUMIFS('OOH Activities'!$K:$K,'OOH Activities'!$F:$F,"Non_workdays",'OOH Activities'!$B:$B,CPY!B175)) *24,1)</f>
        <v>0</v>
      </c>
      <c r="U175" s="64">
        <f>ROUNDUP((SUMIFS('OOH Activities'!$K:$K,'OOH Activities'!$F:$F,"Workdays",'OOH Activities'!$B:$B,CPY!B175)) *24,1)</f>
        <v>0</v>
      </c>
      <c r="V175" s="63">
        <f>ROUNDUP((SUMIFS('OOH Activities'!$L:$L,'OOH Activities'!$B:$B,CPY!B175)),1)</f>
        <v>0</v>
      </c>
      <c r="X175" s="65">
        <f>ROUNDUP((SUMIFS('ON Call_Call Out Activities'!$L:$L,'ON Call_Call Out Activities'!$F:$F,"Workdays",'ON Call_Call Out Activities'!$B:$B,CPY!B175))*24,1)</f>
        <v>0</v>
      </c>
      <c r="Y175" s="64">
        <f>ROUNDUP((SUMIFS('ON Call_Call Out Activities'!$L:$L,'ON Call_Call Out Activities'!$F:$F,"Non_workdays",'ON Call_Call Out Activities'!$B:$B,CPY!B175)) *24,1)</f>
        <v>0</v>
      </c>
      <c r="Z175" s="63">
        <f>ROUNDUP((SUMIFS('ON Call_Call Out Activities'!$M:$M,'ON Call_Call Out Activities'!$F:$F,"Non_workdays",'ON Call_Call Out Activities'!$B:$B,CPY!B175)),1) + ROUNDUP((SUMIFS('ON Call_Call Out Activities'!$M:$M,'ON Call_Call Out Activities'!$F:$F,"Workdays",'ON Call_Call Out Activities'!$B:$B,CPY!B175)),1)</f>
        <v>0</v>
      </c>
      <c r="AA175" s="66"/>
      <c r="AB175" s="64">
        <f>ROUNDUP((SUMIFS('ON Call_Call Out Activities'!$L:$L,'ON Call_Call Out Activities'!$F:$F,"Call_Out",'ON Call_Call Out Activities'!$B:$B,CPY!B175)) *24,1)</f>
        <v>0</v>
      </c>
      <c r="AC175" s="63">
        <f>ROUNDUP((SUMIFS('ON Call_Call Out Activities'!$M:$M,'ON Call_Call Out Activities'!$F:$F,"Call_Out",'ON Call_Call Out Activities'!$B:$B,CPY!B175)),1)</f>
        <v>0</v>
      </c>
      <c r="AE175" s="65">
        <f>IF((SUMIF(Shift_allowance_Entries!$B:$B,CPY!$B175,Shift_allowance_Entries!$H:$H)) &gt; (SUMIF(Shift_allowance_Entries!$B:$B,CPY!$B175,Shift_allowance_Entries!$G:$G)),0,((SUMIF(Shift_allowance_Entries!$B:$B,CPY!$B175,Shift_allowance_Entries!$G:$G))-(SUMIF(Shift_allowance_Entries!$B:$B,CPY!$B175,Shift_allowance_Entries!$H:$H))))</f>
        <v>0</v>
      </c>
      <c r="AF175" s="63">
        <f>AE175*MD!$S$4</f>
        <v>0</v>
      </c>
    </row>
    <row r="176" spans="1:32" x14ac:dyDescent="0.25">
      <c r="A176" s="62">
        <v>174</v>
      </c>
      <c r="B176" s="62"/>
      <c r="C176" s="50" t="str">
        <f>IF(ISNA(VLOOKUP($B176,Summary!$B:$D,2,FALSE))=TRUE," ",VLOOKUP($B176,Summary!$B:$D,2,FALSE))</f>
        <v> </v>
      </c>
      <c r="D176" s="50" t="str">
        <f>IF(ISNA(VLOOKUP($B176,Summary!$B:$D,3,FALSE))=TRUE," ",VLOOKUP($B176,Summary!$B:$D,3,FALSE))</f>
        <v> </v>
      </c>
      <c r="E176" s="62"/>
      <c r="F176" s="62"/>
      <c r="G176" s="62"/>
      <c r="I176" s="63">
        <f t="shared" si="2"/>
        <v>0</v>
      </c>
      <c r="K176" s="64">
        <f>IF(E176="Support(L1_L2)",IF(NOT(ISBLANK(B176)),IF(NOT(ISBLANK(D176)),NETWORKDAYS('CPY TOC'!$F$5,'CPY TOC'!$G$5))))-L176</f>
        <v>0</v>
      </c>
      <c r="L176" s="64">
        <f>IF(E176="Support(L1_L2)",SUMIFS(Support_allowance_Entries!$G:$G,Support_allowance_Entries!$B:$B,CPY!B176),0)</f>
        <v>0</v>
      </c>
      <c r="M176" s="63" t="b">
        <f>IF($D176="D0",MD!$C$4*(K176),IF($D176="D1",MD!$C$5*(K176),IF($D176="D2",MD!$C$6*(K176),IF($D176="D3",MD!$C$7*(K176),IF($D176="D4",MD!$C$8*(K176),IF($D176="D5",MD!$C$9*(K176),IF($D176="M1",MD!$C$10*(K176),IF($D176="T1",MD!$C$11*(K176)))))))))</f>
        <v>0</v>
      </c>
      <c r="O176" s="65">
        <f>SUMIFS(Shift_allowance_Entries!$G:$G,Shift_allowance_Entries!$F:$F,"6:30AM-03:30PM",Shift_allowance_Entries!$B:$B,CPY!$B176)</f>
        <v>0</v>
      </c>
      <c r="P176" s="65">
        <f>SUMIFS(Shift_allowance_Entries!$G:$G,Shift_allowance_Entries!$F:$F,"1-9PM/2:30PM-11:30PM",Shift_allowance_Entries!$B:$B,CPY!$B176)</f>
        <v>0</v>
      </c>
      <c r="Q176" s="65">
        <f>SUMIFS(Shift_allowance_Entries!$G:$G,Shift_allowance_Entries!$F:$F,"11PM-7AM",Shift_allowance_Entries!$B:$B,CPY!$B176)</f>
        <v>0</v>
      </c>
      <c r="R176" s="63">
        <f>(CPY!O176*MD!$F$4)+(CPY!P176*MD!$F$5)+(CPY!Q176*MD!$F$6)</f>
        <v>0</v>
      </c>
      <c r="T176" s="64">
        <f>ROUNDUP((SUMIFS('OOH Activities'!$K:$K,'OOH Activities'!$F:$F,"Non_workdays",'OOH Activities'!$B:$B,CPY!B176)) *24,1)</f>
        <v>0</v>
      </c>
      <c r="U176" s="64">
        <f>ROUNDUP((SUMIFS('OOH Activities'!$K:$K,'OOH Activities'!$F:$F,"Workdays",'OOH Activities'!$B:$B,CPY!B176)) *24,1)</f>
        <v>0</v>
      </c>
      <c r="V176" s="63">
        <f>ROUNDUP((SUMIFS('OOH Activities'!$L:$L,'OOH Activities'!$B:$B,CPY!B176)),1)</f>
        <v>0</v>
      </c>
      <c r="X176" s="65">
        <f>ROUNDUP((SUMIFS('ON Call_Call Out Activities'!$L:$L,'ON Call_Call Out Activities'!$F:$F,"Workdays",'ON Call_Call Out Activities'!$B:$B,CPY!B176))*24,1)</f>
        <v>0</v>
      </c>
      <c r="Y176" s="64">
        <f>ROUNDUP((SUMIFS('ON Call_Call Out Activities'!$L:$L,'ON Call_Call Out Activities'!$F:$F,"Non_workdays",'ON Call_Call Out Activities'!$B:$B,CPY!B176)) *24,1)</f>
        <v>0</v>
      </c>
      <c r="Z176" s="63">
        <f>ROUNDUP((SUMIFS('ON Call_Call Out Activities'!$M:$M,'ON Call_Call Out Activities'!$F:$F,"Non_workdays",'ON Call_Call Out Activities'!$B:$B,CPY!B176)),1) + ROUNDUP((SUMIFS('ON Call_Call Out Activities'!$M:$M,'ON Call_Call Out Activities'!$F:$F,"Workdays",'ON Call_Call Out Activities'!$B:$B,CPY!B176)),1)</f>
        <v>0</v>
      </c>
      <c r="AA176" s="66"/>
      <c r="AB176" s="64">
        <f>ROUNDUP((SUMIFS('ON Call_Call Out Activities'!$L:$L,'ON Call_Call Out Activities'!$F:$F,"Call_Out",'ON Call_Call Out Activities'!$B:$B,CPY!B176)) *24,1)</f>
        <v>0</v>
      </c>
      <c r="AC176" s="63">
        <f>ROUNDUP((SUMIFS('ON Call_Call Out Activities'!$M:$M,'ON Call_Call Out Activities'!$F:$F,"Call_Out",'ON Call_Call Out Activities'!$B:$B,CPY!B176)),1)</f>
        <v>0</v>
      </c>
      <c r="AE176" s="65">
        <f>IF((SUMIF(Shift_allowance_Entries!$B:$B,CPY!$B176,Shift_allowance_Entries!$H:$H)) &gt; (SUMIF(Shift_allowance_Entries!$B:$B,CPY!$B176,Shift_allowance_Entries!$G:$G)),0,((SUMIF(Shift_allowance_Entries!$B:$B,CPY!$B176,Shift_allowance_Entries!$G:$G))-(SUMIF(Shift_allowance_Entries!$B:$B,CPY!$B176,Shift_allowance_Entries!$H:$H))))</f>
        <v>0</v>
      </c>
      <c r="AF176" s="63">
        <f>AE176*MD!$S$4</f>
        <v>0</v>
      </c>
    </row>
    <row r="177" spans="1:32" x14ac:dyDescent="0.25">
      <c r="A177" s="62">
        <v>175</v>
      </c>
      <c r="B177" s="62"/>
      <c r="C177" s="50" t="str">
        <f>IF(ISNA(VLOOKUP($B177,Summary!$B:$D,2,FALSE))=TRUE," ",VLOOKUP($B177,Summary!$B:$D,2,FALSE))</f>
        <v> </v>
      </c>
      <c r="D177" s="50" t="str">
        <f>IF(ISNA(VLOOKUP($B177,Summary!$B:$D,3,FALSE))=TRUE," ",VLOOKUP($B177,Summary!$B:$D,3,FALSE))</f>
        <v> </v>
      </c>
      <c r="E177" s="62"/>
      <c r="F177" s="62"/>
      <c r="G177" s="62"/>
      <c r="I177" s="63">
        <f t="shared" si="2"/>
        <v>0</v>
      </c>
      <c r="K177" s="64">
        <f>IF(E177="Support(L1_L2)",IF(NOT(ISBLANK(B177)),IF(NOT(ISBLANK(D177)),NETWORKDAYS('CPY TOC'!$F$5,'CPY TOC'!$G$5))))-L177</f>
        <v>0</v>
      </c>
      <c r="L177" s="64">
        <f>IF(E177="Support(L1_L2)",SUMIFS(Support_allowance_Entries!$G:$G,Support_allowance_Entries!$B:$B,CPY!B177),0)</f>
        <v>0</v>
      </c>
      <c r="M177" s="63" t="b">
        <f>IF($D177="D0",MD!$C$4*(K177),IF($D177="D1",MD!$C$5*(K177),IF($D177="D2",MD!$C$6*(K177),IF($D177="D3",MD!$C$7*(K177),IF($D177="D4",MD!$C$8*(K177),IF($D177="D5",MD!$C$9*(K177),IF($D177="M1",MD!$C$10*(K177),IF($D177="T1",MD!$C$11*(K177)))))))))</f>
        <v>0</v>
      </c>
      <c r="O177" s="65">
        <f>SUMIFS(Shift_allowance_Entries!$G:$G,Shift_allowance_Entries!$F:$F,"6:30AM-03:30PM",Shift_allowance_Entries!$B:$B,CPY!$B177)</f>
        <v>0</v>
      </c>
      <c r="P177" s="65">
        <f>SUMIFS(Shift_allowance_Entries!$G:$G,Shift_allowance_Entries!$F:$F,"1-9PM/2:30PM-11:30PM",Shift_allowance_Entries!$B:$B,CPY!$B177)</f>
        <v>0</v>
      </c>
      <c r="Q177" s="65">
        <f>SUMIFS(Shift_allowance_Entries!$G:$G,Shift_allowance_Entries!$F:$F,"11PM-7AM",Shift_allowance_Entries!$B:$B,CPY!$B177)</f>
        <v>0</v>
      </c>
      <c r="R177" s="63">
        <f>(CPY!O177*MD!$F$4)+(CPY!P177*MD!$F$5)+(CPY!Q177*MD!$F$6)</f>
        <v>0</v>
      </c>
      <c r="T177" s="64">
        <f>ROUNDUP((SUMIFS('OOH Activities'!$K:$K,'OOH Activities'!$F:$F,"Non_workdays",'OOH Activities'!$B:$B,CPY!B177)) *24,1)</f>
        <v>0</v>
      </c>
      <c r="U177" s="64">
        <f>ROUNDUP((SUMIFS('OOH Activities'!$K:$K,'OOH Activities'!$F:$F,"Workdays",'OOH Activities'!$B:$B,CPY!B177)) *24,1)</f>
        <v>0</v>
      </c>
      <c r="V177" s="63">
        <f>ROUNDUP((SUMIFS('OOH Activities'!$L:$L,'OOH Activities'!$B:$B,CPY!B177)),1)</f>
        <v>0</v>
      </c>
      <c r="X177" s="65">
        <f>ROUNDUP((SUMIFS('ON Call_Call Out Activities'!$L:$L,'ON Call_Call Out Activities'!$F:$F,"Workdays",'ON Call_Call Out Activities'!$B:$B,CPY!B177))*24,1)</f>
        <v>0</v>
      </c>
      <c r="Y177" s="64">
        <f>ROUNDUP((SUMIFS('ON Call_Call Out Activities'!$L:$L,'ON Call_Call Out Activities'!$F:$F,"Non_workdays",'ON Call_Call Out Activities'!$B:$B,CPY!B177)) *24,1)</f>
        <v>0</v>
      </c>
      <c r="Z177" s="63">
        <f>ROUNDUP((SUMIFS('ON Call_Call Out Activities'!$M:$M,'ON Call_Call Out Activities'!$F:$F,"Non_workdays",'ON Call_Call Out Activities'!$B:$B,CPY!B177)),1) + ROUNDUP((SUMIFS('ON Call_Call Out Activities'!$M:$M,'ON Call_Call Out Activities'!$F:$F,"Workdays",'ON Call_Call Out Activities'!$B:$B,CPY!B177)),1)</f>
        <v>0</v>
      </c>
      <c r="AA177" s="66"/>
      <c r="AB177" s="64">
        <f>ROUNDUP((SUMIFS('ON Call_Call Out Activities'!$L:$L,'ON Call_Call Out Activities'!$F:$F,"Call_Out",'ON Call_Call Out Activities'!$B:$B,CPY!B177)) *24,1)</f>
        <v>0</v>
      </c>
      <c r="AC177" s="63">
        <f>ROUNDUP((SUMIFS('ON Call_Call Out Activities'!$M:$M,'ON Call_Call Out Activities'!$F:$F,"Call_Out",'ON Call_Call Out Activities'!$B:$B,CPY!B177)),1)</f>
        <v>0</v>
      </c>
      <c r="AE177" s="65">
        <f>IF((SUMIF(Shift_allowance_Entries!$B:$B,CPY!$B177,Shift_allowance_Entries!$H:$H)) &gt; (SUMIF(Shift_allowance_Entries!$B:$B,CPY!$B177,Shift_allowance_Entries!$G:$G)),0,((SUMIF(Shift_allowance_Entries!$B:$B,CPY!$B177,Shift_allowance_Entries!$G:$G))-(SUMIF(Shift_allowance_Entries!$B:$B,CPY!$B177,Shift_allowance_Entries!$H:$H))))</f>
        <v>0</v>
      </c>
      <c r="AF177" s="63">
        <f>AE177*MD!$S$4</f>
        <v>0</v>
      </c>
    </row>
    <row r="178" spans="1:32" x14ac:dyDescent="0.25">
      <c r="A178" s="62">
        <v>176</v>
      </c>
      <c r="B178" s="62"/>
      <c r="C178" s="50" t="str">
        <f>IF(ISNA(VLOOKUP($B178,Summary!$B:$D,2,FALSE))=TRUE," ",VLOOKUP($B178,Summary!$B:$D,2,FALSE))</f>
        <v> </v>
      </c>
      <c r="D178" s="50" t="str">
        <f>IF(ISNA(VLOOKUP($B178,Summary!$B:$D,3,FALSE))=TRUE," ",VLOOKUP($B178,Summary!$B:$D,3,FALSE))</f>
        <v> </v>
      </c>
      <c r="E178" s="62"/>
      <c r="F178" s="62"/>
      <c r="G178" s="62"/>
      <c r="I178" s="63">
        <f t="shared" si="2"/>
        <v>0</v>
      </c>
      <c r="K178" s="64">
        <f>IF(E178="Support(L1_L2)",IF(NOT(ISBLANK(B178)),IF(NOT(ISBLANK(D178)),NETWORKDAYS('CPY TOC'!$F$5,'CPY TOC'!$G$5))))-L178</f>
        <v>0</v>
      </c>
      <c r="L178" s="64">
        <f>IF(E178="Support(L1_L2)",SUMIFS(Support_allowance_Entries!$G:$G,Support_allowance_Entries!$B:$B,CPY!B178),0)</f>
        <v>0</v>
      </c>
      <c r="M178" s="63" t="b">
        <f>IF($D178="D0",MD!$C$4*(K178),IF($D178="D1",MD!$C$5*(K178),IF($D178="D2",MD!$C$6*(K178),IF($D178="D3",MD!$C$7*(K178),IF($D178="D4",MD!$C$8*(K178),IF($D178="D5",MD!$C$9*(K178),IF($D178="M1",MD!$C$10*(K178),IF($D178="T1",MD!$C$11*(K178)))))))))</f>
        <v>0</v>
      </c>
      <c r="O178" s="65">
        <f>SUMIFS(Shift_allowance_Entries!$G:$G,Shift_allowance_Entries!$F:$F,"6:30AM-03:30PM",Shift_allowance_Entries!$B:$B,CPY!$B178)</f>
        <v>0</v>
      </c>
      <c r="P178" s="65">
        <f>SUMIFS(Shift_allowance_Entries!$G:$G,Shift_allowance_Entries!$F:$F,"1-9PM/2:30PM-11:30PM",Shift_allowance_Entries!$B:$B,CPY!$B178)</f>
        <v>0</v>
      </c>
      <c r="Q178" s="65">
        <f>SUMIFS(Shift_allowance_Entries!$G:$G,Shift_allowance_Entries!$F:$F,"11PM-7AM",Shift_allowance_Entries!$B:$B,CPY!$B178)</f>
        <v>0</v>
      </c>
      <c r="R178" s="63">
        <f>(CPY!O178*MD!$F$4)+(CPY!P178*MD!$F$5)+(CPY!Q178*MD!$F$6)</f>
        <v>0</v>
      </c>
      <c r="T178" s="64">
        <f>ROUNDUP((SUMIFS('OOH Activities'!$K:$K,'OOH Activities'!$F:$F,"Non_workdays",'OOH Activities'!$B:$B,CPY!B178)) *24,1)</f>
        <v>0</v>
      </c>
      <c r="U178" s="64">
        <f>ROUNDUP((SUMIFS('OOH Activities'!$K:$K,'OOH Activities'!$F:$F,"Workdays",'OOH Activities'!$B:$B,CPY!B178)) *24,1)</f>
        <v>0</v>
      </c>
      <c r="V178" s="63">
        <f>ROUNDUP((SUMIFS('OOH Activities'!$L:$L,'OOH Activities'!$B:$B,CPY!B178)),1)</f>
        <v>0</v>
      </c>
      <c r="X178" s="65">
        <f>ROUNDUP((SUMIFS('ON Call_Call Out Activities'!$L:$L,'ON Call_Call Out Activities'!$F:$F,"Workdays",'ON Call_Call Out Activities'!$B:$B,CPY!B178))*24,1)</f>
        <v>0</v>
      </c>
      <c r="Y178" s="64">
        <f>ROUNDUP((SUMIFS('ON Call_Call Out Activities'!$L:$L,'ON Call_Call Out Activities'!$F:$F,"Non_workdays",'ON Call_Call Out Activities'!$B:$B,CPY!B178)) *24,1)</f>
        <v>0</v>
      </c>
      <c r="Z178" s="63">
        <f>ROUNDUP((SUMIFS('ON Call_Call Out Activities'!$M:$M,'ON Call_Call Out Activities'!$F:$F,"Non_workdays",'ON Call_Call Out Activities'!$B:$B,CPY!B178)),1) + ROUNDUP((SUMIFS('ON Call_Call Out Activities'!$M:$M,'ON Call_Call Out Activities'!$F:$F,"Workdays",'ON Call_Call Out Activities'!$B:$B,CPY!B178)),1)</f>
        <v>0</v>
      </c>
      <c r="AA178" s="66"/>
      <c r="AB178" s="64">
        <f>ROUNDUP((SUMIFS('ON Call_Call Out Activities'!$L:$L,'ON Call_Call Out Activities'!$F:$F,"Call_Out",'ON Call_Call Out Activities'!$B:$B,CPY!B178)) *24,1)</f>
        <v>0</v>
      </c>
      <c r="AC178" s="63">
        <f>ROUNDUP((SUMIFS('ON Call_Call Out Activities'!$M:$M,'ON Call_Call Out Activities'!$F:$F,"Call_Out",'ON Call_Call Out Activities'!$B:$B,CPY!B178)),1)</f>
        <v>0</v>
      </c>
      <c r="AE178" s="65">
        <f>IF((SUMIF(Shift_allowance_Entries!$B:$B,CPY!$B178,Shift_allowance_Entries!$H:$H)) &gt; (SUMIF(Shift_allowance_Entries!$B:$B,CPY!$B178,Shift_allowance_Entries!$G:$G)),0,((SUMIF(Shift_allowance_Entries!$B:$B,CPY!$B178,Shift_allowance_Entries!$G:$G))-(SUMIF(Shift_allowance_Entries!$B:$B,CPY!$B178,Shift_allowance_Entries!$H:$H))))</f>
        <v>0</v>
      </c>
      <c r="AF178" s="63">
        <f>AE178*MD!$S$4</f>
        <v>0</v>
      </c>
    </row>
    <row r="179" spans="1:32" x14ac:dyDescent="0.25">
      <c r="A179" s="62">
        <v>177</v>
      </c>
      <c r="B179" s="62"/>
      <c r="C179" s="50" t="str">
        <f>IF(ISNA(VLOOKUP($B179,Summary!$B:$D,2,FALSE))=TRUE," ",VLOOKUP($B179,Summary!$B:$D,2,FALSE))</f>
        <v> </v>
      </c>
      <c r="D179" s="50" t="str">
        <f>IF(ISNA(VLOOKUP($B179,Summary!$B:$D,3,FALSE))=TRUE," ",VLOOKUP($B179,Summary!$B:$D,3,FALSE))</f>
        <v> </v>
      </c>
      <c r="E179" s="62"/>
      <c r="F179" s="62"/>
      <c r="G179" s="62"/>
      <c r="I179" s="63">
        <f t="shared" si="2"/>
        <v>0</v>
      </c>
      <c r="K179" s="64">
        <f>IF(E179="Support(L1_L2)",IF(NOT(ISBLANK(B179)),IF(NOT(ISBLANK(D179)),NETWORKDAYS('CPY TOC'!$F$5,'CPY TOC'!$G$5))))-L179</f>
        <v>0</v>
      </c>
      <c r="L179" s="64">
        <f>IF(E179="Support(L1_L2)",SUMIFS(Support_allowance_Entries!$G:$G,Support_allowance_Entries!$B:$B,CPY!B179),0)</f>
        <v>0</v>
      </c>
      <c r="M179" s="63" t="b">
        <f>IF($D179="D0",MD!$C$4*(K179),IF($D179="D1",MD!$C$5*(K179),IF($D179="D2",MD!$C$6*(K179),IF($D179="D3",MD!$C$7*(K179),IF($D179="D4",MD!$C$8*(K179),IF($D179="D5",MD!$C$9*(K179),IF($D179="M1",MD!$C$10*(K179),IF($D179="T1",MD!$C$11*(K179)))))))))</f>
        <v>0</v>
      </c>
      <c r="O179" s="65">
        <f>SUMIFS(Shift_allowance_Entries!$G:$G,Shift_allowance_Entries!$F:$F,"6:30AM-03:30PM",Shift_allowance_Entries!$B:$B,CPY!$B179)</f>
        <v>0</v>
      </c>
      <c r="P179" s="65">
        <f>SUMIFS(Shift_allowance_Entries!$G:$G,Shift_allowance_Entries!$F:$F,"1-9PM/2:30PM-11:30PM",Shift_allowance_Entries!$B:$B,CPY!$B179)</f>
        <v>0</v>
      </c>
      <c r="Q179" s="65">
        <f>SUMIFS(Shift_allowance_Entries!$G:$G,Shift_allowance_Entries!$F:$F,"11PM-7AM",Shift_allowance_Entries!$B:$B,CPY!$B179)</f>
        <v>0</v>
      </c>
      <c r="R179" s="63">
        <f>(CPY!O179*MD!$F$4)+(CPY!P179*MD!$F$5)+(CPY!Q179*MD!$F$6)</f>
        <v>0</v>
      </c>
      <c r="T179" s="64">
        <f>ROUNDUP((SUMIFS('OOH Activities'!$K:$K,'OOH Activities'!$F:$F,"Non_workdays",'OOH Activities'!$B:$B,CPY!B179)) *24,1)</f>
        <v>0</v>
      </c>
      <c r="U179" s="64">
        <f>ROUNDUP((SUMIFS('OOH Activities'!$K:$K,'OOH Activities'!$F:$F,"Workdays",'OOH Activities'!$B:$B,CPY!B179)) *24,1)</f>
        <v>0</v>
      </c>
      <c r="V179" s="63">
        <f>ROUNDUP((SUMIFS('OOH Activities'!$L:$L,'OOH Activities'!$B:$B,CPY!B179)),1)</f>
        <v>0</v>
      </c>
      <c r="X179" s="65">
        <f>ROUNDUP((SUMIFS('ON Call_Call Out Activities'!$L:$L,'ON Call_Call Out Activities'!$F:$F,"Workdays",'ON Call_Call Out Activities'!$B:$B,CPY!B179))*24,1)</f>
        <v>0</v>
      </c>
      <c r="Y179" s="64">
        <f>ROUNDUP((SUMIFS('ON Call_Call Out Activities'!$L:$L,'ON Call_Call Out Activities'!$F:$F,"Non_workdays",'ON Call_Call Out Activities'!$B:$B,CPY!B179)) *24,1)</f>
        <v>0</v>
      </c>
      <c r="Z179" s="63">
        <f>ROUNDUP((SUMIFS('ON Call_Call Out Activities'!$M:$M,'ON Call_Call Out Activities'!$F:$F,"Non_workdays",'ON Call_Call Out Activities'!$B:$B,CPY!B179)),1) + ROUNDUP((SUMIFS('ON Call_Call Out Activities'!$M:$M,'ON Call_Call Out Activities'!$F:$F,"Workdays",'ON Call_Call Out Activities'!$B:$B,CPY!B179)),1)</f>
        <v>0</v>
      </c>
      <c r="AA179" s="66"/>
      <c r="AB179" s="64">
        <f>ROUNDUP((SUMIFS('ON Call_Call Out Activities'!$L:$L,'ON Call_Call Out Activities'!$F:$F,"Call_Out",'ON Call_Call Out Activities'!$B:$B,CPY!B179)) *24,1)</f>
        <v>0</v>
      </c>
      <c r="AC179" s="63">
        <f>ROUNDUP((SUMIFS('ON Call_Call Out Activities'!$M:$M,'ON Call_Call Out Activities'!$F:$F,"Call_Out",'ON Call_Call Out Activities'!$B:$B,CPY!B179)),1)</f>
        <v>0</v>
      </c>
      <c r="AE179" s="65">
        <f>IF((SUMIF(Shift_allowance_Entries!$B:$B,CPY!$B179,Shift_allowance_Entries!$H:$H)) &gt; (SUMIF(Shift_allowance_Entries!$B:$B,CPY!$B179,Shift_allowance_Entries!$G:$G)),0,((SUMIF(Shift_allowance_Entries!$B:$B,CPY!$B179,Shift_allowance_Entries!$G:$G))-(SUMIF(Shift_allowance_Entries!$B:$B,CPY!$B179,Shift_allowance_Entries!$H:$H))))</f>
        <v>0</v>
      </c>
      <c r="AF179" s="63">
        <f>AE179*MD!$S$4</f>
        <v>0</v>
      </c>
    </row>
    <row r="180" spans="1:32" x14ac:dyDescent="0.25">
      <c r="A180" s="62">
        <v>178</v>
      </c>
      <c r="B180" s="62"/>
      <c r="C180" s="50" t="str">
        <f>IF(ISNA(VLOOKUP($B180,Summary!$B:$D,2,FALSE))=TRUE," ",VLOOKUP($B180,Summary!$B:$D,2,FALSE))</f>
        <v> </v>
      </c>
      <c r="D180" s="50" t="str">
        <f>IF(ISNA(VLOOKUP($B180,Summary!$B:$D,3,FALSE))=TRUE," ",VLOOKUP($B180,Summary!$B:$D,3,FALSE))</f>
        <v> </v>
      </c>
      <c r="E180" s="62"/>
      <c r="F180" s="62"/>
      <c r="G180" s="62"/>
      <c r="I180" s="63">
        <f t="shared" si="2"/>
        <v>0</v>
      </c>
      <c r="K180" s="64">
        <f>IF(E180="Support(L1_L2)",IF(NOT(ISBLANK(B180)),IF(NOT(ISBLANK(D180)),NETWORKDAYS('CPY TOC'!$F$5,'CPY TOC'!$G$5))))-L180</f>
        <v>0</v>
      </c>
      <c r="L180" s="64">
        <f>IF(E180="Support(L1_L2)",SUMIFS(Support_allowance_Entries!$G:$G,Support_allowance_Entries!$B:$B,CPY!B180),0)</f>
        <v>0</v>
      </c>
      <c r="M180" s="63" t="b">
        <f>IF($D180="D0",MD!$C$4*(K180),IF($D180="D1",MD!$C$5*(K180),IF($D180="D2",MD!$C$6*(K180),IF($D180="D3",MD!$C$7*(K180),IF($D180="D4",MD!$C$8*(K180),IF($D180="D5",MD!$C$9*(K180),IF($D180="M1",MD!$C$10*(K180),IF($D180="T1",MD!$C$11*(K180)))))))))</f>
        <v>0</v>
      </c>
      <c r="O180" s="65">
        <f>SUMIFS(Shift_allowance_Entries!$G:$G,Shift_allowance_Entries!$F:$F,"6:30AM-03:30PM",Shift_allowance_Entries!$B:$B,CPY!$B180)</f>
        <v>0</v>
      </c>
      <c r="P180" s="65">
        <f>SUMIFS(Shift_allowance_Entries!$G:$G,Shift_allowance_Entries!$F:$F,"1-9PM/2:30PM-11:30PM",Shift_allowance_Entries!$B:$B,CPY!$B180)</f>
        <v>0</v>
      </c>
      <c r="Q180" s="65">
        <f>SUMIFS(Shift_allowance_Entries!$G:$G,Shift_allowance_Entries!$F:$F,"11PM-7AM",Shift_allowance_Entries!$B:$B,CPY!$B180)</f>
        <v>0</v>
      </c>
      <c r="R180" s="63">
        <f>(CPY!O180*MD!$F$4)+(CPY!P180*MD!$F$5)+(CPY!Q180*MD!$F$6)</f>
        <v>0</v>
      </c>
      <c r="T180" s="64">
        <f>ROUNDUP((SUMIFS('OOH Activities'!$K:$K,'OOH Activities'!$F:$F,"Non_workdays",'OOH Activities'!$B:$B,CPY!B180)) *24,1)</f>
        <v>0</v>
      </c>
      <c r="U180" s="64">
        <f>ROUNDUP((SUMIFS('OOH Activities'!$K:$K,'OOH Activities'!$F:$F,"Workdays",'OOH Activities'!$B:$B,CPY!B180)) *24,1)</f>
        <v>0</v>
      </c>
      <c r="V180" s="63">
        <f>ROUNDUP((SUMIFS('OOH Activities'!$L:$L,'OOH Activities'!$B:$B,CPY!B180)),1)</f>
        <v>0</v>
      </c>
      <c r="X180" s="65">
        <f>ROUNDUP((SUMIFS('ON Call_Call Out Activities'!$L:$L,'ON Call_Call Out Activities'!$F:$F,"Workdays",'ON Call_Call Out Activities'!$B:$B,CPY!B180))*24,1)</f>
        <v>0</v>
      </c>
      <c r="Y180" s="64">
        <f>ROUNDUP((SUMIFS('ON Call_Call Out Activities'!$L:$L,'ON Call_Call Out Activities'!$F:$F,"Non_workdays",'ON Call_Call Out Activities'!$B:$B,CPY!B180)) *24,1)</f>
        <v>0</v>
      </c>
      <c r="Z180" s="63">
        <f>ROUNDUP((SUMIFS('ON Call_Call Out Activities'!$M:$M,'ON Call_Call Out Activities'!$F:$F,"Non_workdays",'ON Call_Call Out Activities'!$B:$B,CPY!B180)),1) + ROUNDUP((SUMIFS('ON Call_Call Out Activities'!$M:$M,'ON Call_Call Out Activities'!$F:$F,"Workdays",'ON Call_Call Out Activities'!$B:$B,CPY!B180)),1)</f>
        <v>0</v>
      </c>
      <c r="AA180" s="66"/>
      <c r="AB180" s="64">
        <f>ROUNDUP((SUMIFS('ON Call_Call Out Activities'!$L:$L,'ON Call_Call Out Activities'!$F:$F,"Call_Out",'ON Call_Call Out Activities'!$B:$B,CPY!B180)) *24,1)</f>
        <v>0</v>
      </c>
      <c r="AC180" s="63">
        <f>ROUNDUP((SUMIFS('ON Call_Call Out Activities'!$M:$M,'ON Call_Call Out Activities'!$F:$F,"Call_Out",'ON Call_Call Out Activities'!$B:$B,CPY!B180)),1)</f>
        <v>0</v>
      </c>
      <c r="AE180" s="65">
        <f>IF((SUMIF(Shift_allowance_Entries!$B:$B,CPY!$B180,Shift_allowance_Entries!$H:$H)) &gt; (SUMIF(Shift_allowance_Entries!$B:$B,CPY!$B180,Shift_allowance_Entries!$G:$G)),0,((SUMIF(Shift_allowance_Entries!$B:$B,CPY!$B180,Shift_allowance_Entries!$G:$G))-(SUMIF(Shift_allowance_Entries!$B:$B,CPY!$B180,Shift_allowance_Entries!$H:$H))))</f>
        <v>0</v>
      </c>
      <c r="AF180" s="63">
        <f>AE180*MD!$S$4</f>
        <v>0</v>
      </c>
    </row>
    <row r="181" spans="1:32" x14ac:dyDescent="0.25">
      <c r="A181" s="62">
        <v>179</v>
      </c>
      <c r="B181" s="62"/>
      <c r="C181" s="50" t="str">
        <f>IF(ISNA(VLOOKUP($B181,Summary!$B:$D,2,FALSE))=TRUE," ",VLOOKUP($B181,Summary!$B:$D,2,FALSE))</f>
        <v> </v>
      </c>
      <c r="D181" s="50" t="str">
        <f>IF(ISNA(VLOOKUP($B181,Summary!$B:$D,3,FALSE))=TRUE," ",VLOOKUP($B181,Summary!$B:$D,3,FALSE))</f>
        <v> </v>
      </c>
      <c r="E181" s="62"/>
      <c r="F181" s="62"/>
      <c r="G181" s="62"/>
      <c r="I181" s="63">
        <f t="shared" si="2"/>
        <v>0</v>
      </c>
      <c r="K181" s="64">
        <f>IF(E181="Support(L1_L2)",IF(NOT(ISBLANK(B181)),IF(NOT(ISBLANK(D181)),NETWORKDAYS('CPY TOC'!$F$5,'CPY TOC'!$G$5))))-L181</f>
        <v>0</v>
      </c>
      <c r="L181" s="64">
        <f>IF(E181="Support(L1_L2)",SUMIFS(Support_allowance_Entries!$G:$G,Support_allowance_Entries!$B:$B,CPY!B181),0)</f>
        <v>0</v>
      </c>
      <c r="M181" s="63" t="b">
        <f>IF($D181="D0",MD!$C$4*(K181),IF($D181="D1",MD!$C$5*(K181),IF($D181="D2",MD!$C$6*(K181),IF($D181="D3",MD!$C$7*(K181),IF($D181="D4",MD!$C$8*(K181),IF($D181="D5",MD!$C$9*(K181),IF($D181="M1",MD!$C$10*(K181),IF($D181="T1",MD!$C$11*(K181)))))))))</f>
        <v>0</v>
      </c>
      <c r="O181" s="65">
        <f>SUMIFS(Shift_allowance_Entries!$G:$G,Shift_allowance_Entries!$F:$F,"6:30AM-03:30PM",Shift_allowance_Entries!$B:$B,CPY!$B181)</f>
        <v>0</v>
      </c>
      <c r="P181" s="65">
        <f>SUMIFS(Shift_allowance_Entries!$G:$G,Shift_allowance_Entries!$F:$F,"1-9PM/2:30PM-11:30PM",Shift_allowance_Entries!$B:$B,CPY!$B181)</f>
        <v>0</v>
      </c>
      <c r="Q181" s="65">
        <f>SUMIFS(Shift_allowance_Entries!$G:$G,Shift_allowance_Entries!$F:$F,"11PM-7AM",Shift_allowance_Entries!$B:$B,CPY!$B181)</f>
        <v>0</v>
      </c>
      <c r="R181" s="63">
        <f>(CPY!O181*MD!$F$4)+(CPY!P181*MD!$F$5)+(CPY!Q181*MD!$F$6)</f>
        <v>0</v>
      </c>
      <c r="T181" s="64">
        <f>ROUNDUP((SUMIFS('OOH Activities'!$K:$K,'OOH Activities'!$F:$F,"Non_workdays",'OOH Activities'!$B:$B,CPY!B181)) *24,1)</f>
        <v>0</v>
      </c>
      <c r="U181" s="64">
        <f>ROUNDUP((SUMIFS('OOH Activities'!$K:$K,'OOH Activities'!$F:$F,"Workdays",'OOH Activities'!$B:$B,CPY!B181)) *24,1)</f>
        <v>0</v>
      </c>
      <c r="V181" s="63">
        <f>ROUNDUP((SUMIFS('OOH Activities'!$L:$L,'OOH Activities'!$B:$B,CPY!B181)),1)</f>
        <v>0</v>
      </c>
      <c r="X181" s="65">
        <f>ROUNDUP((SUMIFS('ON Call_Call Out Activities'!$L:$L,'ON Call_Call Out Activities'!$F:$F,"Workdays",'ON Call_Call Out Activities'!$B:$B,CPY!B181))*24,1)</f>
        <v>0</v>
      </c>
      <c r="Y181" s="64">
        <f>ROUNDUP((SUMIFS('ON Call_Call Out Activities'!$L:$L,'ON Call_Call Out Activities'!$F:$F,"Non_workdays",'ON Call_Call Out Activities'!$B:$B,CPY!B181)) *24,1)</f>
        <v>0</v>
      </c>
      <c r="Z181" s="63">
        <f>ROUNDUP((SUMIFS('ON Call_Call Out Activities'!$M:$M,'ON Call_Call Out Activities'!$F:$F,"Non_workdays",'ON Call_Call Out Activities'!$B:$B,CPY!B181)),1) + ROUNDUP((SUMIFS('ON Call_Call Out Activities'!$M:$M,'ON Call_Call Out Activities'!$F:$F,"Workdays",'ON Call_Call Out Activities'!$B:$B,CPY!B181)),1)</f>
        <v>0</v>
      </c>
      <c r="AA181" s="66"/>
      <c r="AB181" s="64">
        <f>ROUNDUP((SUMIFS('ON Call_Call Out Activities'!$L:$L,'ON Call_Call Out Activities'!$F:$F,"Call_Out",'ON Call_Call Out Activities'!$B:$B,CPY!B181)) *24,1)</f>
        <v>0</v>
      </c>
      <c r="AC181" s="63">
        <f>ROUNDUP((SUMIFS('ON Call_Call Out Activities'!$M:$M,'ON Call_Call Out Activities'!$F:$F,"Call_Out",'ON Call_Call Out Activities'!$B:$B,CPY!B181)),1)</f>
        <v>0</v>
      </c>
      <c r="AE181" s="65">
        <f>IF((SUMIF(Shift_allowance_Entries!$B:$B,CPY!$B181,Shift_allowance_Entries!$H:$H)) &gt; (SUMIF(Shift_allowance_Entries!$B:$B,CPY!$B181,Shift_allowance_Entries!$G:$G)),0,((SUMIF(Shift_allowance_Entries!$B:$B,CPY!$B181,Shift_allowance_Entries!$G:$G))-(SUMIF(Shift_allowance_Entries!$B:$B,CPY!$B181,Shift_allowance_Entries!$H:$H))))</f>
        <v>0</v>
      </c>
      <c r="AF181" s="63">
        <f>AE181*MD!$S$4</f>
        <v>0</v>
      </c>
    </row>
    <row r="182" spans="1:32" x14ac:dyDescent="0.25">
      <c r="A182" s="62">
        <v>180</v>
      </c>
      <c r="B182" s="62"/>
      <c r="C182" s="50" t="str">
        <f>IF(ISNA(VLOOKUP($B182,Summary!$B:$D,2,FALSE))=TRUE," ",VLOOKUP($B182,Summary!$B:$D,2,FALSE))</f>
        <v> </v>
      </c>
      <c r="D182" s="50" t="str">
        <f>IF(ISNA(VLOOKUP($B182,Summary!$B:$D,3,FALSE))=TRUE," ",VLOOKUP($B182,Summary!$B:$D,3,FALSE))</f>
        <v> </v>
      </c>
      <c r="E182" s="62"/>
      <c r="F182" s="62"/>
      <c r="G182" s="62"/>
      <c r="I182" s="63">
        <f t="shared" si="2"/>
        <v>0</v>
      </c>
      <c r="K182" s="64">
        <f>IF(E182="Support(L1_L2)",IF(NOT(ISBLANK(B182)),IF(NOT(ISBLANK(D182)),NETWORKDAYS('CPY TOC'!$F$5,'CPY TOC'!$G$5))))-L182</f>
        <v>0</v>
      </c>
      <c r="L182" s="64">
        <f>IF(E182="Support(L1_L2)",SUMIFS(Support_allowance_Entries!$G:$G,Support_allowance_Entries!$B:$B,CPY!B182),0)</f>
        <v>0</v>
      </c>
      <c r="M182" s="63" t="b">
        <f>IF($D182="D0",MD!$C$4*(K182),IF($D182="D1",MD!$C$5*(K182),IF($D182="D2",MD!$C$6*(K182),IF($D182="D3",MD!$C$7*(K182),IF($D182="D4",MD!$C$8*(K182),IF($D182="D5",MD!$C$9*(K182),IF($D182="M1",MD!$C$10*(K182),IF($D182="T1",MD!$C$11*(K182)))))))))</f>
        <v>0</v>
      </c>
      <c r="O182" s="65">
        <f>SUMIFS(Shift_allowance_Entries!$G:$G,Shift_allowance_Entries!$F:$F,"6:30AM-03:30PM",Shift_allowance_Entries!$B:$B,CPY!$B182)</f>
        <v>0</v>
      </c>
      <c r="P182" s="65">
        <f>SUMIFS(Shift_allowance_Entries!$G:$G,Shift_allowance_Entries!$F:$F,"1-9PM/2:30PM-11:30PM",Shift_allowance_Entries!$B:$B,CPY!$B182)</f>
        <v>0</v>
      </c>
      <c r="Q182" s="65">
        <f>SUMIFS(Shift_allowance_Entries!$G:$G,Shift_allowance_Entries!$F:$F,"11PM-7AM",Shift_allowance_Entries!$B:$B,CPY!$B182)</f>
        <v>0</v>
      </c>
      <c r="R182" s="63">
        <f>(CPY!O182*MD!$F$4)+(CPY!P182*MD!$F$5)+(CPY!Q182*MD!$F$6)</f>
        <v>0</v>
      </c>
      <c r="T182" s="64">
        <f>ROUNDUP((SUMIFS('OOH Activities'!$K:$K,'OOH Activities'!$F:$F,"Non_workdays",'OOH Activities'!$B:$B,CPY!B182)) *24,1)</f>
        <v>0</v>
      </c>
      <c r="U182" s="64">
        <f>ROUNDUP((SUMIFS('OOH Activities'!$K:$K,'OOH Activities'!$F:$F,"Workdays",'OOH Activities'!$B:$B,CPY!B182)) *24,1)</f>
        <v>0</v>
      </c>
      <c r="V182" s="63">
        <f>ROUNDUP((SUMIFS('OOH Activities'!$L:$L,'OOH Activities'!$B:$B,CPY!B182)),1)</f>
        <v>0</v>
      </c>
      <c r="X182" s="65">
        <f>ROUNDUP((SUMIFS('ON Call_Call Out Activities'!$L:$L,'ON Call_Call Out Activities'!$F:$F,"Workdays",'ON Call_Call Out Activities'!$B:$B,CPY!B182))*24,1)</f>
        <v>0</v>
      </c>
      <c r="Y182" s="64">
        <f>ROUNDUP((SUMIFS('ON Call_Call Out Activities'!$L:$L,'ON Call_Call Out Activities'!$F:$F,"Non_workdays",'ON Call_Call Out Activities'!$B:$B,CPY!B182)) *24,1)</f>
        <v>0</v>
      </c>
      <c r="Z182" s="63">
        <f>ROUNDUP((SUMIFS('ON Call_Call Out Activities'!$M:$M,'ON Call_Call Out Activities'!$F:$F,"Non_workdays",'ON Call_Call Out Activities'!$B:$B,CPY!B182)),1) + ROUNDUP((SUMIFS('ON Call_Call Out Activities'!$M:$M,'ON Call_Call Out Activities'!$F:$F,"Workdays",'ON Call_Call Out Activities'!$B:$B,CPY!B182)),1)</f>
        <v>0</v>
      </c>
      <c r="AA182" s="66"/>
      <c r="AB182" s="64">
        <f>ROUNDUP((SUMIFS('ON Call_Call Out Activities'!$L:$L,'ON Call_Call Out Activities'!$F:$F,"Call_Out",'ON Call_Call Out Activities'!$B:$B,CPY!B182)) *24,1)</f>
        <v>0</v>
      </c>
      <c r="AC182" s="63">
        <f>ROUNDUP((SUMIFS('ON Call_Call Out Activities'!$M:$M,'ON Call_Call Out Activities'!$F:$F,"Call_Out",'ON Call_Call Out Activities'!$B:$B,CPY!B182)),1)</f>
        <v>0</v>
      </c>
      <c r="AE182" s="65">
        <f>IF((SUMIF(Shift_allowance_Entries!$B:$B,CPY!$B182,Shift_allowance_Entries!$H:$H)) &gt; (SUMIF(Shift_allowance_Entries!$B:$B,CPY!$B182,Shift_allowance_Entries!$G:$G)),0,((SUMIF(Shift_allowance_Entries!$B:$B,CPY!$B182,Shift_allowance_Entries!$G:$G))-(SUMIF(Shift_allowance_Entries!$B:$B,CPY!$B182,Shift_allowance_Entries!$H:$H))))</f>
        <v>0</v>
      </c>
      <c r="AF182" s="63">
        <f>AE182*MD!$S$4</f>
        <v>0</v>
      </c>
    </row>
    <row r="183" spans="1:32" x14ac:dyDescent="0.25">
      <c r="A183" s="62">
        <v>181</v>
      </c>
      <c r="B183" s="62"/>
      <c r="C183" s="50" t="str">
        <f>IF(ISNA(VLOOKUP($B183,Summary!$B:$D,2,FALSE))=TRUE," ",VLOOKUP($B183,Summary!$B:$D,2,FALSE))</f>
        <v> </v>
      </c>
      <c r="D183" s="50" t="str">
        <f>IF(ISNA(VLOOKUP($B183,Summary!$B:$D,3,FALSE))=TRUE," ",VLOOKUP($B183,Summary!$B:$D,3,FALSE))</f>
        <v> </v>
      </c>
      <c r="E183" s="62"/>
      <c r="F183" s="62"/>
      <c r="G183" s="62"/>
      <c r="I183" s="63">
        <f t="shared" si="2"/>
        <v>0</v>
      </c>
      <c r="K183" s="64">
        <f>IF(E183="Support(L1_L2)",IF(NOT(ISBLANK(B183)),IF(NOT(ISBLANK(D183)),NETWORKDAYS('CPY TOC'!$F$5,'CPY TOC'!$G$5))))-L183</f>
        <v>0</v>
      </c>
      <c r="L183" s="64">
        <f>IF(E183="Support(L1_L2)",SUMIFS(Support_allowance_Entries!$G:$G,Support_allowance_Entries!$B:$B,CPY!B183),0)</f>
        <v>0</v>
      </c>
      <c r="M183" s="63" t="b">
        <f>IF($D183="D0",MD!$C$4*(K183),IF($D183="D1",MD!$C$5*(K183),IF($D183="D2",MD!$C$6*(K183),IF($D183="D3",MD!$C$7*(K183),IF($D183="D4",MD!$C$8*(K183),IF($D183="D5",MD!$C$9*(K183),IF($D183="M1",MD!$C$10*(K183),IF($D183="T1",MD!$C$11*(K183)))))))))</f>
        <v>0</v>
      </c>
      <c r="O183" s="65">
        <f>SUMIFS(Shift_allowance_Entries!$G:$G,Shift_allowance_Entries!$F:$F,"6:30AM-03:30PM",Shift_allowance_Entries!$B:$B,CPY!$B183)</f>
        <v>0</v>
      </c>
      <c r="P183" s="65">
        <f>SUMIFS(Shift_allowance_Entries!$G:$G,Shift_allowance_Entries!$F:$F,"1-9PM/2:30PM-11:30PM",Shift_allowance_Entries!$B:$B,CPY!$B183)</f>
        <v>0</v>
      </c>
      <c r="Q183" s="65">
        <f>SUMIFS(Shift_allowance_Entries!$G:$G,Shift_allowance_Entries!$F:$F,"11PM-7AM",Shift_allowance_Entries!$B:$B,CPY!$B183)</f>
        <v>0</v>
      </c>
      <c r="R183" s="63">
        <f>(CPY!O183*MD!$F$4)+(CPY!P183*MD!$F$5)+(CPY!Q183*MD!$F$6)</f>
        <v>0</v>
      </c>
      <c r="T183" s="64">
        <f>ROUNDUP((SUMIFS('OOH Activities'!$K:$K,'OOH Activities'!$F:$F,"Non_workdays",'OOH Activities'!$B:$B,CPY!B183)) *24,1)</f>
        <v>0</v>
      </c>
      <c r="U183" s="64">
        <f>ROUNDUP((SUMIFS('OOH Activities'!$K:$K,'OOH Activities'!$F:$F,"Workdays",'OOH Activities'!$B:$B,CPY!B183)) *24,1)</f>
        <v>0</v>
      </c>
      <c r="V183" s="63">
        <f>ROUNDUP((SUMIFS('OOH Activities'!$L:$L,'OOH Activities'!$B:$B,CPY!B183)),1)</f>
        <v>0</v>
      </c>
      <c r="X183" s="65">
        <f>ROUNDUP((SUMIFS('ON Call_Call Out Activities'!$L:$L,'ON Call_Call Out Activities'!$F:$F,"Workdays",'ON Call_Call Out Activities'!$B:$B,CPY!B183))*24,1)</f>
        <v>0</v>
      </c>
      <c r="Y183" s="64">
        <f>ROUNDUP((SUMIFS('ON Call_Call Out Activities'!$L:$L,'ON Call_Call Out Activities'!$F:$F,"Non_workdays",'ON Call_Call Out Activities'!$B:$B,CPY!B183)) *24,1)</f>
        <v>0</v>
      </c>
      <c r="Z183" s="63">
        <f>ROUNDUP((SUMIFS('ON Call_Call Out Activities'!$M:$M,'ON Call_Call Out Activities'!$F:$F,"Non_workdays",'ON Call_Call Out Activities'!$B:$B,CPY!B183)),1) + ROUNDUP((SUMIFS('ON Call_Call Out Activities'!$M:$M,'ON Call_Call Out Activities'!$F:$F,"Workdays",'ON Call_Call Out Activities'!$B:$B,CPY!B183)),1)</f>
        <v>0</v>
      </c>
      <c r="AA183" s="66"/>
      <c r="AB183" s="64">
        <f>ROUNDUP((SUMIFS('ON Call_Call Out Activities'!$L:$L,'ON Call_Call Out Activities'!$F:$F,"Call_Out",'ON Call_Call Out Activities'!$B:$B,CPY!B183)) *24,1)</f>
        <v>0</v>
      </c>
      <c r="AC183" s="63">
        <f>ROUNDUP((SUMIFS('ON Call_Call Out Activities'!$M:$M,'ON Call_Call Out Activities'!$F:$F,"Call_Out",'ON Call_Call Out Activities'!$B:$B,CPY!B183)),1)</f>
        <v>0</v>
      </c>
      <c r="AE183" s="65">
        <f>IF((SUMIF(Shift_allowance_Entries!$B:$B,CPY!$B183,Shift_allowance_Entries!$H:$H)) &gt; (SUMIF(Shift_allowance_Entries!$B:$B,CPY!$B183,Shift_allowance_Entries!$G:$G)),0,((SUMIF(Shift_allowance_Entries!$B:$B,CPY!$B183,Shift_allowance_Entries!$G:$G))-(SUMIF(Shift_allowance_Entries!$B:$B,CPY!$B183,Shift_allowance_Entries!$H:$H))))</f>
        <v>0</v>
      </c>
      <c r="AF183" s="63">
        <f>AE183*MD!$S$4</f>
        <v>0</v>
      </c>
    </row>
    <row r="184" spans="1:32" x14ac:dyDescent="0.25">
      <c r="A184" s="62">
        <v>182</v>
      </c>
      <c r="B184" s="62"/>
      <c r="C184" s="50" t="str">
        <f>IF(ISNA(VLOOKUP($B184,Summary!$B:$D,2,FALSE))=TRUE," ",VLOOKUP($B184,Summary!$B:$D,2,FALSE))</f>
        <v> </v>
      </c>
      <c r="D184" s="50" t="str">
        <f>IF(ISNA(VLOOKUP($B184,Summary!$B:$D,3,FALSE))=TRUE," ",VLOOKUP($B184,Summary!$B:$D,3,FALSE))</f>
        <v> </v>
      </c>
      <c r="E184" s="62"/>
      <c r="F184" s="62"/>
      <c r="G184" s="62"/>
      <c r="I184" s="63">
        <f t="shared" si="2"/>
        <v>0</v>
      </c>
      <c r="K184" s="64">
        <f>IF(E184="Support(L1_L2)",IF(NOT(ISBLANK(B184)),IF(NOT(ISBLANK(D184)),NETWORKDAYS('CPY TOC'!$F$5,'CPY TOC'!$G$5))))-L184</f>
        <v>0</v>
      </c>
      <c r="L184" s="64">
        <f>IF(E184="Support(L1_L2)",SUMIFS(Support_allowance_Entries!$G:$G,Support_allowance_Entries!$B:$B,CPY!B184),0)</f>
        <v>0</v>
      </c>
      <c r="M184" s="63" t="b">
        <f>IF($D184="D0",MD!$C$4*(K184),IF($D184="D1",MD!$C$5*(K184),IF($D184="D2",MD!$C$6*(K184),IF($D184="D3",MD!$C$7*(K184),IF($D184="D4",MD!$C$8*(K184),IF($D184="D5",MD!$C$9*(K184),IF($D184="M1",MD!$C$10*(K184),IF($D184="T1",MD!$C$11*(K184)))))))))</f>
        <v>0</v>
      </c>
      <c r="O184" s="65">
        <f>SUMIFS(Shift_allowance_Entries!$G:$G,Shift_allowance_Entries!$F:$F,"6:30AM-03:30PM",Shift_allowance_Entries!$B:$B,CPY!$B184)</f>
        <v>0</v>
      </c>
      <c r="P184" s="65">
        <f>SUMIFS(Shift_allowance_Entries!$G:$G,Shift_allowance_Entries!$F:$F,"1-9PM/2:30PM-11:30PM",Shift_allowance_Entries!$B:$B,CPY!$B184)</f>
        <v>0</v>
      </c>
      <c r="Q184" s="65">
        <f>SUMIFS(Shift_allowance_Entries!$G:$G,Shift_allowance_Entries!$F:$F,"11PM-7AM",Shift_allowance_Entries!$B:$B,CPY!$B184)</f>
        <v>0</v>
      </c>
      <c r="R184" s="63">
        <f>(CPY!O184*MD!$F$4)+(CPY!P184*MD!$F$5)+(CPY!Q184*MD!$F$6)</f>
        <v>0</v>
      </c>
      <c r="T184" s="64">
        <f>ROUNDUP((SUMIFS('OOH Activities'!$K:$K,'OOH Activities'!$F:$F,"Non_workdays",'OOH Activities'!$B:$B,CPY!B184)) *24,1)</f>
        <v>0</v>
      </c>
      <c r="U184" s="64">
        <f>ROUNDUP((SUMIFS('OOH Activities'!$K:$K,'OOH Activities'!$F:$F,"Workdays",'OOH Activities'!$B:$B,CPY!B184)) *24,1)</f>
        <v>0</v>
      </c>
      <c r="V184" s="63">
        <f>ROUNDUP((SUMIFS('OOH Activities'!$L:$L,'OOH Activities'!$B:$B,CPY!B184)),1)</f>
        <v>0</v>
      </c>
      <c r="X184" s="65">
        <f>ROUNDUP((SUMIFS('ON Call_Call Out Activities'!$L:$L,'ON Call_Call Out Activities'!$F:$F,"Workdays",'ON Call_Call Out Activities'!$B:$B,CPY!B184))*24,1)</f>
        <v>0</v>
      </c>
      <c r="Y184" s="64">
        <f>ROUNDUP((SUMIFS('ON Call_Call Out Activities'!$L:$L,'ON Call_Call Out Activities'!$F:$F,"Non_workdays",'ON Call_Call Out Activities'!$B:$B,CPY!B184)) *24,1)</f>
        <v>0</v>
      </c>
      <c r="Z184" s="63">
        <f>ROUNDUP((SUMIFS('ON Call_Call Out Activities'!$M:$M,'ON Call_Call Out Activities'!$F:$F,"Non_workdays",'ON Call_Call Out Activities'!$B:$B,CPY!B184)),1) + ROUNDUP((SUMIFS('ON Call_Call Out Activities'!$M:$M,'ON Call_Call Out Activities'!$F:$F,"Workdays",'ON Call_Call Out Activities'!$B:$B,CPY!B184)),1)</f>
        <v>0</v>
      </c>
      <c r="AA184" s="66"/>
      <c r="AB184" s="64">
        <f>ROUNDUP((SUMIFS('ON Call_Call Out Activities'!$L:$L,'ON Call_Call Out Activities'!$F:$F,"Call_Out",'ON Call_Call Out Activities'!$B:$B,CPY!B184)) *24,1)</f>
        <v>0</v>
      </c>
      <c r="AC184" s="63">
        <f>ROUNDUP((SUMIFS('ON Call_Call Out Activities'!$M:$M,'ON Call_Call Out Activities'!$F:$F,"Call_Out",'ON Call_Call Out Activities'!$B:$B,CPY!B184)),1)</f>
        <v>0</v>
      </c>
      <c r="AE184" s="65">
        <f>IF((SUMIF(Shift_allowance_Entries!$B:$B,CPY!$B184,Shift_allowance_Entries!$H:$H)) &gt; (SUMIF(Shift_allowance_Entries!$B:$B,CPY!$B184,Shift_allowance_Entries!$G:$G)),0,((SUMIF(Shift_allowance_Entries!$B:$B,CPY!$B184,Shift_allowance_Entries!$G:$G))-(SUMIF(Shift_allowance_Entries!$B:$B,CPY!$B184,Shift_allowance_Entries!$H:$H))))</f>
        <v>0</v>
      </c>
      <c r="AF184" s="63">
        <f>AE184*MD!$S$4</f>
        <v>0</v>
      </c>
    </row>
    <row r="185" spans="1:32" x14ac:dyDescent="0.25">
      <c r="A185" s="62">
        <v>183</v>
      </c>
      <c r="B185" s="62"/>
      <c r="C185" s="50" t="str">
        <f>IF(ISNA(VLOOKUP($B185,Summary!$B:$D,2,FALSE))=TRUE," ",VLOOKUP($B185,Summary!$B:$D,2,FALSE))</f>
        <v> </v>
      </c>
      <c r="D185" s="50" t="str">
        <f>IF(ISNA(VLOOKUP($B185,Summary!$B:$D,3,FALSE))=TRUE," ",VLOOKUP($B185,Summary!$B:$D,3,FALSE))</f>
        <v> </v>
      </c>
      <c r="E185" s="62"/>
      <c r="F185" s="62"/>
      <c r="G185" s="62"/>
      <c r="I185" s="63">
        <f t="shared" si="2"/>
        <v>0</v>
      </c>
      <c r="K185" s="64">
        <f>IF(E185="Support(L1_L2)",IF(NOT(ISBLANK(B185)),IF(NOT(ISBLANK(D185)),NETWORKDAYS('CPY TOC'!$F$5,'CPY TOC'!$G$5))))-L185</f>
        <v>0</v>
      </c>
      <c r="L185" s="64">
        <f>IF(E185="Support(L1_L2)",SUMIFS(Support_allowance_Entries!$G:$G,Support_allowance_Entries!$B:$B,CPY!B185),0)</f>
        <v>0</v>
      </c>
      <c r="M185" s="63" t="b">
        <f>IF($D185="D0",MD!$C$4*(K185),IF($D185="D1",MD!$C$5*(K185),IF($D185="D2",MD!$C$6*(K185),IF($D185="D3",MD!$C$7*(K185),IF($D185="D4",MD!$C$8*(K185),IF($D185="D5",MD!$C$9*(K185),IF($D185="M1",MD!$C$10*(K185),IF($D185="T1",MD!$C$11*(K185)))))))))</f>
        <v>0</v>
      </c>
      <c r="O185" s="65">
        <f>SUMIFS(Shift_allowance_Entries!$G:$G,Shift_allowance_Entries!$F:$F,"6:30AM-03:30PM",Shift_allowance_Entries!$B:$B,CPY!$B185)</f>
        <v>0</v>
      </c>
      <c r="P185" s="65">
        <f>SUMIFS(Shift_allowance_Entries!$G:$G,Shift_allowance_Entries!$F:$F,"1-9PM/2:30PM-11:30PM",Shift_allowance_Entries!$B:$B,CPY!$B185)</f>
        <v>0</v>
      </c>
      <c r="Q185" s="65">
        <f>SUMIFS(Shift_allowance_Entries!$G:$G,Shift_allowance_Entries!$F:$F,"11PM-7AM",Shift_allowance_Entries!$B:$B,CPY!$B185)</f>
        <v>0</v>
      </c>
      <c r="R185" s="63">
        <f>(CPY!O185*MD!$F$4)+(CPY!P185*MD!$F$5)+(CPY!Q185*MD!$F$6)</f>
        <v>0</v>
      </c>
      <c r="T185" s="64">
        <f>ROUNDUP((SUMIFS('OOH Activities'!$K:$K,'OOH Activities'!$F:$F,"Non_workdays",'OOH Activities'!$B:$B,CPY!B185)) *24,1)</f>
        <v>0</v>
      </c>
      <c r="U185" s="64">
        <f>ROUNDUP((SUMIFS('OOH Activities'!$K:$K,'OOH Activities'!$F:$F,"Workdays",'OOH Activities'!$B:$B,CPY!B185)) *24,1)</f>
        <v>0</v>
      </c>
      <c r="V185" s="63">
        <f>ROUNDUP((SUMIFS('OOH Activities'!$L:$L,'OOH Activities'!$B:$B,CPY!B185)),1)</f>
        <v>0</v>
      </c>
      <c r="X185" s="65">
        <f>ROUNDUP((SUMIFS('ON Call_Call Out Activities'!$L:$L,'ON Call_Call Out Activities'!$F:$F,"Workdays",'ON Call_Call Out Activities'!$B:$B,CPY!B185))*24,1)</f>
        <v>0</v>
      </c>
      <c r="Y185" s="64">
        <f>ROUNDUP((SUMIFS('ON Call_Call Out Activities'!$L:$L,'ON Call_Call Out Activities'!$F:$F,"Non_workdays",'ON Call_Call Out Activities'!$B:$B,CPY!B185)) *24,1)</f>
        <v>0</v>
      </c>
      <c r="Z185" s="63">
        <f>ROUNDUP((SUMIFS('ON Call_Call Out Activities'!$M:$M,'ON Call_Call Out Activities'!$F:$F,"Non_workdays",'ON Call_Call Out Activities'!$B:$B,CPY!B185)),1) + ROUNDUP((SUMIFS('ON Call_Call Out Activities'!$M:$M,'ON Call_Call Out Activities'!$F:$F,"Workdays",'ON Call_Call Out Activities'!$B:$B,CPY!B185)),1)</f>
        <v>0</v>
      </c>
      <c r="AA185" s="66"/>
      <c r="AB185" s="64">
        <f>ROUNDUP((SUMIFS('ON Call_Call Out Activities'!$L:$L,'ON Call_Call Out Activities'!$F:$F,"Call_Out",'ON Call_Call Out Activities'!$B:$B,CPY!B185)) *24,1)</f>
        <v>0</v>
      </c>
      <c r="AC185" s="63">
        <f>ROUNDUP((SUMIFS('ON Call_Call Out Activities'!$M:$M,'ON Call_Call Out Activities'!$F:$F,"Call_Out",'ON Call_Call Out Activities'!$B:$B,CPY!B185)),1)</f>
        <v>0</v>
      </c>
      <c r="AE185" s="65">
        <f>IF((SUMIF(Shift_allowance_Entries!$B:$B,CPY!$B185,Shift_allowance_Entries!$H:$H)) &gt; (SUMIF(Shift_allowance_Entries!$B:$B,CPY!$B185,Shift_allowance_Entries!$G:$G)),0,((SUMIF(Shift_allowance_Entries!$B:$B,CPY!$B185,Shift_allowance_Entries!$G:$G))-(SUMIF(Shift_allowance_Entries!$B:$B,CPY!$B185,Shift_allowance_Entries!$H:$H))))</f>
        <v>0</v>
      </c>
      <c r="AF185" s="63">
        <f>AE185*MD!$S$4</f>
        <v>0</v>
      </c>
    </row>
    <row r="186" spans="1:32" x14ac:dyDescent="0.25">
      <c r="A186" s="62">
        <v>184</v>
      </c>
      <c r="B186" s="62"/>
      <c r="C186" s="50" t="str">
        <f>IF(ISNA(VLOOKUP($B186,Summary!$B:$D,2,FALSE))=TRUE," ",VLOOKUP($B186,Summary!$B:$D,2,FALSE))</f>
        <v> </v>
      </c>
      <c r="D186" s="50" t="str">
        <f>IF(ISNA(VLOOKUP($B186,Summary!$B:$D,3,FALSE))=TRUE," ",VLOOKUP($B186,Summary!$B:$D,3,FALSE))</f>
        <v> </v>
      </c>
      <c r="E186" s="62"/>
      <c r="F186" s="62"/>
      <c r="G186" s="62"/>
      <c r="I186" s="63">
        <f t="shared" si="2"/>
        <v>0</v>
      </c>
      <c r="K186" s="64">
        <f>IF(E186="Support(L1_L2)",IF(NOT(ISBLANK(B186)),IF(NOT(ISBLANK(D186)),NETWORKDAYS('CPY TOC'!$F$5,'CPY TOC'!$G$5))))-L186</f>
        <v>0</v>
      </c>
      <c r="L186" s="64">
        <f>IF(E186="Support(L1_L2)",SUMIFS(Support_allowance_Entries!$G:$G,Support_allowance_Entries!$B:$B,CPY!B186),0)</f>
        <v>0</v>
      </c>
      <c r="M186" s="63" t="b">
        <f>IF($D186="D0",MD!$C$4*(K186),IF($D186="D1",MD!$C$5*(K186),IF($D186="D2",MD!$C$6*(K186),IF($D186="D3",MD!$C$7*(K186),IF($D186="D4",MD!$C$8*(K186),IF($D186="D5",MD!$C$9*(K186),IF($D186="M1",MD!$C$10*(K186),IF($D186="T1",MD!$C$11*(K186)))))))))</f>
        <v>0</v>
      </c>
      <c r="O186" s="65">
        <f>SUMIFS(Shift_allowance_Entries!$G:$G,Shift_allowance_Entries!$F:$F,"6:30AM-03:30PM",Shift_allowance_Entries!$B:$B,CPY!$B186)</f>
        <v>0</v>
      </c>
      <c r="P186" s="65">
        <f>SUMIFS(Shift_allowance_Entries!$G:$G,Shift_allowance_Entries!$F:$F,"1-9PM/2:30PM-11:30PM",Shift_allowance_Entries!$B:$B,CPY!$B186)</f>
        <v>0</v>
      </c>
      <c r="Q186" s="65">
        <f>SUMIFS(Shift_allowance_Entries!$G:$G,Shift_allowance_Entries!$F:$F,"11PM-7AM",Shift_allowance_Entries!$B:$B,CPY!$B186)</f>
        <v>0</v>
      </c>
      <c r="R186" s="63">
        <f>(CPY!O186*MD!$F$4)+(CPY!P186*MD!$F$5)+(CPY!Q186*MD!$F$6)</f>
        <v>0</v>
      </c>
      <c r="T186" s="64">
        <f>ROUNDUP((SUMIFS('OOH Activities'!$K:$K,'OOH Activities'!$F:$F,"Non_workdays",'OOH Activities'!$B:$B,CPY!B186)) *24,1)</f>
        <v>0</v>
      </c>
      <c r="U186" s="64">
        <f>ROUNDUP((SUMIFS('OOH Activities'!$K:$K,'OOH Activities'!$F:$F,"Workdays",'OOH Activities'!$B:$B,CPY!B186)) *24,1)</f>
        <v>0</v>
      </c>
      <c r="V186" s="63">
        <f>ROUNDUP((SUMIFS('OOH Activities'!$L:$L,'OOH Activities'!$B:$B,CPY!B186)),1)</f>
        <v>0</v>
      </c>
      <c r="X186" s="65">
        <f>ROUNDUP((SUMIFS('ON Call_Call Out Activities'!$L:$L,'ON Call_Call Out Activities'!$F:$F,"Workdays",'ON Call_Call Out Activities'!$B:$B,CPY!B186))*24,1)</f>
        <v>0</v>
      </c>
      <c r="Y186" s="64">
        <f>ROUNDUP((SUMIFS('ON Call_Call Out Activities'!$L:$L,'ON Call_Call Out Activities'!$F:$F,"Non_workdays",'ON Call_Call Out Activities'!$B:$B,CPY!B186)) *24,1)</f>
        <v>0</v>
      </c>
      <c r="Z186" s="63">
        <f>ROUNDUP((SUMIFS('ON Call_Call Out Activities'!$M:$M,'ON Call_Call Out Activities'!$F:$F,"Non_workdays",'ON Call_Call Out Activities'!$B:$B,CPY!B186)),1) + ROUNDUP((SUMIFS('ON Call_Call Out Activities'!$M:$M,'ON Call_Call Out Activities'!$F:$F,"Workdays",'ON Call_Call Out Activities'!$B:$B,CPY!B186)),1)</f>
        <v>0</v>
      </c>
      <c r="AA186" s="66"/>
      <c r="AB186" s="64">
        <f>ROUNDUP((SUMIFS('ON Call_Call Out Activities'!$L:$L,'ON Call_Call Out Activities'!$F:$F,"Call_Out",'ON Call_Call Out Activities'!$B:$B,CPY!B186)) *24,1)</f>
        <v>0</v>
      </c>
      <c r="AC186" s="63">
        <f>ROUNDUP((SUMIFS('ON Call_Call Out Activities'!$M:$M,'ON Call_Call Out Activities'!$F:$F,"Call_Out",'ON Call_Call Out Activities'!$B:$B,CPY!B186)),1)</f>
        <v>0</v>
      </c>
      <c r="AE186" s="65">
        <f>IF((SUMIF(Shift_allowance_Entries!$B:$B,CPY!$B186,Shift_allowance_Entries!$H:$H)) &gt; (SUMIF(Shift_allowance_Entries!$B:$B,CPY!$B186,Shift_allowance_Entries!$G:$G)),0,((SUMIF(Shift_allowance_Entries!$B:$B,CPY!$B186,Shift_allowance_Entries!$G:$G))-(SUMIF(Shift_allowance_Entries!$B:$B,CPY!$B186,Shift_allowance_Entries!$H:$H))))</f>
        <v>0</v>
      </c>
      <c r="AF186" s="63">
        <f>AE186*MD!$S$4</f>
        <v>0</v>
      </c>
    </row>
    <row r="187" spans="1:32" x14ac:dyDescent="0.25">
      <c r="A187" s="62">
        <v>185</v>
      </c>
      <c r="B187" s="62"/>
      <c r="C187" s="50" t="str">
        <f>IF(ISNA(VLOOKUP($B187,Summary!$B:$D,2,FALSE))=TRUE," ",VLOOKUP($B187,Summary!$B:$D,2,FALSE))</f>
        <v> </v>
      </c>
      <c r="D187" s="50" t="str">
        <f>IF(ISNA(VLOOKUP($B187,Summary!$B:$D,3,FALSE))=TRUE," ",VLOOKUP($B187,Summary!$B:$D,3,FALSE))</f>
        <v> </v>
      </c>
      <c r="E187" s="62"/>
      <c r="F187" s="62"/>
      <c r="G187" s="62"/>
      <c r="I187" s="63">
        <f t="shared" si="2"/>
        <v>0</v>
      </c>
      <c r="K187" s="64">
        <f>IF(E187="Support(L1_L2)",IF(NOT(ISBLANK(B187)),IF(NOT(ISBLANK(D187)),NETWORKDAYS('CPY TOC'!$F$5,'CPY TOC'!$G$5))))-L187</f>
        <v>0</v>
      </c>
      <c r="L187" s="64">
        <f>IF(E187="Support(L1_L2)",SUMIFS(Support_allowance_Entries!$G:$G,Support_allowance_Entries!$B:$B,CPY!B187),0)</f>
        <v>0</v>
      </c>
      <c r="M187" s="63" t="b">
        <f>IF($D187="D0",MD!$C$4*(K187),IF($D187="D1",MD!$C$5*(K187),IF($D187="D2",MD!$C$6*(K187),IF($D187="D3",MD!$C$7*(K187),IF($D187="D4",MD!$C$8*(K187),IF($D187="D5",MD!$C$9*(K187),IF($D187="M1",MD!$C$10*(K187),IF($D187="T1",MD!$C$11*(K187)))))))))</f>
        <v>0</v>
      </c>
      <c r="O187" s="65">
        <f>SUMIFS(Shift_allowance_Entries!$G:$G,Shift_allowance_Entries!$F:$F,"6:30AM-03:30PM",Shift_allowance_Entries!$B:$B,CPY!$B187)</f>
        <v>0</v>
      </c>
      <c r="P187" s="65">
        <f>SUMIFS(Shift_allowance_Entries!$G:$G,Shift_allowance_Entries!$F:$F,"1-9PM/2:30PM-11:30PM",Shift_allowance_Entries!$B:$B,CPY!$B187)</f>
        <v>0</v>
      </c>
      <c r="Q187" s="65">
        <f>SUMIFS(Shift_allowance_Entries!$G:$G,Shift_allowance_Entries!$F:$F,"11PM-7AM",Shift_allowance_Entries!$B:$B,CPY!$B187)</f>
        <v>0</v>
      </c>
      <c r="R187" s="63">
        <f>(CPY!O187*MD!$F$4)+(CPY!P187*MD!$F$5)+(CPY!Q187*MD!$F$6)</f>
        <v>0</v>
      </c>
      <c r="T187" s="64">
        <f>ROUNDUP((SUMIFS('OOH Activities'!$K:$K,'OOH Activities'!$F:$F,"Non_workdays",'OOH Activities'!$B:$B,CPY!B187)) *24,1)</f>
        <v>0</v>
      </c>
      <c r="U187" s="64">
        <f>ROUNDUP((SUMIFS('OOH Activities'!$K:$K,'OOH Activities'!$F:$F,"Workdays",'OOH Activities'!$B:$B,CPY!B187)) *24,1)</f>
        <v>0</v>
      </c>
      <c r="V187" s="63">
        <f>ROUNDUP((SUMIFS('OOH Activities'!$L:$L,'OOH Activities'!$B:$B,CPY!B187)),1)</f>
        <v>0</v>
      </c>
      <c r="X187" s="65">
        <f>ROUNDUP((SUMIFS('ON Call_Call Out Activities'!$L:$L,'ON Call_Call Out Activities'!$F:$F,"Workdays",'ON Call_Call Out Activities'!$B:$B,CPY!B187))*24,1)</f>
        <v>0</v>
      </c>
      <c r="Y187" s="64">
        <f>ROUNDUP((SUMIFS('ON Call_Call Out Activities'!$L:$L,'ON Call_Call Out Activities'!$F:$F,"Non_workdays",'ON Call_Call Out Activities'!$B:$B,CPY!B187)) *24,1)</f>
        <v>0</v>
      </c>
      <c r="Z187" s="63">
        <f>ROUNDUP((SUMIFS('ON Call_Call Out Activities'!$M:$M,'ON Call_Call Out Activities'!$F:$F,"Non_workdays",'ON Call_Call Out Activities'!$B:$B,CPY!B187)),1) + ROUNDUP((SUMIFS('ON Call_Call Out Activities'!$M:$M,'ON Call_Call Out Activities'!$F:$F,"Workdays",'ON Call_Call Out Activities'!$B:$B,CPY!B187)),1)</f>
        <v>0</v>
      </c>
      <c r="AA187" s="66"/>
      <c r="AB187" s="64">
        <f>ROUNDUP((SUMIFS('ON Call_Call Out Activities'!$L:$L,'ON Call_Call Out Activities'!$F:$F,"Call_Out",'ON Call_Call Out Activities'!$B:$B,CPY!B187)) *24,1)</f>
        <v>0</v>
      </c>
      <c r="AC187" s="63">
        <f>ROUNDUP((SUMIFS('ON Call_Call Out Activities'!$M:$M,'ON Call_Call Out Activities'!$F:$F,"Call_Out",'ON Call_Call Out Activities'!$B:$B,CPY!B187)),1)</f>
        <v>0</v>
      </c>
      <c r="AE187" s="65">
        <f>IF((SUMIF(Shift_allowance_Entries!$B:$B,CPY!$B187,Shift_allowance_Entries!$H:$H)) &gt; (SUMIF(Shift_allowance_Entries!$B:$B,CPY!$B187,Shift_allowance_Entries!$G:$G)),0,((SUMIF(Shift_allowance_Entries!$B:$B,CPY!$B187,Shift_allowance_Entries!$G:$G))-(SUMIF(Shift_allowance_Entries!$B:$B,CPY!$B187,Shift_allowance_Entries!$H:$H))))</f>
        <v>0</v>
      </c>
      <c r="AF187" s="63">
        <f>AE187*MD!$S$4</f>
        <v>0</v>
      </c>
    </row>
    <row r="188" spans="1:32" x14ac:dyDescent="0.25">
      <c r="A188" s="62">
        <v>186</v>
      </c>
      <c r="B188" s="62"/>
      <c r="C188" s="50" t="str">
        <f>IF(ISNA(VLOOKUP($B188,Summary!$B:$D,2,FALSE))=TRUE," ",VLOOKUP($B188,Summary!$B:$D,2,FALSE))</f>
        <v> </v>
      </c>
      <c r="D188" s="50" t="str">
        <f>IF(ISNA(VLOOKUP($B188,Summary!$B:$D,3,FALSE))=TRUE," ",VLOOKUP($B188,Summary!$B:$D,3,FALSE))</f>
        <v> </v>
      </c>
      <c r="E188" s="62"/>
      <c r="F188" s="62"/>
      <c r="G188" s="62"/>
      <c r="I188" s="63">
        <f t="shared" si="2"/>
        <v>0</v>
      </c>
      <c r="K188" s="64">
        <f>IF(E188="Support(L1_L2)",IF(NOT(ISBLANK(B188)),IF(NOT(ISBLANK(D188)),NETWORKDAYS('CPY TOC'!$F$5,'CPY TOC'!$G$5))))-L188</f>
        <v>0</v>
      </c>
      <c r="L188" s="64">
        <f>IF(E188="Support(L1_L2)",SUMIFS(Support_allowance_Entries!$G:$G,Support_allowance_Entries!$B:$B,CPY!B188),0)</f>
        <v>0</v>
      </c>
      <c r="M188" s="63" t="b">
        <f>IF($D188="D0",MD!$C$4*(K188),IF($D188="D1",MD!$C$5*(K188),IF($D188="D2",MD!$C$6*(K188),IF($D188="D3",MD!$C$7*(K188),IF($D188="D4",MD!$C$8*(K188),IF($D188="D5",MD!$C$9*(K188),IF($D188="M1",MD!$C$10*(K188),IF($D188="T1",MD!$C$11*(K188)))))))))</f>
        <v>0</v>
      </c>
      <c r="O188" s="65">
        <f>SUMIFS(Shift_allowance_Entries!$G:$G,Shift_allowance_Entries!$F:$F,"6:30AM-03:30PM",Shift_allowance_Entries!$B:$B,CPY!$B188)</f>
        <v>0</v>
      </c>
      <c r="P188" s="65">
        <f>SUMIFS(Shift_allowance_Entries!$G:$G,Shift_allowance_Entries!$F:$F,"1-9PM/2:30PM-11:30PM",Shift_allowance_Entries!$B:$B,CPY!$B188)</f>
        <v>0</v>
      </c>
      <c r="Q188" s="65">
        <f>SUMIFS(Shift_allowance_Entries!$G:$G,Shift_allowance_Entries!$F:$F,"11PM-7AM",Shift_allowance_Entries!$B:$B,CPY!$B188)</f>
        <v>0</v>
      </c>
      <c r="R188" s="63">
        <f>(CPY!O188*MD!$F$4)+(CPY!P188*MD!$F$5)+(CPY!Q188*MD!$F$6)</f>
        <v>0</v>
      </c>
      <c r="T188" s="64">
        <f>ROUNDUP((SUMIFS('OOH Activities'!$K:$K,'OOH Activities'!$F:$F,"Non_workdays",'OOH Activities'!$B:$B,CPY!B188)) *24,1)</f>
        <v>0</v>
      </c>
      <c r="U188" s="64">
        <f>ROUNDUP((SUMIFS('OOH Activities'!$K:$K,'OOH Activities'!$F:$F,"Workdays",'OOH Activities'!$B:$B,CPY!B188)) *24,1)</f>
        <v>0</v>
      </c>
      <c r="V188" s="63">
        <f>ROUNDUP((SUMIFS('OOH Activities'!$L:$L,'OOH Activities'!$B:$B,CPY!B188)),1)</f>
        <v>0</v>
      </c>
      <c r="X188" s="65">
        <f>ROUNDUP((SUMIFS('ON Call_Call Out Activities'!$L:$L,'ON Call_Call Out Activities'!$F:$F,"Workdays",'ON Call_Call Out Activities'!$B:$B,CPY!B188))*24,1)</f>
        <v>0</v>
      </c>
      <c r="Y188" s="64">
        <f>ROUNDUP((SUMIFS('ON Call_Call Out Activities'!$L:$L,'ON Call_Call Out Activities'!$F:$F,"Non_workdays",'ON Call_Call Out Activities'!$B:$B,CPY!B188)) *24,1)</f>
        <v>0</v>
      </c>
      <c r="Z188" s="63">
        <f>ROUNDUP((SUMIFS('ON Call_Call Out Activities'!$M:$M,'ON Call_Call Out Activities'!$F:$F,"Non_workdays",'ON Call_Call Out Activities'!$B:$B,CPY!B188)),1) + ROUNDUP((SUMIFS('ON Call_Call Out Activities'!$M:$M,'ON Call_Call Out Activities'!$F:$F,"Workdays",'ON Call_Call Out Activities'!$B:$B,CPY!B188)),1)</f>
        <v>0</v>
      </c>
      <c r="AA188" s="66"/>
      <c r="AB188" s="64">
        <f>ROUNDUP((SUMIFS('ON Call_Call Out Activities'!$L:$L,'ON Call_Call Out Activities'!$F:$F,"Call_Out",'ON Call_Call Out Activities'!$B:$B,CPY!B188)) *24,1)</f>
        <v>0</v>
      </c>
      <c r="AC188" s="63">
        <f>ROUNDUP((SUMIFS('ON Call_Call Out Activities'!$M:$M,'ON Call_Call Out Activities'!$F:$F,"Call_Out",'ON Call_Call Out Activities'!$B:$B,CPY!B188)),1)</f>
        <v>0</v>
      </c>
      <c r="AE188" s="65">
        <f>IF((SUMIF(Shift_allowance_Entries!$B:$B,CPY!$B188,Shift_allowance_Entries!$H:$H)) &gt; (SUMIF(Shift_allowance_Entries!$B:$B,CPY!$B188,Shift_allowance_Entries!$G:$G)),0,((SUMIF(Shift_allowance_Entries!$B:$B,CPY!$B188,Shift_allowance_Entries!$G:$G))-(SUMIF(Shift_allowance_Entries!$B:$B,CPY!$B188,Shift_allowance_Entries!$H:$H))))</f>
        <v>0</v>
      </c>
      <c r="AF188" s="63">
        <f>AE188*MD!$S$4</f>
        <v>0</v>
      </c>
    </row>
    <row r="189" spans="1:32" x14ac:dyDescent="0.25">
      <c r="A189" s="62">
        <v>187</v>
      </c>
      <c r="B189" s="62"/>
      <c r="C189" s="50" t="str">
        <f>IF(ISNA(VLOOKUP($B189,Summary!$B:$D,2,FALSE))=TRUE," ",VLOOKUP($B189,Summary!$B:$D,2,FALSE))</f>
        <v> </v>
      </c>
      <c r="D189" s="50" t="str">
        <f>IF(ISNA(VLOOKUP($B189,Summary!$B:$D,3,FALSE))=TRUE," ",VLOOKUP($B189,Summary!$B:$D,3,FALSE))</f>
        <v> </v>
      </c>
      <c r="E189" s="62"/>
      <c r="F189" s="62"/>
      <c r="G189" s="62"/>
      <c r="I189" s="63">
        <f t="shared" si="2"/>
        <v>0</v>
      </c>
      <c r="K189" s="64">
        <f>IF(E189="Support(L1_L2)",IF(NOT(ISBLANK(B189)),IF(NOT(ISBLANK(D189)),NETWORKDAYS('CPY TOC'!$F$5,'CPY TOC'!$G$5))))-L189</f>
        <v>0</v>
      </c>
      <c r="L189" s="64">
        <f>IF(E189="Support(L1_L2)",SUMIFS(Support_allowance_Entries!$G:$G,Support_allowance_Entries!$B:$B,CPY!B189),0)</f>
        <v>0</v>
      </c>
      <c r="M189" s="63" t="b">
        <f>IF($D189="D0",MD!$C$4*(K189),IF($D189="D1",MD!$C$5*(K189),IF($D189="D2",MD!$C$6*(K189),IF($D189="D3",MD!$C$7*(K189),IF($D189="D4",MD!$C$8*(K189),IF($D189="D5",MD!$C$9*(K189),IF($D189="M1",MD!$C$10*(K189),IF($D189="T1",MD!$C$11*(K189)))))))))</f>
        <v>0</v>
      </c>
      <c r="O189" s="65">
        <f>SUMIFS(Shift_allowance_Entries!$G:$G,Shift_allowance_Entries!$F:$F,"6:30AM-03:30PM",Shift_allowance_Entries!$B:$B,CPY!$B189)</f>
        <v>0</v>
      </c>
      <c r="P189" s="65">
        <f>SUMIFS(Shift_allowance_Entries!$G:$G,Shift_allowance_Entries!$F:$F,"1-9PM/2:30PM-11:30PM",Shift_allowance_Entries!$B:$B,CPY!$B189)</f>
        <v>0</v>
      </c>
      <c r="Q189" s="65">
        <f>SUMIFS(Shift_allowance_Entries!$G:$G,Shift_allowance_Entries!$F:$F,"11PM-7AM",Shift_allowance_Entries!$B:$B,CPY!$B189)</f>
        <v>0</v>
      </c>
      <c r="R189" s="63">
        <f>(CPY!O189*MD!$F$4)+(CPY!P189*MD!$F$5)+(CPY!Q189*MD!$F$6)</f>
        <v>0</v>
      </c>
      <c r="T189" s="64">
        <f>ROUNDUP((SUMIFS('OOH Activities'!$K:$K,'OOH Activities'!$F:$F,"Non_workdays",'OOH Activities'!$B:$B,CPY!B189)) *24,1)</f>
        <v>0</v>
      </c>
      <c r="U189" s="64">
        <f>ROUNDUP((SUMIFS('OOH Activities'!$K:$K,'OOH Activities'!$F:$F,"Workdays",'OOH Activities'!$B:$B,CPY!B189)) *24,1)</f>
        <v>0</v>
      </c>
      <c r="V189" s="63">
        <f>ROUNDUP((SUMIFS('OOH Activities'!$L:$L,'OOH Activities'!$B:$B,CPY!B189)),1)</f>
        <v>0</v>
      </c>
      <c r="X189" s="65">
        <f>ROUNDUP((SUMIFS('ON Call_Call Out Activities'!$L:$L,'ON Call_Call Out Activities'!$F:$F,"Workdays",'ON Call_Call Out Activities'!$B:$B,CPY!B189))*24,1)</f>
        <v>0</v>
      </c>
      <c r="Y189" s="64">
        <f>ROUNDUP((SUMIFS('ON Call_Call Out Activities'!$L:$L,'ON Call_Call Out Activities'!$F:$F,"Non_workdays",'ON Call_Call Out Activities'!$B:$B,CPY!B189)) *24,1)</f>
        <v>0</v>
      </c>
      <c r="Z189" s="63">
        <f>ROUNDUP((SUMIFS('ON Call_Call Out Activities'!$M:$M,'ON Call_Call Out Activities'!$F:$F,"Non_workdays",'ON Call_Call Out Activities'!$B:$B,CPY!B189)),1) + ROUNDUP((SUMIFS('ON Call_Call Out Activities'!$M:$M,'ON Call_Call Out Activities'!$F:$F,"Workdays",'ON Call_Call Out Activities'!$B:$B,CPY!B189)),1)</f>
        <v>0</v>
      </c>
      <c r="AA189" s="66"/>
      <c r="AB189" s="64">
        <f>ROUNDUP((SUMIFS('ON Call_Call Out Activities'!$L:$L,'ON Call_Call Out Activities'!$F:$F,"Call_Out",'ON Call_Call Out Activities'!$B:$B,CPY!B189)) *24,1)</f>
        <v>0</v>
      </c>
      <c r="AC189" s="63">
        <f>ROUNDUP((SUMIFS('ON Call_Call Out Activities'!$M:$M,'ON Call_Call Out Activities'!$F:$F,"Call_Out",'ON Call_Call Out Activities'!$B:$B,CPY!B189)),1)</f>
        <v>0</v>
      </c>
      <c r="AE189" s="65">
        <f>IF((SUMIF(Shift_allowance_Entries!$B:$B,CPY!$B189,Shift_allowance_Entries!$H:$H)) &gt; (SUMIF(Shift_allowance_Entries!$B:$B,CPY!$B189,Shift_allowance_Entries!$G:$G)),0,((SUMIF(Shift_allowance_Entries!$B:$B,CPY!$B189,Shift_allowance_Entries!$G:$G))-(SUMIF(Shift_allowance_Entries!$B:$B,CPY!$B189,Shift_allowance_Entries!$H:$H))))</f>
        <v>0</v>
      </c>
      <c r="AF189" s="63">
        <f>AE189*MD!$S$4</f>
        <v>0</v>
      </c>
    </row>
    <row r="190" spans="1:32" x14ac:dyDescent="0.25">
      <c r="A190" s="62">
        <v>188</v>
      </c>
      <c r="B190" s="62"/>
      <c r="C190" s="50" t="str">
        <f>IF(ISNA(VLOOKUP($B190,Summary!$B:$D,2,FALSE))=TRUE," ",VLOOKUP($B190,Summary!$B:$D,2,FALSE))</f>
        <v> </v>
      </c>
      <c r="D190" s="50" t="str">
        <f>IF(ISNA(VLOOKUP($B190,Summary!$B:$D,3,FALSE))=TRUE," ",VLOOKUP($B190,Summary!$B:$D,3,FALSE))</f>
        <v> </v>
      </c>
      <c r="E190" s="62"/>
      <c r="F190" s="62"/>
      <c r="G190" s="62"/>
      <c r="I190" s="63">
        <f t="shared" si="2"/>
        <v>0</v>
      </c>
      <c r="K190" s="64">
        <f>IF(E190="Support(L1_L2)",IF(NOT(ISBLANK(B190)),IF(NOT(ISBLANK(D190)),NETWORKDAYS('CPY TOC'!$F$5,'CPY TOC'!$G$5))))-L190</f>
        <v>0</v>
      </c>
      <c r="L190" s="64">
        <f>IF(E190="Support(L1_L2)",SUMIFS(Support_allowance_Entries!$G:$G,Support_allowance_Entries!$B:$B,CPY!B190),0)</f>
        <v>0</v>
      </c>
      <c r="M190" s="63" t="b">
        <f>IF($D190="D0",MD!$C$4*(K190),IF($D190="D1",MD!$C$5*(K190),IF($D190="D2",MD!$C$6*(K190),IF($D190="D3",MD!$C$7*(K190),IF($D190="D4",MD!$C$8*(K190),IF($D190="D5",MD!$C$9*(K190),IF($D190="M1",MD!$C$10*(K190),IF($D190="T1",MD!$C$11*(K190)))))))))</f>
        <v>0</v>
      </c>
      <c r="O190" s="65">
        <f>SUMIFS(Shift_allowance_Entries!$G:$G,Shift_allowance_Entries!$F:$F,"6:30AM-03:30PM",Shift_allowance_Entries!$B:$B,CPY!$B190)</f>
        <v>0</v>
      </c>
      <c r="P190" s="65">
        <f>SUMIFS(Shift_allowance_Entries!$G:$G,Shift_allowance_Entries!$F:$F,"1-9PM/2:30PM-11:30PM",Shift_allowance_Entries!$B:$B,CPY!$B190)</f>
        <v>0</v>
      </c>
      <c r="Q190" s="65">
        <f>SUMIFS(Shift_allowance_Entries!$G:$G,Shift_allowance_Entries!$F:$F,"11PM-7AM",Shift_allowance_Entries!$B:$B,CPY!$B190)</f>
        <v>0</v>
      </c>
      <c r="R190" s="63">
        <f>(CPY!O190*MD!$F$4)+(CPY!P190*MD!$F$5)+(CPY!Q190*MD!$F$6)</f>
        <v>0</v>
      </c>
      <c r="T190" s="64">
        <f>ROUNDUP((SUMIFS('OOH Activities'!$K:$K,'OOH Activities'!$F:$F,"Non_workdays",'OOH Activities'!$B:$B,CPY!B190)) *24,1)</f>
        <v>0</v>
      </c>
      <c r="U190" s="64">
        <f>ROUNDUP((SUMIFS('OOH Activities'!$K:$K,'OOH Activities'!$F:$F,"Workdays",'OOH Activities'!$B:$B,CPY!B190)) *24,1)</f>
        <v>0</v>
      </c>
      <c r="V190" s="63">
        <f>ROUNDUP((SUMIFS('OOH Activities'!$L:$L,'OOH Activities'!$B:$B,CPY!B190)),1)</f>
        <v>0</v>
      </c>
      <c r="X190" s="65">
        <f>ROUNDUP((SUMIFS('ON Call_Call Out Activities'!$L:$L,'ON Call_Call Out Activities'!$F:$F,"Workdays",'ON Call_Call Out Activities'!$B:$B,CPY!B190))*24,1)</f>
        <v>0</v>
      </c>
      <c r="Y190" s="64">
        <f>ROUNDUP((SUMIFS('ON Call_Call Out Activities'!$L:$L,'ON Call_Call Out Activities'!$F:$F,"Non_workdays",'ON Call_Call Out Activities'!$B:$B,CPY!B190)) *24,1)</f>
        <v>0</v>
      </c>
      <c r="Z190" s="63">
        <f>ROUNDUP((SUMIFS('ON Call_Call Out Activities'!$M:$M,'ON Call_Call Out Activities'!$F:$F,"Non_workdays",'ON Call_Call Out Activities'!$B:$B,CPY!B190)),1) + ROUNDUP((SUMIFS('ON Call_Call Out Activities'!$M:$M,'ON Call_Call Out Activities'!$F:$F,"Workdays",'ON Call_Call Out Activities'!$B:$B,CPY!B190)),1)</f>
        <v>0</v>
      </c>
      <c r="AA190" s="66"/>
      <c r="AB190" s="64">
        <f>ROUNDUP((SUMIFS('ON Call_Call Out Activities'!$L:$L,'ON Call_Call Out Activities'!$F:$F,"Call_Out",'ON Call_Call Out Activities'!$B:$B,CPY!B190)) *24,1)</f>
        <v>0</v>
      </c>
      <c r="AC190" s="63">
        <f>ROUNDUP((SUMIFS('ON Call_Call Out Activities'!$M:$M,'ON Call_Call Out Activities'!$F:$F,"Call_Out",'ON Call_Call Out Activities'!$B:$B,CPY!B190)),1)</f>
        <v>0</v>
      </c>
      <c r="AE190" s="65">
        <f>IF((SUMIF(Shift_allowance_Entries!$B:$B,CPY!$B190,Shift_allowance_Entries!$H:$H)) &gt; (SUMIF(Shift_allowance_Entries!$B:$B,CPY!$B190,Shift_allowance_Entries!$G:$G)),0,((SUMIF(Shift_allowance_Entries!$B:$B,CPY!$B190,Shift_allowance_Entries!$G:$G))-(SUMIF(Shift_allowance_Entries!$B:$B,CPY!$B190,Shift_allowance_Entries!$H:$H))))</f>
        <v>0</v>
      </c>
      <c r="AF190" s="63">
        <f>AE190*MD!$S$4</f>
        <v>0</v>
      </c>
    </row>
    <row r="191" spans="1:32" x14ac:dyDescent="0.25">
      <c r="A191" s="62">
        <v>189</v>
      </c>
      <c r="B191" s="62"/>
      <c r="C191" s="50" t="str">
        <f>IF(ISNA(VLOOKUP($B191,Summary!$B:$D,2,FALSE))=TRUE," ",VLOOKUP($B191,Summary!$B:$D,2,FALSE))</f>
        <v> </v>
      </c>
      <c r="D191" s="50" t="str">
        <f>IF(ISNA(VLOOKUP($B191,Summary!$B:$D,3,FALSE))=TRUE," ",VLOOKUP($B191,Summary!$B:$D,3,FALSE))</f>
        <v> </v>
      </c>
      <c r="E191" s="62"/>
      <c r="F191" s="62"/>
      <c r="G191" s="62"/>
      <c r="I191" s="63">
        <f t="shared" si="2"/>
        <v>0</v>
      </c>
      <c r="K191" s="64">
        <f>IF(E191="Support(L1_L2)",IF(NOT(ISBLANK(B191)),IF(NOT(ISBLANK(D191)),NETWORKDAYS('CPY TOC'!$F$5,'CPY TOC'!$G$5))))-L191</f>
        <v>0</v>
      </c>
      <c r="L191" s="64">
        <f>IF(E191="Support(L1_L2)",SUMIFS(Support_allowance_Entries!$G:$G,Support_allowance_Entries!$B:$B,CPY!B191),0)</f>
        <v>0</v>
      </c>
      <c r="M191" s="63" t="b">
        <f>IF($D191="D0",MD!$C$4*(K191),IF($D191="D1",MD!$C$5*(K191),IF($D191="D2",MD!$C$6*(K191),IF($D191="D3",MD!$C$7*(K191),IF($D191="D4",MD!$C$8*(K191),IF($D191="D5",MD!$C$9*(K191),IF($D191="M1",MD!$C$10*(K191),IF($D191="T1",MD!$C$11*(K191)))))))))</f>
        <v>0</v>
      </c>
      <c r="O191" s="65">
        <f>SUMIFS(Shift_allowance_Entries!$G:$G,Shift_allowance_Entries!$F:$F,"6:30AM-03:30PM",Shift_allowance_Entries!$B:$B,CPY!$B191)</f>
        <v>0</v>
      </c>
      <c r="P191" s="65">
        <f>SUMIFS(Shift_allowance_Entries!$G:$G,Shift_allowance_Entries!$F:$F,"1-9PM/2:30PM-11:30PM",Shift_allowance_Entries!$B:$B,CPY!$B191)</f>
        <v>0</v>
      </c>
      <c r="Q191" s="65">
        <f>SUMIFS(Shift_allowance_Entries!$G:$G,Shift_allowance_Entries!$F:$F,"11PM-7AM",Shift_allowance_Entries!$B:$B,CPY!$B191)</f>
        <v>0</v>
      </c>
      <c r="R191" s="63">
        <f>(CPY!O191*MD!$F$4)+(CPY!P191*MD!$F$5)+(CPY!Q191*MD!$F$6)</f>
        <v>0</v>
      </c>
      <c r="T191" s="64">
        <f>ROUNDUP((SUMIFS('OOH Activities'!$K:$K,'OOH Activities'!$F:$F,"Non_workdays",'OOH Activities'!$B:$B,CPY!B191)) *24,1)</f>
        <v>0</v>
      </c>
      <c r="U191" s="64">
        <f>ROUNDUP((SUMIFS('OOH Activities'!$K:$K,'OOH Activities'!$F:$F,"Workdays",'OOH Activities'!$B:$B,CPY!B191)) *24,1)</f>
        <v>0</v>
      </c>
      <c r="V191" s="63">
        <f>ROUNDUP((SUMIFS('OOH Activities'!$L:$L,'OOH Activities'!$B:$B,CPY!B191)),1)</f>
        <v>0</v>
      </c>
      <c r="X191" s="65">
        <f>ROUNDUP((SUMIFS('ON Call_Call Out Activities'!$L:$L,'ON Call_Call Out Activities'!$F:$F,"Workdays",'ON Call_Call Out Activities'!$B:$B,CPY!B191))*24,1)</f>
        <v>0</v>
      </c>
      <c r="Y191" s="64">
        <f>ROUNDUP((SUMIFS('ON Call_Call Out Activities'!$L:$L,'ON Call_Call Out Activities'!$F:$F,"Non_workdays",'ON Call_Call Out Activities'!$B:$B,CPY!B191)) *24,1)</f>
        <v>0</v>
      </c>
      <c r="Z191" s="63">
        <f>ROUNDUP((SUMIFS('ON Call_Call Out Activities'!$M:$M,'ON Call_Call Out Activities'!$F:$F,"Non_workdays",'ON Call_Call Out Activities'!$B:$B,CPY!B191)),1) + ROUNDUP((SUMIFS('ON Call_Call Out Activities'!$M:$M,'ON Call_Call Out Activities'!$F:$F,"Workdays",'ON Call_Call Out Activities'!$B:$B,CPY!B191)),1)</f>
        <v>0</v>
      </c>
      <c r="AA191" s="66"/>
      <c r="AB191" s="64">
        <f>ROUNDUP((SUMIFS('ON Call_Call Out Activities'!$L:$L,'ON Call_Call Out Activities'!$F:$F,"Call_Out",'ON Call_Call Out Activities'!$B:$B,CPY!B191)) *24,1)</f>
        <v>0</v>
      </c>
      <c r="AC191" s="63">
        <f>ROUNDUP((SUMIFS('ON Call_Call Out Activities'!$M:$M,'ON Call_Call Out Activities'!$F:$F,"Call_Out",'ON Call_Call Out Activities'!$B:$B,CPY!B191)),1)</f>
        <v>0</v>
      </c>
      <c r="AE191" s="65">
        <f>IF((SUMIF(Shift_allowance_Entries!$B:$B,CPY!$B191,Shift_allowance_Entries!$H:$H)) &gt; (SUMIF(Shift_allowance_Entries!$B:$B,CPY!$B191,Shift_allowance_Entries!$G:$G)),0,((SUMIF(Shift_allowance_Entries!$B:$B,CPY!$B191,Shift_allowance_Entries!$G:$G))-(SUMIF(Shift_allowance_Entries!$B:$B,CPY!$B191,Shift_allowance_Entries!$H:$H))))</f>
        <v>0</v>
      </c>
      <c r="AF191" s="63">
        <f>AE191*MD!$S$4</f>
        <v>0</v>
      </c>
    </row>
    <row r="192" spans="1:32" x14ac:dyDescent="0.25">
      <c r="A192" s="62">
        <v>190</v>
      </c>
      <c r="B192" s="62"/>
      <c r="C192" s="50" t="str">
        <f>IF(ISNA(VLOOKUP($B192,Summary!$B:$D,2,FALSE))=TRUE," ",VLOOKUP($B192,Summary!$B:$D,2,FALSE))</f>
        <v> </v>
      </c>
      <c r="D192" s="50" t="str">
        <f>IF(ISNA(VLOOKUP($B192,Summary!$B:$D,3,FALSE))=TRUE," ",VLOOKUP($B192,Summary!$B:$D,3,FALSE))</f>
        <v> </v>
      </c>
      <c r="E192" s="62"/>
      <c r="F192" s="62"/>
      <c r="G192" s="62"/>
      <c r="I192" s="63">
        <f t="shared" si="2"/>
        <v>0</v>
      </c>
      <c r="K192" s="64">
        <f>IF(E192="Support(L1_L2)",IF(NOT(ISBLANK(B192)),IF(NOT(ISBLANK(D192)),NETWORKDAYS('CPY TOC'!$F$5,'CPY TOC'!$G$5))))-L192</f>
        <v>0</v>
      </c>
      <c r="L192" s="64">
        <f>IF(E192="Support(L1_L2)",SUMIFS(Support_allowance_Entries!$G:$G,Support_allowance_Entries!$B:$B,CPY!B192),0)</f>
        <v>0</v>
      </c>
      <c r="M192" s="63" t="b">
        <f>IF($D192="D0",MD!$C$4*(K192),IF($D192="D1",MD!$C$5*(K192),IF($D192="D2",MD!$C$6*(K192),IF($D192="D3",MD!$C$7*(K192),IF($D192="D4",MD!$C$8*(K192),IF($D192="D5",MD!$C$9*(K192),IF($D192="M1",MD!$C$10*(K192),IF($D192="T1",MD!$C$11*(K192)))))))))</f>
        <v>0</v>
      </c>
      <c r="O192" s="65">
        <f>SUMIFS(Shift_allowance_Entries!$G:$G,Shift_allowance_Entries!$F:$F,"6:30AM-03:30PM",Shift_allowance_Entries!$B:$B,CPY!$B192)</f>
        <v>0</v>
      </c>
      <c r="P192" s="65">
        <f>SUMIFS(Shift_allowance_Entries!$G:$G,Shift_allowance_Entries!$F:$F,"1-9PM/2:30PM-11:30PM",Shift_allowance_Entries!$B:$B,CPY!$B192)</f>
        <v>0</v>
      </c>
      <c r="Q192" s="65">
        <f>SUMIFS(Shift_allowance_Entries!$G:$G,Shift_allowance_Entries!$F:$F,"11PM-7AM",Shift_allowance_Entries!$B:$B,CPY!$B192)</f>
        <v>0</v>
      </c>
      <c r="R192" s="63">
        <f>(CPY!O192*MD!$F$4)+(CPY!P192*MD!$F$5)+(CPY!Q192*MD!$F$6)</f>
        <v>0</v>
      </c>
      <c r="T192" s="64">
        <f>ROUNDUP((SUMIFS('OOH Activities'!$K:$K,'OOH Activities'!$F:$F,"Non_workdays",'OOH Activities'!$B:$B,CPY!B192)) *24,1)</f>
        <v>0</v>
      </c>
      <c r="U192" s="64">
        <f>ROUNDUP((SUMIFS('OOH Activities'!$K:$K,'OOH Activities'!$F:$F,"Workdays",'OOH Activities'!$B:$B,CPY!B192)) *24,1)</f>
        <v>0</v>
      </c>
      <c r="V192" s="63">
        <f>ROUNDUP((SUMIFS('OOH Activities'!$L:$L,'OOH Activities'!$B:$B,CPY!B192)),1)</f>
        <v>0</v>
      </c>
      <c r="X192" s="65">
        <f>ROUNDUP((SUMIFS('ON Call_Call Out Activities'!$L:$L,'ON Call_Call Out Activities'!$F:$F,"Workdays",'ON Call_Call Out Activities'!$B:$B,CPY!B192))*24,1)</f>
        <v>0</v>
      </c>
      <c r="Y192" s="64">
        <f>ROUNDUP((SUMIFS('ON Call_Call Out Activities'!$L:$L,'ON Call_Call Out Activities'!$F:$F,"Non_workdays",'ON Call_Call Out Activities'!$B:$B,CPY!B192)) *24,1)</f>
        <v>0</v>
      </c>
      <c r="Z192" s="63">
        <f>ROUNDUP((SUMIFS('ON Call_Call Out Activities'!$M:$M,'ON Call_Call Out Activities'!$F:$F,"Non_workdays",'ON Call_Call Out Activities'!$B:$B,CPY!B192)),1) + ROUNDUP((SUMIFS('ON Call_Call Out Activities'!$M:$M,'ON Call_Call Out Activities'!$F:$F,"Workdays",'ON Call_Call Out Activities'!$B:$B,CPY!B192)),1)</f>
        <v>0</v>
      </c>
      <c r="AA192" s="66"/>
      <c r="AB192" s="64">
        <f>ROUNDUP((SUMIFS('ON Call_Call Out Activities'!$L:$L,'ON Call_Call Out Activities'!$F:$F,"Call_Out",'ON Call_Call Out Activities'!$B:$B,CPY!B192)) *24,1)</f>
        <v>0</v>
      </c>
      <c r="AC192" s="63">
        <f>ROUNDUP((SUMIFS('ON Call_Call Out Activities'!$M:$M,'ON Call_Call Out Activities'!$F:$F,"Call_Out",'ON Call_Call Out Activities'!$B:$B,CPY!B192)),1)</f>
        <v>0</v>
      </c>
      <c r="AE192" s="65">
        <f>IF((SUMIF(Shift_allowance_Entries!$B:$B,CPY!$B192,Shift_allowance_Entries!$H:$H)) &gt; (SUMIF(Shift_allowance_Entries!$B:$B,CPY!$B192,Shift_allowance_Entries!$G:$G)),0,((SUMIF(Shift_allowance_Entries!$B:$B,CPY!$B192,Shift_allowance_Entries!$G:$G))-(SUMIF(Shift_allowance_Entries!$B:$B,CPY!$B192,Shift_allowance_Entries!$H:$H))))</f>
        <v>0</v>
      </c>
      <c r="AF192" s="63">
        <f>AE192*MD!$S$4</f>
        <v>0</v>
      </c>
    </row>
    <row r="193" spans="1:32" x14ac:dyDescent="0.25">
      <c r="A193" s="62">
        <v>191</v>
      </c>
      <c r="B193" s="62"/>
      <c r="C193" s="50" t="str">
        <f>IF(ISNA(VLOOKUP($B193,Summary!$B:$D,2,FALSE))=TRUE," ",VLOOKUP($B193,Summary!$B:$D,2,FALSE))</f>
        <v> </v>
      </c>
      <c r="D193" s="50" t="str">
        <f>IF(ISNA(VLOOKUP($B193,Summary!$B:$D,3,FALSE))=TRUE," ",VLOOKUP($B193,Summary!$B:$D,3,FALSE))</f>
        <v> </v>
      </c>
      <c r="E193" s="62"/>
      <c r="F193" s="62"/>
      <c r="G193" s="62"/>
      <c r="I193" s="63">
        <f t="shared" si="2"/>
        <v>0</v>
      </c>
      <c r="K193" s="64">
        <f>IF(E193="Support(L1_L2)",IF(NOT(ISBLANK(B193)),IF(NOT(ISBLANK(D193)),NETWORKDAYS('CPY TOC'!$F$5,'CPY TOC'!$G$5))))-L193</f>
        <v>0</v>
      </c>
      <c r="L193" s="64">
        <f>IF(E193="Support(L1_L2)",SUMIFS(Support_allowance_Entries!$G:$G,Support_allowance_Entries!$B:$B,CPY!B193),0)</f>
        <v>0</v>
      </c>
      <c r="M193" s="63" t="b">
        <f>IF($D193="D0",MD!$C$4*(K193),IF($D193="D1",MD!$C$5*(K193),IF($D193="D2",MD!$C$6*(K193),IF($D193="D3",MD!$C$7*(K193),IF($D193="D4",MD!$C$8*(K193),IF($D193="D5",MD!$C$9*(K193),IF($D193="M1",MD!$C$10*(K193),IF($D193="T1",MD!$C$11*(K193)))))))))</f>
        <v>0</v>
      </c>
      <c r="O193" s="65">
        <f>SUMIFS(Shift_allowance_Entries!$G:$G,Shift_allowance_Entries!$F:$F,"6:30AM-03:30PM",Shift_allowance_Entries!$B:$B,CPY!$B193)</f>
        <v>0</v>
      </c>
      <c r="P193" s="65">
        <f>SUMIFS(Shift_allowance_Entries!$G:$G,Shift_allowance_Entries!$F:$F,"1-9PM/2:30PM-11:30PM",Shift_allowance_Entries!$B:$B,CPY!$B193)</f>
        <v>0</v>
      </c>
      <c r="Q193" s="65">
        <f>SUMIFS(Shift_allowance_Entries!$G:$G,Shift_allowance_Entries!$F:$F,"11PM-7AM",Shift_allowance_Entries!$B:$B,CPY!$B193)</f>
        <v>0</v>
      </c>
      <c r="R193" s="63">
        <f>(CPY!O193*MD!$F$4)+(CPY!P193*MD!$F$5)+(CPY!Q193*MD!$F$6)</f>
        <v>0</v>
      </c>
      <c r="T193" s="64">
        <f>ROUNDUP((SUMIFS('OOH Activities'!$K:$K,'OOH Activities'!$F:$F,"Non_workdays",'OOH Activities'!$B:$B,CPY!B193)) *24,1)</f>
        <v>0</v>
      </c>
      <c r="U193" s="64">
        <f>ROUNDUP((SUMIFS('OOH Activities'!$K:$K,'OOH Activities'!$F:$F,"Workdays",'OOH Activities'!$B:$B,CPY!B193)) *24,1)</f>
        <v>0</v>
      </c>
      <c r="V193" s="63">
        <f>ROUNDUP((SUMIFS('OOH Activities'!$L:$L,'OOH Activities'!$B:$B,CPY!B193)),1)</f>
        <v>0</v>
      </c>
      <c r="X193" s="65">
        <f>ROUNDUP((SUMIFS('ON Call_Call Out Activities'!$L:$L,'ON Call_Call Out Activities'!$F:$F,"Workdays",'ON Call_Call Out Activities'!$B:$B,CPY!B193))*24,1)</f>
        <v>0</v>
      </c>
      <c r="Y193" s="64">
        <f>ROUNDUP((SUMIFS('ON Call_Call Out Activities'!$L:$L,'ON Call_Call Out Activities'!$F:$F,"Non_workdays",'ON Call_Call Out Activities'!$B:$B,CPY!B193)) *24,1)</f>
        <v>0</v>
      </c>
      <c r="Z193" s="63">
        <f>ROUNDUP((SUMIFS('ON Call_Call Out Activities'!$M:$M,'ON Call_Call Out Activities'!$F:$F,"Non_workdays",'ON Call_Call Out Activities'!$B:$B,CPY!B193)),1) + ROUNDUP((SUMIFS('ON Call_Call Out Activities'!$M:$M,'ON Call_Call Out Activities'!$F:$F,"Workdays",'ON Call_Call Out Activities'!$B:$B,CPY!B193)),1)</f>
        <v>0</v>
      </c>
      <c r="AA193" s="66"/>
      <c r="AB193" s="64">
        <f>ROUNDUP((SUMIFS('ON Call_Call Out Activities'!$L:$L,'ON Call_Call Out Activities'!$F:$F,"Call_Out",'ON Call_Call Out Activities'!$B:$B,CPY!B193)) *24,1)</f>
        <v>0</v>
      </c>
      <c r="AC193" s="63">
        <f>ROUNDUP((SUMIFS('ON Call_Call Out Activities'!$M:$M,'ON Call_Call Out Activities'!$F:$F,"Call_Out",'ON Call_Call Out Activities'!$B:$B,CPY!B193)),1)</f>
        <v>0</v>
      </c>
      <c r="AE193" s="65">
        <f>IF((SUMIF(Shift_allowance_Entries!$B:$B,CPY!$B193,Shift_allowance_Entries!$H:$H)) &gt; (SUMIF(Shift_allowance_Entries!$B:$B,CPY!$B193,Shift_allowance_Entries!$G:$G)),0,((SUMIF(Shift_allowance_Entries!$B:$B,CPY!$B193,Shift_allowance_Entries!$G:$G))-(SUMIF(Shift_allowance_Entries!$B:$B,CPY!$B193,Shift_allowance_Entries!$H:$H))))</f>
        <v>0</v>
      </c>
      <c r="AF193" s="63">
        <f>AE193*MD!$S$4</f>
        <v>0</v>
      </c>
    </row>
    <row r="194" spans="1:32" x14ac:dyDescent="0.25">
      <c r="A194" s="62">
        <v>192</v>
      </c>
      <c r="B194" s="62"/>
      <c r="C194" s="50" t="str">
        <f>IF(ISNA(VLOOKUP($B194,Summary!$B:$D,2,FALSE))=TRUE," ",VLOOKUP($B194,Summary!$B:$D,2,FALSE))</f>
        <v> </v>
      </c>
      <c r="D194" s="50" t="str">
        <f>IF(ISNA(VLOOKUP($B194,Summary!$B:$D,3,FALSE))=TRUE," ",VLOOKUP($B194,Summary!$B:$D,3,FALSE))</f>
        <v> </v>
      </c>
      <c r="E194" s="62"/>
      <c r="F194" s="62"/>
      <c r="G194" s="62"/>
      <c r="I194" s="63">
        <f t="shared" si="2"/>
        <v>0</v>
      </c>
      <c r="K194" s="64">
        <f>IF(E194="Support(L1_L2)",IF(NOT(ISBLANK(B194)),IF(NOT(ISBLANK(D194)),NETWORKDAYS('CPY TOC'!$F$5,'CPY TOC'!$G$5))))-L194</f>
        <v>0</v>
      </c>
      <c r="L194" s="64">
        <f>IF(E194="Support(L1_L2)",SUMIFS(Support_allowance_Entries!$G:$G,Support_allowance_Entries!$B:$B,CPY!B194),0)</f>
        <v>0</v>
      </c>
      <c r="M194" s="63" t="b">
        <f>IF($D194="D0",MD!$C$4*(K194),IF($D194="D1",MD!$C$5*(K194),IF($D194="D2",MD!$C$6*(K194),IF($D194="D3",MD!$C$7*(K194),IF($D194="D4",MD!$C$8*(K194),IF($D194="D5",MD!$C$9*(K194),IF($D194="M1",MD!$C$10*(K194),IF($D194="T1",MD!$C$11*(K194)))))))))</f>
        <v>0</v>
      </c>
      <c r="O194" s="65">
        <f>SUMIFS(Shift_allowance_Entries!$G:$G,Shift_allowance_Entries!$F:$F,"6:30AM-03:30PM",Shift_allowance_Entries!$B:$B,CPY!$B194)</f>
        <v>0</v>
      </c>
      <c r="P194" s="65">
        <f>SUMIFS(Shift_allowance_Entries!$G:$G,Shift_allowance_Entries!$F:$F,"1-9PM/2:30PM-11:30PM",Shift_allowance_Entries!$B:$B,CPY!$B194)</f>
        <v>0</v>
      </c>
      <c r="Q194" s="65">
        <f>SUMIFS(Shift_allowance_Entries!$G:$G,Shift_allowance_Entries!$F:$F,"11PM-7AM",Shift_allowance_Entries!$B:$B,CPY!$B194)</f>
        <v>0</v>
      </c>
      <c r="R194" s="63">
        <f>(CPY!O194*MD!$F$4)+(CPY!P194*MD!$F$5)+(CPY!Q194*MD!$F$6)</f>
        <v>0</v>
      </c>
      <c r="T194" s="64">
        <f>ROUNDUP((SUMIFS('OOH Activities'!$K:$K,'OOH Activities'!$F:$F,"Non_workdays",'OOH Activities'!$B:$B,CPY!B194)) *24,1)</f>
        <v>0</v>
      </c>
      <c r="U194" s="64">
        <f>ROUNDUP((SUMIFS('OOH Activities'!$K:$K,'OOH Activities'!$F:$F,"Workdays",'OOH Activities'!$B:$B,CPY!B194)) *24,1)</f>
        <v>0</v>
      </c>
      <c r="V194" s="63">
        <f>ROUNDUP((SUMIFS('OOH Activities'!$L:$L,'OOH Activities'!$B:$B,CPY!B194)),1)</f>
        <v>0</v>
      </c>
      <c r="X194" s="65">
        <f>ROUNDUP((SUMIFS('ON Call_Call Out Activities'!$L:$L,'ON Call_Call Out Activities'!$F:$F,"Workdays",'ON Call_Call Out Activities'!$B:$B,CPY!B194))*24,1)</f>
        <v>0</v>
      </c>
      <c r="Y194" s="64">
        <f>ROUNDUP((SUMIFS('ON Call_Call Out Activities'!$L:$L,'ON Call_Call Out Activities'!$F:$F,"Non_workdays",'ON Call_Call Out Activities'!$B:$B,CPY!B194)) *24,1)</f>
        <v>0</v>
      </c>
      <c r="Z194" s="63">
        <f>ROUNDUP((SUMIFS('ON Call_Call Out Activities'!$M:$M,'ON Call_Call Out Activities'!$F:$F,"Non_workdays",'ON Call_Call Out Activities'!$B:$B,CPY!B194)),1) + ROUNDUP((SUMIFS('ON Call_Call Out Activities'!$M:$M,'ON Call_Call Out Activities'!$F:$F,"Workdays",'ON Call_Call Out Activities'!$B:$B,CPY!B194)),1)</f>
        <v>0</v>
      </c>
      <c r="AA194" s="66"/>
      <c r="AB194" s="64">
        <f>ROUNDUP((SUMIFS('ON Call_Call Out Activities'!$L:$L,'ON Call_Call Out Activities'!$F:$F,"Call_Out",'ON Call_Call Out Activities'!$B:$B,CPY!B194)) *24,1)</f>
        <v>0</v>
      </c>
      <c r="AC194" s="63">
        <f>ROUNDUP((SUMIFS('ON Call_Call Out Activities'!$M:$M,'ON Call_Call Out Activities'!$F:$F,"Call_Out",'ON Call_Call Out Activities'!$B:$B,CPY!B194)),1)</f>
        <v>0</v>
      </c>
      <c r="AE194" s="65">
        <f>IF((SUMIF(Shift_allowance_Entries!$B:$B,CPY!$B194,Shift_allowance_Entries!$H:$H)) &gt; (SUMIF(Shift_allowance_Entries!$B:$B,CPY!$B194,Shift_allowance_Entries!$G:$G)),0,((SUMIF(Shift_allowance_Entries!$B:$B,CPY!$B194,Shift_allowance_Entries!$G:$G))-(SUMIF(Shift_allowance_Entries!$B:$B,CPY!$B194,Shift_allowance_Entries!$H:$H))))</f>
        <v>0</v>
      </c>
      <c r="AF194" s="63">
        <f>AE194*MD!$S$4</f>
        <v>0</v>
      </c>
    </row>
    <row r="195" spans="1:32" x14ac:dyDescent="0.25">
      <c r="A195" s="62">
        <v>193</v>
      </c>
      <c r="B195" s="62"/>
      <c r="C195" s="50" t="str">
        <f>IF(ISNA(VLOOKUP($B195,Summary!$B:$D,2,FALSE))=TRUE," ",VLOOKUP($B195,Summary!$B:$D,2,FALSE))</f>
        <v> </v>
      </c>
      <c r="D195" s="50" t="str">
        <f>IF(ISNA(VLOOKUP($B195,Summary!$B:$D,3,FALSE))=TRUE," ",VLOOKUP($B195,Summary!$B:$D,3,FALSE))</f>
        <v> </v>
      </c>
      <c r="E195" s="62"/>
      <c r="F195" s="62"/>
      <c r="G195" s="62"/>
      <c r="I195" s="63">
        <f t="shared" ref="I195:I258" si="3">M195+R195+V195+Z195+AC195+AF195</f>
        <v>0</v>
      </c>
      <c r="K195" s="64">
        <f>IF(E195="Support(L1_L2)",IF(NOT(ISBLANK(B195)),IF(NOT(ISBLANK(D195)),NETWORKDAYS('CPY TOC'!$F$5,'CPY TOC'!$G$5))))-L195</f>
        <v>0</v>
      </c>
      <c r="L195" s="64">
        <f>IF(E195="Support(L1_L2)",SUMIFS(Support_allowance_Entries!$G:$G,Support_allowance_Entries!$B:$B,CPY!B195),0)</f>
        <v>0</v>
      </c>
      <c r="M195" s="63" t="b">
        <f>IF($D195="D0",MD!$C$4*(K195),IF($D195="D1",MD!$C$5*(K195),IF($D195="D2",MD!$C$6*(K195),IF($D195="D3",MD!$C$7*(K195),IF($D195="D4",MD!$C$8*(K195),IF($D195="D5",MD!$C$9*(K195),IF($D195="M1",MD!$C$10*(K195),IF($D195="T1",MD!$C$11*(K195)))))))))</f>
        <v>0</v>
      </c>
      <c r="O195" s="65">
        <f>SUMIFS(Shift_allowance_Entries!$G:$G,Shift_allowance_Entries!$F:$F,"6:30AM-03:30PM",Shift_allowance_Entries!$B:$B,CPY!$B195)</f>
        <v>0</v>
      </c>
      <c r="P195" s="65">
        <f>SUMIFS(Shift_allowance_Entries!$G:$G,Shift_allowance_Entries!$F:$F,"1-9PM/2:30PM-11:30PM",Shift_allowance_Entries!$B:$B,CPY!$B195)</f>
        <v>0</v>
      </c>
      <c r="Q195" s="65">
        <f>SUMIFS(Shift_allowance_Entries!$G:$G,Shift_allowance_Entries!$F:$F,"11PM-7AM",Shift_allowance_Entries!$B:$B,CPY!$B195)</f>
        <v>0</v>
      </c>
      <c r="R195" s="63">
        <f>(CPY!O195*MD!$F$4)+(CPY!P195*MD!$F$5)+(CPY!Q195*MD!$F$6)</f>
        <v>0</v>
      </c>
      <c r="T195" s="64">
        <f>ROUNDUP((SUMIFS('OOH Activities'!$K:$K,'OOH Activities'!$F:$F,"Non_workdays",'OOH Activities'!$B:$B,CPY!B195)) *24,1)</f>
        <v>0</v>
      </c>
      <c r="U195" s="64">
        <f>ROUNDUP((SUMIFS('OOH Activities'!$K:$K,'OOH Activities'!$F:$F,"Workdays",'OOH Activities'!$B:$B,CPY!B195)) *24,1)</f>
        <v>0</v>
      </c>
      <c r="V195" s="63">
        <f>ROUNDUP((SUMIFS('OOH Activities'!$L:$L,'OOH Activities'!$B:$B,CPY!B195)),1)</f>
        <v>0</v>
      </c>
      <c r="X195" s="65">
        <f>ROUNDUP((SUMIFS('ON Call_Call Out Activities'!$L:$L,'ON Call_Call Out Activities'!$F:$F,"Workdays",'ON Call_Call Out Activities'!$B:$B,CPY!B195))*24,1)</f>
        <v>0</v>
      </c>
      <c r="Y195" s="64">
        <f>ROUNDUP((SUMIFS('ON Call_Call Out Activities'!$L:$L,'ON Call_Call Out Activities'!$F:$F,"Non_workdays",'ON Call_Call Out Activities'!$B:$B,CPY!B195)) *24,1)</f>
        <v>0</v>
      </c>
      <c r="Z195" s="63">
        <f>ROUNDUP((SUMIFS('ON Call_Call Out Activities'!$M:$M,'ON Call_Call Out Activities'!$F:$F,"Non_workdays",'ON Call_Call Out Activities'!$B:$B,CPY!B195)),1) + ROUNDUP((SUMIFS('ON Call_Call Out Activities'!$M:$M,'ON Call_Call Out Activities'!$F:$F,"Workdays",'ON Call_Call Out Activities'!$B:$B,CPY!B195)),1)</f>
        <v>0</v>
      </c>
      <c r="AA195" s="66"/>
      <c r="AB195" s="64">
        <f>ROUNDUP((SUMIFS('ON Call_Call Out Activities'!$L:$L,'ON Call_Call Out Activities'!$F:$F,"Call_Out",'ON Call_Call Out Activities'!$B:$B,CPY!B195)) *24,1)</f>
        <v>0</v>
      </c>
      <c r="AC195" s="63">
        <f>ROUNDUP((SUMIFS('ON Call_Call Out Activities'!$M:$M,'ON Call_Call Out Activities'!$F:$F,"Call_Out",'ON Call_Call Out Activities'!$B:$B,CPY!B195)),1)</f>
        <v>0</v>
      </c>
      <c r="AE195" s="65">
        <f>IF((SUMIF(Shift_allowance_Entries!$B:$B,CPY!$B195,Shift_allowance_Entries!$H:$H)) &gt; (SUMIF(Shift_allowance_Entries!$B:$B,CPY!$B195,Shift_allowance_Entries!$G:$G)),0,((SUMIF(Shift_allowance_Entries!$B:$B,CPY!$B195,Shift_allowance_Entries!$G:$G))-(SUMIF(Shift_allowance_Entries!$B:$B,CPY!$B195,Shift_allowance_Entries!$H:$H))))</f>
        <v>0</v>
      </c>
      <c r="AF195" s="63">
        <f>AE195*MD!$S$4</f>
        <v>0</v>
      </c>
    </row>
    <row r="196" spans="1:32" x14ac:dyDescent="0.25">
      <c r="A196" s="62">
        <v>194</v>
      </c>
      <c r="B196" s="62"/>
      <c r="C196" s="50" t="str">
        <f>IF(ISNA(VLOOKUP($B196,Summary!$B:$D,2,FALSE))=TRUE," ",VLOOKUP($B196,Summary!$B:$D,2,FALSE))</f>
        <v> </v>
      </c>
      <c r="D196" s="50" t="str">
        <f>IF(ISNA(VLOOKUP($B196,Summary!$B:$D,3,FALSE))=TRUE," ",VLOOKUP($B196,Summary!$B:$D,3,FALSE))</f>
        <v> </v>
      </c>
      <c r="E196" s="62"/>
      <c r="F196" s="62"/>
      <c r="G196" s="62"/>
      <c r="I196" s="63">
        <f t="shared" si="3"/>
        <v>0</v>
      </c>
      <c r="K196" s="64">
        <f>IF(E196="Support(L1_L2)",IF(NOT(ISBLANK(B196)),IF(NOT(ISBLANK(D196)),NETWORKDAYS('CPY TOC'!$F$5,'CPY TOC'!$G$5))))-L196</f>
        <v>0</v>
      </c>
      <c r="L196" s="64">
        <f>IF(E196="Support(L1_L2)",SUMIFS(Support_allowance_Entries!$G:$G,Support_allowance_Entries!$B:$B,CPY!B196),0)</f>
        <v>0</v>
      </c>
      <c r="M196" s="63" t="b">
        <f>IF($D196="D0",MD!$C$4*(K196),IF($D196="D1",MD!$C$5*(K196),IF($D196="D2",MD!$C$6*(K196),IF($D196="D3",MD!$C$7*(K196),IF($D196="D4",MD!$C$8*(K196),IF($D196="D5",MD!$C$9*(K196),IF($D196="M1",MD!$C$10*(K196),IF($D196="T1",MD!$C$11*(K196)))))))))</f>
        <v>0</v>
      </c>
      <c r="O196" s="65">
        <f>SUMIFS(Shift_allowance_Entries!$G:$G,Shift_allowance_Entries!$F:$F,"6:30AM-03:30PM",Shift_allowance_Entries!$B:$B,CPY!$B196)</f>
        <v>0</v>
      </c>
      <c r="P196" s="65">
        <f>SUMIFS(Shift_allowance_Entries!$G:$G,Shift_allowance_Entries!$F:$F,"1-9PM/2:30PM-11:30PM",Shift_allowance_Entries!$B:$B,CPY!$B196)</f>
        <v>0</v>
      </c>
      <c r="Q196" s="65">
        <f>SUMIFS(Shift_allowance_Entries!$G:$G,Shift_allowance_Entries!$F:$F,"11PM-7AM",Shift_allowance_Entries!$B:$B,CPY!$B196)</f>
        <v>0</v>
      </c>
      <c r="R196" s="63">
        <f>(CPY!O196*MD!$F$4)+(CPY!P196*MD!$F$5)+(CPY!Q196*MD!$F$6)</f>
        <v>0</v>
      </c>
      <c r="T196" s="64">
        <f>ROUNDUP((SUMIFS('OOH Activities'!$K:$K,'OOH Activities'!$F:$F,"Non_workdays",'OOH Activities'!$B:$B,CPY!B196)) *24,1)</f>
        <v>0</v>
      </c>
      <c r="U196" s="64">
        <f>ROUNDUP((SUMIFS('OOH Activities'!$K:$K,'OOH Activities'!$F:$F,"Workdays",'OOH Activities'!$B:$B,CPY!B196)) *24,1)</f>
        <v>0</v>
      </c>
      <c r="V196" s="63">
        <f>ROUNDUP((SUMIFS('OOH Activities'!$L:$L,'OOH Activities'!$B:$B,CPY!B196)),1)</f>
        <v>0</v>
      </c>
      <c r="X196" s="65">
        <f>ROUNDUP((SUMIFS('ON Call_Call Out Activities'!$L:$L,'ON Call_Call Out Activities'!$F:$F,"Workdays",'ON Call_Call Out Activities'!$B:$B,CPY!B196))*24,1)</f>
        <v>0</v>
      </c>
      <c r="Y196" s="64">
        <f>ROUNDUP((SUMIFS('ON Call_Call Out Activities'!$L:$L,'ON Call_Call Out Activities'!$F:$F,"Non_workdays",'ON Call_Call Out Activities'!$B:$B,CPY!B196)) *24,1)</f>
        <v>0</v>
      </c>
      <c r="Z196" s="63">
        <f>ROUNDUP((SUMIFS('ON Call_Call Out Activities'!$M:$M,'ON Call_Call Out Activities'!$F:$F,"Non_workdays",'ON Call_Call Out Activities'!$B:$B,CPY!B196)),1) + ROUNDUP((SUMIFS('ON Call_Call Out Activities'!$M:$M,'ON Call_Call Out Activities'!$F:$F,"Workdays",'ON Call_Call Out Activities'!$B:$B,CPY!B196)),1)</f>
        <v>0</v>
      </c>
      <c r="AA196" s="66"/>
      <c r="AB196" s="64">
        <f>ROUNDUP((SUMIFS('ON Call_Call Out Activities'!$L:$L,'ON Call_Call Out Activities'!$F:$F,"Call_Out",'ON Call_Call Out Activities'!$B:$B,CPY!B196)) *24,1)</f>
        <v>0</v>
      </c>
      <c r="AC196" s="63">
        <f>ROUNDUP((SUMIFS('ON Call_Call Out Activities'!$M:$M,'ON Call_Call Out Activities'!$F:$F,"Call_Out",'ON Call_Call Out Activities'!$B:$B,CPY!B196)),1)</f>
        <v>0</v>
      </c>
      <c r="AE196" s="65">
        <f>IF((SUMIF(Shift_allowance_Entries!$B:$B,CPY!$B196,Shift_allowance_Entries!$H:$H)) &gt; (SUMIF(Shift_allowance_Entries!$B:$B,CPY!$B196,Shift_allowance_Entries!$G:$G)),0,((SUMIF(Shift_allowance_Entries!$B:$B,CPY!$B196,Shift_allowance_Entries!$G:$G))-(SUMIF(Shift_allowance_Entries!$B:$B,CPY!$B196,Shift_allowance_Entries!$H:$H))))</f>
        <v>0</v>
      </c>
      <c r="AF196" s="63">
        <f>AE196*MD!$S$4</f>
        <v>0</v>
      </c>
    </row>
    <row r="197" spans="1:32" x14ac:dyDescent="0.25">
      <c r="A197" s="62">
        <v>195</v>
      </c>
      <c r="B197" s="62"/>
      <c r="C197" s="50" t="str">
        <f>IF(ISNA(VLOOKUP($B197,Summary!$B:$D,2,FALSE))=TRUE," ",VLOOKUP($B197,Summary!$B:$D,2,FALSE))</f>
        <v> </v>
      </c>
      <c r="D197" s="50" t="str">
        <f>IF(ISNA(VLOOKUP($B197,Summary!$B:$D,3,FALSE))=TRUE," ",VLOOKUP($B197,Summary!$B:$D,3,FALSE))</f>
        <v> </v>
      </c>
      <c r="E197" s="62"/>
      <c r="F197" s="62"/>
      <c r="G197" s="62"/>
      <c r="I197" s="63">
        <f t="shared" si="3"/>
        <v>0</v>
      </c>
      <c r="K197" s="64">
        <f>IF(E197="Support(L1_L2)",IF(NOT(ISBLANK(B197)),IF(NOT(ISBLANK(D197)),NETWORKDAYS('CPY TOC'!$F$5,'CPY TOC'!$G$5))))-L197</f>
        <v>0</v>
      </c>
      <c r="L197" s="64">
        <f>IF(E197="Support(L1_L2)",SUMIFS(Support_allowance_Entries!$G:$G,Support_allowance_Entries!$B:$B,CPY!B197),0)</f>
        <v>0</v>
      </c>
      <c r="M197" s="63" t="b">
        <f>IF($D197="D0",MD!$C$4*(K197),IF($D197="D1",MD!$C$5*(K197),IF($D197="D2",MD!$C$6*(K197),IF($D197="D3",MD!$C$7*(K197),IF($D197="D4",MD!$C$8*(K197),IF($D197="D5",MD!$C$9*(K197),IF($D197="M1",MD!$C$10*(K197),IF($D197="T1",MD!$C$11*(K197)))))))))</f>
        <v>0</v>
      </c>
      <c r="O197" s="65">
        <f>SUMIFS(Shift_allowance_Entries!$G:$G,Shift_allowance_Entries!$F:$F,"6:30AM-03:30PM",Shift_allowance_Entries!$B:$B,CPY!$B197)</f>
        <v>0</v>
      </c>
      <c r="P197" s="65">
        <f>SUMIFS(Shift_allowance_Entries!$G:$G,Shift_allowance_Entries!$F:$F,"1-9PM/2:30PM-11:30PM",Shift_allowance_Entries!$B:$B,CPY!$B197)</f>
        <v>0</v>
      </c>
      <c r="Q197" s="65">
        <f>SUMIFS(Shift_allowance_Entries!$G:$G,Shift_allowance_Entries!$F:$F,"11PM-7AM",Shift_allowance_Entries!$B:$B,CPY!$B197)</f>
        <v>0</v>
      </c>
      <c r="R197" s="63">
        <f>(CPY!O197*MD!$F$4)+(CPY!P197*MD!$F$5)+(CPY!Q197*MD!$F$6)</f>
        <v>0</v>
      </c>
      <c r="T197" s="64">
        <f>ROUNDUP((SUMIFS('OOH Activities'!$K:$K,'OOH Activities'!$F:$F,"Non_workdays",'OOH Activities'!$B:$B,CPY!B197)) *24,1)</f>
        <v>0</v>
      </c>
      <c r="U197" s="64">
        <f>ROUNDUP((SUMIFS('OOH Activities'!$K:$K,'OOH Activities'!$F:$F,"Workdays",'OOH Activities'!$B:$B,CPY!B197)) *24,1)</f>
        <v>0</v>
      </c>
      <c r="V197" s="63">
        <f>ROUNDUP((SUMIFS('OOH Activities'!$L:$L,'OOH Activities'!$B:$B,CPY!B197)),1)</f>
        <v>0</v>
      </c>
      <c r="X197" s="65">
        <f>ROUNDUP((SUMIFS('ON Call_Call Out Activities'!$L:$L,'ON Call_Call Out Activities'!$F:$F,"Workdays",'ON Call_Call Out Activities'!$B:$B,CPY!B197))*24,1)</f>
        <v>0</v>
      </c>
      <c r="Y197" s="64">
        <f>ROUNDUP((SUMIFS('ON Call_Call Out Activities'!$L:$L,'ON Call_Call Out Activities'!$F:$F,"Non_workdays",'ON Call_Call Out Activities'!$B:$B,CPY!B197)) *24,1)</f>
        <v>0</v>
      </c>
      <c r="Z197" s="63">
        <f>ROUNDUP((SUMIFS('ON Call_Call Out Activities'!$M:$M,'ON Call_Call Out Activities'!$F:$F,"Non_workdays",'ON Call_Call Out Activities'!$B:$B,CPY!B197)),1) + ROUNDUP((SUMIFS('ON Call_Call Out Activities'!$M:$M,'ON Call_Call Out Activities'!$F:$F,"Workdays",'ON Call_Call Out Activities'!$B:$B,CPY!B197)),1)</f>
        <v>0</v>
      </c>
      <c r="AA197" s="66"/>
      <c r="AB197" s="64">
        <f>ROUNDUP((SUMIFS('ON Call_Call Out Activities'!$L:$L,'ON Call_Call Out Activities'!$F:$F,"Call_Out",'ON Call_Call Out Activities'!$B:$B,CPY!B197)) *24,1)</f>
        <v>0</v>
      </c>
      <c r="AC197" s="63">
        <f>ROUNDUP((SUMIFS('ON Call_Call Out Activities'!$M:$M,'ON Call_Call Out Activities'!$F:$F,"Call_Out",'ON Call_Call Out Activities'!$B:$B,CPY!B197)),1)</f>
        <v>0</v>
      </c>
      <c r="AE197" s="65">
        <f>IF((SUMIF(Shift_allowance_Entries!$B:$B,CPY!$B197,Shift_allowance_Entries!$H:$H)) &gt; (SUMIF(Shift_allowance_Entries!$B:$B,CPY!$B197,Shift_allowance_Entries!$G:$G)),0,((SUMIF(Shift_allowance_Entries!$B:$B,CPY!$B197,Shift_allowance_Entries!$G:$G))-(SUMIF(Shift_allowance_Entries!$B:$B,CPY!$B197,Shift_allowance_Entries!$H:$H))))</f>
        <v>0</v>
      </c>
      <c r="AF197" s="63">
        <f>AE197*MD!$S$4</f>
        <v>0</v>
      </c>
    </row>
    <row r="198" spans="1:32" x14ac:dyDescent="0.25">
      <c r="A198" s="62">
        <v>196</v>
      </c>
      <c r="B198" s="62"/>
      <c r="C198" s="50" t="str">
        <f>IF(ISNA(VLOOKUP($B198,Summary!$B:$D,2,FALSE))=TRUE," ",VLOOKUP($B198,Summary!$B:$D,2,FALSE))</f>
        <v> </v>
      </c>
      <c r="D198" s="50" t="str">
        <f>IF(ISNA(VLOOKUP($B198,Summary!$B:$D,3,FALSE))=TRUE," ",VLOOKUP($B198,Summary!$B:$D,3,FALSE))</f>
        <v> </v>
      </c>
      <c r="E198" s="62"/>
      <c r="F198" s="62"/>
      <c r="G198" s="62"/>
      <c r="I198" s="63">
        <f t="shared" si="3"/>
        <v>0</v>
      </c>
      <c r="K198" s="64">
        <f>IF(E198="Support(L1_L2)",IF(NOT(ISBLANK(B198)),IF(NOT(ISBLANK(D198)),NETWORKDAYS('CPY TOC'!$F$5,'CPY TOC'!$G$5))))-L198</f>
        <v>0</v>
      </c>
      <c r="L198" s="64">
        <f>IF(E198="Support(L1_L2)",SUMIFS(Support_allowance_Entries!$G:$G,Support_allowance_Entries!$B:$B,CPY!B198),0)</f>
        <v>0</v>
      </c>
      <c r="M198" s="63" t="b">
        <f>IF($D198="D0",MD!$C$4*(K198),IF($D198="D1",MD!$C$5*(K198),IF($D198="D2",MD!$C$6*(K198),IF($D198="D3",MD!$C$7*(K198),IF($D198="D4",MD!$C$8*(K198),IF($D198="D5",MD!$C$9*(K198),IF($D198="M1",MD!$C$10*(K198),IF($D198="T1",MD!$C$11*(K198)))))))))</f>
        <v>0</v>
      </c>
      <c r="O198" s="65">
        <f>SUMIFS(Shift_allowance_Entries!$G:$G,Shift_allowance_Entries!$F:$F,"6:30AM-03:30PM",Shift_allowance_Entries!$B:$B,CPY!$B198)</f>
        <v>0</v>
      </c>
      <c r="P198" s="65">
        <f>SUMIFS(Shift_allowance_Entries!$G:$G,Shift_allowance_Entries!$F:$F,"1-9PM/2:30PM-11:30PM",Shift_allowance_Entries!$B:$B,CPY!$B198)</f>
        <v>0</v>
      </c>
      <c r="Q198" s="65">
        <f>SUMIFS(Shift_allowance_Entries!$G:$G,Shift_allowance_Entries!$F:$F,"11PM-7AM",Shift_allowance_Entries!$B:$B,CPY!$B198)</f>
        <v>0</v>
      </c>
      <c r="R198" s="63">
        <f>(CPY!O198*MD!$F$4)+(CPY!P198*MD!$F$5)+(CPY!Q198*MD!$F$6)</f>
        <v>0</v>
      </c>
      <c r="T198" s="64">
        <f>ROUNDUP((SUMIFS('OOH Activities'!$K:$K,'OOH Activities'!$F:$F,"Non_workdays",'OOH Activities'!$B:$B,CPY!B198)) *24,1)</f>
        <v>0</v>
      </c>
      <c r="U198" s="64">
        <f>ROUNDUP((SUMIFS('OOH Activities'!$K:$K,'OOH Activities'!$F:$F,"Workdays",'OOH Activities'!$B:$B,CPY!B198)) *24,1)</f>
        <v>0</v>
      </c>
      <c r="V198" s="63">
        <f>ROUNDUP((SUMIFS('OOH Activities'!$L:$L,'OOH Activities'!$B:$B,CPY!B198)),1)</f>
        <v>0</v>
      </c>
      <c r="X198" s="65">
        <f>ROUNDUP((SUMIFS('ON Call_Call Out Activities'!$L:$L,'ON Call_Call Out Activities'!$F:$F,"Workdays",'ON Call_Call Out Activities'!$B:$B,CPY!B198))*24,1)</f>
        <v>0</v>
      </c>
      <c r="Y198" s="64">
        <f>ROUNDUP((SUMIFS('ON Call_Call Out Activities'!$L:$L,'ON Call_Call Out Activities'!$F:$F,"Non_workdays",'ON Call_Call Out Activities'!$B:$B,CPY!B198)) *24,1)</f>
        <v>0</v>
      </c>
      <c r="Z198" s="63">
        <f>ROUNDUP((SUMIFS('ON Call_Call Out Activities'!$M:$M,'ON Call_Call Out Activities'!$F:$F,"Non_workdays",'ON Call_Call Out Activities'!$B:$B,CPY!B198)),1) + ROUNDUP((SUMIFS('ON Call_Call Out Activities'!$M:$M,'ON Call_Call Out Activities'!$F:$F,"Workdays",'ON Call_Call Out Activities'!$B:$B,CPY!B198)),1)</f>
        <v>0</v>
      </c>
      <c r="AA198" s="66"/>
      <c r="AB198" s="64">
        <f>ROUNDUP((SUMIFS('ON Call_Call Out Activities'!$L:$L,'ON Call_Call Out Activities'!$F:$F,"Call_Out",'ON Call_Call Out Activities'!$B:$B,CPY!B198)) *24,1)</f>
        <v>0</v>
      </c>
      <c r="AC198" s="63">
        <f>ROUNDUP((SUMIFS('ON Call_Call Out Activities'!$M:$M,'ON Call_Call Out Activities'!$F:$F,"Call_Out",'ON Call_Call Out Activities'!$B:$B,CPY!B198)),1)</f>
        <v>0</v>
      </c>
      <c r="AE198" s="65">
        <f>IF((SUMIF(Shift_allowance_Entries!$B:$B,CPY!$B198,Shift_allowance_Entries!$H:$H)) &gt; (SUMIF(Shift_allowance_Entries!$B:$B,CPY!$B198,Shift_allowance_Entries!$G:$G)),0,((SUMIF(Shift_allowance_Entries!$B:$B,CPY!$B198,Shift_allowance_Entries!$G:$G))-(SUMIF(Shift_allowance_Entries!$B:$B,CPY!$B198,Shift_allowance_Entries!$H:$H))))</f>
        <v>0</v>
      </c>
      <c r="AF198" s="63">
        <f>AE198*MD!$S$4</f>
        <v>0</v>
      </c>
    </row>
    <row r="199" spans="1:32" x14ac:dyDescent="0.25">
      <c r="A199" s="62">
        <v>197</v>
      </c>
      <c r="B199" s="62"/>
      <c r="C199" s="50" t="str">
        <f>IF(ISNA(VLOOKUP($B199,Summary!$B:$D,2,FALSE))=TRUE," ",VLOOKUP($B199,Summary!$B:$D,2,FALSE))</f>
        <v> </v>
      </c>
      <c r="D199" s="50" t="str">
        <f>IF(ISNA(VLOOKUP($B199,Summary!$B:$D,3,FALSE))=TRUE," ",VLOOKUP($B199,Summary!$B:$D,3,FALSE))</f>
        <v> </v>
      </c>
      <c r="E199" s="62"/>
      <c r="F199" s="62"/>
      <c r="G199" s="62"/>
      <c r="I199" s="63">
        <f t="shared" si="3"/>
        <v>0</v>
      </c>
      <c r="K199" s="64">
        <f>IF(E199="Support(L1_L2)",IF(NOT(ISBLANK(B199)),IF(NOT(ISBLANK(D199)),NETWORKDAYS('CPY TOC'!$F$5,'CPY TOC'!$G$5))))-L199</f>
        <v>0</v>
      </c>
      <c r="L199" s="64">
        <f>IF(E199="Support(L1_L2)",SUMIFS(Support_allowance_Entries!$G:$G,Support_allowance_Entries!$B:$B,CPY!B199),0)</f>
        <v>0</v>
      </c>
      <c r="M199" s="63" t="b">
        <f>IF($D199="D0",MD!$C$4*(K199),IF($D199="D1",MD!$C$5*(K199),IF($D199="D2",MD!$C$6*(K199),IF($D199="D3",MD!$C$7*(K199),IF($D199="D4",MD!$C$8*(K199),IF($D199="D5",MD!$C$9*(K199),IF($D199="M1",MD!$C$10*(K199),IF($D199="T1",MD!$C$11*(K199)))))))))</f>
        <v>0</v>
      </c>
      <c r="O199" s="65">
        <f>SUMIFS(Shift_allowance_Entries!$G:$G,Shift_allowance_Entries!$F:$F,"6:30AM-03:30PM",Shift_allowance_Entries!$B:$B,CPY!$B199)</f>
        <v>0</v>
      </c>
      <c r="P199" s="65">
        <f>SUMIFS(Shift_allowance_Entries!$G:$G,Shift_allowance_Entries!$F:$F,"1-9PM/2:30PM-11:30PM",Shift_allowance_Entries!$B:$B,CPY!$B199)</f>
        <v>0</v>
      </c>
      <c r="Q199" s="65">
        <f>SUMIFS(Shift_allowance_Entries!$G:$G,Shift_allowance_Entries!$F:$F,"11PM-7AM",Shift_allowance_Entries!$B:$B,CPY!$B199)</f>
        <v>0</v>
      </c>
      <c r="R199" s="63">
        <f>(CPY!O199*MD!$F$4)+(CPY!P199*MD!$F$5)+(CPY!Q199*MD!$F$6)</f>
        <v>0</v>
      </c>
      <c r="T199" s="64">
        <f>ROUNDUP((SUMIFS('OOH Activities'!$K:$K,'OOH Activities'!$F:$F,"Non_workdays",'OOH Activities'!$B:$B,CPY!B199)) *24,1)</f>
        <v>0</v>
      </c>
      <c r="U199" s="64">
        <f>ROUNDUP((SUMIFS('OOH Activities'!$K:$K,'OOH Activities'!$F:$F,"Workdays",'OOH Activities'!$B:$B,CPY!B199)) *24,1)</f>
        <v>0</v>
      </c>
      <c r="V199" s="63">
        <f>ROUNDUP((SUMIFS('OOH Activities'!$L:$L,'OOH Activities'!$B:$B,CPY!B199)),1)</f>
        <v>0</v>
      </c>
      <c r="X199" s="65">
        <f>ROUNDUP((SUMIFS('ON Call_Call Out Activities'!$L:$L,'ON Call_Call Out Activities'!$F:$F,"Workdays",'ON Call_Call Out Activities'!$B:$B,CPY!B199))*24,1)</f>
        <v>0</v>
      </c>
      <c r="Y199" s="64">
        <f>ROUNDUP((SUMIFS('ON Call_Call Out Activities'!$L:$L,'ON Call_Call Out Activities'!$F:$F,"Non_workdays",'ON Call_Call Out Activities'!$B:$B,CPY!B199)) *24,1)</f>
        <v>0</v>
      </c>
      <c r="Z199" s="63">
        <f>ROUNDUP((SUMIFS('ON Call_Call Out Activities'!$M:$M,'ON Call_Call Out Activities'!$F:$F,"Non_workdays",'ON Call_Call Out Activities'!$B:$B,CPY!B199)),1) + ROUNDUP((SUMIFS('ON Call_Call Out Activities'!$M:$M,'ON Call_Call Out Activities'!$F:$F,"Workdays",'ON Call_Call Out Activities'!$B:$B,CPY!B199)),1)</f>
        <v>0</v>
      </c>
      <c r="AA199" s="66"/>
      <c r="AB199" s="64">
        <f>ROUNDUP((SUMIFS('ON Call_Call Out Activities'!$L:$L,'ON Call_Call Out Activities'!$F:$F,"Call_Out",'ON Call_Call Out Activities'!$B:$B,CPY!B199)) *24,1)</f>
        <v>0</v>
      </c>
      <c r="AC199" s="63">
        <f>ROUNDUP((SUMIFS('ON Call_Call Out Activities'!$M:$M,'ON Call_Call Out Activities'!$F:$F,"Call_Out",'ON Call_Call Out Activities'!$B:$B,CPY!B199)),1)</f>
        <v>0</v>
      </c>
      <c r="AE199" s="65">
        <f>IF((SUMIF(Shift_allowance_Entries!$B:$B,CPY!$B199,Shift_allowance_Entries!$H:$H)) &gt; (SUMIF(Shift_allowance_Entries!$B:$B,CPY!$B199,Shift_allowance_Entries!$G:$G)),0,((SUMIF(Shift_allowance_Entries!$B:$B,CPY!$B199,Shift_allowance_Entries!$G:$G))-(SUMIF(Shift_allowance_Entries!$B:$B,CPY!$B199,Shift_allowance_Entries!$H:$H))))</f>
        <v>0</v>
      </c>
      <c r="AF199" s="63">
        <f>AE199*MD!$S$4</f>
        <v>0</v>
      </c>
    </row>
    <row r="200" spans="1:32" x14ac:dyDescent="0.25">
      <c r="A200" s="62">
        <v>198</v>
      </c>
      <c r="B200" s="62"/>
      <c r="C200" s="50" t="str">
        <f>IF(ISNA(VLOOKUP($B200,Summary!$B:$D,2,FALSE))=TRUE," ",VLOOKUP($B200,Summary!$B:$D,2,FALSE))</f>
        <v> </v>
      </c>
      <c r="D200" s="50" t="str">
        <f>IF(ISNA(VLOOKUP($B200,Summary!$B:$D,3,FALSE))=TRUE," ",VLOOKUP($B200,Summary!$B:$D,3,FALSE))</f>
        <v> </v>
      </c>
      <c r="E200" s="62"/>
      <c r="F200" s="62"/>
      <c r="G200" s="62"/>
      <c r="I200" s="63">
        <f t="shared" si="3"/>
        <v>0</v>
      </c>
      <c r="K200" s="64">
        <f>IF(E200="Support(L1_L2)",IF(NOT(ISBLANK(B200)),IF(NOT(ISBLANK(D200)),NETWORKDAYS('CPY TOC'!$F$5,'CPY TOC'!$G$5))))-L200</f>
        <v>0</v>
      </c>
      <c r="L200" s="64">
        <f>IF(E200="Support(L1_L2)",SUMIFS(Support_allowance_Entries!$G:$G,Support_allowance_Entries!$B:$B,CPY!B200),0)</f>
        <v>0</v>
      </c>
      <c r="M200" s="63" t="b">
        <f>IF($D200="D0",MD!$C$4*(K200),IF($D200="D1",MD!$C$5*(K200),IF($D200="D2",MD!$C$6*(K200),IF($D200="D3",MD!$C$7*(K200),IF($D200="D4",MD!$C$8*(K200),IF($D200="D5",MD!$C$9*(K200),IF($D200="M1",MD!$C$10*(K200),IF($D200="T1",MD!$C$11*(K200)))))))))</f>
        <v>0</v>
      </c>
      <c r="O200" s="65">
        <f>SUMIFS(Shift_allowance_Entries!$G:$G,Shift_allowance_Entries!$F:$F,"6:30AM-03:30PM",Shift_allowance_Entries!$B:$B,CPY!$B200)</f>
        <v>0</v>
      </c>
      <c r="P200" s="65">
        <f>SUMIFS(Shift_allowance_Entries!$G:$G,Shift_allowance_Entries!$F:$F,"1-9PM/2:30PM-11:30PM",Shift_allowance_Entries!$B:$B,CPY!$B200)</f>
        <v>0</v>
      </c>
      <c r="Q200" s="65">
        <f>SUMIFS(Shift_allowance_Entries!$G:$G,Shift_allowance_Entries!$F:$F,"11PM-7AM",Shift_allowance_Entries!$B:$B,CPY!$B200)</f>
        <v>0</v>
      </c>
      <c r="R200" s="63">
        <f>(CPY!O200*MD!$F$4)+(CPY!P200*MD!$F$5)+(CPY!Q200*MD!$F$6)</f>
        <v>0</v>
      </c>
      <c r="T200" s="64">
        <f>ROUNDUP((SUMIFS('OOH Activities'!$K:$K,'OOH Activities'!$F:$F,"Non_workdays",'OOH Activities'!$B:$B,CPY!B200)) *24,1)</f>
        <v>0</v>
      </c>
      <c r="U200" s="64">
        <f>ROUNDUP((SUMIFS('OOH Activities'!$K:$K,'OOH Activities'!$F:$F,"Workdays",'OOH Activities'!$B:$B,CPY!B200)) *24,1)</f>
        <v>0</v>
      </c>
      <c r="V200" s="63">
        <f>ROUNDUP((SUMIFS('OOH Activities'!$L:$L,'OOH Activities'!$B:$B,CPY!B200)),1)</f>
        <v>0</v>
      </c>
      <c r="X200" s="65">
        <f>ROUNDUP((SUMIFS('ON Call_Call Out Activities'!$L:$L,'ON Call_Call Out Activities'!$F:$F,"Workdays",'ON Call_Call Out Activities'!$B:$B,CPY!B200))*24,1)</f>
        <v>0</v>
      </c>
      <c r="Y200" s="64">
        <f>ROUNDUP((SUMIFS('ON Call_Call Out Activities'!$L:$L,'ON Call_Call Out Activities'!$F:$F,"Non_workdays",'ON Call_Call Out Activities'!$B:$B,CPY!B200)) *24,1)</f>
        <v>0</v>
      </c>
      <c r="Z200" s="63">
        <f>ROUNDUP((SUMIFS('ON Call_Call Out Activities'!$M:$M,'ON Call_Call Out Activities'!$F:$F,"Non_workdays",'ON Call_Call Out Activities'!$B:$B,CPY!B200)),1) + ROUNDUP((SUMIFS('ON Call_Call Out Activities'!$M:$M,'ON Call_Call Out Activities'!$F:$F,"Workdays",'ON Call_Call Out Activities'!$B:$B,CPY!B200)),1)</f>
        <v>0</v>
      </c>
      <c r="AA200" s="66"/>
      <c r="AB200" s="64">
        <f>ROUNDUP((SUMIFS('ON Call_Call Out Activities'!$L:$L,'ON Call_Call Out Activities'!$F:$F,"Call_Out",'ON Call_Call Out Activities'!$B:$B,CPY!B200)) *24,1)</f>
        <v>0</v>
      </c>
      <c r="AC200" s="63">
        <f>ROUNDUP((SUMIFS('ON Call_Call Out Activities'!$M:$M,'ON Call_Call Out Activities'!$F:$F,"Call_Out",'ON Call_Call Out Activities'!$B:$B,CPY!B200)),1)</f>
        <v>0</v>
      </c>
      <c r="AE200" s="65">
        <f>IF((SUMIF(Shift_allowance_Entries!$B:$B,CPY!$B200,Shift_allowance_Entries!$H:$H)) &gt; (SUMIF(Shift_allowance_Entries!$B:$B,CPY!$B200,Shift_allowance_Entries!$G:$G)),0,((SUMIF(Shift_allowance_Entries!$B:$B,CPY!$B200,Shift_allowance_Entries!$G:$G))-(SUMIF(Shift_allowance_Entries!$B:$B,CPY!$B200,Shift_allowance_Entries!$H:$H))))</f>
        <v>0</v>
      </c>
      <c r="AF200" s="63">
        <f>AE200*MD!$S$4</f>
        <v>0</v>
      </c>
    </row>
    <row r="201" spans="1:32" x14ac:dyDescent="0.25">
      <c r="A201" s="62">
        <v>199</v>
      </c>
      <c r="B201" s="62"/>
      <c r="C201" s="50" t="str">
        <f>IF(ISNA(VLOOKUP($B201,Summary!$B:$D,2,FALSE))=TRUE," ",VLOOKUP($B201,Summary!$B:$D,2,FALSE))</f>
        <v> </v>
      </c>
      <c r="D201" s="50" t="str">
        <f>IF(ISNA(VLOOKUP($B201,Summary!$B:$D,3,FALSE))=TRUE," ",VLOOKUP($B201,Summary!$B:$D,3,FALSE))</f>
        <v> </v>
      </c>
      <c r="E201" s="62"/>
      <c r="F201" s="62"/>
      <c r="G201" s="62"/>
      <c r="I201" s="63">
        <f t="shared" si="3"/>
        <v>0</v>
      </c>
      <c r="K201" s="64">
        <f>IF(E201="Support(L1_L2)",IF(NOT(ISBLANK(B201)),IF(NOT(ISBLANK(D201)),NETWORKDAYS('CPY TOC'!$F$5,'CPY TOC'!$G$5))))-L201</f>
        <v>0</v>
      </c>
      <c r="L201" s="64">
        <f>IF(E201="Support(L1_L2)",SUMIFS(Support_allowance_Entries!$G:$G,Support_allowance_Entries!$B:$B,CPY!B201),0)</f>
        <v>0</v>
      </c>
      <c r="M201" s="63" t="b">
        <f>IF($D201="D0",MD!$C$4*(K201),IF($D201="D1",MD!$C$5*(K201),IF($D201="D2",MD!$C$6*(K201),IF($D201="D3",MD!$C$7*(K201),IF($D201="D4",MD!$C$8*(K201),IF($D201="D5",MD!$C$9*(K201),IF($D201="M1",MD!$C$10*(K201),IF($D201="T1",MD!$C$11*(K201)))))))))</f>
        <v>0</v>
      </c>
      <c r="O201" s="65">
        <f>SUMIFS(Shift_allowance_Entries!$G:$G,Shift_allowance_Entries!$F:$F,"6:30AM-03:30PM",Shift_allowance_Entries!$B:$B,CPY!$B201)</f>
        <v>0</v>
      </c>
      <c r="P201" s="65">
        <f>SUMIFS(Shift_allowance_Entries!$G:$G,Shift_allowance_Entries!$F:$F,"1-9PM/2:30PM-11:30PM",Shift_allowance_Entries!$B:$B,CPY!$B201)</f>
        <v>0</v>
      </c>
      <c r="Q201" s="65">
        <f>SUMIFS(Shift_allowance_Entries!$G:$G,Shift_allowance_Entries!$F:$F,"11PM-7AM",Shift_allowance_Entries!$B:$B,CPY!$B201)</f>
        <v>0</v>
      </c>
      <c r="R201" s="63">
        <f>(CPY!O201*MD!$F$4)+(CPY!P201*MD!$F$5)+(CPY!Q201*MD!$F$6)</f>
        <v>0</v>
      </c>
      <c r="T201" s="64">
        <f>ROUNDUP((SUMIFS('OOH Activities'!$K:$K,'OOH Activities'!$F:$F,"Non_workdays",'OOH Activities'!$B:$B,CPY!B201)) *24,1)</f>
        <v>0</v>
      </c>
      <c r="U201" s="64">
        <f>ROUNDUP((SUMIFS('OOH Activities'!$K:$K,'OOH Activities'!$F:$F,"Workdays",'OOH Activities'!$B:$B,CPY!B201)) *24,1)</f>
        <v>0</v>
      </c>
      <c r="V201" s="63">
        <f>ROUNDUP((SUMIFS('OOH Activities'!$L:$L,'OOH Activities'!$B:$B,CPY!B201)),1)</f>
        <v>0</v>
      </c>
      <c r="X201" s="65">
        <f>ROUNDUP((SUMIFS('ON Call_Call Out Activities'!$L:$L,'ON Call_Call Out Activities'!$F:$F,"Workdays",'ON Call_Call Out Activities'!$B:$B,CPY!B201))*24,1)</f>
        <v>0</v>
      </c>
      <c r="Y201" s="64">
        <f>ROUNDUP((SUMIFS('ON Call_Call Out Activities'!$L:$L,'ON Call_Call Out Activities'!$F:$F,"Non_workdays",'ON Call_Call Out Activities'!$B:$B,CPY!B201)) *24,1)</f>
        <v>0</v>
      </c>
      <c r="Z201" s="63">
        <f>ROUNDUP((SUMIFS('ON Call_Call Out Activities'!$M:$M,'ON Call_Call Out Activities'!$F:$F,"Non_workdays",'ON Call_Call Out Activities'!$B:$B,CPY!B201)),1) + ROUNDUP((SUMIFS('ON Call_Call Out Activities'!$M:$M,'ON Call_Call Out Activities'!$F:$F,"Workdays",'ON Call_Call Out Activities'!$B:$B,CPY!B201)),1)</f>
        <v>0</v>
      </c>
      <c r="AA201" s="66"/>
      <c r="AB201" s="64">
        <f>ROUNDUP((SUMIFS('ON Call_Call Out Activities'!$L:$L,'ON Call_Call Out Activities'!$F:$F,"Call_Out",'ON Call_Call Out Activities'!$B:$B,CPY!B201)) *24,1)</f>
        <v>0</v>
      </c>
      <c r="AC201" s="63">
        <f>ROUNDUP((SUMIFS('ON Call_Call Out Activities'!$M:$M,'ON Call_Call Out Activities'!$F:$F,"Call_Out",'ON Call_Call Out Activities'!$B:$B,CPY!B201)),1)</f>
        <v>0</v>
      </c>
      <c r="AE201" s="65">
        <f>IF((SUMIF(Shift_allowance_Entries!$B:$B,CPY!$B201,Shift_allowance_Entries!$H:$H)) &gt; (SUMIF(Shift_allowance_Entries!$B:$B,CPY!$B201,Shift_allowance_Entries!$G:$G)),0,((SUMIF(Shift_allowance_Entries!$B:$B,CPY!$B201,Shift_allowance_Entries!$G:$G))-(SUMIF(Shift_allowance_Entries!$B:$B,CPY!$B201,Shift_allowance_Entries!$H:$H))))</f>
        <v>0</v>
      </c>
      <c r="AF201" s="63">
        <f>AE201*MD!$S$4</f>
        <v>0</v>
      </c>
    </row>
    <row r="202" spans="1:32" x14ac:dyDescent="0.25">
      <c r="A202" s="62">
        <v>200</v>
      </c>
      <c r="B202" s="62"/>
      <c r="C202" s="50" t="str">
        <f>IF(ISNA(VLOOKUP($B202,Summary!$B:$D,2,FALSE))=TRUE," ",VLOOKUP($B202,Summary!$B:$D,2,FALSE))</f>
        <v> </v>
      </c>
      <c r="D202" s="50" t="str">
        <f>IF(ISNA(VLOOKUP($B202,Summary!$B:$D,3,FALSE))=TRUE," ",VLOOKUP($B202,Summary!$B:$D,3,FALSE))</f>
        <v> </v>
      </c>
      <c r="E202" s="62"/>
      <c r="F202" s="62"/>
      <c r="G202" s="62"/>
      <c r="I202" s="63">
        <f t="shared" si="3"/>
        <v>0</v>
      </c>
      <c r="K202" s="64">
        <f>IF(E202="Support(L1_L2)",IF(NOT(ISBLANK(B202)),IF(NOT(ISBLANK(D202)),NETWORKDAYS('CPY TOC'!$F$5,'CPY TOC'!$G$5))))-L202</f>
        <v>0</v>
      </c>
      <c r="L202" s="64">
        <f>IF(E202="Support(L1_L2)",SUMIFS(Support_allowance_Entries!$G:$G,Support_allowance_Entries!$B:$B,CPY!B202),0)</f>
        <v>0</v>
      </c>
      <c r="M202" s="63" t="b">
        <f>IF($D202="D0",MD!$C$4*(K202),IF($D202="D1",MD!$C$5*(K202),IF($D202="D2",MD!$C$6*(K202),IF($D202="D3",MD!$C$7*(K202),IF($D202="D4",MD!$C$8*(K202),IF($D202="D5",MD!$C$9*(K202),IF($D202="M1",MD!$C$10*(K202),IF($D202="T1",MD!$C$11*(K202)))))))))</f>
        <v>0</v>
      </c>
      <c r="O202" s="65">
        <f>SUMIFS(Shift_allowance_Entries!$G:$G,Shift_allowance_Entries!$F:$F,"6:30AM-03:30PM",Shift_allowance_Entries!$B:$B,CPY!$B202)</f>
        <v>0</v>
      </c>
      <c r="P202" s="65">
        <f>SUMIFS(Shift_allowance_Entries!$G:$G,Shift_allowance_Entries!$F:$F,"1-9PM/2:30PM-11:30PM",Shift_allowance_Entries!$B:$B,CPY!$B202)</f>
        <v>0</v>
      </c>
      <c r="Q202" s="65">
        <f>SUMIFS(Shift_allowance_Entries!$G:$G,Shift_allowance_Entries!$F:$F,"11PM-7AM",Shift_allowance_Entries!$B:$B,CPY!$B202)</f>
        <v>0</v>
      </c>
      <c r="R202" s="63">
        <f>(CPY!O202*MD!$F$4)+(CPY!P202*MD!$F$5)+(CPY!Q202*MD!$F$6)</f>
        <v>0</v>
      </c>
      <c r="T202" s="64">
        <f>ROUNDUP((SUMIFS('OOH Activities'!$K:$K,'OOH Activities'!$F:$F,"Non_workdays",'OOH Activities'!$B:$B,CPY!B202)) *24,1)</f>
        <v>0</v>
      </c>
      <c r="U202" s="64">
        <f>ROUNDUP((SUMIFS('OOH Activities'!$K:$K,'OOH Activities'!$F:$F,"Workdays",'OOH Activities'!$B:$B,CPY!B202)) *24,1)</f>
        <v>0</v>
      </c>
      <c r="V202" s="63">
        <f>ROUNDUP((SUMIFS('OOH Activities'!$L:$L,'OOH Activities'!$B:$B,CPY!B202)),1)</f>
        <v>0</v>
      </c>
      <c r="X202" s="65">
        <f>ROUNDUP((SUMIFS('ON Call_Call Out Activities'!$L:$L,'ON Call_Call Out Activities'!$F:$F,"Workdays",'ON Call_Call Out Activities'!$B:$B,CPY!B202))*24,1)</f>
        <v>0</v>
      </c>
      <c r="Y202" s="64">
        <f>ROUNDUP((SUMIFS('ON Call_Call Out Activities'!$L:$L,'ON Call_Call Out Activities'!$F:$F,"Non_workdays",'ON Call_Call Out Activities'!$B:$B,CPY!B202)) *24,1)</f>
        <v>0</v>
      </c>
      <c r="Z202" s="63">
        <f>ROUNDUP((SUMIFS('ON Call_Call Out Activities'!$M:$M,'ON Call_Call Out Activities'!$F:$F,"Non_workdays",'ON Call_Call Out Activities'!$B:$B,CPY!B202)),1) + ROUNDUP((SUMIFS('ON Call_Call Out Activities'!$M:$M,'ON Call_Call Out Activities'!$F:$F,"Workdays",'ON Call_Call Out Activities'!$B:$B,CPY!B202)),1)</f>
        <v>0</v>
      </c>
      <c r="AA202" s="66"/>
      <c r="AB202" s="64">
        <f>ROUNDUP((SUMIFS('ON Call_Call Out Activities'!$L:$L,'ON Call_Call Out Activities'!$F:$F,"Call_Out",'ON Call_Call Out Activities'!$B:$B,CPY!B202)) *24,1)</f>
        <v>0</v>
      </c>
      <c r="AC202" s="63">
        <f>ROUNDUP((SUMIFS('ON Call_Call Out Activities'!$M:$M,'ON Call_Call Out Activities'!$F:$F,"Call_Out",'ON Call_Call Out Activities'!$B:$B,CPY!B202)),1)</f>
        <v>0</v>
      </c>
      <c r="AE202" s="65">
        <f>IF((SUMIF(Shift_allowance_Entries!$B:$B,CPY!$B202,Shift_allowance_Entries!$H:$H)) &gt; (SUMIF(Shift_allowance_Entries!$B:$B,CPY!$B202,Shift_allowance_Entries!$G:$G)),0,((SUMIF(Shift_allowance_Entries!$B:$B,CPY!$B202,Shift_allowance_Entries!$G:$G))-(SUMIF(Shift_allowance_Entries!$B:$B,CPY!$B202,Shift_allowance_Entries!$H:$H))))</f>
        <v>0</v>
      </c>
      <c r="AF202" s="63">
        <f>AE202*MD!$S$4</f>
        <v>0</v>
      </c>
    </row>
    <row r="203" spans="1:32" x14ac:dyDescent="0.25">
      <c r="A203" s="62">
        <v>201</v>
      </c>
      <c r="B203" s="62"/>
      <c r="C203" s="50" t="str">
        <f>IF(ISNA(VLOOKUP($B203,Summary!$B:$D,2,FALSE))=TRUE," ",VLOOKUP($B203,Summary!$B:$D,2,FALSE))</f>
        <v> </v>
      </c>
      <c r="D203" s="50" t="str">
        <f>IF(ISNA(VLOOKUP($B203,Summary!$B:$D,3,FALSE))=TRUE," ",VLOOKUP($B203,Summary!$B:$D,3,FALSE))</f>
        <v> </v>
      </c>
      <c r="E203" s="62"/>
      <c r="F203" s="62"/>
      <c r="G203" s="62"/>
      <c r="I203" s="63">
        <f t="shared" si="3"/>
        <v>0</v>
      </c>
      <c r="K203" s="64">
        <f>IF(E203="Support(L1_L2)",IF(NOT(ISBLANK(B203)),IF(NOT(ISBLANK(D203)),NETWORKDAYS('CPY TOC'!$F$5,'CPY TOC'!$G$5))))-L203</f>
        <v>0</v>
      </c>
      <c r="L203" s="64">
        <f>IF(E203="Support(L1_L2)",SUMIFS(Support_allowance_Entries!$G:$G,Support_allowance_Entries!$B:$B,CPY!B203),0)</f>
        <v>0</v>
      </c>
      <c r="M203" s="63" t="b">
        <f>IF($D203="D0",MD!$C$4*(K203),IF($D203="D1",MD!$C$5*(K203),IF($D203="D2",MD!$C$6*(K203),IF($D203="D3",MD!$C$7*(K203),IF($D203="D4",MD!$C$8*(K203),IF($D203="D5",MD!$C$9*(K203),IF($D203="M1",MD!$C$10*(K203),IF($D203="T1",MD!$C$11*(K203)))))))))</f>
        <v>0</v>
      </c>
      <c r="O203" s="65">
        <f>SUMIFS(Shift_allowance_Entries!$G:$G,Shift_allowance_Entries!$F:$F,"6:30AM-03:30PM",Shift_allowance_Entries!$B:$B,CPY!$B203)</f>
        <v>0</v>
      </c>
      <c r="P203" s="65">
        <f>SUMIFS(Shift_allowance_Entries!$G:$G,Shift_allowance_Entries!$F:$F,"1-9PM/2:30PM-11:30PM",Shift_allowance_Entries!$B:$B,CPY!$B203)</f>
        <v>0</v>
      </c>
      <c r="Q203" s="65">
        <f>SUMIFS(Shift_allowance_Entries!$G:$G,Shift_allowance_Entries!$F:$F,"11PM-7AM",Shift_allowance_Entries!$B:$B,CPY!$B203)</f>
        <v>0</v>
      </c>
      <c r="R203" s="63">
        <f>(CPY!O203*MD!$F$4)+(CPY!P203*MD!$F$5)+(CPY!Q203*MD!$F$6)</f>
        <v>0</v>
      </c>
      <c r="T203" s="64">
        <f>ROUNDUP((SUMIFS('OOH Activities'!$K:$K,'OOH Activities'!$F:$F,"Non_workdays",'OOH Activities'!$B:$B,CPY!B203)) *24,1)</f>
        <v>0</v>
      </c>
      <c r="U203" s="64">
        <f>ROUNDUP((SUMIFS('OOH Activities'!$K:$K,'OOH Activities'!$F:$F,"Workdays",'OOH Activities'!$B:$B,CPY!B203)) *24,1)</f>
        <v>0</v>
      </c>
      <c r="V203" s="63">
        <f>ROUNDUP((SUMIFS('OOH Activities'!$L:$L,'OOH Activities'!$B:$B,CPY!B203)),1)</f>
        <v>0</v>
      </c>
      <c r="X203" s="65">
        <f>ROUNDUP((SUMIFS('ON Call_Call Out Activities'!$L:$L,'ON Call_Call Out Activities'!$F:$F,"Workdays",'ON Call_Call Out Activities'!$B:$B,CPY!B203))*24,1)</f>
        <v>0</v>
      </c>
      <c r="Y203" s="64">
        <f>ROUNDUP((SUMIFS('ON Call_Call Out Activities'!$L:$L,'ON Call_Call Out Activities'!$F:$F,"Non_workdays",'ON Call_Call Out Activities'!$B:$B,CPY!B203)) *24,1)</f>
        <v>0</v>
      </c>
      <c r="Z203" s="63">
        <f>ROUNDUP((SUMIFS('ON Call_Call Out Activities'!$M:$M,'ON Call_Call Out Activities'!$F:$F,"Non_workdays",'ON Call_Call Out Activities'!$B:$B,CPY!B203)),1) + ROUNDUP((SUMIFS('ON Call_Call Out Activities'!$M:$M,'ON Call_Call Out Activities'!$F:$F,"Workdays",'ON Call_Call Out Activities'!$B:$B,CPY!B203)),1)</f>
        <v>0</v>
      </c>
      <c r="AA203" s="66"/>
      <c r="AB203" s="64">
        <f>ROUNDUP((SUMIFS('ON Call_Call Out Activities'!$L:$L,'ON Call_Call Out Activities'!$F:$F,"Call_Out",'ON Call_Call Out Activities'!$B:$B,CPY!B203)) *24,1)</f>
        <v>0</v>
      </c>
      <c r="AC203" s="63">
        <f>ROUNDUP((SUMIFS('ON Call_Call Out Activities'!$M:$M,'ON Call_Call Out Activities'!$F:$F,"Call_Out",'ON Call_Call Out Activities'!$B:$B,CPY!B203)),1)</f>
        <v>0</v>
      </c>
      <c r="AE203" s="65">
        <f>IF((SUMIF(Shift_allowance_Entries!$B:$B,CPY!$B203,Shift_allowance_Entries!$H:$H)) &gt; (SUMIF(Shift_allowance_Entries!$B:$B,CPY!$B203,Shift_allowance_Entries!$G:$G)),0,((SUMIF(Shift_allowance_Entries!$B:$B,CPY!$B203,Shift_allowance_Entries!$G:$G))-(SUMIF(Shift_allowance_Entries!$B:$B,CPY!$B203,Shift_allowance_Entries!$H:$H))))</f>
        <v>0</v>
      </c>
      <c r="AF203" s="63">
        <f>AE203*MD!$S$4</f>
        <v>0</v>
      </c>
    </row>
    <row r="204" spans="1:32" x14ac:dyDescent="0.25">
      <c r="A204" s="62">
        <v>202</v>
      </c>
      <c r="B204" s="62"/>
      <c r="C204" s="50" t="str">
        <f>IF(ISNA(VLOOKUP($B204,Summary!$B:$D,2,FALSE))=TRUE," ",VLOOKUP($B204,Summary!$B:$D,2,FALSE))</f>
        <v> </v>
      </c>
      <c r="D204" s="50" t="str">
        <f>IF(ISNA(VLOOKUP($B204,Summary!$B:$D,3,FALSE))=TRUE," ",VLOOKUP($B204,Summary!$B:$D,3,FALSE))</f>
        <v> </v>
      </c>
      <c r="E204" s="62"/>
      <c r="F204" s="62"/>
      <c r="G204" s="62"/>
      <c r="I204" s="63">
        <f t="shared" si="3"/>
        <v>0</v>
      </c>
      <c r="K204" s="64">
        <f>IF(E204="Support(L1_L2)",IF(NOT(ISBLANK(B204)),IF(NOT(ISBLANK(D204)),NETWORKDAYS('CPY TOC'!$F$5,'CPY TOC'!$G$5))))-L204</f>
        <v>0</v>
      </c>
      <c r="L204" s="64">
        <f>IF(E204="Support(L1_L2)",SUMIFS(Support_allowance_Entries!$G:$G,Support_allowance_Entries!$B:$B,CPY!B204),0)</f>
        <v>0</v>
      </c>
      <c r="M204" s="63" t="b">
        <f>IF($D204="D0",MD!$C$4*(K204),IF($D204="D1",MD!$C$5*(K204),IF($D204="D2",MD!$C$6*(K204),IF($D204="D3",MD!$C$7*(K204),IF($D204="D4",MD!$C$8*(K204),IF($D204="D5",MD!$C$9*(K204),IF($D204="M1",MD!$C$10*(K204),IF($D204="T1",MD!$C$11*(K204)))))))))</f>
        <v>0</v>
      </c>
      <c r="O204" s="65">
        <f>SUMIFS(Shift_allowance_Entries!$G:$G,Shift_allowance_Entries!$F:$F,"6:30AM-03:30PM",Shift_allowance_Entries!$B:$B,CPY!$B204)</f>
        <v>0</v>
      </c>
      <c r="P204" s="65">
        <f>SUMIFS(Shift_allowance_Entries!$G:$G,Shift_allowance_Entries!$F:$F,"1-9PM/2:30PM-11:30PM",Shift_allowance_Entries!$B:$B,CPY!$B204)</f>
        <v>0</v>
      </c>
      <c r="Q204" s="65">
        <f>SUMIFS(Shift_allowance_Entries!$G:$G,Shift_allowance_Entries!$F:$F,"11PM-7AM",Shift_allowance_Entries!$B:$B,CPY!$B204)</f>
        <v>0</v>
      </c>
      <c r="R204" s="63">
        <f>(CPY!O204*MD!$F$4)+(CPY!P204*MD!$F$5)+(CPY!Q204*MD!$F$6)</f>
        <v>0</v>
      </c>
      <c r="T204" s="64">
        <f>ROUNDUP((SUMIFS('OOH Activities'!$K:$K,'OOH Activities'!$F:$F,"Non_workdays",'OOH Activities'!$B:$B,CPY!B204)) *24,1)</f>
        <v>0</v>
      </c>
      <c r="U204" s="64">
        <f>ROUNDUP((SUMIFS('OOH Activities'!$K:$K,'OOH Activities'!$F:$F,"Workdays",'OOH Activities'!$B:$B,CPY!B204)) *24,1)</f>
        <v>0</v>
      </c>
      <c r="V204" s="63">
        <f>ROUNDUP((SUMIFS('OOH Activities'!$L:$L,'OOH Activities'!$B:$B,CPY!B204)),1)</f>
        <v>0</v>
      </c>
      <c r="X204" s="65">
        <f>ROUNDUP((SUMIFS('ON Call_Call Out Activities'!$L:$L,'ON Call_Call Out Activities'!$F:$F,"Workdays",'ON Call_Call Out Activities'!$B:$B,CPY!B204))*24,1)</f>
        <v>0</v>
      </c>
      <c r="Y204" s="64">
        <f>ROUNDUP((SUMIFS('ON Call_Call Out Activities'!$L:$L,'ON Call_Call Out Activities'!$F:$F,"Non_workdays",'ON Call_Call Out Activities'!$B:$B,CPY!B204)) *24,1)</f>
        <v>0</v>
      </c>
      <c r="Z204" s="63">
        <f>ROUNDUP((SUMIFS('ON Call_Call Out Activities'!$M:$M,'ON Call_Call Out Activities'!$F:$F,"Non_workdays",'ON Call_Call Out Activities'!$B:$B,CPY!B204)),1) + ROUNDUP((SUMIFS('ON Call_Call Out Activities'!$M:$M,'ON Call_Call Out Activities'!$F:$F,"Workdays",'ON Call_Call Out Activities'!$B:$B,CPY!B204)),1)</f>
        <v>0</v>
      </c>
      <c r="AA204" s="66"/>
      <c r="AB204" s="64">
        <f>ROUNDUP((SUMIFS('ON Call_Call Out Activities'!$L:$L,'ON Call_Call Out Activities'!$F:$F,"Call_Out",'ON Call_Call Out Activities'!$B:$B,CPY!B204)) *24,1)</f>
        <v>0</v>
      </c>
      <c r="AC204" s="63">
        <f>ROUNDUP((SUMIFS('ON Call_Call Out Activities'!$M:$M,'ON Call_Call Out Activities'!$F:$F,"Call_Out",'ON Call_Call Out Activities'!$B:$B,CPY!B204)),1)</f>
        <v>0</v>
      </c>
      <c r="AE204" s="65">
        <f>IF((SUMIF(Shift_allowance_Entries!$B:$B,CPY!$B204,Shift_allowance_Entries!$H:$H)) &gt; (SUMIF(Shift_allowance_Entries!$B:$B,CPY!$B204,Shift_allowance_Entries!$G:$G)),0,((SUMIF(Shift_allowance_Entries!$B:$B,CPY!$B204,Shift_allowance_Entries!$G:$G))-(SUMIF(Shift_allowance_Entries!$B:$B,CPY!$B204,Shift_allowance_Entries!$H:$H))))</f>
        <v>0</v>
      </c>
      <c r="AF204" s="63">
        <f>AE204*MD!$S$4</f>
        <v>0</v>
      </c>
    </row>
    <row r="205" spans="1:32" x14ac:dyDescent="0.25">
      <c r="A205" s="62">
        <v>203</v>
      </c>
      <c r="B205" s="62"/>
      <c r="C205" s="50" t="str">
        <f>IF(ISNA(VLOOKUP($B205,Summary!$B:$D,2,FALSE))=TRUE," ",VLOOKUP($B205,Summary!$B:$D,2,FALSE))</f>
        <v> </v>
      </c>
      <c r="D205" s="50" t="str">
        <f>IF(ISNA(VLOOKUP($B205,Summary!$B:$D,3,FALSE))=TRUE," ",VLOOKUP($B205,Summary!$B:$D,3,FALSE))</f>
        <v> </v>
      </c>
      <c r="E205" s="62"/>
      <c r="F205" s="62"/>
      <c r="G205" s="62"/>
      <c r="I205" s="63">
        <f t="shared" si="3"/>
        <v>0</v>
      </c>
      <c r="K205" s="64">
        <f>IF(E205="Support(L1_L2)",IF(NOT(ISBLANK(B205)),IF(NOT(ISBLANK(D205)),NETWORKDAYS('CPY TOC'!$F$5,'CPY TOC'!$G$5))))-L205</f>
        <v>0</v>
      </c>
      <c r="L205" s="64">
        <f>IF(E205="Support(L1_L2)",SUMIFS(Support_allowance_Entries!$G:$G,Support_allowance_Entries!$B:$B,CPY!B205),0)</f>
        <v>0</v>
      </c>
      <c r="M205" s="63" t="b">
        <f>IF($D205="D0",MD!$C$4*(K205),IF($D205="D1",MD!$C$5*(K205),IF($D205="D2",MD!$C$6*(K205),IF($D205="D3",MD!$C$7*(K205),IF($D205="D4",MD!$C$8*(K205),IF($D205="D5",MD!$C$9*(K205),IF($D205="M1",MD!$C$10*(K205),IF($D205="T1",MD!$C$11*(K205)))))))))</f>
        <v>0</v>
      </c>
      <c r="O205" s="65">
        <f>SUMIFS(Shift_allowance_Entries!$G:$G,Shift_allowance_Entries!$F:$F,"6:30AM-03:30PM",Shift_allowance_Entries!$B:$B,CPY!$B205)</f>
        <v>0</v>
      </c>
      <c r="P205" s="65">
        <f>SUMIFS(Shift_allowance_Entries!$G:$G,Shift_allowance_Entries!$F:$F,"1-9PM/2:30PM-11:30PM",Shift_allowance_Entries!$B:$B,CPY!$B205)</f>
        <v>0</v>
      </c>
      <c r="Q205" s="65">
        <f>SUMIFS(Shift_allowance_Entries!$G:$G,Shift_allowance_Entries!$F:$F,"11PM-7AM",Shift_allowance_Entries!$B:$B,CPY!$B205)</f>
        <v>0</v>
      </c>
      <c r="R205" s="63">
        <f>(CPY!O205*MD!$F$4)+(CPY!P205*MD!$F$5)+(CPY!Q205*MD!$F$6)</f>
        <v>0</v>
      </c>
      <c r="T205" s="64">
        <f>ROUNDUP((SUMIFS('OOH Activities'!$K:$K,'OOH Activities'!$F:$F,"Non_workdays",'OOH Activities'!$B:$B,CPY!B205)) *24,1)</f>
        <v>0</v>
      </c>
      <c r="U205" s="64">
        <f>ROUNDUP((SUMIFS('OOH Activities'!$K:$K,'OOH Activities'!$F:$F,"Workdays",'OOH Activities'!$B:$B,CPY!B205)) *24,1)</f>
        <v>0</v>
      </c>
      <c r="V205" s="63">
        <f>ROUNDUP((SUMIFS('OOH Activities'!$L:$L,'OOH Activities'!$B:$B,CPY!B205)),1)</f>
        <v>0</v>
      </c>
      <c r="X205" s="65">
        <f>ROUNDUP((SUMIFS('ON Call_Call Out Activities'!$L:$L,'ON Call_Call Out Activities'!$F:$F,"Workdays",'ON Call_Call Out Activities'!$B:$B,CPY!B205))*24,1)</f>
        <v>0</v>
      </c>
      <c r="Y205" s="64">
        <f>ROUNDUP((SUMIFS('ON Call_Call Out Activities'!$L:$L,'ON Call_Call Out Activities'!$F:$F,"Non_workdays",'ON Call_Call Out Activities'!$B:$B,CPY!B205)) *24,1)</f>
        <v>0</v>
      </c>
      <c r="Z205" s="63">
        <f>ROUNDUP((SUMIFS('ON Call_Call Out Activities'!$M:$M,'ON Call_Call Out Activities'!$F:$F,"Non_workdays",'ON Call_Call Out Activities'!$B:$B,CPY!B205)),1) + ROUNDUP((SUMIFS('ON Call_Call Out Activities'!$M:$M,'ON Call_Call Out Activities'!$F:$F,"Workdays",'ON Call_Call Out Activities'!$B:$B,CPY!B205)),1)</f>
        <v>0</v>
      </c>
      <c r="AA205" s="66"/>
      <c r="AB205" s="64">
        <f>ROUNDUP((SUMIFS('ON Call_Call Out Activities'!$L:$L,'ON Call_Call Out Activities'!$F:$F,"Call_Out",'ON Call_Call Out Activities'!$B:$B,CPY!B205)) *24,1)</f>
        <v>0</v>
      </c>
      <c r="AC205" s="63">
        <f>ROUNDUP((SUMIFS('ON Call_Call Out Activities'!$M:$M,'ON Call_Call Out Activities'!$F:$F,"Call_Out",'ON Call_Call Out Activities'!$B:$B,CPY!B205)),1)</f>
        <v>0</v>
      </c>
      <c r="AE205" s="65">
        <f>IF((SUMIF(Shift_allowance_Entries!$B:$B,CPY!$B205,Shift_allowance_Entries!$H:$H)) &gt; (SUMIF(Shift_allowance_Entries!$B:$B,CPY!$B205,Shift_allowance_Entries!$G:$G)),0,((SUMIF(Shift_allowance_Entries!$B:$B,CPY!$B205,Shift_allowance_Entries!$G:$G))-(SUMIF(Shift_allowance_Entries!$B:$B,CPY!$B205,Shift_allowance_Entries!$H:$H))))</f>
        <v>0</v>
      </c>
      <c r="AF205" s="63">
        <f>AE205*MD!$S$4</f>
        <v>0</v>
      </c>
    </row>
    <row r="206" spans="1:32" x14ac:dyDescent="0.25">
      <c r="A206" s="62">
        <v>204</v>
      </c>
      <c r="B206" s="62"/>
      <c r="C206" s="50" t="str">
        <f>IF(ISNA(VLOOKUP($B206,Summary!$B:$D,2,FALSE))=TRUE," ",VLOOKUP($B206,Summary!$B:$D,2,FALSE))</f>
        <v> </v>
      </c>
      <c r="D206" s="50" t="str">
        <f>IF(ISNA(VLOOKUP($B206,Summary!$B:$D,3,FALSE))=TRUE," ",VLOOKUP($B206,Summary!$B:$D,3,FALSE))</f>
        <v> </v>
      </c>
      <c r="E206" s="62"/>
      <c r="F206" s="62"/>
      <c r="G206" s="62"/>
      <c r="I206" s="63">
        <f t="shared" si="3"/>
        <v>0</v>
      </c>
      <c r="K206" s="64">
        <f>IF(E206="Support(L1_L2)",IF(NOT(ISBLANK(B206)),IF(NOT(ISBLANK(D206)),NETWORKDAYS('CPY TOC'!$F$5,'CPY TOC'!$G$5))))-L206</f>
        <v>0</v>
      </c>
      <c r="L206" s="64">
        <f>IF(E206="Support(L1_L2)",SUMIFS(Support_allowance_Entries!$G:$G,Support_allowance_Entries!$B:$B,CPY!B206),0)</f>
        <v>0</v>
      </c>
      <c r="M206" s="63" t="b">
        <f>IF($D206="D0",MD!$C$4*(K206),IF($D206="D1",MD!$C$5*(K206),IF($D206="D2",MD!$C$6*(K206),IF($D206="D3",MD!$C$7*(K206),IF($D206="D4",MD!$C$8*(K206),IF($D206="D5",MD!$C$9*(K206),IF($D206="M1",MD!$C$10*(K206),IF($D206="T1",MD!$C$11*(K206)))))))))</f>
        <v>0</v>
      </c>
      <c r="O206" s="65">
        <f>SUMIFS(Shift_allowance_Entries!$G:$G,Shift_allowance_Entries!$F:$F,"6:30AM-03:30PM",Shift_allowance_Entries!$B:$B,CPY!$B206)</f>
        <v>0</v>
      </c>
      <c r="P206" s="65">
        <f>SUMIFS(Shift_allowance_Entries!$G:$G,Shift_allowance_Entries!$F:$F,"1-9PM/2:30PM-11:30PM",Shift_allowance_Entries!$B:$B,CPY!$B206)</f>
        <v>0</v>
      </c>
      <c r="Q206" s="65">
        <f>SUMIFS(Shift_allowance_Entries!$G:$G,Shift_allowance_Entries!$F:$F,"11PM-7AM",Shift_allowance_Entries!$B:$B,CPY!$B206)</f>
        <v>0</v>
      </c>
      <c r="R206" s="63">
        <f>(CPY!O206*MD!$F$4)+(CPY!P206*MD!$F$5)+(CPY!Q206*MD!$F$6)</f>
        <v>0</v>
      </c>
      <c r="T206" s="64">
        <f>ROUNDUP((SUMIFS('OOH Activities'!$K:$K,'OOH Activities'!$F:$F,"Non_workdays",'OOH Activities'!$B:$B,CPY!B206)) *24,1)</f>
        <v>0</v>
      </c>
      <c r="U206" s="64">
        <f>ROUNDUP((SUMIFS('OOH Activities'!$K:$K,'OOH Activities'!$F:$F,"Workdays",'OOH Activities'!$B:$B,CPY!B206)) *24,1)</f>
        <v>0</v>
      </c>
      <c r="V206" s="63">
        <f>ROUNDUP((SUMIFS('OOH Activities'!$L:$L,'OOH Activities'!$B:$B,CPY!B206)),1)</f>
        <v>0</v>
      </c>
      <c r="X206" s="65">
        <f>ROUNDUP((SUMIFS('ON Call_Call Out Activities'!$L:$L,'ON Call_Call Out Activities'!$F:$F,"Workdays",'ON Call_Call Out Activities'!$B:$B,CPY!B206))*24,1)</f>
        <v>0</v>
      </c>
      <c r="Y206" s="64">
        <f>ROUNDUP((SUMIFS('ON Call_Call Out Activities'!$L:$L,'ON Call_Call Out Activities'!$F:$F,"Non_workdays",'ON Call_Call Out Activities'!$B:$B,CPY!B206)) *24,1)</f>
        <v>0</v>
      </c>
      <c r="Z206" s="63">
        <f>ROUNDUP((SUMIFS('ON Call_Call Out Activities'!$M:$M,'ON Call_Call Out Activities'!$F:$F,"Non_workdays",'ON Call_Call Out Activities'!$B:$B,CPY!B206)),1) + ROUNDUP((SUMIFS('ON Call_Call Out Activities'!$M:$M,'ON Call_Call Out Activities'!$F:$F,"Workdays",'ON Call_Call Out Activities'!$B:$B,CPY!B206)),1)</f>
        <v>0</v>
      </c>
      <c r="AA206" s="66"/>
      <c r="AB206" s="64">
        <f>ROUNDUP((SUMIFS('ON Call_Call Out Activities'!$L:$L,'ON Call_Call Out Activities'!$F:$F,"Call_Out",'ON Call_Call Out Activities'!$B:$B,CPY!B206)) *24,1)</f>
        <v>0</v>
      </c>
      <c r="AC206" s="63">
        <f>ROUNDUP((SUMIFS('ON Call_Call Out Activities'!$M:$M,'ON Call_Call Out Activities'!$F:$F,"Call_Out",'ON Call_Call Out Activities'!$B:$B,CPY!B206)),1)</f>
        <v>0</v>
      </c>
      <c r="AE206" s="65">
        <f>IF((SUMIF(Shift_allowance_Entries!$B:$B,CPY!$B206,Shift_allowance_Entries!$H:$H)) &gt; (SUMIF(Shift_allowance_Entries!$B:$B,CPY!$B206,Shift_allowance_Entries!$G:$G)),0,((SUMIF(Shift_allowance_Entries!$B:$B,CPY!$B206,Shift_allowance_Entries!$G:$G))-(SUMIF(Shift_allowance_Entries!$B:$B,CPY!$B206,Shift_allowance_Entries!$H:$H))))</f>
        <v>0</v>
      </c>
      <c r="AF206" s="63">
        <f>AE206*MD!$S$4</f>
        <v>0</v>
      </c>
    </row>
    <row r="207" spans="1:32" x14ac:dyDescent="0.25">
      <c r="A207" s="62">
        <v>205</v>
      </c>
      <c r="B207" s="62"/>
      <c r="C207" s="50" t="str">
        <f>IF(ISNA(VLOOKUP($B207,Summary!$B:$D,2,FALSE))=TRUE," ",VLOOKUP($B207,Summary!$B:$D,2,FALSE))</f>
        <v> </v>
      </c>
      <c r="D207" s="50" t="str">
        <f>IF(ISNA(VLOOKUP($B207,Summary!$B:$D,3,FALSE))=TRUE," ",VLOOKUP($B207,Summary!$B:$D,3,FALSE))</f>
        <v> </v>
      </c>
      <c r="E207" s="62"/>
      <c r="F207" s="62"/>
      <c r="G207" s="62"/>
      <c r="I207" s="63">
        <f t="shared" si="3"/>
        <v>0</v>
      </c>
      <c r="K207" s="64">
        <f>IF(E207="Support(L1_L2)",IF(NOT(ISBLANK(B207)),IF(NOT(ISBLANK(D207)),NETWORKDAYS('CPY TOC'!$F$5,'CPY TOC'!$G$5))))-L207</f>
        <v>0</v>
      </c>
      <c r="L207" s="64">
        <f>IF(E207="Support(L1_L2)",SUMIFS(Support_allowance_Entries!$G:$G,Support_allowance_Entries!$B:$B,CPY!B207),0)</f>
        <v>0</v>
      </c>
      <c r="M207" s="63" t="b">
        <f>IF($D207="D0",MD!$C$4*(K207),IF($D207="D1",MD!$C$5*(K207),IF($D207="D2",MD!$C$6*(K207),IF($D207="D3",MD!$C$7*(K207),IF($D207="D4",MD!$C$8*(K207),IF($D207="D5",MD!$C$9*(K207),IF($D207="M1",MD!$C$10*(K207),IF($D207="T1",MD!$C$11*(K207)))))))))</f>
        <v>0</v>
      </c>
      <c r="O207" s="65">
        <f>SUMIFS(Shift_allowance_Entries!$G:$G,Shift_allowance_Entries!$F:$F,"6:30AM-03:30PM",Shift_allowance_Entries!$B:$B,CPY!$B207)</f>
        <v>0</v>
      </c>
      <c r="P207" s="65">
        <f>SUMIFS(Shift_allowance_Entries!$G:$G,Shift_allowance_Entries!$F:$F,"1-9PM/2:30PM-11:30PM",Shift_allowance_Entries!$B:$B,CPY!$B207)</f>
        <v>0</v>
      </c>
      <c r="Q207" s="65">
        <f>SUMIFS(Shift_allowance_Entries!$G:$G,Shift_allowance_Entries!$F:$F,"11PM-7AM",Shift_allowance_Entries!$B:$B,CPY!$B207)</f>
        <v>0</v>
      </c>
      <c r="R207" s="63">
        <f>(CPY!O207*MD!$F$4)+(CPY!P207*MD!$F$5)+(CPY!Q207*MD!$F$6)</f>
        <v>0</v>
      </c>
      <c r="T207" s="64">
        <f>ROUNDUP((SUMIFS('OOH Activities'!$K:$K,'OOH Activities'!$F:$F,"Non_workdays",'OOH Activities'!$B:$B,CPY!B207)) *24,1)</f>
        <v>0</v>
      </c>
      <c r="U207" s="64">
        <f>ROUNDUP((SUMIFS('OOH Activities'!$K:$K,'OOH Activities'!$F:$F,"Workdays",'OOH Activities'!$B:$B,CPY!B207)) *24,1)</f>
        <v>0</v>
      </c>
      <c r="V207" s="63">
        <f>ROUNDUP((SUMIFS('OOH Activities'!$L:$L,'OOH Activities'!$B:$B,CPY!B207)),1)</f>
        <v>0</v>
      </c>
      <c r="X207" s="65">
        <f>ROUNDUP((SUMIFS('ON Call_Call Out Activities'!$L:$L,'ON Call_Call Out Activities'!$F:$F,"Workdays",'ON Call_Call Out Activities'!$B:$B,CPY!B207))*24,1)</f>
        <v>0</v>
      </c>
      <c r="Y207" s="64">
        <f>ROUNDUP((SUMIFS('ON Call_Call Out Activities'!$L:$L,'ON Call_Call Out Activities'!$F:$F,"Non_workdays",'ON Call_Call Out Activities'!$B:$B,CPY!B207)) *24,1)</f>
        <v>0</v>
      </c>
      <c r="Z207" s="63">
        <f>ROUNDUP((SUMIFS('ON Call_Call Out Activities'!$M:$M,'ON Call_Call Out Activities'!$F:$F,"Non_workdays",'ON Call_Call Out Activities'!$B:$B,CPY!B207)),1) + ROUNDUP((SUMIFS('ON Call_Call Out Activities'!$M:$M,'ON Call_Call Out Activities'!$F:$F,"Workdays",'ON Call_Call Out Activities'!$B:$B,CPY!B207)),1)</f>
        <v>0</v>
      </c>
      <c r="AA207" s="66"/>
      <c r="AB207" s="64">
        <f>ROUNDUP((SUMIFS('ON Call_Call Out Activities'!$L:$L,'ON Call_Call Out Activities'!$F:$F,"Call_Out",'ON Call_Call Out Activities'!$B:$B,CPY!B207)) *24,1)</f>
        <v>0</v>
      </c>
      <c r="AC207" s="63">
        <f>ROUNDUP((SUMIFS('ON Call_Call Out Activities'!$M:$M,'ON Call_Call Out Activities'!$F:$F,"Call_Out",'ON Call_Call Out Activities'!$B:$B,CPY!B207)),1)</f>
        <v>0</v>
      </c>
      <c r="AE207" s="65">
        <f>IF((SUMIF(Shift_allowance_Entries!$B:$B,CPY!$B207,Shift_allowance_Entries!$H:$H)) &gt; (SUMIF(Shift_allowance_Entries!$B:$B,CPY!$B207,Shift_allowance_Entries!$G:$G)),0,((SUMIF(Shift_allowance_Entries!$B:$B,CPY!$B207,Shift_allowance_Entries!$G:$G))-(SUMIF(Shift_allowance_Entries!$B:$B,CPY!$B207,Shift_allowance_Entries!$H:$H))))</f>
        <v>0</v>
      </c>
      <c r="AF207" s="63">
        <f>AE207*MD!$S$4</f>
        <v>0</v>
      </c>
    </row>
    <row r="208" spans="1:32" x14ac:dyDescent="0.25">
      <c r="A208" s="62">
        <v>206</v>
      </c>
      <c r="B208" s="62"/>
      <c r="C208" s="50" t="str">
        <f>IF(ISNA(VLOOKUP($B208,Summary!$B:$D,2,FALSE))=TRUE," ",VLOOKUP($B208,Summary!$B:$D,2,FALSE))</f>
        <v> </v>
      </c>
      <c r="D208" s="50" t="str">
        <f>IF(ISNA(VLOOKUP($B208,Summary!$B:$D,3,FALSE))=TRUE," ",VLOOKUP($B208,Summary!$B:$D,3,FALSE))</f>
        <v> </v>
      </c>
      <c r="E208" s="62"/>
      <c r="F208" s="62"/>
      <c r="G208" s="62"/>
      <c r="I208" s="63">
        <f t="shared" si="3"/>
        <v>0</v>
      </c>
      <c r="K208" s="64">
        <f>IF(E208="Support(L1_L2)",IF(NOT(ISBLANK(B208)),IF(NOT(ISBLANK(D208)),NETWORKDAYS('CPY TOC'!$F$5,'CPY TOC'!$G$5))))-L208</f>
        <v>0</v>
      </c>
      <c r="L208" s="64">
        <f>IF(E208="Support(L1_L2)",SUMIFS(Support_allowance_Entries!$G:$G,Support_allowance_Entries!$B:$B,CPY!B208),0)</f>
        <v>0</v>
      </c>
      <c r="M208" s="63" t="b">
        <f>IF($D208="D0",MD!$C$4*(K208),IF($D208="D1",MD!$C$5*(K208),IF($D208="D2",MD!$C$6*(K208),IF($D208="D3",MD!$C$7*(K208),IF($D208="D4",MD!$C$8*(K208),IF($D208="D5",MD!$C$9*(K208),IF($D208="M1",MD!$C$10*(K208),IF($D208="T1",MD!$C$11*(K208)))))))))</f>
        <v>0</v>
      </c>
      <c r="O208" s="65">
        <f>SUMIFS(Shift_allowance_Entries!$G:$G,Shift_allowance_Entries!$F:$F,"6:30AM-03:30PM",Shift_allowance_Entries!$B:$B,CPY!$B208)</f>
        <v>0</v>
      </c>
      <c r="P208" s="65">
        <f>SUMIFS(Shift_allowance_Entries!$G:$G,Shift_allowance_Entries!$F:$F,"1-9PM/2:30PM-11:30PM",Shift_allowance_Entries!$B:$B,CPY!$B208)</f>
        <v>0</v>
      </c>
      <c r="Q208" s="65">
        <f>SUMIFS(Shift_allowance_Entries!$G:$G,Shift_allowance_Entries!$F:$F,"11PM-7AM",Shift_allowance_Entries!$B:$B,CPY!$B208)</f>
        <v>0</v>
      </c>
      <c r="R208" s="63">
        <f>(CPY!O208*MD!$F$4)+(CPY!P208*MD!$F$5)+(CPY!Q208*MD!$F$6)</f>
        <v>0</v>
      </c>
      <c r="T208" s="64">
        <f>ROUNDUP((SUMIFS('OOH Activities'!$K:$K,'OOH Activities'!$F:$F,"Non_workdays",'OOH Activities'!$B:$B,CPY!B208)) *24,1)</f>
        <v>0</v>
      </c>
      <c r="U208" s="64">
        <f>ROUNDUP((SUMIFS('OOH Activities'!$K:$K,'OOH Activities'!$F:$F,"Workdays",'OOH Activities'!$B:$B,CPY!B208)) *24,1)</f>
        <v>0</v>
      </c>
      <c r="V208" s="63">
        <f>ROUNDUP((SUMIFS('OOH Activities'!$L:$L,'OOH Activities'!$B:$B,CPY!B208)),1)</f>
        <v>0</v>
      </c>
      <c r="X208" s="65">
        <f>ROUNDUP((SUMIFS('ON Call_Call Out Activities'!$L:$L,'ON Call_Call Out Activities'!$F:$F,"Workdays",'ON Call_Call Out Activities'!$B:$B,CPY!B208))*24,1)</f>
        <v>0</v>
      </c>
      <c r="Y208" s="64">
        <f>ROUNDUP((SUMIFS('ON Call_Call Out Activities'!$L:$L,'ON Call_Call Out Activities'!$F:$F,"Non_workdays",'ON Call_Call Out Activities'!$B:$B,CPY!B208)) *24,1)</f>
        <v>0</v>
      </c>
      <c r="Z208" s="63">
        <f>ROUNDUP((SUMIFS('ON Call_Call Out Activities'!$M:$M,'ON Call_Call Out Activities'!$F:$F,"Non_workdays",'ON Call_Call Out Activities'!$B:$B,CPY!B208)),1) + ROUNDUP((SUMIFS('ON Call_Call Out Activities'!$M:$M,'ON Call_Call Out Activities'!$F:$F,"Workdays",'ON Call_Call Out Activities'!$B:$B,CPY!B208)),1)</f>
        <v>0</v>
      </c>
      <c r="AA208" s="66"/>
      <c r="AB208" s="64">
        <f>ROUNDUP((SUMIFS('ON Call_Call Out Activities'!$L:$L,'ON Call_Call Out Activities'!$F:$F,"Call_Out",'ON Call_Call Out Activities'!$B:$B,CPY!B208)) *24,1)</f>
        <v>0</v>
      </c>
      <c r="AC208" s="63">
        <f>ROUNDUP((SUMIFS('ON Call_Call Out Activities'!$M:$M,'ON Call_Call Out Activities'!$F:$F,"Call_Out",'ON Call_Call Out Activities'!$B:$B,CPY!B208)),1)</f>
        <v>0</v>
      </c>
      <c r="AE208" s="65">
        <f>IF((SUMIF(Shift_allowance_Entries!$B:$B,CPY!$B208,Shift_allowance_Entries!$H:$H)) &gt; (SUMIF(Shift_allowance_Entries!$B:$B,CPY!$B208,Shift_allowance_Entries!$G:$G)),0,((SUMIF(Shift_allowance_Entries!$B:$B,CPY!$B208,Shift_allowance_Entries!$G:$G))-(SUMIF(Shift_allowance_Entries!$B:$B,CPY!$B208,Shift_allowance_Entries!$H:$H))))</f>
        <v>0</v>
      </c>
      <c r="AF208" s="63">
        <f>AE208*MD!$S$4</f>
        <v>0</v>
      </c>
    </row>
    <row r="209" spans="1:32" x14ac:dyDescent="0.25">
      <c r="A209" s="62">
        <v>207</v>
      </c>
      <c r="B209" s="62"/>
      <c r="C209" s="50" t="str">
        <f>IF(ISNA(VLOOKUP($B209,Summary!$B:$D,2,FALSE))=TRUE," ",VLOOKUP($B209,Summary!$B:$D,2,FALSE))</f>
        <v> </v>
      </c>
      <c r="D209" s="50" t="str">
        <f>IF(ISNA(VLOOKUP($B209,Summary!$B:$D,3,FALSE))=TRUE," ",VLOOKUP($B209,Summary!$B:$D,3,FALSE))</f>
        <v> </v>
      </c>
      <c r="E209" s="62"/>
      <c r="F209" s="62"/>
      <c r="G209" s="62"/>
      <c r="I209" s="63">
        <f t="shared" si="3"/>
        <v>0</v>
      </c>
      <c r="K209" s="64">
        <f>IF(E209="Support(L1_L2)",IF(NOT(ISBLANK(B209)),IF(NOT(ISBLANK(D209)),NETWORKDAYS('CPY TOC'!$F$5,'CPY TOC'!$G$5))))-L209</f>
        <v>0</v>
      </c>
      <c r="L209" s="64">
        <f>IF(E209="Support(L1_L2)",SUMIFS(Support_allowance_Entries!$G:$G,Support_allowance_Entries!$B:$B,CPY!B209),0)</f>
        <v>0</v>
      </c>
      <c r="M209" s="63" t="b">
        <f>IF($D209="D0",MD!$C$4*(K209),IF($D209="D1",MD!$C$5*(K209),IF($D209="D2",MD!$C$6*(K209),IF($D209="D3",MD!$C$7*(K209),IF($D209="D4",MD!$C$8*(K209),IF($D209="D5",MD!$C$9*(K209),IF($D209="M1",MD!$C$10*(K209),IF($D209="T1",MD!$C$11*(K209)))))))))</f>
        <v>0</v>
      </c>
      <c r="O209" s="65">
        <f>SUMIFS(Shift_allowance_Entries!$G:$G,Shift_allowance_Entries!$F:$F,"6:30AM-03:30PM",Shift_allowance_Entries!$B:$B,CPY!$B209)</f>
        <v>0</v>
      </c>
      <c r="P209" s="65">
        <f>SUMIFS(Shift_allowance_Entries!$G:$G,Shift_allowance_Entries!$F:$F,"1-9PM/2:30PM-11:30PM",Shift_allowance_Entries!$B:$B,CPY!$B209)</f>
        <v>0</v>
      </c>
      <c r="Q209" s="65">
        <f>SUMIFS(Shift_allowance_Entries!$G:$G,Shift_allowance_Entries!$F:$F,"11PM-7AM",Shift_allowance_Entries!$B:$B,CPY!$B209)</f>
        <v>0</v>
      </c>
      <c r="R209" s="63">
        <f>(CPY!O209*MD!$F$4)+(CPY!P209*MD!$F$5)+(CPY!Q209*MD!$F$6)</f>
        <v>0</v>
      </c>
      <c r="T209" s="64">
        <f>ROUNDUP((SUMIFS('OOH Activities'!$K:$K,'OOH Activities'!$F:$F,"Non_workdays",'OOH Activities'!$B:$B,CPY!B209)) *24,1)</f>
        <v>0</v>
      </c>
      <c r="U209" s="64">
        <f>ROUNDUP((SUMIFS('OOH Activities'!$K:$K,'OOH Activities'!$F:$F,"Workdays",'OOH Activities'!$B:$B,CPY!B209)) *24,1)</f>
        <v>0</v>
      </c>
      <c r="V209" s="63">
        <f>ROUNDUP((SUMIFS('OOH Activities'!$L:$L,'OOH Activities'!$B:$B,CPY!B209)),1)</f>
        <v>0</v>
      </c>
      <c r="X209" s="65">
        <f>ROUNDUP((SUMIFS('ON Call_Call Out Activities'!$L:$L,'ON Call_Call Out Activities'!$F:$F,"Workdays",'ON Call_Call Out Activities'!$B:$B,CPY!B209))*24,1)</f>
        <v>0</v>
      </c>
      <c r="Y209" s="64">
        <f>ROUNDUP((SUMIFS('ON Call_Call Out Activities'!$L:$L,'ON Call_Call Out Activities'!$F:$F,"Non_workdays",'ON Call_Call Out Activities'!$B:$B,CPY!B209)) *24,1)</f>
        <v>0</v>
      </c>
      <c r="Z209" s="63">
        <f>ROUNDUP((SUMIFS('ON Call_Call Out Activities'!$M:$M,'ON Call_Call Out Activities'!$F:$F,"Non_workdays",'ON Call_Call Out Activities'!$B:$B,CPY!B209)),1) + ROUNDUP((SUMIFS('ON Call_Call Out Activities'!$M:$M,'ON Call_Call Out Activities'!$F:$F,"Workdays",'ON Call_Call Out Activities'!$B:$B,CPY!B209)),1)</f>
        <v>0</v>
      </c>
      <c r="AA209" s="66"/>
      <c r="AB209" s="64">
        <f>ROUNDUP((SUMIFS('ON Call_Call Out Activities'!$L:$L,'ON Call_Call Out Activities'!$F:$F,"Call_Out",'ON Call_Call Out Activities'!$B:$B,CPY!B209)) *24,1)</f>
        <v>0</v>
      </c>
      <c r="AC209" s="63">
        <f>ROUNDUP((SUMIFS('ON Call_Call Out Activities'!$M:$M,'ON Call_Call Out Activities'!$F:$F,"Call_Out",'ON Call_Call Out Activities'!$B:$B,CPY!B209)),1)</f>
        <v>0</v>
      </c>
      <c r="AE209" s="65">
        <f>IF((SUMIF(Shift_allowance_Entries!$B:$B,CPY!$B209,Shift_allowance_Entries!$H:$H)) &gt; (SUMIF(Shift_allowance_Entries!$B:$B,CPY!$B209,Shift_allowance_Entries!$G:$G)),0,((SUMIF(Shift_allowance_Entries!$B:$B,CPY!$B209,Shift_allowance_Entries!$G:$G))-(SUMIF(Shift_allowance_Entries!$B:$B,CPY!$B209,Shift_allowance_Entries!$H:$H))))</f>
        <v>0</v>
      </c>
      <c r="AF209" s="63">
        <f>AE209*MD!$S$4</f>
        <v>0</v>
      </c>
    </row>
    <row r="210" spans="1:32" x14ac:dyDescent="0.25">
      <c r="A210" s="62">
        <v>208</v>
      </c>
      <c r="B210" s="62"/>
      <c r="C210" s="50" t="str">
        <f>IF(ISNA(VLOOKUP($B210,Summary!$B:$D,2,FALSE))=TRUE," ",VLOOKUP($B210,Summary!$B:$D,2,FALSE))</f>
        <v> </v>
      </c>
      <c r="D210" s="50" t="str">
        <f>IF(ISNA(VLOOKUP($B210,Summary!$B:$D,3,FALSE))=TRUE," ",VLOOKUP($B210,Summary!$B:$D,3,FALSE))</f>
        <v> </v>
      </c>
      <c r="E210" s="62"/>
      <c r="F210" s="62"/>
      <c r="G210" s="62"/>
      <c r="I210" s="63">
        <f t="shared" si="3"/>
        <v>0</v>
      </c>
      <c r="K210" s="64">
        <f>IF(E210="Support(L1_L2)",IF(NOT(ISBLANK(B210)),IF(NOT(ISBLANK(D210)),NETWORKDAYS('CPY TOC'!$F$5,'CPY TOC'!$G$5))))-L210</f>
        <v>0</v>
      </c>
      <c r="L210" s="64">
        <f>IF(E210="Support(L1_L2)",SUMIFS(Support_allowance_Entries!$G:$G,Support_allowance_Entries!$B:$B,CPY!B210),0)</f>
        <v>0</v>
      </c>
      <c r="M210" s="63" t="b">
        <f>IF($D210="D0",MD!$C$4*(K210),IF($D210="D1",MD!$C$5*(K210),IF($D210="D2",MD!$C$6*(K210),IF($D210="D3",MD!$C$7*(K210),IF($D210="D4",MD!$C$8*(K210),IF($D210="D5",MD!$C$9*(K210),IF($D210="M1",MD!$C$10*(K210),IF($D210="T1",MD!$C$11*(K210)))))))))</f>
        <v>0</v>
      </c>
      <c r="O210" s="65">
        <f>SUMIFS(Shift_allowance_Entries!$G:$G,Shift_allowance_Entries!$F:$F,"6:30AM-03:30PM",Shift_allowance_Entries!$B:$B,CPY!$B210)</f>
        <v>0</v>
      </c>
      <c r="P210" s="65">
        <f>SUMIFS(Shift_allowance_Entries!$G:$G,Shift_allowance_Entries!$F:$F,"1-9PM/2:30PM-11:30PM",Shift_allowance_Entries!$B:$B,CPY!$B210)</f>
        <v>0</v>
      </c>
      <c r="Q210" s="65">
        <f>SUMIFS(Shift_allowance_Entries!$G:$G,Shift_allowance_Entries!$F:$F,"11PM-7AM",Shift_allowance_Entries!$B:$B,CPY!$B210)</f>
        <v>0</v>
      </c>
      <c r="R210" s="63">
        <f>(CPY!O210*MD!$F$4)+(CPY!P210*MD!$F$5)+(CPY!Q210*MD!$F$6)</f>
        <v>0</v>
      </c>
      <c r="T210" s="64">
        <f>ROUNDUP((SUMIFS('OOH Activities'!$K:$K,'OOH Activities'!$F:$F,"Non_workdays",'OOH Activities'!$B:$B,CPY!B210)) *24,1)</f>
        <v>0</v>
      </c>
      <c r="U210" s="64">
        <f>ROUNDUP((SUMIFS('OOH Activities'!$K:$K,'OOH Activities'!$F:$F,"Workdays",'OOH Activities'!$B:$B,CPY!B210)) *24,1)</f>
        <v>0</v>
      </c>
      <c r="V210" s="63">
        <f>ROUNDUP((SUMIFS('OOH Activities'!$L:$L,'OOH Activities'!$B:$B,CPY!B210)),1)</f>
        <v>0</v>
      </c>
      <c r="X210" s="65">
        <f>ROUNDUP((SUMIFS('ON Call_Call Out Activities'!$L:$L,'ON Call_Call Out Activities'!$F:$F,"Workdays",'ON Call_Call Out Activities'!$B:$B,CPY!B210))*24,1)</f>
        <v>0</v>
      </c>
      <c r="Y210" s="64">
        <f>ROUNDUP((SUMIFS('ON Call_Call Out Activities'!$L:$L,'ON Call_Call Out Activities'!$F:$F,"Non_workdays",'ON Call_Call Out Activities'!$B:$B,CPY!B210)) *24,1)</f>
        <v>0</v>
      </c>
      <c r="Z210" s="63">
        <f>ROUNDUP((SUMIFS('ON Call_Call Out Activities'!$M:$M,'ON Call_Call Out Activities'!$F:$F,"Non_workdays",'ON Call_Call Out Activities'!$B:$B,CPY!B210)),1) + ROUNDUP((SUMIFS('ON Call_Call Out Activities'!$M:$M,'ON Call_Call Out Activities'!$F:$F,"Workdays",'ON Call_Call Out Activities'!$B:$B,CPY!B210)),1)</f>
        <v>0</v>
      </c>
      <c r="AA210" s="66"/>
      <c r="AB210" s="64">
        <f>ROUNDUP((SUMIFS('ON Call_Call Out Activities'!$L:$L,'ON Call_Call Out Activities'!$F:$F,"Call_Out",'ON Call_Call Out Activities'!$B:$B,CPY!B210)) *24,1)</f>
        <v>0</v>
      </c>
      <c r="AC210" s="63">
        <f>ROUNDUP((SUMIFS('ON Call_Call Out Activities'!$M:$M,'ON Call_Call Out Activities'!$F:$F,"Call_Out",'ON Call_Call Out Activities'!$B:$B,CPY!B210)),1)</f>
        <v>0</v>
      </c>
      <c r="AE210" s="65">
        <f>IF((SUMIF(Shift_allowance_Entries!$B:$B,CPY!$B210,Shift_allowance_Entries!$H:$H)) &gt; (SUMIF(Shift_allowance_Entries!$B:$B,CPY!$B210,Shift_allowance_Entries!$G:$G)),0,((SUMIF(Shift_allowance_Entries!$B:$B,CPY!$B210,Shift_allowance_Entries!$G:$G))-(SUMIF(Shift_allowance_Entries!$B:$B,CPY!$B210,Shift_allowance_Entries!$H:$H))))</f>
        <v>0</v>
      </c>
      <c r="AF210" s="63">
        <f>AE210*MD!$S$4</f>
        <v>0</v>
      </c>
    </row>
    <row r="211" spans="1:32" x14ac:dyDescent="0.25">
      <c r="A211" s="62">
        <v>209</v>
      </c>
      <c r="B211" s="62"/>
      <c r="C211" s="50" t="str">
        <f>IF(ISNA(VLOOKUP($B211,Summary!$B:$D,2,FALSE))=TRUE," ",VLOOKUP($B211,Summary!$B:$D,2,FALSE))</f>
        <v> </v>
      </c>
      <c r="D211" s="50" t="str">
        <f>IF(ISNA(VLOOKUP($B211,Summary!$B:$D,3,FALSE))=TRUE," ",VLOOKUP($B211,Summary!$B:$D,3,FALSE))</f>
        <v> </v>
      </c>
      <c r="E211" s="62"/>
      <c r="F211" s="62"/>
      <c r="G211" s="62"/>
      <c r="I211" s="63">
        <f t="shared" si="3"/>
        <v>0</v>
      </c>
      <c r="K211" s="64">
        <f>IF(E211="Support(L1_L2)",IF(NOT(ISBLANK(B211)),IF(NOT(ISBLANK(D211)),NETWORKDAYS('CPY TOC'!$F$5,'CPY TOC'!$G$5))))-L211</f>
        <v>0</v>
      </c>
      <c r="L211" s="64">
        <f>IF(E211="Support(L1_L2)",SUMIFS(Support_allowance_Entries!$G:$G,Support_allowance_Entries!$B:$B,CPY!B211),0)</f>
        <v>0</v>
      </c>
      <c r="M211" s="63" t="b">
        <f>IF($D211="D0",MD!$C$4*(K211),IF($D211="D1",MD!$C$5*(K211),IF($D211="D2",MD!$C$6*(K211),IF($D211="D3",MD!$C$7*(K211),IF($D211="D4",MD!$C$8*(K211),IF($D211="D5",MD!$C$9*(K211),IF($D211="M1",MD!$C$10*(K211),IF($D211="T1",MD!$C$11*(K211)))))))))</f>
        <v>0</v>
      </c>
      <c r="O211" s="65">
        <f>SUMIFS(Shift_allowance_Entries!$G:$G,Shift_allowance_Entries!$F:$F,"6:30AM-03:30PM",Shift_allowance_Entries!$B:$B,CPY!$B211)</f>
        <v>0</v>
      </c>
      <c r="P211" s="65">
        <f>SUMIFS(Shift_allowance_Entries!$G:$G,Shift_allowance_Entries!$F:$F,"1-9PM/2:30PM-11:30PM",Shift_allowance_Entries!$B:$B,CPY!$B211)</f>
        <v>0</v>
      </c>
      <c r="Q211" s="65">
        <f>SUMIFS(Shift_allowance_Entries!$G:$G,Shift_allowance_Entries!$F:$F,"11PM-7AM",Shift_allowance_Entries!$B:$B,CPY!$B211)</f>
        <v>0</v>
      </c>
      <c r="R211" s="63">
        <f>(CPY!O211*MD!$F$4)+(CPY!P211*MD!$F$5)+(CPY!Q211*MD!$F$6)</f>
        <v>0</v>
      </c>
      <c r="T211" s="64">
        <f>ROUNDUP((SUMIFS('OOH Activities'!$K:$K,'OOH Activities'!$F:$F,"Non_workdays",'OOH Activities'!$B:$B,CPY!B211)) *24,1)</f>
        <v>0</v>
      </c>
      <c r="U211" s="64">
        <f>ROUNDUP((SUMIFS('OOH Activities'!$K:$K,'OOH Activities'!$F:$F,"Workdays",'OOH Activities'!$B:$B,CPY!B211)) *24,1)</f>
        <v>0</v>
      </c>
      <c r="V211" s="63">
        <f>ROUNDUP((SUMIFS('OOH Activities'!$L:$L,'OOH Activities'!$B:$B,CPY!B211)),1)</f>
        <v>0</v>
      </c>
      <c r="X211" s="65">
        <f>ROUNDUP((SUMIFS('ON Call_Call Out Activities'!$L:$L,'ON Call_Call Out Activities'!$F:$F,"Workdays",'ON Call_Call Out Activities'!$B:$B,CPY!B211))*24,1)</f>
        <v>0</v>
      </c>
      <c r="Y211" s="64">
        <f>ROUNDUP((SUMIFS('ON Call_Call Out Activities'!$L:$L,'ON Call_Call Out Activities'!$F:$F,"Non_workdays",'ON Call_Call Out Activities'!$B:$B,CPY!B211)) *24,1)</f>
        <v>0</v>
      </c>
      <c r="Z211" s="63">
        <f>ROUNDUP((SUMIFS('ON Call_Call Out Activities'!$M:$M,'ON Call_Call Out Activities'!$F:$F,"Non_workdays",'ON Call_Call Out Activities'!$B:$B,CPY!B211)),1) + ROUNDUP((SUMIFS('ON Call_Call Out Activities'!$M:$M,'ON Call_Call Out Activities'!$F:$F,"Workdays",'ON Call_Call Out Activities'!$B:$B,CPY!B211)),1)</f>
        <v>0</v>
      </c>
      <c r="AA211" s="66"/>
      <c r="AB211" s="64">
        <f>ROUNDUP((SUMIFS('ON Call_Call Out Activities'!$L:$L,'ON Call_Call Out Activities'!$F:$F,"Call_Out",'ON Call_Call Out Activities'!$B:$B,CPY!B211)) *24,1)</f>
        <v>0</v>
      </c>
      <c r="AC211" s="63">
        <f>ROUNDUP((SUMIFS('ON Call_Call Out Activities'!$M:$M,'ON Call_Call Out Activities'!$F:$F,"Call_Out",'ON Call_Call Out Activities'!$B:$B,CPY!B211)),1)</f>
        <v>0</v>
      </c>
      <c r="AE211" s="65">
        <f>IF((SUMIF(Shift_allowance_Entries!$B:$B,CPY!$B211,Shift_allowance_Entries!$H:$H)) &gt; (SUMIF(Shift_allowance_Entries!$B:$B,CPY!$B211,Shift_allowance_Entries!$G:$G)),0,((SUMIF(Shift_allowance_Entries!$B:$B,CPY!$B211,Shift_allowance_Entries!$G:$G))-(SUMIF(Shift_allowance_Entries!$B:$B,CPY!$B211,Shift_allowance_Entries!$H:$H))))</f>
        <v>0</v>
      </c>
      <c r="AF211" s="63">
        <f>AE211*MD!$S$4</f>
        <v>0</v>
      </c>
    </row>
    <row r="212" spans="1:32" x14ac:dyDescent="0.25">
      <c r="A212" s="62">
        <v>210</v>
      </c>
      <c r="B212" s="62"/>
      <c r="C212" s="50" t="str">
        <f>IF(ISNA(VLOOKUP($B212,Summary!$B:$D,2,FALSE))=TRUE," ",VLOOKUP($B212,Summary!$B:$D,2,FALSE))</f>
        <v> </v>
      </c>
      <c r="D212" s="50" t="str">
        <f>IF(ISNA(VLOOKUP($B212,Summary!$B:$D,3,FALSE))=TRUE," ",VLOOKUP($B212,Summary!$B:$D,3,FALSE))</f>
        <v> </v>
      </c>
      <c r="E212" s="62"/>
      <c r="F212" s="62"/>
      <c r="G212" s="62"/>
      <c r="I212" s="63">
        <f t="shared" si="3"/>
        <v>0</v>
      </c>
      <c r="K212" s="64">
        <f>IF(E212="Support(L1_L2)",IF(NOT(ISBLANK(B212)),IF(NOT(ISBLANK(D212)),NETWORKDAYS('CPY TOC'!$F$5,'CPY TOC'!$G$5))))-L212</f>
        <v>0</v>
      </c>
      <c r="L212" s="64">
        <f>IF(E212="Support(L1_L2)",SUMIFS(Support_allowance_Entries!$G:$G,Support_allowance_Entries!$B:$B,CPY!B212),0)</f>
        <v>0</v>
      </c>
      <c r="M212" s="63" t="b">
        <f>IF($D212="D0",MD!$C$4*(K212),IF($D212="D1",MD!$C$5*(K212),IF($D212="D2",MD!$C$6*(K212),IF($D212="D3",MD!$C$7*(K212),IF($D212="D4",MD!$C$8*(K212),IF($D212="D5",MD!$C$9*(K212),IF($D212="M1",MD!$C$10*(K212),IF($D212="T1",MD!$C$11*(K212)))))))))</f>
        <v>0</v>
      </c>
      <c r="O212" s="65">
        <f>SUMIFS(Shift_allowance_Entries!$G:$G,Shift_allowance_Entries!$F:$F,"6:30AM-03:30PM",Shift_allowance_Entries!$B:$B,CPY!$B212)</f>
        <v>0</v>
      </c>
      <c r="P212" s="65">
        <f>SUMIFS(Shift_allowance_Entries!$G:$G,Shift_allowance_Entries!$F:$F,"1-9PM/2:30PM-11:30PM",Shift_allowance_Entries!$B:$B,CPY!$B212)</f>
        <v>0</v>
      </c>
      <c r="Q212" s="65">
        <f>SUMIFS(Shift_allowance_Entries!$G:$G,Shift_allowance_Entries!$F:$F,"11PM-7AM",Shift_allowance_Entries!$B:$B,CPY!$B212)</f>
        <v>0</v>
      </c>
      <c r="R212" s="63">
        <f>(CPY!O212*MD!$F$4)+(CPY!P212*MD!$F$5)+(CPY!Q212*MD!$F$6)</f>
        <v>0</v>
      </c>
      <c r="T212" s="64">
        <f>ROUNDUP((SUMIFS('OOH Activities'!$K:$K,'OOH Activities'!$F:$F,"Non_workdays",'OOH Activities'!$B:$B,CPY!B212)) *24,1)</f>
        <v>0</v>
      </c>
      <c r="U212" s="64">
        <f>ROUNDUP((SUMIFS('OOH Activities'!$K:$K,'OOH Activities'!$F:$F,"Workdays",'OOH Activities'!$B:$B,CPY!B212)) *24,1)</f>
        <v>0</v>
      </c>
      <c r="V212" s="63">
        <f>ROUNDUP((SUMIFS('OOH Activities'!$L:$L,'OOH Activities'!$B:$B,CPY!B212)),1)</f>
        <v>0</v>
      </c>
      <c r="X212" s="65">
        <f>ROUNDUP((SUMIFS('ON Call_Call Out Activities'!$L:$L,'ON Call_Call Out Activities'!$F:$F,"Workdays",'ON Call_Call Out Activities'!$B:$B,CPY!B212))*24,1)</f>
        <v>0</v>
      </c>
      <c r="Y212" s="64">
        <f>ROUNDUP((SUMIFS('ON Call_Call Out Activities'!$L:$L,'ON Call_Call Out Activities'!$F:$F,"Non_workdays",'ON Call_Call Out Activities'!$B:$B,CPY!B212)) *24,1)</f>
        <v>0</v>
      </c>
      <c r="Z212" s="63">
        <f>ROUNDUP((SUMIFS('ON Call_Call Out Activities'!$M:$M,'ON Call_Call Out Activities'!$F:$F,"Non_workdays",'ON Call_Call Out Activities'!$B:$B,CPY!B212)),1) + ROUNDUP((SUMIFS('ON Call_Call Out Activities'!$M:$M,'ON Call_Call Out Activities'!$F:$F,"Workdays",'ON Call_Call Out Activities'!$B:$B,CPY!B212)),1)</f>
        <v>0</v>
      </c>
      <c r="AA212" s="66"/>
      <c r="AB212" s="64">
        <f>ROUNDUP((SUMIFS('ON Call_Call Out Activities'!$L:$L,'ON Call_Call Out Activities'!$F:$F,"Call_Out",'ON Call_Call Out Activities'!$B:$B,CPY!B212)) *24,1)</f>
        <v>0</v>
      </c>
      <c r="AC212" s="63">
        <f>ROUNDUP((SUMIFS('ON Call_Call Out Activities'!$M:$M,'ON Call_Call Out Activities'!$F:$F,"Call_Out",'ON Call_Call Out Activities'!$B:$B,CPY!B212)),1)</f>
        <v>0</v>
      </c>
      <c r="AE212" s="65">
        <f>IF((SUMIF(Shift_allowance_Entries!$B:$B,CPY!$B212,Shift_allowance_Entries!$H:$H)) &gt; (SUMIF(Shift_allowance_Entries!$B:$B,CPY!$B212,Shift_allowance_Entries!$G:$G)),0,((SUMIF(Shift_allowance_Entries!$B:$B,CPY!$B212,Shift_allowance_Entries!$G:$G))-(SUMIF(Shift_allowance_Entries!$B:$B,CPY!$B212,Shift_allowance_Entries!$H:$H))))</f>
        <v>0</v>
      </c>
      <c r="AF212" s="63">
        <f>AE212*MD!$S$4</f>
        <v>0</v>
      </c>
    </row>
    <row r="213" spans="1:32" x14ac:dyDescent="0.25">
      <c r="A213" s="62">
        <v>211</v>
      </c>
      <c r="B213" s="62"/>
      <c r="C213" s="50" t="str">
        <f>IF(ISNA(VLOOKUP($B213,Summary!$B:$D,2,FALSE))=TRUE," ",VLOOKUP($B213,Summary!$B:$D,2,FALSE))</f>
        <v> </v>
      </c>
      <c r="D213" s="50" t="str">
        <f>IF(ISNA(VLOOKUP($B213,Summary!$B:$D,3,FALSE))=TRUE," ",VLOOKUP($B213,Summary!$B:$D,3,FALSE))</f>
        <v> </v>
      </c>
      <c r="E213" s="62"/>
      <c r="F213" s="62"/>
      <c r="G213" s="62"/>
      <c r="I213" s="63">
        <f t="shared" si="3"/>
        <v>0</v>
      </c>
      <c r="K213" s="64">
        <f>IF(E213="Support(L1_L2)",IF(NOT(ISBLANK(B213)),IF(NOT(ISBLANK(D213)),NETWORKDAYS('CPY TOC'!$F$5,'CPY TOC'!$G$5))))-L213</f>
        <v>0</v>
      </c>
      <c r="L213" s="64">
        <f>IF(E213="Support(L1_L2)",SUMIFS(Support_allowance_Entries!$G:$G,Support_allowance_Entries!$B:$B,CPY!B213),0)</f>
        <v>0</v>
      </c>
      <c r="M213" s="63" t="b">
        <f>IF($D213="D0",MD!$C$4*(K213),IF($D213="D1",MD!$C$5*(K213),IF($D213="D2",MD!$C$6*(K213),IF($D213="D3",MD!$C$7*(K213),IF($D213="D4",MD!$C$8*(K213),IF($D213="D5",MD!$C$9*(K213),IF($D213="M1",MD!$C$10*(K213),IF($D213="T1",MD!$C$11*(K213)))))))))</f>
        <v>0</v>
      </c>
      <c r="O213" s="65">
        <f>SUMIFS(Shift_allowance_Entries!$G:$G,Shift_allowance_Entries!$F:$F,"6:30AM-03:30PM",Shift_allowance_Entries!$B:$B,CPY!$B213)</f>
        <v>0</v>
      </c>
      <c r="P213" s="65">
        <f>SUMIFS(Shift_allowance_Entries!$G:$G,Shift_allowance_Entries!$F:$F,"1-9PM/2:30PM-11:30PM",Shift_allowance_Entries!$B:$B,CPY!$B213)</f>
        <v>0</v>
      </c>
      <c r="Q213" s="65">
        <f>SUMIFS(Shift_allowance_Entries!$G:$G,Shift_allowance_Entries!$F:$F,"11PM-7AM",Shift_allowance_Entries!$B:$B,CPY!$B213)</f>
        <v>0</v>
      </c>
      <c r="R213" s="63">
        <f>(CPY!O213*MD!$F$4)+(CPY!P213*MD!$F$5)+(CPY!Q213*MD!$F$6)</f>
        <v>0</v>
      </c>
      <c r="T213" s="64">
        <f>ROUNDUP((SUMIFS('OOH Activities'!$K:$K,'OOH Activities'!$F:$F,"Non_workdays",'OOH Activities'!$B:$B,CPY!B213)) *24,1)</f>
        <v>0</v>
      </c>
      <c r="U213" s="64">
        <f>ROUNDUP((SUMIFS('OOH Activities'!$K:$K,'OOH Activities'!$F:$F,"Workdays",'OOH Activities'!$B:$B,CPY!B213)) *24,1)</f>
        <v>0</v>
      </c>
      <c r="V213" s="63">
        <f>ROUNDUP((SUMIFS('OOH Activities'!$L:$L,'OOH Activities'!$B:$B,CPY!B213)),1)</f>
        <v>0</v>
      </c>
      <c r="X213" s="65">
        <f>ROUNDUP((SUMIFS('ON Call_Call Out Activities'!$L:$L,'ON Call_Call Out Activities'!$F:$F,"Workdays",'ON Call_Call Out Activities'!$B:$B,CPY!B213))*24,1)</f>
        <v>0</v>
      </c>
      <c r="Y213" s="64">
        <f>ROUNDUP((SUMIFS('ON Call_Call Out Activities'!$L:$L,'ON Call_Call Out Activities'!$F:$F,"Non_workdays",'ON Call_Call Out Activities'!$B:$B,CPY!B213)) *24,1)</f>
        <v>0</v>
      </c>
      <c r="Z213" s="63">
        <f>ROUNDUP((SUMIFS('ON Call_Call Out Activities'!$M:$M,'ON Call_Call Out Activities'!$F:$F,"Non_workdays",'ON Call_Call Out Activities'!$B:$B,CPY!B213)),1) + ROUNDUP((SUMIFS('ON Call_Call Out Activities'!$M:$M,'ON Call_Call Out Activities'!$F:$F,"Workdays",'ON Call_Call Out Activities'!$B:$B,CPY!B213)),1)</f>
        <v>0</v>
      </c>
      <c r="AA213" s="66"/>
      <c r="AB213" s="64">
        <f>ROUNDUP((SUMIFS('ON Call_Call Out Activities'!$L:$L,'ON Call_Call Out Activities'!$F:$F,"Call_Out",'ON Call_Call Out Activities'!$B:$B,CPY!B213)) *24,1)</f>
        <v>0</v>
      </c>
      <c r="AC213" s="63">
        <f>ROUNDUP((SUMIFS('ON Call_Call Out Activities'!$M:$M,'ON Call_Call Out Activities'!$F:$F,"Call_Out",'ON Call_Call Out Activities'!$B:$B,CPY!B213)),1)</f>
        <v>0</v>
      </c>
      <c r="AE213" s="65">
        <f>IF((SUMIF(Shift_allowance_Entries!$B:$B,CPY!$B213,Shift_allowance_Entries!$H:$H)) &gt; (SUMIF(Shift_allowance_Entries!$B:$B,CPY!$B213,Shift_allowance_Entries!$G:$G)),0,((SUMIF(Shift_allowance_Entries!$B:$B,CPY!$B213,Shift_allowance_Entries!$G:$G))-(SUMIF(Shift_allowance_Entries!$B:$B,CPY!$B213,Shift_allowance_Entries!$H:$H))))</f>
        <v>0</v>
      </c>
      <c r="AF213" s="63">
        <f>AE213*MD!$S$4</f>
        <v>0</v>
      </c>
    </row>
    <row r="214" spans="1:32" x14ac:dyDescent="0.25">
      <c r="A214" s="62">
        <v>212</v>
      </c>
      <c r="B214" s="62"/>
      <c r="C214" s="50" t="str">
        <f>IF(ISNA(VLOOKUP($B214,Summary!$B:$D,2,FALSE))=TRUE," ",VLOOKUP($B214,Summary!$B:$D,2,FALSE))</f>
        <v> </v>
      </c>
      <c r="D214" s="50" t="str">
        <f>IF(ISNA(VLOOKUP($B214,Summary!$B:$D,3,FALSE))=TRUE," ",VLOOKUP($B214,Summary!$B:$D,3,FALSE))</f>
        <v> </v>
      </c>
      <c r="E214" s="62"/>
      <c r="F214" s="62"/>
      <c r="G214" s="62"/>
      <c r="I214" s="63">
        <f t="shared" si="3"/>
        <v>0</v>
      </c>
      <c r="K214" s="64">
        <f>IF(E214="Support(L1_L2)",IF(NOT(ISBLANK(B214)),IF(NOT(ISBLANK(D214)),NETWORKDAYS('CPY TOC'!$F$5,'CPY TOC'!$G$5))))-L214</f>
        <v>0</v>
      </c>
      <c r="L214" s="64">
        <f>IF(E214="Support(L1_L2)",SUMIFS(Support_allowance_Entries!$G:$G,Support_allowance_Entries!$B:$B,CPY!B214),0)</f>
        <v>0</v>
      </c>
      <c r="M214" s="63" t="b">
        <f>IF($D214="D0",MD!$C$4*(K214),IF($D214="D1",MD!$C$5*(K214),IF($D214="D2",MD!$C$6*(K214),IF($D214="D3",MD!$C$7*(K214),IF($D214="D4",MD!$C$8*(K214),IF($D214="D5",MD!$C$9*(K214),IF($D214="M1",MD!$C$10*(K214),IF($D214="T1",MD!$C$11*(K214)))))))))</f>
        <v>0</v>
      </c>
      <c r="O214" s="65">
        <f>SUMIFS(Shift_allowance_Entries!$G:$G,Shift_allowance_Entries!$F:$F,"6:30AM-03:30PM",Shift_allowance_Entries!$B:$B,CPY!$B214)</f>
        <v>0</v>
      </c>
      <c r="P214" s="65">
        <f>SUMIFS(Shift_allowance_Entries!$G:$G,Shift_allowance_Entries!$F:$F,"1-9PM/2:30PM-11:30PM",Shift_allowance_Entries!$B:$B,CPY!$B214)</f>
        <v>0</v>
      </c>
      <c r="Q214" s="65">
        <f>SUMIFS(Shift_allowance_Entries!$G:$G,Shift_allowance_Entries!$F:$F,"11PM-7AM",Shift_allowance_Entries!$B:$B,CPY!$B214)</f>
        <v>0</v>
      </c>
      <c r="R214" s="63">
        <f>(CPY!O214*MD!$F$4)+(CPY!P214*MD!$F$5)+(CPY!Q214*MD!$F$6)</f>
        <v>0</v>
      </c>
      <c r="T214" s="64">
        <f>ROUNDUP((SUMIFS('OOH Activities'!$K:$K,'OOH Activities'!$F:$F,"Non_workdays",'OOH Activities'!$B:$B,CPY!B214)) *24,1)</f>
        <v>0</v>
      </c>
      <c r="U214" s="64">
        <f>ROUNDUP((SUMIFS('OOH Activities'!$K:$K,'OOH Activities'!$F:$F,"Workdays",'OOH Activities'!$B:$B,CPY!B214)) *24,1)</f>
        <v>0</v>
      </c>
      <c r="V214" s="63">
        <f>ROUNDUP((SUMIFS('OOH Activities'!$L:$L,'OOH Activities'!$B:$B,CPY!B214)),1)</f>
        <v>0</v>
      </c>
      <c r="X214" s="65">
        <f>ROUNDUP((SUMIFS('ON Call_Call Out Activities'!$L:$L,'ON Call_Call Out Activities'!$F:$F,"Workdays",'ON Call_Call Out Activities'!$B:$B,CPY!B214))*24,1)</f>
        <v>0</v>
      </c>
      <c r="Y214" s="64">
        <f>ROUNDUP((SUMIFS('ON Call_Call Out Activities'!$L:$L,'ON Call_Call Out Activities'!$F:$F,"Non_workdays",'ON Call_Call Out Activities'!$B:$B,CPY!B214)) *24,1)</f>
        <v>0</v>
      </c>
      <c r="Z214" s="63">
        <f>ROUNDUP((SUMIFS('ON Call_Call Out Activities'!$M:$M,'ON Call_Call Out Activities'!$F:$F,"Non_workdays",'ON Call_Call Out Activities'!$B:$B,CPY!B214)),1) + ROUNDUP((SUMIFS('ON Call_Call Out Activities'!$M:$M,'ON Call_Call Out Activities'!$F:$F,"Workdays",'ON Call_Call Out Activities'!$B:$B,CPY!B214)),1)</f>
        <v>0</v>
      </c>
      <c r="AA214" s="66"/>
      <c r="AB214" s="64">
        <f>ROUNDUP((SUMIFS('ON Call_Call Out Activities'!$L:$L,'ON Call_Call Out Activities'!$F:$F,"Call_Out",'ON Call_Call Out Activities'!$B:$B,CPY!B214)) *24,1)</f>
        <v>0</v>
      </c>
      <c r="AC214" s="63">
        <f>ROUNDUP((SUMIFS('ON Call_Call Out Activities'!$M:$M,'ON Call_Call Out Activities'!$F:$F,"Call_Out",'ON Call_Call Out Activities'!$B:$B,CPY!B214)),1)</f>
        <v>0</v>
      </c>
      <c r="AE214" s="65">
        <f>IF((SUMIF(Shift_allowance_Entries!$B:$B,CPY!$B214,Shift_allowance_Entries!$H:$H)) &gt; (SUMIF(Shift_allowance_Entries!$B:$B,CPY!$B214,Shift_allowance_Entries!$G:$G)),0,((SUMIF(Shift_allowance_Entries!$B:$B,CPY!$B214,Shift_allowance_Entries!$G:$G))-(SUMIF(Shift_allowance_Entries!$B:$B,CPY!$B214,Shift_allowance_Entries!$H:$H))))</f>
        <v>0</v>
      </c>
      <c r="AF214" s="63">
        <f>AE214*MD!$S$4</f>
        <v>0</v>
      </c>
    </row>
    <row r="215" spans="1:32" x14ac:dyDescent="0.25">
      <c r="A215" s="62">
        <v>213</v>
      </c>
      <c r="B215" s="62"/>
      <c r="C215" s="50" t="str">
        <f>IF(ISNA(VLOOKUP($B215,Summary!$B:$D,2,FALSE))=TRUE," ",VLOOKUP($B215,Summary!$B:$D,2,FALSE))</f>
        <v> </v>
      </c>
      <c r="D215" s="50" t="str">
        <f>IF(ISNA(VLOOKUP($B215,Summary!$B:$D,3,FALSE))=TRUE," ",VLOOKUP($B215,Summary!$B:$D,3,FALSE))</f>
        <v> </v>
      </c>
      <c r="E215" s="62"/>
      <c r="F215" s="62"/>
      <c r="G215" s="62"/>
      <c r="I215" s="63">
        <f t="shared" si="3"/>
        <v>0</v>
      </c>
      <c r="K215" s="64">
        <f>IF(E215="Support(L1_L2)",IF(NOT(ISBLANK(B215)),IF(NOT(ISBLANK(D215)),NETWORKDAYS('CPY TOC'!$F$5,'CPY TOC'!$G$5))))-L215</f>
        <v>0</v>
      </c>
      <c r="L215" s="64">
        <f>IF(E215="Support(L1_L2)",SUMIFS(Support_allowance_Entries!$G:$G,Support_allowance_Entries!$B:$B,CPY!B215),0)</f>
        <v>0</v>
      </c>
      <c r="M215" s="63" t="b">
        <f>IF($D215="D0",MD!$C$4*(K215),IF($D215="D1",MD!$C$5*(K215),IF($D215="D2",MD!$C$6*(K215),IF($D215="D3",MD!$C$7*(K215),IF($D215="D4",MD!$C$8*(K215),IF($D215="D5",MD!$C$9*(K215),IF($D215="M1",MD!$C$10*(K215),IF($D215="T1",MD!$C$11*(K215)))))))))</f>
        <v>0</v>
      </c>
      <c r="O215" s="65">
        <f>SUMIFS(Shift_allowance_Entries!$G:$G,Shift_allowance_Entries!$F:$F,"6:30AM-03:30PM",Shift_allowance_Entries!$B:$B,CPY!$B215)</f>
        <v>0</v>
      </c>
      <c r="P215" s="65">
        <f>SUMIFS(Shift_allowance_Entries!$G:$G,Shift_allowance_Entries!$F:$F,"1-9PM/2:30PM-11:30PM",Shift_allowance_Entries!$B:$B,CPY!$B215)</f>
        <v>0</v>
      </c>
      <c r="Q215" s="65">
        <f>SUMIFS(Shift_allowance_Entries!$G:$G,Shift_allowance_Entries!$F:$F,"11PM-7AM",Shift_allowance_Entries!$B:$B,CPY!$B215)</f>
        <v>0</v>
      </c>
      <c r="R215" s="63">
        <f>(CPY!O215*MD!$F$4)+(CPY!P215*MD!$F$5)+(CPY!Q215*MD!$F$6)</f>
        <v>0</v>
      </c>
      <c r="T215" s="64">
        <f>ROUNDUP((SUMIFS('OOH Activities'!$K:$K,'OOH Activities'!$F:$F,"Non_workdays",'OOH Activities'!$B:$B,CPY!B215)) *24,1)</f>
        <v>0</v>
      </c>
      <c r="U215" s="64">
        <f>ROUNDUP((SUMIFS('OOH Activities'!$K:$K,'OOH Activities'!$F:$F,"Workdays",'OOH Activities'!$B:$B,CPY!B215)) *24,1)</f>
        <v>0</v>
      </c>
      <c r="V215" s="63">
        <f>ROUNDUP((SUMIFS('OOH Activities'!$L:$L,'OOH Activities'!$B:$B,CPY!B215)),1)</f>
        <v>0</v>
      </c>
      <c r="X215" s="65">
        <f>ROUNDUP((SUMIFS('ON Call_Call Out Activities'!$L:$L,'ON Call_Call Out Activities'!$F:$F,"Workdays",'ON Call_Call Out Activities'!$B:$B,CPY!B215))*24,1)</f>
        <v>0</v>
      </c>
      <c r="Y215" s="64">
        <f>ROUNDUP((SUMIFS('ON Call_Call Out Activities'!$L:$L,'ON Call_Call Out Activities'!$F:$F,"Non_workdays",'ON Call_Call Out Activities'!$B:$B,CPY!B215)) *24,1)</f>
        <v>0</v>
      </c>
      <c r="Z215" s="63">
        <f>ROUNDUP((SUMIFS('ON Call_Call Out Activities'!$M:$M,'ON Call_Call Out Activities'!$F:$F,"Non_workdays",'ON Call_Call Out Activities'!$B:$B,CPY!B215)),1) + ROUNDUP((SUMIFS('ON Call_Call Out Activities'!$M:$M,'ON Call_Call Out Activities'!$F:$F,"Workdays",'ON Call_Call Out Activities'!$B:$B,CPY!B215)),1)</f>
        <v>0</v>
      </c>
      <c r="AA215" s="66"/>
      <c r="AB215" s="64">
        <f>ROUNDUP((SUMIFS('ON Call_Call Out Activities'!$L:$L,'ON Call_Call Out Activities'!$F:$F,"Call_Out",'ON Call_Call Out Activities'!$B:$B,CPY!B215)) *24,1)</f>
        <v>0</v>
      </c>
      <c r="AC215" s="63">
        <f>ROUNDUP((SUMIFS('ON Call_Call Out Activities'!$M:$M,'ON Call_Call Out Activities'!$F:$F,"Call_Out",'ON Call_Call Out Activities'!$B:$B,CPY!B215)),1)</f>
        <v>0</v>
      </c>
      <c r="AE215" s="65">
        <f>IF((SUMIF(Shift_allowance_Entries!$B:$B,CPY!$B215,Shift_allowance_Entries!$H:$H)) &gt; (SUMIF(Shift_allowance_Entries!$B:$B,CPY!$B215,Shift_allowance_Entries!$G:$G)),0,((SUMIF(Shift_allowance_Entries!$B:$B,CPY!$B215,Shift_allowance_Entries!$G:$G))-(SUMIF(Shift_allowance_Entries!$B:$B,CPY!$B215,Shift_allowance_Entries!$H:$H))))</f>
        <v>0</v>
      </c>
      <c r="AF215" s="63">
        <f>AE215*MD!$S$4</f>
        <v>0</v>
      </c>
    </row>
    <row r="216" spans="1:32" x14ac:dyDescent="0.25">
      <c r="A216" s="62">
        <v>214</v>
      </c>
      <c r="B216" s="62"/>
      <c r="C216" s="50" t="str">
        <f>IF(ISNA(VLOOKUP($B216,Summary!$B:$D,2,FALSE))=TRUE," ",VLOOKUP($B216,Summary!$B:$D,2,FALSE))</f>
        <v> </v>
      </c>
      <c r="D216" s="50" t="str">
        <f>IF(ISNA(VLOOKUP($B216,Summary!$B:$D,3,FALSE))=TRUE," ",VLOOKUP($B216,Summary!$B:$D,3,FALSE))</f>
        <v> </v>
      </c>
      <c r="E216" s="62"/>
      <c r="F216" s="62"/>
      <c r="G216" s="62"/>
      <c r="I216" s="63">
        <f t="shared" si="3"/>
        <v>0</v>
      </c>
      <c r="K216" s="64">
        <f>IF(E216="Support(L1_L2)",IF(NOT(ISBLANK(B216)),IF(NOT(ISBLANK(D216)),NETWORKDAYS('CPY TOC'!$F$5,'CPY TOC'!$G$5))))-L216</f>
        <v>0</v>
      </c>
      <c r="L216" s="64">
        <f>IF(E216="Support(L1_L2)",SUMIFS(Support_allowance_Entries!$G:$G,Support_allowance_Entries!$B:$B,CPY!B216),0)</f>
        <v>0</v>
      </c>
      <c r="M216" s="63" t="b">
        <f>IF($D216="D0",MD!$C$4*(K216),IF($D216="D1",MD!$C$5*(K216),IF($D216="D2",MD!$C$6*(K216),IF($D216="D3",MD!$C$7*(K216),IF($D216="D4",MD!$C$8*(K216),IF($D216="D5",MD!$C$9*(K216),IF($D216="M1",MD!$C$10*(K216),IF($D216="T1",MD!$C$11*(K216)))))))))</f>
        <v>0</v>
      </c>
      <c r="O216" s="65">
        <f>SUMIFS(Shift_allowance_Entries!$G:$G,Shift_allowance_Entries!$F:$F,"6:30AM-03:30PM",Shift_allowance_Entries!$B:$B,CPY!$B216)</f>
        <v>0</v>
      </c>
      <c r="P216" s="65">
        <f>SUMIFS(Shift_allowance_Entries!$G:$G,Shift_allowance_Entries!$F:$F,"1-9PM/2:30PM-11:30PM",Shift_allowance_Entries!$B:$B,CPY!$B216)</f>
        <v>0</v>
      </c>
      <c r="Q216" s="65">
        <f>SUMIFS(Shift_allowance_Entries!$G:$G,Shift_allowance_Entries!$F:$F,"11PM-7AM",Shift_allowance_Entries!$B:$B,CPY!$B216)</f>
        <v>0</v>
      </c>
      <c r="R216" s="63">
        <f>(CPY!O216*MD!$F$4)+(CPY!P216*MD!$F$5)+(CPY!Q216*MD!$F$6)</f>
        <v>0</v>
      </c>
      <c r="T216" s="64">
        <f>ROUNDUP((SUMIFS('OOH Activities'!$K:$K,'OOH Activities'!$F:$F,"Non_workdays",'OOH Activities'!$B:$B,CPY!B216)) *24,1)</f>
        <v>0</v>
      </c>
      <c r="U216" s="64">
        <f>ROUNDUP((SUMIFS('OOH Activities'!$K:$K,'OOH Activities'!$F:$F,"Workdays",'OOH Activities'!$B:$B,CPY!B216)) *24,1)</f>
        <v>0</v>
      </c>
      <c r="V216" s="63">
        <f>ROUNDUP((SUMIFS('OOH Activities'!$L:$L,'OOH Activities'!$B:$B,CPY!B216)),1)</f>
        <v>0</v>
      </c>
      <c r="X216" s="65">
        <f>ROUNDUP((SUMIFS('ON Call_Call Out Activities'!$L:$L,'ON Call_Call Out Activities'!$F:$F,"Workdays",'ON Call_Call Out Activities'!$B:$B,CPY!B216))*24,1)</f>
        <v>0</v>
      </c>
      <c r="Y216" s="64">
        <f>ROUNDUP((SUMIFS('ON Call_Call Out Activities'!$L:$L,'ON Call_Call Out Activities'!$F:$F,"Non_workdays",'ON Call_Call Out Activities'!$B:$B,CPY!B216)) *24,1)</f>
        <v>0</v>
      </c>
      <c r="Z216" s="63">
        <f>ROUNDUP((SUMIFS('ON Call_Call Out Activities'!$M:$M,'ON Call_Call Out Activities'!$F:$F,"Non_workdays",'ON Call_Call Out Activities'!$B:$B,CPY!B216)),1) + ROUNDUP((SUMIFS('ON Call_Call Out Activities'!$M:$M,'ON Call_Call Out Activities'!$F:$F,"Workdays",'ON Call_Call Out Activities'!$B:$B,CPY!B216)),1)</f>
        <v>0</v>
      </c>
      <c r="AA216" s="66"/>
      <c r="AB216" s="64">
        <f>ROUNDUP((SUMIFS('ON Call_Call Out Activities'!$L:$L,'ON Call_Call Out Activities'!$F:$F,"Call_Out",'ON Call_Call Out Activities'!$B:$B,CPY!B216)) *24,1)</f>
        <v>0</v>
      </c>
      <c r="AC216" s="63">
        <f>ROUNDUP((SUMIFS('ON Call_Call Out Activities'!$M:$M,'ON Call_Call Out Activities'!$F:$F,"Call_Out",'ON Call_Call Out Activities'!$B:$B,CPY!B216)),1)</f>
        <v>0</v>
      </c>
      <c r="AE216" s="65">
        <f>IF((SUMIF(Shift_allowance_Entries!$B:$B,CPY!$B216,Shift_allowance_Entries!$H:$H)) &gt; (SUMIF(Shift_allowance_Entries!$B:$B,CPY!$B216,Shift_allowance_Entries!$G:$G)),0,((SUMIF(Shift_allowance_Entries!$B:$B,CPY!$B216,Shift_allowance_Entries!$G:$G))-(SUMIF(Shift_allowance_Entries!$B:$B,CPY!$B216,Shift_allowance_Entries!$H:$H))))</f>
        <v>0</v>
      </c>
      <c r="AF216" s="63">
        <f>AE216*MD!$S$4</f>
        <v>0</v>
      </c>
    </row>
    <row r="217" spans="1:32" x14ac:dyDescent="0.25">
      <c r="A217" s="62">
        <v>215</v>
      </c>
      <c r="B217" s="62"/>
      <c r="C217" s="50" t="str">
        <f>IF(ISNA(VLOOKUP($B217,Summary!$B:$D,2,FALSE))=TRUE," ",VLOOKUP($B217,Summary!$B:$D,2,FALSE))</f>
        <v> </v>
      </c>
      <c r="D217" s="50" t="str">
        <f>IF(ISNA(VLOOKUP($B217,Summary!$B:$D,3,FALSE))=TRUE," ",VLOOKUP($B217,Summary!$B:$D,3,FALSE))</f>
        <v> </v>
      </c>
      <c r="E217" s="62"/>
      <c r="F217" s="62"/>
      <c r="G217" s="62"/>
      <c r="I217" s="63">
        <f t="shared" si="3"/>
        <v>0</v>
      </c>
      <c r="K217" s="64">
        <f>IF(E217="Support(L1_L2)",IF(NOT(ISBLANK(B217)),IF(NOT(ISBLANK(D217)),NETWORKDAYS('CPY TOC'!$F$5,'CPY TOC'!$G$5))))-L217</f>
        <v>0</v>
      </c>
      <c r="L217" s="64">
        <f>IF(E217="Support(L1_L2)",SUMIFS(Support_allowance_Entries!$G:$G,Support_allowance_Entries!$B:$B,CPY!B217),0)</f>
        <v>0</v>
      </c>
      <c r="M217" s="63" t="b">
        <f>IF($D217="D0",MD!$C$4*(K217),IF($D217="D1",MD!$C$5*(K217),IF($D217="D2",MD!$C$6*(K217),IF($D217="D3",MD!$C$7*(K217),IF($D217="D4",MD!$C$8*(K217),IF($D217="D5",MD!$C$9*(K217),IF($D217="M1",MD!$C$10*(K217),IF($D217="T1",MD!$C$11*(K217)))))))))</f>
        <v>0</v>
      </c>
      <c r="O217" s="65">
        <f>SUMIFS(Shift_allowance_Entries!$G:$G,Shift_allowance_Entries!$F:$F,"6:30AM-03:30PM",Shift_allowance_Entries!$B:$B,CPY!$B217)</f>
        <v>0</v>
      </c>
      <c r="P217" s="65">
        <f>SUMIFS(Shift_allowance_Entries!$G:$G,Shift_allowance_Entries!$F:$F,"1-9PM/2:30PM-11:30PM",Shift_allowance_Entries!$B:$B,CPY!$B217)</f>
        <v>0</v>
      </c>
      <c r="Q217" s="65">
        <f>SUMIFS(Shift_allowance_Entries!$G:$G,Shift_allowance_Entries!$F:$F,"11PM-7AM",Shift_allowance_Entries!$B:$B,CPY!$B217)</f>
        <v>0</v>
      </c>
      <c r="R217" s="63">
        <f>(CPY!O217*MD!$F$4)+(CPY!P217*MD!$F$5)+(CPY!Q217*MD!$F$6)</f>
        <v>0</v>
      </c>
      <c r="T217" s="64">
        <f>ROUNDUP((SUMIFS('OOH Activities'!$K:$K,'OOH Activities'!$F:$F,"Non_workdays",'OOH Activities'!$B:$B,CPY!B217)) *24,1)</f>
        <v>0</v>
      </c>
      <c r="U217" s="64">
        <f>ROUNDUP((SUMIFS('OOH Activities'!$K:$K,'OOH Activities'!$F:$F,"Workdays",'OOH Activities'!$B:$B,CPY!B217)) *24,1)</f>
        <v>0</v>
      </c>
      <c r="V217" s="63">
        <f>ROUNDUP((SUMIFS('OOH Activities'!$L:$L,'OOH Activities'!$B:$B,CPY!B217)),1)</f>
        <v>0</v>
      </c>
      <c r="X217" s="65">
        <f>ROUNDUP((SUMIFS('ON Call_Call Out Activities'!$L:$L,'ON Call_Call Out Activities'!$F:$F,"Workdays",'ON Call_Call Out Activities'!$B:$B,CPY!B217))*24,1)</f>
        <v>0</v>
      </c>
      <c r="Y217" s="64">
        <f>ROUNDUP((SUMIFS('ON Call_Call Out Activities'!$L:$L,'ON Call_Call Out Activities'!$F:$F,"Non_workdays",'ON Call_Call Out Activities'!$B:$B,CPY!B217)) *24,1)</f>
        <v>0</v>
      </c>
      <c r="Z217" s="63">
        <f>ROUNDUP((SUMIFS('ON Call_Call Out Activities'!$M:$M,'ON Call_Call Out Activities'!$F:$F,"Non_workdays",'ON Call_Call Out Activities'!$B:$B,CPY!B217)),1) + ROUNDUP((SUMIFS('ON Call_Call Out Activities'!$M:$M,'ON Call_Call Out Activities'!$F:$F,"Workdays",'ON Call_Call Out Activities'!$B:$B,CPY!B217)),1)</f>
        <v>0</v>
      </c>
      <c r="AA217" s="66"/>
      <c r="AB217" s="64">
        <f>ROUNDUP((SUMIFS('ON Call_Call Out Activities'!$L:$L,'ON Call_Call Out Activities'!$F:$F,"Call_Out",'ON Call_Call Out Activities'!$B:$B,CPY!B217)) *24,1)</f>
        <v>0</v>
      </c>
      <c r="AC217" s="63">
        <f>ROUNDUP((SUMIFS('ON Call_Call Out Activities'!$M:$M,'ON Call_Call Out Activities'!$F:$F,"Call_Out",'ON Call_Call Out Activities'!$B:$B,CPY!B217)),1)</f>
        <v>0</v>
      </c>
      <c r="AE217" s="65">
        <f>IF((SUMIF(Shift_allowance_Entries!$B:$B,CPY!$B217,Shift_allowance_Entries!$H:$H)) &gt; (SUMIF(Shift_allowance_Entries!$B:$B,CPY!$B217,Shift_allowance_Entries!$G:$G)),0,((SUMIF(Shift_allowance_Entries!$B:$B,CPY!$B217,Shift_allowance_Entries!$G:$G))-(SUMIF(Shift_allowance_Entries!$B:$B,CPY!$B217,Shift_allowance_Entries!$H:$H))))</f>
        <v>0</v>
      </c>
      <c r="AF217" s="63">
        <f>AE217*MD!$S$4</f>
        <v>0</v>
      </c>
    </row>
    <row r="218" spans="1:32" x14ac:dyDescent="0.25">
      <c r="A218" s="62">
        <v>216</v>
      </c>
      <c r="B218" s="62"/>
      <c r="C218" s="50" t="str">
        <f>IF(ISNA(VLOOKUP($B218,Summary!$B:$D,2,FALSE))=TRUE," ",VLOOKUP($B218,Summary!$B:$D,2,FALSE))</f>
        <v> </v>
      </c>
      <c r="D218" s="50" t="str">
        <f>IF(ISNA(VLOOKUP($B218,Summary!$B:$D,3,FALSE))=TRUE," ",VLOOKUP($B218,Summary!$B:$D,3,FALSE))</f>
        <v> </v>
      </c>
      <c r="E218" s="62"/>
      <c r="F218" s="62"/>
      <c r="G218" s="62"/>
      <c r="I218" s="63">
        <f t="shared" si="3"/>
        <v>0</v>
      </c>
      <c r="K218" s="64">
        <f>IF(E218="Support(L1_L2)",IF(NOT(ISBLANK(B218)),IF(NOT(ISBLANK(D218)),NETWORKDAYS('CPY TOC'!$F$5,'CPY TOC'!$G$5))))-L218</f>
        <v>0</v>
      </c>
      <c r="L218" s="64">
        <f>IF(E218="Support(L1_L2)",SUMIFS(Support_allowance_Entries!$G:$G,Support_allowance_Entries!$B:$B,CPY!B218),0)</f>
        <v>0</v>
      </c>
      <c r="M218" s="63" t="b">
        <f>IF($D218="D0",MD!$C$4*(K218),IF($D218="D1",MD!$C$5*(K218),IF($D218="D2",MD!$C$6*(K218),IF($D218="D3",MD!$C$7*(K218),IF($D218="D4",MD!$C$8*(K218),IF($D218="D5",MD!$C$9*(K218),IF($D218="M1",MD!$C$10*(K218),IF($D218="T1",MD!$C$11*(K218)))))))))</f>
        <v>0</v>
      </c>
      <c r="O218" s="65">
        <f>SUMIFS(Shift_allowance_Entries!$G:$G,Shift_allowance_Entries!$F:$F,"6:30AM-03:30PM",Shift_allowance_Entries!$B:$B,CPY!$B218)</f>
        <v>0</v>
      </c>
      <c r="P218" s="65">
        <f>SUMIFS(Shift_allowance_Entries!$G:$G,Shift_allowance_Entries!$F:$F,"1-9PM/2:30PM-11:30PM",Shift_allowance_Entries!$B:$B,CPY!$B218)</f>
        <v>0</v>
      </c>
      <c r="Q218" s="65">
        <f>SUMIFS(Shift_allowance_Entries!$G:$G,Shift_allowance_Entries!$F:$F,"11PM-7AM",Shift_allowance_Entries!$B:$B,CPY!$B218)</f>
        <v>0</v>
      </c>
      <c r="R218" s="63">
        <f>(CPY!O218*MD!$F$4)+(CPY!P218*MD!$F$5)+(CPY!Q218*MD!$F$6)</f>
        <v>0</v>
      </c>
      <c r="T218" s="64">
        <f>ROUNDUP((SUMIFS('OOH Activities'!$K:$K,'OOH Activities'!$F:$F,"Non_workdays",'OOH Activities'!$B:$B,CPY!B218)) *24,1)</f>
        <v>0</v>
      </c>
      <c r="U218" s="64">
        <f>ROUNDUP((SUMIFS('OOH Activities'!$K:$K,'OOH Activities'!$F:$F,"Workdays",'OOH Activities'!$B:$B,CPY!B218)) *24,1)</f>
        <v>0</v>
      </c>
      <c r="V218" s="63">
        <f>ROUNDUP((SUMIFS('OOH Activities'!$L:$L,'OOH Activities'!$B:$B,CPY!B218)),1)</f>
        <v>0</v>
      </c>
      <c r="X218" s="65">
        <f>ROUNDUP((SUMIFS('ON Call_Call Out Activities'!$L:$L,'ON Call_Call Out Activities'!$F:$F,"Workdays",'ON Call_Call Out Activities'!$B:$B,CPY!B218))*24,1)</f>
        <v>0</v>
      </c>
      <c r="Y218" s="64">
        <f>ROUNDUP((SUMIFS('ON Call_Call Out Activities'!$L:$L,'ON Call_Call Out Activities'!$F:$F,"Non_workdays",'ON Call_Call Out Activities'!$B:$B,CPY!B218)) *24,1)</f>
        <v>0</v>
      </c>
      <c r="Z218" s="63">
        <f>ROUNDUP((SUMIFS('ON Call_Call Out Activities'!$M:$M,'ON Call_Call Out Activities'!$F:$F,"Non_workdays",'ON Call_Call Out Activities'!$B:$B,CPY!B218)),1) + ROUNDUP((SUMIFS('ON Call_Call Out Activities'!$M:$M,'ON Call_Call Out Activities'!$F:$F,"Workdays",'ON Call_Call Out Activities'!$B:$B,CPY!B218)),1)</f>
        <v>0</v>
      </c>
      <c r="AA218" s="66"/>
      <c r="AB218" s="64">
        <f>ROUNDUP((SUMIFS('ON Call_Call Out Activities'!$L:$L,'ON Call_Call Out Activities'!$F:$F,"Call_Out",'ON Call_Call Out Activities'!$B:$B,CPY!B218)) *24,1)</f>
        <v>0</v>
      </c>
      <c r="AC218" s="63">
        <f>ROUNDUP((SUMIFS('ON Call_Call Out Activities'!$M:$M,'ON Call_Call Out Activities'!$F:$F,"Call_Out",'ON Call_Call Out Activities'!$B:$B,CPY!B218)),1)</f>
        <v>0</v>
      </c>
      <c r="AE218" s="65">
        <f>IF((SUMIF(Shift_allowance_Entries!$B:$B,CPY!$B218,Shift_allowance_Entries!$H:$H)) &gt; (SUMIF(Shift_allowance_Entries!$B:$B,CPY!$B218,Shift_allowance_Entries!$G:$G)),0,((SUMIF(Shift_allowance_Entries!$B:$B,CPY!$B218,Shift_allowance_Entries!$G:$G))-(SUMIF(Shift_allowance_Entries!$B:$B,CPY!$B218,Shift_allowance_Entries!$H:$H))))</f>
        <v>0</v>
      </c>
      <c r="AF218" s="63">
        <f>AE218*MD!$S$4</f>
        <v>0</v>
      </c>
    </row>
    <row r="219" spans="1:32" x14ac:dyDescent="0.25">
      <c r="A219" s="62">
        <v>217</v>
      </c>
      <c r="B219" s="62"/>
      <c r="C219" s="50" t="str">
        <f>IF(ISNA(VLOOKUP($B219,Summary!$B:$D,2,FALSE))=TRUE," ",VLOOKUP($B219,Summary!$B:$D,2,FALSE))</f>
        <v> </v>
      </c>
      <c r="D219" s="50" t="str">
        <f>IF(ISNA(VLOOKUP($B219,Summary!$B:$D,3,FALSE))=TRUE," ",VLOOKUP($B219,Summary!$B:$D,3,FALSE))</f>
        <v> </v>
      </c>
      <c r="E219" s="62"/>
      <c r="F219" s="62"/>
      <c r="G219" s="62"/>
      <c r="I219" s="63">
        <f t="shared" si="3"/>
        <v>0</v>
      </c>
      <c r="K219" s="64">
        <f>IF(E219="Support(L1_L2)",IF(NOT(ISBLANK(B219)),IF(NOT(ISBLANK(D219)),NETWORKDAYS('CPY TOC'!$F$5,'CPY TOC'!$G$5))))-L219</f>
        <v>0</v>
      </c>
      <c r="L219" s="64">
        <f>IF(E219="Support(L1_L2)",SUMIFS(Support_allowance_Entries!$G:$G,Support_allowance_Entries!$B:$B,CPY!B219),0)</f>
        <v>0</v>
      </c>
      <c r="M219" s="63" t="b">
        <f>IF($D219="D0",MD!$C$4*(K219),IF($D219="D1",MD!$C$5*(K219),IF($D219="D2",MD!$C$6*(K219),IF($D219="D3",MD!$C$7*(K219),IF($D219="D4",MD!$C$8*(K219),IF($D219="D5",MD!$C$9*(K219),IF($D219="M1",MD!$C$10*(K219),IF($D219="T1",MD!$C$11*(K219)))))))))</f>
        <v>0</v>
      </c>
      <c r="O219" s="65">
        <f>SUMIFS(Shift_allowance_Entries!$G:$G,Shift_allowance_Entries!$F:$F,"6:30AM-03:30PM",Shift_allowance_Entries!$B:$B,CPY!$B219)</f>
        <v>0</v>
      </c>
      <c r="P219" s="65">
        <f>SUMIFS(Shift_allowance_Entries!$G:$G,Shift_allowance_Entries!$F:$F,"1-9PM/2:30PM-11:30PM",Shift_allowance_Entries!$B:$B,CPY!$B219)</f>
        <v>0</v>
      </c>
      <c r="Q219" s="65">
        <f>SUMIFS(Shift_allowance_Entries!$G:$G,Shift_allowance_Entries!$F:$F,"11PM-7AM",Shift_allowance_Entries!$B:$B,CPY!$B219)</f>
        <v>0</v>
      </c>
      <c r="R219" s="63">
        <f>(CPY!O219*MD!$F$4)+(CPY!P219*MD!$F$5)+(CPY!Q219*MD!$F$6)</f>
        <v>0</v>
      </c>
      <c r="T219" s="64">
        <f>ROUNDUP((SUMIFS('OOH Activities'!$K:$K,'OOH Activities'!$F:$F,"Non_workdays",'OOH Activities'!$B:$B,CPY!B219)) *24,1)</f>
        <v>0</v>
      </c>
      <c r="U219" s="64">
        <f>ROUNDUP((SUMIFS('OOH Activities'!$K:$K,'OOH Activities'!$F:$F,"Workdays",'OOH Activities'!$B:$B,CPY!B219)) *24,1)</f>
        <v>0</v>
      </c>
      <c r="V219" s="63">
        <f>ROUNDUP((SUMIFS('OOH Activities'!$L:$L,'OOH Activities'!$B:$B,CPY!B219)),1)</f>
        <v>0</v>
      </c>
      <c r="X219" s="65">
        <f>ROUNDUP((SUMIFS('ON Call_Call Out Activities'!$L:$L,'ON Call_Call Out Activities'!$F:$F,"Workdays",'ON Call_Call Out Activities'!$B:$B,CPY!B219))*24,1)</f>
        <v>0</v>
      </c>
      <c r="Y219" s="64">
        <f>ROUNDUP((SUMIFS('ON Call_Call Out Activities'!$L:$L,'ON Call_Call Out Activities'!$F:$F,"Non_workdays",'ON Call_Call Out Activities'!$B:$B,CPY!B219)) *24,1)</f>
        <v>0</v>
      </c>
      <c r="Z219" s="63">
        <f>ROUNDUP((SUMIFS('ON Call_Call Out Activities'!$M:$M,'ON Call_Call Out Activities'!$F:$F,"Non_workdays",'ON Call_Call Out Activities'!$B:$B,CPY!B219)),1) + ROUNDUP((SUMIFS('ON Call_Call Out Activities'!$M:$M,'ON Call_Call Out Activities'!$F:$F,"Workdays",'ON Call_Call Out Activities'!$B:$B,CPY!B219)),1)</f>
        <v>0</v>
      </c>
      <c r="AA219" s="66"/>
      <c r="AB219" s="64">
        <f>ROUNDUP((SUMIFS('ON Call_Call Out Activities'!$L:$L,'ON Call_Call Out Activities'!$F:$F,"Call_Out",'ON Call_Call Out Activities'!$B:$B,CPY!B219)) *24,1)</f>
        <v>0</v>
      </c>
      <c r="AC219" s="63">
        <f>ROUNDUP((SUMIFS('ON Call_Call Out Activities'!$M:$M,'ON Call_Call Out Activities'!$F:$F,"Call_Out",'ON Call_Call Out Activities'!$B:$B,CPY!B219)),1)</f>
        <v>0</v>
      </c>
      <c r="AE219" s="65">
        <f>IF((SUMIF(Shift_allowance_Entries!$B:$B,CPY!$B219,Shift_allowance_Entries!$H:$H)) &gt; (SUMIF(Shift_allowance_Entries!$B:$B,CPY!$B219,Shift_allowance_Entries!$G:$G)),0,((SUMIF(Shift_allowance_Entries!$B:$B,CPY!$B219,Shift_allowance_Entries!$G:$G))-(SUMIF(Shift_allowance_Entries!$B:$B,CPY!$B219,Shift_allowance_Entries!$H:$H))))</f>
        <v>0</v>
      </c>
      <c r="AF219" s="63">
        <f>AE219*MD!$S$4</f>
        <v>0</v>
      </c>
    </row>
    <row r="220" spans="1:32" x14ac:dyDescent="0.25">
      <c r="A220" s="62">
        <v>218</v>
      </c>
      <c r="B220" s="62"/>
      <c r="C220" s="50" t="str">
        <f>IF(ISNA(VLOOKUP($B220,Summary!$B:$D,2,FALSE))=TRUE," ",VLOOKUP($B220,Summary!$B:$D,2,FALSE))</f>
        <v> </v>
      </c>
      <c r="D220" s="50" t="str">
        <f>IF(ISNA(VLOOKUP($B220,Summary!$B:$D,3,FALSE))=TRUE," ",VLOOKUP($B220,Summary!$B:$D,3,FALSE))</f>
        <v> </v>
      </c>
      <c r="E220" s="62"/>
      <c r="F220" s="62"/>
      <c r="G220" s="62"/>
      <c r="I220" s="63">
        <f t="shared" si="3"/>
        <v>0</v>
      </c>
      <c r="K220" s="64">
        <f>IF(E220="Support(L1_L2)",IF(NOT(ISBLANK(B220)),IF(NOT(ISBLANK(D220)),NETWORKDAYS('CPY TOC'!$F$5,'CPY TOC'!$G$5))))-L220</f>
        <v>0</v>
      </c>
      <c r="L220" s="64">
        <f>IF(E220="Support(L1_L2)",SUMIFS(Support_allowance_Entries!$G:$G,Support_allowance_Entries!$B:$B,CPY!B220),0)</f>
        <v>0</v>
      </c>
      <c r="M220" s="63" t="b">
        <f>IF($D220="D0",MD!$C$4*(K220),IF($D220="D1",MD!$C$5*(K220),IF($D220="D2",MD!$C$6*(K220),IF($D220="D3",MD!$C$7*(K220),IF($D220="D4",MD!$C$8*(K220),IF($D220="D5",MD!$C$9*(K220),IF($D220="M1",MD!$C$10*(K220),IF($D220="T1",MD!$C$11*(K220)))))))))</f>
        <v>0</v>
      </c>
      <c r="O220" s="65">
        <f>SUMIFS(Shift_allowance_Entries!$G:$G,Shift_allowance_Entries!$F:$F,"6:30AM-03:30PM",Shift_allowance_Entries!$B:$B,CPY!$B220)</f>
        <v>0</v>
      </c>
      <c r="P220" s="65">
        <f>SUMIFS(Shift_allowance_Entries!$G:$G,Shift_allowance_Entries!$F:$F,"1-9PM/2:30PM-11:30PM",Shift_allowance_Entries!$B:$B,CPY!$B220)</f>
        <v>0</v>
      </c>
      <c r="Q220" s="65">
        <f>SUMIFS(Shift_allowance_Entries!$G:$G,Shift_allowance_Entries!$F:$F,"11PM-7AM",Shift_allowance_Entries!$B:$B,CPY!$B220)</f>
        <v>0</v>
      </c>
      <c r="R220" s="63">
        <f>(CPY!O220*MD!$F$4)+(CPY!P220*MD!$F$5)+(CPY!Q220*MD!$F$6)</f>
        <v>0</v>
      </c>
      <c r="T220" s="64">
        <f>ROUNDUP((SUMIFS('OOH Activities'!$K:$K,'OOH Activities'!$F:$F,"Non_workdays",'OOH Activities'!$B:$B,CPY!B220)) *24,1)</f>
        <v>0</v>
      </c>
      <c r="U220" s="64">
        <f>ROUNDUP((SUMIFS('OOH Activities'!$K:$K,'OOH Activities'!$F:$F,"Workdays",'OOH Activities'!$B:$B,CPY!B220)) *24,1)</f>
        <v>0</v>
      </c>
      <c r="V220" s="63">
        <f>ROUNDUP((SUMIFS('OOH Activities'!$L:$L,'OOH Activities'!$B:$B,CPY!B220)),1)</f>
        <v>0</v>
      </c>
      <c r="X220" s="65">
        <f>ROUNDUP((SUMIFS('ON Call_Call Out Activities'!$L:$L,'ON Call_Call Out Activities'!$F:$F,"Workdays",'ON Call_Call Out Activities'!$B:$B,CPY!B220))*24,1)</f>
        <v>0</v>
      </c>
      <c r="Y220" s="64">
        <f>ROUNDUP((SUMIFS('ON Call_Call Out Activities'!$L:$L,'ON Call_Call Out Activities'!$F:$F,"Non_workdays",'ON Call_Call Out Activities'!$B:$B,CPY!B220)) *24,1)</f>
        <v>0</v>
      </c>
      <c r="Z220" s="63">
        <f>ROUNDUP((SUMIFS('ON Call_Call Out Activities'!$M:$M,'ON Call_Call Out Activities'!$F:$F,"Non_workdays",'ON Call_Call Out Activities'!$B:$B,CPY!B220)),1) + ROUNDUP((SUMIFS('ON Call_Call Out Activities'!$M:$M,'ON Call_Call Out Activities'!$F:$F,"Workdays",'ON Call_Call Out Activities'!$B:$B,CPY!B220)),1)</f>
        <v>0</v>
      </c>
      <c r="AA220" s="66"/>
      <c r="AB220" s="64">
        <f>ROUNDUP((SUMIFS('ON Call_Call Out Activities'!$L:$L,'ON Call_Call Out Activities'!$F:$F,"Call_Out",'ON Call_Call Out Activities'!$B:$B,CPY!B220)) *24,1)</f>
        <v>0</v>
      </c>
      <c r="AC220" s="63">
        <f>ROUNDUP((SUMIFS('ON Call_Call Out Activities'!$M:$M,'ON Call_Call Out Activities'!$F:$F,"Call_Out",'ON Call_Call Out Activities'!$B:$B,CPY!B220)),1)</f>
        <v>0</v>
      </c>
      <c r="AE220" s="65">
        <f>IF((SUMIF(Shift_allowance_Entries!$B:$B,CPY!$B220,Shift_allowance_Entries!$H:$H)) &gt; (SUMIF(Shift_allowance_Entries!$B:$B,CPY!$B220,Shift_allowance_Entries!$G:$G)),0,((SUMIF(Shift_allowance_Entries!$B:$B,CPY!$B220,Shift_allowance_Entries!$G:$G))-(SUMIF(Shift_allowance_Entries!$B:$B,CPY!$B220,Shift_allowance_Entries!$H:$H))))</f>
        <v>0</v>
      </c>
      <c r="AF220" s="63">
        <f>AE220*MD!$S$4</f>
        <v>0</v>
      </c>
    </row>
    <row r="221" spans="1:32" x14ac:dyDescent="0.25">
      <c r="A221" s="62">
        <v>219</v>
      </c>
      <c r="B221" s="62"/>
      <c r="C221" s="50" t="str">
        <f>IF(ISNA(VLOOKUP($B221,Summary!$B:$D,2,FALSE))=TRUE," ",VLOOKUP($B221,Summary!$B:$D,2,FALSE))</f>
        <v> </v>
      </c>
      <c r="D221" s="50" t="str">
        <f>IF(ISNA(VLOOKUP($B221,Summary!$B:$D,3,FALSE))=TRUE," ",VLOOKUP($B221,Summary!$B:$D,3,FALSE))</f>
        <v> </v>
      </c>
      <c r="E221" s="62"/>
      <c r="F221" s="62"/>
      <c r="G221" s="62"/>
      <c r="I221" s="63">
        <f t="shared" si="3"/>
        <v>0</v>
      </c>
      <c r="K221" s="64">
        <f>IF(E221="Support(L1_L2)",IF(NOT(ISBLANK(B221)),IF(NOT(ISBLANK(D221)),NETWORKDAYS('CPY TOC'!$F$5,'CPY TOC'!$G$5))))-L221</f>
        <v>0</v>
      </c>
      <c r="L221" s="64">
        <f>IF(E221="Support(L1_L2)",SUMIFS(Support_allowance_Entries!$G:$G,Support_allowance_Entries!$B:$B,CPY!B221),0)</f>
        <v>0</v>
      </c>
      <c r="M221" s="63" t="b">
        <f>IF($D221="D0",MD!$C$4*(K221),IF($D221="D1",MD!$C$5*(K221),IF($D221="D2",MD!$C$6*(K221),IF($D221="D3",MD!$C$7*(K221),IF($D221="D4",MD!$C$8*(K221),IF($D221="D5",MD!$C$9*(K221),IF($D221="M1",MD!$C$10*(K221),IF($D221="T1",MD!$C$11*(K221)))))))))</f>
        <v>0</v>
      </c>
      <c r="O221" s="65">
        <f>SUMIFS(Shift_allowance_Entries!$G:$G,Shift_allowance_Entries!$F:$F,"6:30AM-03:30PM",Shift_allowance_Entries!$B:$B,CPY!$B221)</f>
        <v>0</v>
      </c>
      <c r="P221" s="65">
        <f>SUMIFS(Shift_allowance_Entries!$G:$G,Shift_allowance_Entries!$F:$F,"1-9PM/2:30PM-11:30PM",Shift_allowance_Entries!$B:$B,CPY!$B221)</f>
        <v>0</v>
      </c>
      <c r="Q221" s="65">
        <f>SUMIFS(Shift_allowance_Entries!$G:$G,Shift_allowance_Entries!$F:$F,"11PM-7AM",Shift_allowance_Entries!$B:$B,CPY!$B221)</f>
        <v>0</v>
      </c>
      <c r="R221" s="63">
        <f>(CPY!O221*MD!$F$4)+(CPY!P221*MD!$F$5)+(CPY!Q221*MD!$F$6)</f>
        <v>0</v>
      </c>
      <c r="T221" s="64">
        <f>ROUNDUP((SUMIFS('OOH Activities'!$K:$K,'OOH Activities'!$F:$F,"Non_workdays",'OOH Activities'!$B:$B,CPY!B221)) *24,1)</f>
        <v>0</v>
      </c>
      <c r="U221" s="64">
        <f>ROUNDUP((SUMIFS('OOH Activities'!$K:$K,'OOH Activities'!$F:$F,"Workdays",'OOH Activities'!$B:$B,CPY!B221)) *24,1)</f>
        <v>0</v>
      </c>
      <c r="V221" s="63">
        <f>ROUNDUP((SUMIFS('OOH Activities'!$L:$L,'OOH Activities'!$B:$B,CPY!B221)),1)</f>
        <v>0</v>
      </c>
      <c r="X221" s="65">
        <f>ROUNDUP((SUMIFS('ON Call_Call Out Activities'!$L:$L,'ON Call_Call Out Activities'!$F:$F,"Workdays",'ON Call_Call Out Activities'!$B:$B,CPY!B221))*24,1)</f>
        <v>0</v>
      </c>
      <c r="Y221" s="64">
        <f>ROUNDUP((SUMIFS('ON Call_Call Out Activities'!$L:$L,'ON Call_Call Out Activities'!$F:$F,"Non_workdays",'ON Call_Call Out Activities'!$B:$B,CPY!B221)) *24,1)</f>
        <v>0</v>
      </c>
      <c r="Z221" s="63">
        <f>ROUNDUP((SUMIFS('ON Call_Call Out Activities'!$M:$M,'ON Call_Call Out Activities'!$F:$F,"Non_workdays",'ON Call_Call Out Activities'!$B:$B,CPY!B221)),1) + ROUNDUP((SUMIFS('ON Call_Call Out Activities'!$M:$M,'ON Call_Call Out Activities'!$F:$F,"Workdays",'ON Call_Call Out Activities'!$B:$B,CPY!B221)),1)</f>
        <v>0</v>
      </c>
      <c r="AA221" s="66"/>
      <c r="AB221" s="64">
        <f>ROUNDUP((SUMIFS('ON Call_Call Out Activities'!$L:$L,'ON Call_Call Out Activities'!$F:$F,"Call_Out",'ON Call_Call Out Activities'!$B:$B,CPY!B221)) *24,1)</f>
        <v>0</v>
      </c>
      <c r="AC221" s="63">
        <f>ROUNDUP((SUMIFS('ON Call_Call Out Activities'!$M:$M,'ON Call_Call Out Activities'!$F:$F,"Call_Out",'ON Call_Call Out Activities'!$B:$B,CPY!B221)),1)</f>
        <v>0</v>
      </c>
      <c r="AE221" s="65">
        <f>IF((SUMIF(Shift_allowance_Entries!$B:$B,CPY!$B221,Shift_allowance_Entries!$H:$H)) &gt; (SUMIF(Shift_allowance_Entries!$B:$B,CPY!$B221,Shift_allowance_Entries!$G:$G)),0,((SUMIF(Shift_allowance_Entries!$B:$B,CPY!$B221,Shift_allowance_Entries!$G:$G))-(SUMIF(Shift_allowance_Entries!$B:$B,CPY!$B221,Shift_allowance_Entries!$H:$H))))</f>
        <v>0</v>
      </c>
      <c r="AF221" s="63">
        <f>AE221*MD!$S$4</f>
        <v>0</v>
      </c>
    </row>
    <row r="222" spans="1:32" x14ac:dyDescent="0.25">
      <c r="A222" s="62">
        <v>220</v>
      </c>
      <c r="B222" s="62"/>
      <c r="C222" s="50" t="str">
        <f>IF(ISNA(VLOOKUP($B222,Summary!$B:$D,2,FALSE))=TRUE," ",VLOOKUP($B222,Summary!$B:$D,2,FALSE))</f>
        <v> </v>
      </c>
      <c r="D222" s="50" t="str">
        <f>IF(ISNA(VLOOKUP($B222,Summary!$B:$D,3,FALSE))=TRUE," ",VLOOKUP($B222,Summary!$B:$D,3,FALSE))</f>
        <v> </v>
      </c>
      <c r="E222" s="62"/>
      <c r="F222" s="62"/>
      <c r="G222" s="62"/>
      <c r="I222" s="63">
        <f t="shared" si="3"/>
        <v>0</v>
      </c>
      <c r="K222" s="64">
        <f>IF(E222="Support(L1_L2)",IF(NOT(ISBLANK(B222)),IF(NOT(ISBLANK(D222)),NETWORKDAYS('CPY TOC'!$F$5,'CPY TOC'!$G$5))))-L222</f>
        <v>0</v>
      </c>
      <c r="L222" s="64">
        <f>IF(E222="Support(L1_L2)",SUMIFS(Support_allowance_Entries!$G:$G,Support_allowance_Entries!$B:$B,CPY!B222),0)</f>
        <v>0</v>
      </c>
      <c r="M222" s="63" t="b">
        <f>IF($D222="D0",MD!$C$4*(K222),IF($D222="D1",MD!$C$5*(K222),IF($D222="D2",MD!$C$6*(K222),IF($D222="D3",MD!$C$7*(K222),IF($D222="D4",MD!$C$8*(K222),IF($D222="D5",MD!$C$9*(K222),IF($D222="M1",MD!$C$10*(K222),IF($D222="T1",MD!$C$11*(K222)))))))))</f>
        <v>0</v>
      </c>
      <c r="O222" s="65">
        <f>SUMIFS(Shift_allowance_Entries!$G:$G,Shift_allowance_Entries!$F:$F,"6:30AM-03:30PM",Shift_allowance_Entries!$B:$B,CPY!$B222)</f>
        <v>0</v>
      </c>
      <c r="P222" s="65">
        <f>SUMIFS(Shift_allowance_Entries!$G:$G,Shift_allowance_Entries!$F:$F,"1-9PM/2:30PM-11:30PM",Shift_allowance_Entries!$B:$B,CPY!$B222)</f>
        <v>0</v>
      </c>
      <c r="Q222" s="65">
        <f>SUMIFS(Shift_allowance_Entries!$G:$G,Shift_allowance_Entries!$F:$F,"11PM-7AM",Shift_allowance_Entries!$B:$B,CPY!$B222)</f>
        <v>0</v>
      </c>
      <c r="R222" s="63">
        <f>(CPY!O222*MD!$F$4)+(CPY!P222*MD!$F$5)+(CPY!Q222*MD!$F$6)</f>
        <v>0</v>
      </c>
      <c r="T222" s="64">
        <f>ROUNDUP((SUMIFS('OOH Activities'!$K:$K,'OOH Activities'!$F:$F,"Non_workdays",'OOH Activities'!$B:$B,CPY!B222)) *24,1)</f>
        <v>0</v>
      </c>
      <c r="U222" s="64">
        <f>ROUNDUP((SUMIFS('OOH Activities'!$K:$K,'OOH Activities'!$F:$F,"Workdays",'OOH Activities'!$B:$B,CPY!B222)) *24,1)</f>
        <v>0</v>
      </c>
      <c r="V222" s="63">
        <f>ROUNDUP((SUMIFS('OOH Activities'!$L:$L,'OOH Activities'!$B:$B,CPY!B222)),1)</f>
        <v>0</v>
      </c>
      <c r="X222" s="65">
        <f>ROUNDUP((SUMIFS('ON Call_Call Out Activities'!$L:$L,'ON Call_Call Out Activities'!$F:$F,"Workdays",'ON Call_Call Out Activities'!$B:$B,CPY!B222))*24,1)</f>
        <v>0</v>
      </c>
      <c r="Y222" s="64">
        <f>ROUNDUP((SUMIFS('ON Call_Call Out Activities'!$L:$L,'ON Call_Call Out Activities'!$F:$F,"Non_workdays",'ON Call_Call Out Activities'!$B:$B,CPY!B222)) *24,1)</f>
        <v>0</v>
      </c>
      <c r="Z222" s="63">
        <f>ROUNDUP((SUMIFS('ON Call_Call Out Activities'!$M:$M,'ON Call_Call Out Activities'!$F:$F,"Non_workdays",'ON Call_Call Out Activities'!$B:$B,CPY!B222)),1) + ROUNDUP((SUMIFS('ON Call_Call Out Activities'!$M:$M,'ON Call_Call Out Activities'!$F:$F,"Workdays",'ON Call_Call Out Activities'!$B:$B,CPY!B222)),1)</f>
        <v>0</v>
      </c>
      <c r="AA222" s="66"/>
      <c r="AB222" s="64">
        <f>ROUNDUP((SUMIFS('ON Call_Call Out Activities'!$L:$L,'ON Call_Call Out Activities'!$F:$F,"Call_Out",'ON Call_Call Out Activities'!$B:$B,CPY!B222)) *24,1)</f>
        <v>0</v>
      </c>
      <c r="AC222" s="63">
        <f>ROUNDUP((SUMIFS('ON Call_Call Out Activities'!$M:$M,'ON Call_Call Out Activities'!$F:$F,"Call_Out",'ON Call_Call Out Activities'!$B:$B,CPY!B222)),1)</f>
        <v>0</v>
      </c>
      <c r="AE222" s="65">
        <f>IF((SUMIF(Shift_allowance_Entries!$B:$B,CPY!$B222,Shift_allowance_Entries!$H:$H)) &gt; (SUMIF(Shift_allowance_Entries!$B:$B,CPY!$B222,Shift_allowance_Entries!$G:$G)),0,((SUMIF(Shift_allowance_Entries!$B:$B,CPY!$B222,Shift_allowance_Entries!$G:$G))-(SUMIF(Shift_allowance_Entries!$B:$B,CPY!$B222,Shift_allowance_Entries!$H:$H))))</f>
        <v>0</v>
      </c>
      <c r="AF222" s="63">
        <f>AE222*MD!$S$4</f>
        <v>0</v>
      </c>
    </row>
    <row r="223" spans="1:32" x14ac:dyDescent="0.25">
      <c r="A223" s="62">
        <v>221</v>
      </c>
      <c r="B223" s="62"/>
      <c r="C223" s="50" t="str">
        <f>IF(ISNA(VLOOKUP($B223,Summary!$B:$D,2,FALSE))=TRUE," ",VLOOKUP($B223,Summary!$B:$D,2,FALSE))</f>
        <v> </v>
      </c>
      <c r="D223" s="50" t="str">
        <f>IF(ISNA(VLOOKUP($B223,Summary!$B:$D,3,FALSE))=TRUE," ",VLOOKUP($B223,Summary!$B:$D,3,FALSE))</f>
        <v> </v>
      </c>
      <c r="E223" s="62"/>
      <c r="F223" s="62"/>
      <c r="G223" s="62"/>
      <c r="I223" s="63">
        <f t="shared" si="3"/>
        <v>0</v>
      </c>
      <c r="K223" s="64">
        <f>IF(E223="Support(L1_L2)",IF(NOT(ISBLANK(B223)),IF(NOT(ISBLANK(D223)),NETWORKDAYS('CPY TOC'!$F$5,'CPY TOC'!$G$5))))-L223</f>
        <v>0</v>
      </c>
      <c r="L223" s="64">
        <f>IF(E223="Support(L1_L2)",SUMIFS(Support_allowance_Entries!$G:$G,Support_allowance_Entries!$B:$B,CPY!B223),0)</f>
        <v>0</v>
      </c>
      <c r="M223" s="63" t="b">
        <f>IF($D223="D0",MD!$C$4*(K223),IF($D223="D1",MD!$C$5*(K223),IF($D223="D2",MD!$C$6*(K223),IF($D223="D3",MD!$C$7*(K223),IF($D223="D4",MD!$C$8*(K223),IF($D223="D5",MD!$C$9*(K223),IF($D223="M1",MD!$C$10*(K223),IF($D223="T1",MD!$C$11*(K223)))))))))</f>
        <v>0</v>
      </c>
      <c r="O223" s="65">
        <f>SUMIFS(Shift_allowance_Entries!$G:$G,Shift_allowance_Entries!$F:$F,"6:30AM-03:30PM",Shift_allowance_Entries!$B:$B,CPY!$B223)</f>
        <v>0</v>
      </c>
      <c r="P223" s="65">
        <f>SUMIFS(Shift_allowance_Entries!$G:$G,Shift_allowance_Entries!$F:$F,"1-9PM/2:30PM-11:30PM",Shift_allowance_Entries!$B:$B,CPY!$B223)</f>
        <v>0</v>
      </c>
      <c r="Q223" s="65">
        <f>SUMIFS(Shift_allowance_Entries!$G:$G,Shift_allowance_Entries!$F:$F,"11PM-7AM",Shift_allowance_Entries!$B:$B,CPY!$B223)</f>
        <v>0</v>
      </c>
      <c r="R223" s="63">
        <f>(CPY!O223*MD!$F$4)+(CPY!P223*MD!$F$5)+(CPY!Q223*MD!$F$6)</f>
        <v>0</v>
      </c>
      <c r="T223" s="64">
        <f>ROUNDUP((SUMIFS('OOH Activities'!$K:$K,'OOH Activities'!$F:$F,"Non_workdays",'OOH Activities'!$B:$B,CPY!B223)) *24,1)</f>
        <v>0</v>
      </c>
      <c r="U223" s="64">
        <f>ROUNDUP((SUMIFS('OOH Activities'!$K:$K,'OOH Activities'!$F:$F,"Workdays",'OOH Activities'!$B:$B,CPY!B223)) *24,1)</f>
        <v>0</v>
      </c>
      <c r="V223" s="63">
        <f>ROUNDUP((SUMIFS('OOH Activities'!$L:$L,'OOH Activities'!$B:$B,CPY!B223)),1)</f>
        <v>0</v>
      </c>
      <c r="X223" s="65">
        <f>ROUNDUP((SUMIFS('ON Call_Call Out Activities'!$L:$L,'ON Call_Call Out Activities'!$F:$F,"Workdays",'ON Call_Call Out Activities'!$B:$B,CPY!B223))*24,1)</f>
        <v>0</v>
      </c>
      <c r="Y223" s="64">
        <f>ROUNDUP((SUMIFS('ON Call_Call Out Activities'!$L:$L,'ON Call_Call Out Activities'!$F:$F,"Non_workdays",'ON Call_Call Out Activities'!$B:$B,CPY!B223)) *24,1)</f>
        <v>0</v>
      </c>
      <c r="Z223" s="63">
        <f>ROUNDUP((SUMIFS('ON Call_Call Out Activities'!$M:$M,'ON Call_Call Out Activities'!$F:$F,"Non_workdays",'ON Call_Call Out Activities'!$B:$B,CPY!B223)),1) + ROUNDUP((SUMIFS('ON Call_Call Out Activities'!$M:$M,'ON Call_Call Out Activities'!$F:$F,"Workdays",'ON Call_Call Out Activities'!$B:$B,CPY!B223)),1)</f>
        <v>0</v>
      </c>
      <c r="AA223" s="66"/>
      <c r="AB223" s="64">
        <f>ROUNDUP((SUMIFS('ON Call_Call Out Activities'!$L:$L,'ON Call_Call Out Activities'!$F:$F,"Call_Out",'ON Call_Call Out Activities'!$B:$B,CPY!B223)) *24,1)</f>
        <v>0</v>
      </c>
      <c r="AC223" s="63">
        <f>ROUNDUP((SUMIFS('ON Call_Call Out Activities'!$M:$M,'ON Call_Call Out Activities'!$F:$F,"Call_Out",'ON Call_Call Out Activities'!$B:$B,CPY!B223)),1)</f>
        <v>0</v>
      </c>
      <c r="AE223" s="65">
        <f>IF((SUMIF(Shift_allowance_Entries!$B:$B,CPY!$B223,Shift_allowance_Entries!$H:$H)) &gt; (SUMIF(Shift_allowance_Entries!$B:$B,CPY!$B223,Shift_allowance_Entries!$G:$G)),0,((SUMIF(Shift_allowance_Entries!$B:$B,CPY!$B223,Shift_allowance_Entries!$G:$G))-(SUMIF(Shift_allowance_Entries!$B:$B,CPY!$B223,Shift_allowance_Entries!$H:$H))))</f>
        <v>0</v>
      </c>
      <c r="AF223" s="63">
        <f>AE223*MD!$S$4</f>
        <v>0</v>
      </c>
    </row>
    <row r="224" spans="1:32" x14ac:dyDescent="0.25">
      <c r="A224" s="62">
        <v>222</v>
      </c>
      <c r="B224" s="62"/>
      <c r="C224" s="50" t="str">
        <f>IF(ISNA(VLOOKUP($B224,Summary!$B:$D,2,FALSE))=TRUE," ",VLOOKUP($B224,Summary!$B:$D,2,FALSE))</f>
        <v> </v>
      </c>
      <c r="D224" s="50" t="str">
        <f>IF(ISNA(VLOOKUP($B224,Summary!$B:$D,3,FALSE))=TRUE," ",VLOOKUP($B224,Summary!$B:$D,3,FALSE))</f>
        <v> </v>
      </c>
      <c r="E224" s="62"/>
      <c r="F224" s="62"/>
      <c r="G224" s="62"/>
      <c r="I224" s="63">
        <f t="shared" si="3"/>
        <v>0</v>
      </c>
      <c r="K224" s="64">
        <f>IF(E224="Support(L1_L2)",IF(NOT(ISBLANK(B224)),IF(NOT(ISBLANK(D224)),NETWORKDAYS('CPY TOC'!$F$5,'CPY TOC'!$G$5))))-L224</f>
        <v>0</v>
      </c>
      <c r="L224" s="64">
        <f>IF(E224="Support(L1_L2)",SUMIFS(Support_allowance_Entries!$G:$G,Support_allowance_Entries!$B:$B,CPY!B224),0)</f>
        <v>0</v>
      </c>
      <c r="M224" s="63" t="b">
        <f>IF($D224="D0",MD!$C$4*(K224),IF($D224="D1",MD!$C$5*(K224),IF($D224="D2",MD!$C$6*(K224),IF($D224="D3",MD!$C$7*(K224),IF($D224="D4",MD!$C$8*(K224),IF($D224="D5",MD!$C$9*(K224),IF($D224="M1",MD!$C$10*(K224),IF($D224="T1",MD!$C$11*(K224)))))))))</f>
        <v>0</v>
      </c>
      <c r="O224" s="65">
        <f>SUMIFS(Shift_allowance_Entries!$G:$G,Shift_allowance_Entries!$F:$F,"6:30AM-03:30PM",Shift_allowance_Entries!$B:$B,CPY!$B224)</f>
        <v>0</v>
      </c>
      <c r="P224" s="65">
        <f>SUMIFS(Shift_allowance_Entries!$G:$G,Shift_allowance_Entries!$F:$F,"1-9PM/2:30PM-11:30PM",Shift_allowance_Entries!$B:$B,CPY!$B224)</f>
        <v>0</v>
      </c>
      <c r="Q224" s="65">
        <f>SUMIFS(Shift_allowance_Entries!$G:$G,Shift_allowance_Entries!$F:$F,"11PM-7AM",Shift_allowance_Entries!$B:$B,CPY!$B224)</f>
        <v>0</v>
      </c>
      <c r="R224" s="63">
        <f>(CPY!O224*MD!$F$4)+(CPY!P224*MD!$F$5)+(CPY!Q224*MD!$F$6)</f>
        <v>0</v>
      </c>
      <c r="T224" s="64">
        <f>ROUNDUP((SUMIFS('OOH Activities'!$K:$K,'OOH Activities'!$F:$F,"Non_workdays",'OOH Activities'!$B:$B,CPY!B224)) *24,1)</f>
        <v>0</v>
      </c>
      <c r="U224" s="64">
        <f>ROUNDUP((SUMIFS('OOH Activities'!$K:$K,'OOH Activities'!$F:$F,"Workdays",'OOH Activities'!$B:$B,CPY!B224)) *24,1)</f>
        <v>0</v>
      </c>
      <c r="V224" s="63">
        <f>ROUNDUP((SUMIFS('OOH Activities'!$L:$L,'OOH Activities'!$B:$B,CPY!B224)),1)</f>
        <v>0</v>
      </c>
      <c r="X224" s="65">
        <f>ROUNDUP((SUMIFS('ON Call_Call Out Activities'!$L:$L,'ON Call_Call Out Activities'!$F:$F,"Workdays",'ON Call_Call Out Activities'!$B:$B,CPY!B224))*24,1)</f>
        <v>0</v>
      </c>
      <c r="Y224" s="64">
        <f>ROUNDUP((SUMIFS('ON Call_Call Out Activities'!$L:$L,'ON Call_Call Out Activities'!$F:$F,"Non_workdays",'ON Call_Call Out Activities'!$B:$B,CPY!B224)) *24,1)</f>
        <v>0</v>
      </c>
      <c r="Z224" s="63">
        <f>ROUNDUP((SUMIFS('ON Call_Call Out Activities'!$M:$M,'ON Call_Call Out Activities'!$F:$F,"Non_workdays",'ON Call_Call Out Activities'!$B:$B,CPY!B224)),1) + ROUNDUP((SUMIFS('ON Call_Call Out Activities'!$M:$M,'ON Call_Call Out Activities'!$F:$F,"Workdays",'ON Call_Call Out Activities'!$B:$B,CPY!B224)),1)</f>
        <v>0</v>
      </c>
      <c r="AA224" s="66"/>
      <c r="AB224" s="64">
        <f>ROUNDUP((SUMIFS('ON Call_Call Out Activities'!$L:$L,'ON Call_Call Out Activities'!$F:$F,"Call_Out",'ON Call_Call Out Activities'!$B:$B,CPY!B224)) *24,1)</f>
        <v>0</v>
      </c>
      <c r="AC224" s="63">
        <f>ROUNDUP((SUMIFS('ON Call_Call Out Activities'!$M:$M,'ON Call_Call Out Activities'!$F:$F,"Call_Out",'ON Call_Call Out Activities'!$B:$B,CPY!B224)),1)</f>
        <v>0</v>
      </c>
      <c r="AE224" s="65">
        <f>IF((SUMIF(Shift_allowance_Entries!$B:$B,CPY!$B224,Shift_allowance_Entries!$H:$H)) &gt; (SUMIF(Shift_allowance_Entries!$B:$B,CPY!$B224,Shift_allowance_Entries!$G:$G)),0,((SUMIF(Shift_allowance_Entries!$B:$B,CPY!$B224,Shift_allowance_Entries!$G:$G))-(SUMIF(Shift_allowance_Entries!$B:$B,CPY!$B224,Shift_allowance_Entries!$H:$H))))</f>
        <v>0</v>
      </c>
      <c r="AF224" s="63">
        <f>AE224*MD!$S$4</f>
        <v>0</v>
      </c>
    </row>
    <row r="225" spans="1:32" x14ac:dyDescent="0.25">
      <c r="A225" s="62">
        <v>223</v>
      </c>
      <c r="B225" s="62"/>
      <c r="C225" s="50" t="str">
        <f>IF(ISNA(VLOOKUP($B225,Summary!$B:$D,2,FALSE))=TRUE," ",VLOOKUP($B225,Summary!$B:$D,2,FALSE))</f>
        <v> </v>
      </c>
      <c r="D225" s="50" t="str">
        <f>IF(ISNA(VLOOKUP($B225,Summary!$B:$D,3,FALSE))=TRUE," ",VLOOKUP($B225,Summary!$B:$D,3,FALSE))</f>
        <v> </v>
      </c>
      <c r="E225" s="62"/>
      <c r="F225" s="62"/>
      <c r="G225" s="62"/>
      <c r="I225" s="63">
        <f t="shared" si="3"/>
        <v>0</v>
      </c>
      <c r="K225" s="64">
        <f>IF(E225="Support(L1_L2)",IF(NOT(ISBLANK(B225)),IF(NOT(ISBLANK(D225)),NETWORKDAYS('CPY TOC'!$F$5,'CPY TOC'!$G$5))))-L225</f>
        <v>0</v>
      </c>
      <c r="L225" s="64">
        <f>IF(E225="Support(L1_L2)",SUMIFS(Support_allowance_Entries!$G:$G,Support_allowance_Entries!$B:$B,CPY!B225),0)</f>
        <v>0</v>
      </c>
      <c r="M225" s="63" t="b">
        <f>IF($D225="D0",MD!$C$4*(K225),IF($D225="D1",MD!$C$5*(K225),IF($D225="D2",MD!$C$6*(K225),IF($D225="D3",MD!$C$7*(K225),IF($D225="D4",MD!$C$8*(K225),IF($D225="D5",MD!$C$9*(K225),IF($D225="M1",MD!$C$10*(K225),IF($D225="T1",MD!$C$11*(K225)))))))))</f>
        <v>0</v>
      </c>
      <c r="O225" s="65">
        <f>SUMIFS(Shift_allowance_Entries!$G:$G,Shift_allowance_Entries!$F:$F,"6:30AM-03:30PM",Shift_allowance_Entries!$B:$B,CPY!$B225)</f>
        <v>0</v>
      </c>
      <c r="P225" s="65">
        <f>SUMIFS(Shift_allowance_Entries!$G:$G,Shift_allowance_Entries!$F:$F,"1-9PM/2:30PM-11:30PM",Shift_allowance_Entries!$B:$B,CPY!$B225)</f>
        <v>0</v>
      </c>
      <c r="Q225" s="65">
        <f>SUMIFS(Shift_allowance_Entries!$G:$G,Shift_allowance_Entries!$F:$F,"11PM-7AM",Shift_allowance_Entries!$B:$B,CPY!$B225)</f>
        <v>0</v>
      </c>
      <c r="R225" s="63">
        <f>(CPY!O225*MD!$F$4)+(CPY!P225*MD!$F$5)+(CPY!Q225*MD!$F$6)</f>
        <v>0</v>
      </c>
      <c r="T225" s="64">
        <f>ROUNDUP((SUMIFS('OOH Activities'!$K:$K,'OOH Activities'!$F:$F,"Non_workdays",'OOH Activities'!$B:$B,CPY!B225)) *24,1)</f>
        <v>0</v>
      </c>
      <c r="U225" s="64">
        <f>ROUNDUP((SUMIFS('OOH Activities'!$K:$K,'OOH Activities'!$F:$F,"Workdays",'OOH Activities'!$B:$B,CPY!B225)) *24,1)</f>
        <v>0</v>
      </c>
      <c r="V225" s="63">
        <f>ROUNDUP((SUMIFS('OOH Activities'!$L:$L,'OOH Activities'!$B:$B,CPY!B225)),1)</f>
        <v>0</v>
      </c>
      <c r="X225" s="65">
        <f>ROUNDUP((SUMIFS('ON Call_Call Out Activities'!$L:$L,'ON Call_Call Out Activities'!$F:$F,"Workdays",'ON Call_Call Out Activities'!$B:$B,CPY!B225))*24,1)</f>
        <v>0</v>
      </c>
      <c r="Y225" s="64">
        <f>ROUNDUP((SUMIFS('ON Call_Call Out Activities'!$L:$L,'ON Call_Call Out Activities'!$F:$F,"Non_workdays",'ON Call_Call Out Activities'!$B:$B,CPY!B225)) *24,1)</f>
        <v>0</v>
      </c>
      <c r="Z225" s="63">
        <f>ROUNDUP((SUMIFS('ON Call_Call Out Activities'!$M:$M,'ON Call_Call Out Activities'!$F:$F,"Non_workdays",'ON Call_Call Out Activities'!$B:$B,CPY!B225)),1) + ROUNDUP((SUMIFS('ON Call_Call Out Activities'!$M:$M,'ON Call_Call Out Activities'!$F:$F,"Workdays",'ON Call_Call Out Activities'!$B:$B,CPY!B225)),1)</f>
        <v>0</v>
      </c>
      <c r="AA225" s="66"/>
      <c r="AB225" s="64">
        <f>ROUNDUP((SUMIFS('ON Call_Call Out Activities'!$L:$L,'ON Call_Call Out Activities'!$F:$F,"Call_Out",'ON Call_Call Out Activities'!$B:$B,CPY!B225)) *24,1)</f>
        <v>0</v>
      </c>
      <c r="AC225" s="63">
        <f>ROUNDUP((SUMIFS('ON Call_Call Out Activities'!$M:$M,'ON Call_Call Out Activities'!$F:$F,"Call_Out",'ON Call_Call Out Activities'!$B:$B,CPY!B225)),1)</f>
        <v>0</v>
      </c>
      <c r="AE225" s="65">
        <f>IF((SUMIF(Shift_allowance_Entries!$B:$B,CPY!$B225,Shift_allowance_Entries!$H:$H)) &gt; (SUMIF(Shift_allowance_Entries!$B:$B,CPY!$B225,Shift_allowance_Entries!$G:$G)),0,((SUMIF(Shift_allowance_Entries!$B:$B,CPY!$B225,Shift_allowance_Entries!$G:$G))-(SUMIF(Shift_allowance_Entries!$B:$B,CPY!$B225,Shift_allowance_Entries!$H:$H))))</f>
        <v>0</v>
      </c>
      <c r="AF225" s="63">
        <f>AE225*MD!$S$4</f>
        <v>0</v>
      </c>
    </row>
    <row r="226" spans="1:32" x14ac:dyDescent="0.25">
      <c r="A226" s="62">
        <v>224</v>
      </c>
      <c r="B226" s="62"/>
      <c r="C226" s="50" t="str">
        <f>IF(ISNA(VLOOKUP($B226,Summary!$B:$D,2,FALSE))=TRUE," ",VLOOKUP($B226,Summary!$B:$D,2,FALSE))</f>
        <v> </v>
      </c>
      <c r="D226" s="50" t="str">
        <f>IF(ISNA(VLOOKUP($B226,Summary!$B:$D,3,FALSE))=TRUE," ",VLOOKUP($B226,Summary!$B:$D,3,FALSE))</f>
        <v> </v>
      </c>
      <c r="E226" s="62"/>
      <c r="F226" s="62"/>
      <c r="G226" s="62"/>
      <c r="I226" s="63">
        <f t="shared" si="3"/>
        <v>0</v>
      </c>
      <c r="K226" s="64">
        <f>IF(E226="Support(L1_L2)",IF(NOT(ISBLANK(B226)),IF(NOT(ISBLANK(D226)),NETWORKDAYS('CPY TOC'!$F$5,'CPY TOC'!$G$5))))-L226</f>
        <v>0</v>
      </c>
      <c r="L226" s="64">
        <f>IF(E226="Support(L1_L2)",SUMIFS(Support_allowance_Entries!$G:$G,Support_allowance_Entries!$B:$B,CPY!B226),0)</f>
        <v>0</v>
      </c>
      <c r="M226" s="63" t="b">
        <f>IF($D226="D0",MD!$C$4*(K226),IF($D226="D1",MD!$C$5*(K226),IF($D226="D2",MD!$C$6*(K226),IF($D226="D3",MD!$C$7*(K226),IF($D226="D4",MD!$C$8*(K226),IF($D226="D5",MD!$C$9*(K226),IF($D226="M1",MD!$C$10*(K226),IF($D226="T1",MD!$C$11*(K226)))))))))</f>
        <v>0</v>
      </c>
      <c r="O226" s="65">
        <f>SUMIFS(Shift_allowance_Entries!$G:$G,Shift_allowance_Entries!$F:$F,"6:30AM-03:30PM",Shift_allowance_Entries!$B:$B,CPY!$B226)</f>
        <v>0</v>
      </c>
      <c r="P226" s="65">
        <f>SUMIFS(Shift_allowance_Entries!$G:$G,Shift_allowance_Entries!$F:$F,"1-9PM/2:30PM-11:30PM",Shift_allowance_Entries!$B:$B,CPY!$B226)</f>
        <v>0</v>
      </c>
      <c r="Q226" s="65">
        <f>SUMIFS(Shift_allowance_Entries!$G:$G,Shift_allowance_Entries!$F:$F,"11PM-7AM",Shift_allowance_Entries!$B:$B,CPY!$B226)</f>
        <v>0</v>
      </c>
      <c r="R226" s="63">
        <f>(CPY!O226*MD!$F$4)+(CPY!P226*MD!$F$5)+(CPY!Q226*MD!$F$6)</f>
        <v>0</v>
      </c>
      <c r="T226" s="64">
        <f>ROUNDUP((SUMIFS('OOH Activities'!$K:$K,'OOH Activities'!$F:$F,"Non_workdays",'OOH Activities'!$B:$B,CPY!B226)) *24,1)</f>
        <v>0</v>
      </c>
      <c r="U226" s="64">
        <f>ROUNDUP((SUMIFS('OOH Activities'!$K:$K,'OOH Activities'!$F:$F,"Workdays",'OOH Activities'!$B:$B,CPY!B226)) *24,1)</f>
        <v>0</v>
      </c>
      <c r="V226" s="63">
        <f>ROUNDUP((SUMIFS('OOH Activities'!$L:$L,'OOH Activities'!$B:$B,CPY!B226)),1)</f>
        <v>0</v>
      </c>
      <c r="X226" s="65">
        <f>ROUNDUP((SUMIFS('ON Call_Call Out Activities'!$L:$L,'ON Call_Call Out Activities'!$F:$F,"Workdays",'ON Call_Call Out Activities'!$B:$B,CPY!B226))*24,1)</f>
        <v>0</v>
      </c>
      <c r="Y226" s="64">
        <f>ROUNDUP((SUMIFS('ON Call_Call Out Activities'!$L:$L,'ON Call_Call Out Activities'!$F:$F,"Non_workdays",'ON Call_Call Out Activities'!$B:$B,CPY!B226)) *24,1)</f>
        <v>0</v>
      </c>
      <c r="Z226" s="63">
        <f>ROUNDUP((SUMIFS('ON Call_Call Out Activities'!$M:$M,'ON Call_Call Out Activities'!$F:$F,"Non_workdays",'ON Call_Call Out Activities'!$B:$B,CPY!B226)),1) + ROUNDUP((SUMIFS('ON Call_Call Out Activities'!$M:$M,'ON Call_Call Out Activities'!$F:$F,"Workdays",'ON Call_Call Out Activities'!$B:$B,CPY!B226)),1)</f>
        <v>0</v>
      </c>
      <c r="AA226" s="66"/>
      <c r="AB226" s="64">
        <f>ROUNDUP((SUMIFS('ON Call_Call Out Activities'!$L:$L,'ON Call_Call Out Activities'!$F:$F,"Call_Out",'ON Call_Call Out Activities'!$B:$B,CPY!B226)) *24,1)</f>
        <v>0</v>
      </c>
      <c r="AC226" s="63">
        <f>ROUNDUP((SUMIFS('ON Call_Call Out Activities'!$M:$M,'ON Call_Call Out Activities'!$F:$F,"Call_Out",'ON Call_Call Out Activities'!$B:$B,CPY!B226)),1)</f>
        <v>0</v>
      </c>
      <c r="AE226" s="65">
        <f>IF((SUMIF(Shift_allowance_Entries!$B:$B,CPY!$B226,Shift_allowance_Entries!$H:$H)) &gt; (SUMIF(Shift_allowance_Entries!$B:$B,CPY!$B226,Shift_allowance_Entries!$G:$G)),0,((SUMIF(Shift_allowance_Entries!$B:$B,CPY!$B226,Shift_allowance_Entries!$G:$G))-(SUMIF(Shift_allowance_Entries!$B:$B,CPY!$B226,Shift_allowance_Entries!$H:$H))))</f>
        <v>0</v>
      </c>
      <c r="AF226" s="63">
        <f>AE226*MD!$S$4</f>
        <v>0</v>
      </c>
    </row>
    <row r="227" spans="1:32" x14ac:dyDescent="0.25">
      <c r="A227" s="62">
        <v>225</v>
      </c>
      <c r="B227" s="62"/>
      <c r="C227" s="50" t="str">
        <f>IF(ISNA(VLOOKUP($B227,Summary!$B:$D,2,FALSE))=TRUE," ",VLOOKUP($B227,Summary!$B:$D,2,FALSE))</f>
        <v> </v>
      </c>
      <c r="D227" s="50" t="str">
        <f>IF(ISNA(VLOOKUP($B227,Summary!$B:$D,3,FALSE))=TRUE," ",VLOOKUP($B227,Summary!$B:$D,3,FALSE))</f>
        <v> </v>
      </c>
      <c r="E227" s="62"/>
      <c r="F227" s="62"/>
      <c r="G227" s="62"/>
      <c r="I227" s="63">
        <f t="shared" si="3"/>
        <v>0</v>
      </c>
      <c r="K227" s="64">
        <f>IF(E227="Support(L1_L2)",IF(NOT(ISBLANK(B227)),IF(NOT(ISBLANK(D227)),NETWORKDAYS('CPY TOC'!$F$5,'CPY TOC'!$G$5))))-L227</f>
        <v>0</v>
      </c>
      <c r="L227" s="64">
        <f>IF(E227="Support(L1_L2)",SUMIFS(Support_allowance_Entries!$G:$G,Support_allowance_Entries!$B:$B,CPY!B227),0)</f>
        <v>0</v>
      </c>
      <c r="M227" s="63" t="b">
        <f>IF($D227="D0",MD!$C$4*(K227),IF($D227="D1",MD!$C$5*(K227),IF($D227="D2",MD!$C$6*(K227),IF($D227="D3",MD!$C$7*(K227),IF($D227="D4",MD!$C$8*(K227),IF($D227="D5",MD!$C$9*(K227),IF($D227="M1",MD!$C$10*(K227),IF($D227="T1",MD!$C$11*(K227)))))))))</f>
        <v>0</v>
      </c>
      <c r="O227" s="65">
        <f>SUMIFS(Shift_allowance_Entries!$G:$G,Shift_allowance_Entries!$F:$F,"6:30AM-03:30PM",Shift_allowance_Entries!$B:$B,CPY!$B227)</f>
        <v>0</v>
      </c>
      <c r="P227" s="65">
        <f>SUMIFS(Shift_allowance_Entries!$G:$G,Shift_allowance_Entries!$F:$F,"1-9PM/2:30PM-11:30PM",Shift_allowance_Entries!$B:$B,CPY!$B227)</f>
        <v>0</v>
      </c>
      <c r="Q227" s="65">
        <f>SUMIFS(Shift_allowance_Entries!$G:$G,Shift_allowance_Entries!$F:$F,"11PM-7AM",Shift_allowance_Entries!$B:$B,CPY!$B227)</f>
        <v>0</v>
      </c>
      <c r="R227" s="63">
        <f>(CPY!O227*MD!$F$4)+(CPY!P227*MD!$F$5)+(CPY!Q227*MD!$F$6)</f>
        <v>0</v>
      </c>
      <c r="T227" s="64">
        <f>ROUNDUP((SUMIFS('OOH Activities'!$K:$K,'OOH Activities'!$F:$F,"Non_workdays",'OOH Activities'!$B:$B,CPY!B227)) *24,1)</f>
        <v>0</v>
      </c>
      <c r="U227" s="64">
        <f>ROUNDUP((SUMIFS('OOH Activities'!$K:$K,'OOH Activities'!$F:$F,"Workdays",'OOH Activities'!$B:$B,CPY!B227)) *24,1)</f>
        <v>0</v>
      </c>
      <c r="V227" s="63">
        <f>ROUNDUP((SUMIFS('OOH Activities'!$L:$L,'OOH Activities'!$B:$B,CPY!B227)),1)</f>
        <v>0</v>
      </c>
      <c r="X227" s="65">
        <f>ROUNDUP((SUMIFS('ON Call_Call Out Activities'!$L:$L,'ON Call_Call Out Activities'!$F:$F,"Workdays",'ON Call_Call Out Activities'!$B:$B,CPY!B227))*24,1)</f>
        <v>0</v>
      </c>
      <c r="Y227" s="64">
        <f>ROUNDUP((SUMIFS('ON Call_Call Out Activities'!$L:$L,'ON Call_Call Out Activities'!$F:$F,"Non_workdays",'ON Call_Call Out Activities'!$B:$B,CPY!B227)) *24,1)</f>
        <v>0</v>
      </c>
      <c r="Z227" s="63">
        <f>ROUNDUP((SUMIFS('ON Call_Call Out Activities'!$M:$M,'ON Call_Call Out Activities'!$F:$F,"Non_workdays",'ON Call_Call Out Activities'!$B:$B,CPY!B227)),1) + ROUNDUP((SUMIFS('ON Call_Call Out Activities'!$M:$M,'ON Call_Call Out Activities'!$F:$F,"Workdays",'ON Call_Call Out Activities'!$B:$B,CPY!B227)),1)</f>
        <v>0</v>
      </c>
      <c r="AA227" s="66"/>
      <c r="AB227" s="64">
        <f>ROUNDUP((SUMIFS('ON Call_Call Out Activities'!$L:$L,'ON Call_Call Out Activities'!$F:$F,"Call_Out",'ON Call_Call Out Activities'!$B:$B,CPY!B227)) *24,1)</f>
        <v>0</v>
      </c>
      <c r="AC227" s="63">
        <f>ROUNDUP((SUMIFS('ON Call_Call Out Activities'!$M:$M,'ON Call_Call Out Activities'!$F:$F,"Call_Out",'ON Call_Call Out Activities'!$B:$B,CPY!B227)),1)</f>
        <v>0</v>
      </c>
      <c r="AE227" s="65">
        <f>IF((SUMIF(Shift_allowance_Entries!$B:$B,CPY!$B227,Shift_allowance_Entries!$H:$H)) &gt; (SUMIF(Shift_allowance_Entries!$B:$B,CPY!$B227,Shift_allowance_Entries!$G:$G)),0,((SUMIF(Shift_allowance_Entries!$B:$B,CPY!$B227,Shift_allowance_Entries!$G:$G))-(SUMIF(Shift_allowance_Entries!$B:$B,CPY!$B227,Shift_allowance_Entries!$H:$H))))</f>
        <v>0</v>
      </c>
      <c r="AF227" s="63">
        <f>AE227*MD!$S$4</f>
        <v>0</v>
      </c>
    </row>
    <row r="228" spans="1:32" x14ac:dyDescent="0.25">
      <c r="A228" s="62">
        <v>226</v>
      </c>
      <c r="B228" s="62"/>
      <c r="C228" s="50" t="str">
        <f>IF(ISNA(VLOOKUP($B228,Summary!$B:$D,2,FALSE))=TRUE," ",VLOOKUP($B228,Summary!$B:$D,2,FALSE))</f>
        <v> </v>
      </c>
      <c r="D228" s="50" t="str">
        <f>IF(ISNA(VLOOKUP($B228,Summary!$B:$D,3,FALSE))=TRUE," ",VLOOKUP($B228,Summary!$B:$D,3,FALSE))</f>
        <v> </v>
      </c>
      <c r="E228" s="62"/>
      <c r="F228" s="62"/>
      <c r="G228" s="62"/>
      <c r="I228" s="63">
        <f t="shared" si="3"/>
        <v>0</v>
      </c>
      <c r="K228" s="64">
        <f>IF(E228="Support(L1_L2)",IF(NOT(ISBLANK(B228)),IF(NOT(ISBLANK(D228)),NETWORKDAYS('CPY TOC'!$F$5,'CPY TOC'!$G$5))))-L228</f>
        <v>0</v>
      </c>
      <c r="L228" s="64">
        <f>IF(E228="Support(L1_L2)",SUMIFS(Support_allowance_Entries!$G:$G,Support_allowance_Entries!$B:$B,CPY!B228),0)</f>
        <v>0</v>
      </c>
      <c r="M228" s="63" t="b">
        <f>IF($D228="D0",MD!$C$4*(K228),IF($D228="D1",MD!$C$5*(K228),IF($D228="D2",MD!$C$6*(K228),IF($D228="D3",MD!$C$7*(K228),IF($D228="D4",MD!$C$8*(K228),IF($D228="D5",MD!$C$9*(K228),IF($D228="M1",MD!$C$10*(K228),IF($D228="T1",MD!$C$11*(K228)))))))))</f>
        <v>0</v>
      </c>
      <c r="O228" s="65">
        <f>SUMIFS(Shift_allowance_Entries!$G:$G,Shift_allowance_Entries!$F:$F,"6:30AM-03:30PM",Shift_allowance_Entries!$B:$B,CPY!$B228)</f>
        <v>0</v>
      </c>
      <c r="P228" s="65">
        <f>SUMIFS(Shift_allowance_Entries!$G:$G,Shift_allowance_Entries!$F:$F,"1-9PM/2:30PM-11:30PM",Shift_allowance_Entries!$B:$B,CPY!$B228)</f>
        <v>0</v>
      </c>
      <c r="Q228" s="65">
        <f>SUMIFS(Shift_allowance_Entries!$G:$G,Shift_allowance_Entries!$F:$F,"11PM-7AM",Shift_allowance_Entries!$B:$B,CPY!$B228)</f>
        <v>0</v>
      </c>
      <c r="R228" s="63">
        <f>(CPY!O228*MD!$F$4)+(CPY!P228*MD!$F$5)+(CPY!Q228*MD!$F$6)</f>
        <v>0</v>
      </c>
      <c r="T228" s="64">
        <f>ROUNDUP((SUMIFS('OOH Activities'!$K:$K,'OOH Activities'!$F:$F,"Non_workdays",'OOH Activities'!$B:$B,CPY!B228)) *24,1)</f>
        <v>0</v>
      </c>
      <c r="U228" s="64">
        <f>ROUNDUP((SUMIFS('OOH Activities'!$K:$K,'OOH Activities'!$F:$F,"Workdays",'OOH Activities'!$B:$B,CPY!B228)) *24,1)</f>
        <v>0</v>
      </c>
      <c r="V228" s="63">
        <f>ROUNDUP((SUMIFS('OOH Activities'!$L:$L,'OOH Activities'!$B:$B,CPY!B228)),1)</f>
        <v>0</v>
      </c>
      <c r="X228" s="65">
        <f>ROUNDUP((SUMIFS('ON Call_Call Out Activities'!$L:$L,'ON Call_Call Out Activities'!$F:$F,"Workdays",'ON Call_Call Out Activities'!$B:$B,CPY!B228))*24,1)</f>
        <v>0</v>
      </c>
      <c r="Y228" s="64">
        <f>ROUNDUP((SUMIFS('ON Call_Call Out Activities'!$L:$L,'ON Call_Call Out Activities'!$F:$F,"Non_workdays",'ON Call_Call Out Activities'!$B:$B,CPY!B228)) *24,1)</f>
        <v>0</v>
      </c>
      <c r="Z228" s="63">
        <f>ROUNDUP((SUMIFS('ON Call_Call Out Activities'!$M:$M,'ON Call_Call Out Activities'!$F:$F,"Non_workdays",'ON Call_Call Out Activities'!$B:$B,CPY!B228)),1) + ROUNDUP((SUMIFS('ON Call_Call Out Activities'!$M:$M,'ON Call_Call Out Activities'!$F:$F,"Workdays",'ON Call_Call Out Activities'!$B:$B,CPY!B228)),1)</f>
        <v>0</v>
      </c>
      <c r="AA228" s="66"/>
      <c r="AB228" s="64">
        <f>ROUNDUP((SUMIFS('ON Call_Call Out Activities'!$L:$L,'ON Call_Call Out Activities'!$F:$F,"Call_Out",'ON Call_Call Out Activities'!$B:$B,CPY!B228)) *24,1)</f>
        <v>0</v>
      </c>
      <c r="AC228" s="63">
        <f>ROUNDUP((SUMIFS('ON Call_Call Out Activities'!$M:$M,'ON Call_Call Out Activities'!$F:$F,"Call_Out",'ON Call_Call Out Activities'!$B:$B,CPY!B228)),1)</f>
        <v>0</v>
      </c>
      <c r="AE228" s="65">
        <f>IF((SUMIF(Shift_allowance_Entries!$B:$B,CPY!$B228,Shift_allowance_Entries!$H:$H)) &gt; (SUMIF(Shift_allowance_Entries!$B:$B,CPY!$B228,Shift_allowance_Entries!$G:$G)),0,((SUMIF(Shift_allowance_Entries!$B:$B,CPY!$B228,Shift_allowance_Entries!$G:$G))-(SUMIF(Shift_allowance_Entries!$B:$B,CPY!$B228,Shift_allowance_Entries!$H:$H))))</f>
        <v>0</v>
      </c>
      <c r="AF228" s="63">
        <f>AE228*MD!$S$4</f>
        <v>0</v>
      </c>
    </row>
    <row r="229" spans="1:32" x14ac:dyDescent="0.25">
      <c r="A229" s="62">
        <v>227</v>
      </c>
      <c r="B229" s="62"/>
      <c r="C229" s="50" t="str">
        <f>IF(ISNA(VLOOKUP($B229,Summary!$B:$D,2,FALSE))=TRUE," ",VLOOKUP($B229,Summary!$B:$D,2,FALSE))</f>
        <v> </v>
      </c>
      <c r="D229" s="50" t="str">
        <f>IF(ISNA(VLOOKUP($B229,Summary!$B:$D,3,FALSE))=TRUE," ",VLOOKUP($B229,Summary!$B:$D,3,FALSE))</f>
        <v> </v>
      </c>
      <c r="E229" s="62"/>
      <c r="F229" s="62"/>
      <c r="G229" s="62"/>
      <c r="I229" s="63">
        <f t="shared" si="3"/>
        <v>0</v>
      </c>
      <c r="K229" s="64">
        <f>IF(E229="Support(L1_L2)",IF(NOT(ISBLANK(B229)),IF(NOT(ISBLANK(D229)),NETWORKDAYS('CPY TOC'!$F$5,'CPY TOC'!$G$5))))-L229</f>
        <v>0</v>
      </c>
      <c r="L229" s="64">
        <f>IF(E229="Support(L1_L2)",SUMIFS(Support_allowance_Entries!$G:$G,Support_allowance_Entries!$B:$B,CPY!B229),0)</f>
        <v>0</v>
      </c>
      <c r="M229" s="63" t="b">
        <f>IF($D229="D0",MD!$C$4*(K229),IF($D229="D1",MD!$C$5*(K229),IF($D229="D2",MD!$C$6*(K229),IF($D229="D3",MD!$C$7*(K229),IF($D229="D4",MD!$C$8*(K229),IF($D229="D5",MD!$C$9*(K229),IF($D229="M1",MD!$C$10*(K229),IF($D229="T1",MD!$C$11*(K229)))))))))</f>
        <v>0</v>
      </c>
      <c r="O229" s="65">
        <f>SUMIFS(Shift_allowance_Entries!$G:$G,Shift_allowance_Entries!$F:$F,"6:30AM-03:30PM",Shift_allowance_Entries!$B:$B,CPY!$B229)</f>
        <v>0</v>
      </c>
      <c r="P229" s="65">
        <f>SUMIFS(Shift_allowance_Entries!$G:$G,Shift_allowance_Entries!$F:$F,"1-9PM/2:30PM-11:30PM",Shift_allowance_Entries!$B:$B,CPY!$B229)</f>
        <v>0</v>
      </c>
      <c r="Q229" s="65">
        <f>SUMIFS(Shift_allowance_Entries!$G:$G,Shift_allowance_Entries!$F:$F,"11PM-7AM",Shift_allowance_Entries!$B:$B,CPY!$B229)</f>
        <v>0</v>
      </c>
      <c r="R229" s="63">
        <f>(CPY!O229*MD!$F$4)+(CPY!P229*MD!$F$5)+(CPY!Q229*MD!$F$6)</f>
        <v>0</v>
      </c>
      <c r="T229" s="64">
        <f>ROUNDUP((SUMIFS('OOH Activities'!$K:$K,'OOH Activities'!$F:$F,"Non_workdays",'OOH Activities'!$B:$B,CPY!B229)) *24,1)</f>
        <v>0</v>
      </c>
      <c r="U229" s="64">
        <f>ROUNDUP((SUMIFS('OOH Activities'!$K:$K,'OOH Activities'!$F:$F,"Workdays",'OOH Activities'!$B:$B,CPY!B229)) *24,1)</f>
        <v>0</v>
      </c>
      <c r="V229" s="63">
        <f>ROUNDUP((SUMIFS('OOH Activities'!$L:$L,'OOH Activities'!$B:$B,CPY!B229)),1)</f>
        <v>0</v>
      </c>
      <c r="X229" s="65">
        <f>ROUNDUP((SUMIFS('ON Call_Call Out Activities'!$L:$L,'ON Call_Call Out Activities'!$F:$F,"Workdays",'ON Call_Call Out Activities'!$B:$B,CPY!B229))*24,1)</f>
        <v>0</v>
      </c>
      <c r="Y229" s="64">
        <f>ROUNDUP((SUMIFS('ON Call_Call Out Activities'!$L:$L,'ON Call_Call Out Activities'!$F:$F,"Non_workdays",'ON Call_Call Out Activities'!$B:$B,CPY!B229)) *24,1)</f>
        <v>0</v>
      </c>
      <c r="Z229" s="63">
        <f>ROUNDUP((SUMIFS('ON Call_Call Out Activities'!$M:$M,'ON Call_Call Out Activities'!$F:$F,"Non_workdays",'ON Call_Call Out Activities'!$B:$B,CPY!B229)),1) + ROUNDUP((SUMIFS('ON Call_Call Out Activities'!$M:$M,'ON Call_Call Out Activities'!$F:$F,"Workdays",'ON Call_Call Out Activities'!$B:$B,CPY!B229)),1)</f>
        <v>0</v>
      </c>
      <c r="AA229" s="66"/>
      <c r="AB229" s="64">
        <f>ROUNDUP((SUMIFS('ON Call_Call Out Activities'!$L:$L,'ON Call_Call Out Activities'!$F:$F,"Call_Out",'ON Call_Call Out Activities'!$B:$B,CPY!B229)) *24,1)</f>
        <v>0</v>
      </c>
      <c r="AC229" s="63">
        <f>ROUNDUP((SUMIFS('ON Call_Call Out Activities'!$M:$M,'ON Call_Call Out Activities'!$F:$F,"Call_Out",'ON Call_Call Out Activities'!$B:$B,CPY!B229)),1)</f>
        <v>0</v>
      </c>
      <c r="AE229" s="65">
        <f>IF((SUMIF(Shift_allowance_Entries!$B:$B,CPY!$B229,Shift_allowance_Entries!$H:$H)) &gt; (SUMIF(Shift_allowance_Entries!$B:$B,CPY!$B229,Shift_allowance_Entries!$G:$G)),0,((SUMIF(Shift_allowance_Entries!$B:$B,CPY!$B229,Shift_allowance_Entries!$G:$G))-(SUMIF(Shift_allowance_Entries!$B:$B,CPY!$B229,Shift_allowance_Entries!$H:$H))))</f>
        <v>0</v>
      </c>
      <c r="AF229" s="63">
        <f>AE229*MD!$S$4</f>
        <v>0</v>
      </c>
    </row>
    <row r="230" spans="1:32" x14ac:dyDescent="0.25">
      <c r="A230" s="62">
        <v>228</v>
      </c>
      <c r="B230" s="62"/>
      <c r="C230" s="50" t="str">
        <f>IF(ISNA(VLOOKUP($B230,Summary!$B:$D,2,FALSE))=TRUE," ",VLOOKUP($B230,Summary!$B:$D,2,FALSE))</f>
        <v> </v>
      </c>
      <c r="D230" s="50" t="str">
        <f>IF(ISNA(VLOOKUP($B230,Summary!$B:$D,3,FALSE))=TRUE," ",VLOOKUP($B230,Summary!$B:$D,3,FALSE))</f>
        <v> </v>
      </c>
      <c r="E230" s="62"/>
      <c r="F230" s="62"/>
      <c r="G230" s="62"/>
      <c r="I230" s="63">
        <f t="shared" si="3"/>
        <v>0</v>
      </c>
      <c r="K230" s="64">
        <f>IF(E230="Support(L1_L2)",IF(NOT(ISBLANK(B230)),IF(NOT(ISBLANK(D230)),NETWORKDAYS('CPY TOC'!$F$5,'CPY TOC'!$G$5))))-L230</f>
        <v>0</v>
      </c>
      <c r="L230" s="64">
        <f>IF(E230="Support(L1_L2)",SUMIFS(Support_allowance_Entries!$G:$G,Support_allowance_Entries!$B:$B,CPY!B230),0)</f>
        <v>0</v>
      </c>
      <c r="M230" s="63" t="b">
        <f>IF($D230="D0",MD!$C$4*(K230),IF($D230="D1",MD!$C$5*(K230),IF($D230="D2",MD!$C$6*(K230),IF($D230="D3",MD!$C$7*(K230),IF($D230="D4",MD!$C$8*(K230),IF($D230="D5",MD!$C$9*(K230),IF($D230="M1",MD!$C$10*(K230),IF($D230="T1",MD!$C$11*(K230)))))))))</f>
        <v>0</v>
      </c>
      <c r="O230" s="65">
        <f>SUMIFS(Shift_allowance_Entries!$G:$G,Shift_allowance_Entries!$F:$F,"6:30AM-03:30PM",Shift_allowance_Entries!$B:$B,CPY!$B230)</f>
        <v>0</v>
      </c>
      <c r="P230" s="65">
        <f>SUMIFS(Shift_allowance_Entries!$G:$G,Shift_allowance_Entries!$F:$F,"1-9PM/2:30PM-11:30PM",Shift_allowance_Entries!$B:$B,CPY!$B230)</f>
        <v>0</v>
      </c>
      <c r="Q230" s="65">
        <f>SUMIFS(Shift_allowance_Entries!$G:$G,Shift_allowance_Entries!$F:$F,"11PM-7AM",Shift_allowance_Entries!$B:$B,CPY!$B230)</f>
        <v>0</v>
      </c>
      <c r="R230" s="63">
        <f>(CPY!O230*MD!$F$4)+(CPY!P230*MD!$F$5)+(CPY!Q230*MD!$F$6)</f>
        <v>0</v>
      </c>
      <c r="T230" s="64">
        <f>ROUNDUP((SUMIFS('OOH Activities'!$K:$K,'OOH Activities'!$F:$F,"Non_workdays",'OOH Activities'!$B:$B,CPY!B230)) *24,1)</f>
        <v>0</v>
      </c>
      <c r="U230" s="64">
        <f>ROUNDUP((SUMIFS('OOH Activities'!$K:$K,'OOH Activities'!$F:$F,"Workdays",'OOH Activities'!$B:$B,CPY!B230)) *24,1)</f>
        <v>0</v>
      </c>
      <c r="V230" s="63">
        <f>ROUNDUP((SUMIFS('OOH Activities'!$L:$L,'OOH Activities'!$B:$B,CPY!B230)),1)</f>
        <v>0</v>
      </c>
      <c r="X230" s="65">
        <f>ROUNDUP((SUMIFS('ON Call_Call Out Activities'!$L:$L,'ON Call_Call Out Activities'!$F:$F,"Workdays",'ON Call_Call Out Activities'!$B:$B,CPY!B230))*24,1)</f>
        <v>0</v>
      </c>
      <c r="Y230" s="64">
        <f>ROUNDUP((SUMIFS('ON Call_Call Out Activities'!$L:$L,'ON Call_Call Out Activities'!$F:$F,"Non_workdays",'ON Call_Call Out Activities'!$B:$B,CPY!B230)) *24,1)</f>
        <v>0</v>
      </c>
      <c r="Z230" s="63">
        <f>ROUNDUP((SUMIFS('ON Call_Call Out Activities'!$M:$M,'ON Call_Call Out Activities'!$F:$F,"Non_workdays",'ON Call_Call Out Activities'!$B:$B,CPY!B230)),1) + ROUNDUP((SUMIFS('ON Call_Call Out Activities'!$M:$M,'ON Call_Call Out Activities'!$F:$F,"Workdays",'ON Call_Call Out Activities'!$B:$B,CPY!B230)),1)</f>
        <v>0</v>
      </c>
      <c r="AA230" s="66"/>
      <c r="AB230" s="64">
        <f>ROUNDUP((SUMIFS('ON Call_Call Out Activities'!$L:$L,'ON Call_Call Out Activities'!$F:$F,"Call_Out",'ON Call_Call Out Activities'!$B:$B,CPY!B230)) *24,1)</f>
        <v>0</v>
      </c>
      <c r="AC230" s="63">
        <f>ROUNDUP((SUMIFS('ON Call_Call Out Activities'!$M:$M,'ON Call_Call Out Activities'!$F:$F,"Call_Out",'ON Call_Call Out Activities'!$B:$B,CPY!B230)),1)</f>
        <v>0</v>
      </c>
      <c r="AE230" s="65">
        <f>IF((SUMIF(Shift_allowance_Entries!$B:$B,CPY!$B230,Shift_allowance_Entries!$H:$H)) &gt; (SUMIF(Shift_allowance_Entries!$B:$B,CPY!$B230,Shift_allowance_Entries!$G:$G)),0,((SUMIF(Shift_allowance_Entries!$B:$B,CPY!$B230,Shift_allowance_Entries!$G:$G))-(SUMIF(Shift_allowance_Entries!$B:$B,CPY!$B230,Shift_allowance_Entries!$H:$H))))</f>
        <v>0</v>
      </c>
      <c r="AF230" s="63">
        <f>AE230*MD!$S$4</f>
        <v>0</v>
      </c>
    </row>
    <row r="231" spans="1:32" x14ac:dyDescent="0.25">
      <c r="A231" s="62">
        <v>229</v>
      </c>
      <c r="B231" s="62"/>
      <c r="C231" s="50" t="str">
        <f>IF(ISNA(VLOOKUP($B231,Summary!$B:$D,2,FALSE))=TRUE," ",VLOOKUP($B231,Summary!$B:$D,2,FALSE))</f>
        <v> </v>
      </c>
      <c r="D231" s="50" t="str">
        <f>IF(ISNA(VLOOKUP($B231,Summary!$B:$D,3,FALSE))=TRUE," ",VLOOKUP($B231,Summary!$B:$D,3,FALSE))</f>
        <v> </v>
      </c>
      <c r="E231" s="62"/>
      <c r="F231" s="62"/>
      <c r="G231" s="62"/>
      <c r="I231" s="63">
        <f t="shared" si="3"/>
        <v>0</v>
      </c>
      <c r="K231" s="64">
        <f>IF(E231="Support(L1_L2)",IF(NOT(ISBLANK(B231)),IF(NOT(ISBLANK(D231)),NETWORKDAYS('CPY TOC'!$F$5,'CPY TOC'!$G$5))))-L231</f>
        <v>0</v>
      </c>
      <c r="L231" s="64">
        <f>IF(E231="Support(L1_L2)",SUMIFS(Support_allowance_Entries!$G:$G,Support_allowance_Entries!$B:$B,CPY!B231),0)</f>
        <v>0</v>
      </c>
      <c r="M231" s="63" t="b">
        <f>IF($D231="D0",MD!$C$4*(K231),IF($D231="D1",MD!$C$5*(K231),IF($D231="D2",MD!$C$6*(K231),IF($D231="D3",MD!$C$7*(K231),IF($D231="D4",MD!$C$8*(K231),IF($D231="D5",MD!$C$9*(K231),IF($D231="M1",MD!$C$10*(K231),IF($D231="T1",MD!$C$11*(K231)))))))))</f>
        <v>0</v>
      </c>
      <c r="O231" s="65">
        <f>SUMIFS(Shift_allowance_Entries!$G:$G,Shift_allowance_Entries!$F:$F,"6:30AM-03:30PM",Shift_allowance_Entries!$B:$B,CPY!$B231)</f>
        <v>0</v>
      </c>
      <c r="P231" s="65">
        <f>SUMIFS(Shift_allowance_Entries!$G:$G,Shift_allowance_Entries!$F:$F,"1-9PM/2:30PM-11:30PM",Shift_allowance_Entries!$B:$B,CPY!$B231)</f>
        <v>0</v>
      </c>
      <c r="Q231" s="65">
        <f>SUMIFS(Shift_allowance_Entries!$G:$G,Shift_allowance_Entries!$F:$F,"11PM-7AM",Shift_allowance_Entries!$B:$B,CPY!$B231)</f>
        <v>0</v>
      </c>
      <c r="R231" s="63">
        <f>(CPY!O231*MD!$F$4)+(CPY!P231*MD!$F$5)+(CPY!Q231*MD!$F$6)</f>
        <v>0</v>
      </c>
      <c r="T231" s="64">
        <f>ROUNDUP((SUMIFS('OOH Activities'!$K:$K,'OOH Activities'!$F:$F,"Non_workdays",'OOH Activities'!$B:$B,CPY!B231)) *24,1)</f>
        <v>0</v>
      </c>
      <c r="U231" s="64">
        <f>ROUNDUP((SUMIFS('OOH Activities'!$K:$K,'OOH Activities'!$F:$F,"Workdays",'OOH Activities'!$B:$B,CPY!B231)) *24,1)</f>
        <v>0</v>
      </c>
      <c r="V231" s="63">
        <f>ROUNDUP((SUMIFS('OOH Activities'!$L:$L,'OOH Activities'!$B:$B,CPY!B231)),1)</f>
        <v>0</v>
      </c>
      <c r="X231" s="65">
        <f>ROUNDUP((SUMIFS('ON Call_Call Out Activities'!$L:$L,'ON Call_Call Out Activities'!$F:$F,"Workdays",'ON Call_Call Out Activities'!$B:$B,CPY!B231))*24,1)</f>
        <v>0</v>
      </c>
      <c r="Y231" s="64">
        <f>ROUNDUP((SUMIFS('ON Call_Call Out Activities'!$L:$L,'ON Call_Call Out Activities'!$F:$F,"Non_workdays",'ON Call_Call Out Activities'!$B:$B,CPY!B231)) *24,1)</f>
        <v>0</v>
      </c>
      <c r="Z231" s="63">
        <f>ROUNDUP((SUMIFS('ON Call_Call Out Activities'!$M:$M,'ON Call_Call Out Activities'!$F:$F,"Non_workdays",'ON Call_Call Out Activities'!$B:$B,CPY!B231)),1) + ROUNDUP((SUMIFS('ON Call_Call Out Activities'!$M:$M,'ON Call_Call Out Activities'!$F:$F,"Workdays",'ON Call_Call Out Activities'!$B:$B,CPY!B231)),1)</f>
        <v>0</v>
      </c>
      <c r="AA231" s="66"/>
      <c r="AB231" s="64">
        <f>ROUNDUP((SUMIFS('ON Call_Call Out Activities'!$L:$L,'ON Call_Call Out Activities'!$F:$F,"Call_Out",'ON Call_Call Out Activities'!$B:$B,CPY!B231)) *24,1)</f>
        <v>0</v>
      </c>
      <c r="AC231" s="63">
        <f>ROUNDUP((SUMIFS('ON Call_Call Out Activities'!$M:$M,'ON Call_Call Out Activities'!$F:$F,"Call_Out",'ON Call_Call Out Activities'!$B:$B,CPY!B231)),1)</f>
        <v>0</v>
      </c>
      <c r="AE231" s="65">
        <f>IF((SUMIF(Shift_allowance_Entries!$B:$B,CPY!$B231,Shift_allowance_Entries!$H:$H)) &gt; (SUMIF(Shift_allowance_Entries!$B:$B,CPY!$B231,Shift_allowance_Entries!$G:$G)),0,((SUMIF(Shift_allowance_Entries!$B:$B,CPY!$B231,Shift_allowance_Entries!$G:$G))-(SUMIF(Shift_allowance_Entries!$B:$B,CPY!$B231,Shift_allowance_Entries!$H:$H))))</f>
        <v>0</v>
      </c>
      <c r="AF231" s="63">
        <f>AE231*MD!$S$4</f>
        <v>0</v>
      </c>
    </row>
    <row r="232" spans="1:32" x14ac:dyDescent="0.25">
      <c r="A232" s="62">
        <v>230</v>
      </c>
      <c r="B232" s="62"/>
      <c r="C232" s="50" t="str">
        <f>IF(ISNA(VLOOKUP($B232,Summary!$B:$D,2,FALSE))=TRUE," ",VLOOKUP($B232,Summary!$B:$D,2,FALSE))</f>
        <v> </v>
      </c>
      <c r="D232" s="50" t="str">
        <f>IF(ISNA(VLOOKUP($B232,Summary!$B:$D,3,FALSE))=TRUE," ",VLOOKUP($B232,Summary!$B:$D,3,FALSE))</f>
        <v> </v>
      </c>
      <c r="E232" s="62"/>
      <c r="F232" s="62"/>
      <c r="G232" s="62"/>
      <c r="I232" s="63">
        <f t="shared" si="3"/>
        <v>0</v>
      </c>
      <c r="K232" s="64">
        <f>IF(E232="Support(L1_L2)",IF(NOT(ISBLANK(B232)),IF(NOT(ISBLANK(D232)),NETWORKDAYS('CPY TOC'!$F$5,'CPY TOC'!$G$5))))-L232</f>
        <v>0</v>
      </c>
      <c r="L232" s="64">
        <f>IF(E232="Support(L1_L2)",SUMIFS(Support_allowance_Entries!$G:$G,Support_allowance_Entries!$B:$B,CPY!B232),0)</f>
        <v>0</v>
      </c>
      <c r="M232" s="63" t="b">
        <f>IF($D232="D0",MD!$C$4*(K232),IF($D232="D1",MD!$C$5*(K232),IF($D232="D2",MD!$C$6*(K232),IF($D232="D3",MD!$C$7*(K232),IF($D232="D4",MD!$C$8*(K232),IF($D232="D5",MD!$C$9*(K232),IF($D232="M1",MD!$C$10*(K232),IF($D232="T1",MD!$C$11*(K232)))))))))</f>
        <v>0</v>
      </c>
      <c r="O232" s="65">
        <f>SUMIFS(Shift_allowance_Entries!$G:$G,Shift_allowance_Entries!$F:$F,"6:30AM-03:30PM",Shift_allowance_Entries!$B:$B,CPY!$B232)</f>
        <v>0</v>
      </c>
      <c r="P232" s="65">
        <f>SUMIFS(Shift_allowance_Entries!$G:$G,Shift_allowance_Entries!$F:$F,"1-9PM/2:30PM-11:30PM",Shift_allowance_Entries!$B:$B,CPY!$B232)</f>
        <v>0</v>
      </c>
      <c r="Q232" s="65">
        <f>SUMIFS(Shift_allowance_Entries!$G:$G,Shift_allowance_Entries!$F:$F,"11PM-7AM",Shift_allowance_Entries!$B:$B,CPY!$B232)</f>
        <v>0</v>
      </c>
      <c r="R232" s="63">
        <f>(CPY!O232*MD!$F$4)+(CPY!P232*MD!$F$5)+(CPY!Q232*MD!$F$6)</f>
        <v>0</v>
      </c>
      <c r="T232" s="64">
        <f>ROUNDUP((SUMIFS('OOH Activities'!$K:$K,'OOH Activities'!$F:$F,"Non_workdays",'OOH Activities'!$B:$B,CPY!B232)) *24,1)</f>
        <v>0</v>
      </c>
      <c r="U232" s="64">
        <f>ROUNDUP((SUMIFS('OOH Activities'!$K:$K,'OOH Activities'!$F:$F,"Workdays",'OOH Activities'!$B:$B,CPY!B232)) *24,1)</f>
        <v>0</v>
      </c>
      <c r="V232" s="63">
        <f>ROUNDUP((SUMIFS('OOH Activities'!$L:$L,'OOH Activities'!$B:$B,CPY!B232)),1)</f>
        <v>0</v>
      </c>
      <c r="X232" s="65">
        <f>ROUNDUP((SUMIFS('ON Call_Call Out Activities'!$L:$L,'ON Call_Call Out Activities'!$F:$F,"Workdays",'ON Call_Call Out Activities'!$B:$B,CPY!B232))*24,1)</f>
        <v>0</v>
      </c>
      <c r="Y232" s="64">
        <f>ROUNDUP((SUMIFS('ON Call_Call Out Activities'!$L:$L,'ON Call_Call Out Activities'!$F:$F,"Non_workdays",'ON Call_Call Out Activities'!$B:$B,CPY!B232)) *24,1)</f>
        <v>0</v>
      </c>
      <c r="Z232" s="63">
        <f>ROUNDUP((SUMIFS('ON Call_Call Out Activities'!$M:$M,'ON Call_Call Out Activities'!$F:$F,"Non_workdays",'ON Call_Call Out Activities'!$B:$B,CPY!B232)),1) + ROUNDUP((SUMIFS('ON Call_Call Out Activities'!$M:$M,'ON Call_Call Out Activities'!$F:$F,"Workdays",'ON Call_Call Out Activities'!$B:$B,CPY!B232)),1)</f>
        <v>0</v>
      </c>
      <c r="AA232" s="66"/>
      <c r="AB232" s="64">
        <f>ROUNDUP((SUMIFS('ON Call_Call Out Activities'!$L:$L,'ON Call_Call Out Activities'!$F:$F,"Call_Out",'ON Call_Call Out Activities'!$B:$B,CPY!B232)) *24,1)</f>
        <v>0</v>
      </c>
      <c r="AC232" s="63">
        <f>ROUNDUP((SUMIFS('ON Call_Call Out Activities'!$M:$M,'ON Call_Call Out Activities'!$F:$F,"Call_Out",'ON Call_Call Out Activities'!$B:$B,CPY!B232)),1)</f>
        <v>0</v>
      </c>
      <c r="AE232" s="65">
        <f>IF((SUMIF(Shift_allowance_Entries!$B:$B,CPY!$B232,Shift_allowance_Entries!$H:$H)) &gt; (SUMIF(Shift_allowance_Entries!$B:$B,CPY!$B232,Shift_allowance_Entries!$G:$G)),0,((SUMIF(Shift_allowance_Entries!$B:$B,CPY!$B232,Shift_allowance_Entries!$G:$G))-(SUMIF(Shift_allowance_Entries!$B:$B,CPY!$B232,Shift_allowance_Entries!$H:$H))))</f>
        <v>0</v>
      </c>
      <c r="AF232" s="63">
        <f>AE232*MD!$S$4</f>
        <v>0</v>
      </c>
    </row>
    <row r="233" spans="1:32" x14ac:dyDescent="0.25">
      <c r="A233" s="62">
        <v>231</v>
      </c>
      <c r="B233" s="62"/>
      <c r="C233" s="50" t="str">
        <f>IF(ISNA(VLOOKUP($B233,Summary!$B:$D,2,FALSE))=TRUE," ",VLOOKUP($B233,Summary!$B:$D,2,FALSE))</f>
        <v> </v>
      </c>
      <c r="D233" s="50" t="str">
        <f>IF(ISNA(VLOOKUP($B233,Summary!$B:$D,3,FALSE))=TRUE," ",VLOOKUP($B233,Summary!$B:$D,3,FALSE))</f>
        <v> </v>
      </c>
      <c r="E233" s="62"/>
      <c r="F233" s="62"/>
      <c r="G233" s="62"/>
      <c r="I233" s="63">
        <f t="shared" si="3"/>
        <v>0</v>
      </c>
      <c r="K233" s="64">
        <f>IF(E233="Support(L1_L2)",IF(NOT(ISBLANK(B233)),IF(NOT(ISBLANK(D233)),NETWORKDAYS('CPY TOC'!$F$5,'CPY TOC'!$G$5))))-L233</f>
        <v>0</v>
      </c>
      <c r="L233" s="64">
        <f>IF(E233="Support(L1_L2)",SUMIFS(Support_allowance_Entries!$G:$G,Support_allowance_Entries!$B:$B,CPY!B233),0)</f>
        <v>0</v>
      </c>
      <c r="M233" s="63" t="b">
        <f>IF($D233="D0",MD!$C$4*(K233),IF($D233="D1",MD!$C$5*(K233),IF($D233="D2",MD!$C$6*(K233),IF($D233="D3",MD!$C$7*(K233),IF($D233="D4",MD!$C$8*(K233),IF($D233="D5",MD!$C$9*(K233),IF($D233="M1",MD!$C$10*(K233),IF($D233="T1",MD!$C$11*(K233)))))))))</f>
        <v>0</v>
      </c>
      <c r="O233" s="65">
        <f>SUMIFS(Shift_allowance_Entries!$G:$G,Shift_allowance_Entries!$F:$F,"6:30AM-03:30PM",Shift_allowance_Entries!$B:$B,CPY!$B233)</f>
        <v>0</v>
      </c>
      <c r="P233" s="65">
        <f>SUMIFS(Shift_allowance_Entries!$G:$G,Shift_allowance_Entries!$F:$F,"1-9PM/2:30PM-11:30PM",Shift_allowance_Entries!$B:$B,CPY!$B233)</f>
        <v>0</v>
      </c>
      <c r="Q233" s="65">
        <f>SUMIFS(Shift_allowance_Entries!$G:$G,Shift_allowance_Entries!$F:$F,"11PM-7AM",Shift_allowance_Entries!$B:$B,CPY!$B233)</f>
        <v>0</v>
      </c>
      <c r="R233" s="63">
        <f>(CPY!O233*MD!$F$4)+(CPY!P233*MD!$F$5)+(CPY!Q233*MD!$F$6)</f>
        <v>0</v>
      </c>
      <c r="T233" s="64">
        <f>ROUNDUP((SUMIFS('OOH Activities'!$K:$K,'OOH Activities'!$F:$F,"Non_workdays",'OOH Activities'!$B:$B,CPY!B233)) *24,1)</f>
        <v>0</v>
      </c>
      <c r="U233" s="64">
        <f>ROUNDUP((SUMIFS('OOH Activities'!$K:$K,'OOH Activities'!$F:$F,"Workdays",'OOH Activities'!$B:$B,CPY!B233)) *24,1)</f>
        <v>0</v>
      </c>
      <c r="V233" s="63">
        <f>ROUNDUP((SUMIFS('OOH Activities'!$L:$L,'OOH Activities'!$B:$B,CPY!B233)),1)</f>
        <v>0</v>
      </c>
      <c r="X233" s="65">
        <f>ROUNDUP((SUMIFS('ON Call_Call Out Activities'!$L:$L,'ON Call_Call Out Activities'!$F:$F,"Workdays",'ON Call_Call Out Activities'!$B:$B,CPY!B233))*24,1)</f>
        <v>0</v>
      </c>
      <c r="Y233" s="64">
        <f>ROUNDUP((SUMIFS('ON Call_Call Out Activities'!$L:$L,'ON Call_Call Out Activities'!$F:$F,"Non_workdays",'ON Call_Call Out Activities'!$B:$B,CPY!B233)) *24,1)</f>
        <v>0</v>
      </c>
      <c r="Z233" s="63">
        <f>ROUNDUP((SUMIFS('ON Call_Call Out Activities'!$M:$M,'ON Call_Call Out Activities'!$F:$F,"Non_workdays",'ON Call_Call Out Activities'!$B:$B,CPY!B233)),1) + ROUNDUP((SUMIFS('ON Call_Call Out Activities'!$M:$M,'ON Call_Call Out Activities'!$F:$F,"Workdays",'ON Call_Call Out Activities'!$B:$B,CPY!B233)),1)</f>
        <v>0</v>
      </c>
      <c r="AA233" s="66"/>
      <c r="AB233" s="64">
        <f>ROUNDUP((SUMIFS('ON Call_Call Out Activities'!$L:$L,'ON Call_Call Out Activities'!$F:$F,"Call_Out",'ON Call_Call Out Activities'!$B:$B,CPY!B233)) *24,1)</f>
        <v>0</v>
      </c>
      <c r="AC233" s="63">
        <f>ROUNDUP((SUMIFS('ON Call_Call Out Activities'!$M:$M,'ON Call_Call Out Activities'!$F:$F,"Call_Out",'ON Call_Call Out Activities'!$B:$B,CPY!B233)),1)</f>
        <v>0</v>
      </c>
      <c r="AE233" s="65">
        <f>IF((SUMIF(Shift_allowance_Entries!$B:$B,CPY!$B233,Shift_allowance_Entries!$H:$H)) &gt; (SUMIF(Shift_allowance_Entries!$B:$B,CPY!$B233,Shift_allowance_Entries!$G:$G)),0,((SUMIF(Shift_allowance_Entries!$B:$B,CPY!$B233,Shift_allowance_Entries!$G:$G))-(SUMIF(Shift_allowance_Entries!$B:$B,CPY!$B233,Shift_allowance_Entries!$H:$H))))</f>
        <v>0</v>
      </c>
      <c r="AF233" s="63">
        <f>AE233*MD!$S$4</f>
        <v>0</v>
      </c>
    </row>
    <row r="234" spans="1:32" x14ac:dyDescent="0.25">
      <c r="A234" s="62">
        <v>232</v>
      </c>
      <c r="B234" s="62"/>
      <c r="C234" s="50" t="str">
        <f>IF(ISNA(VLOOKUP($B234,Summary!$B:$D,2,FALSE))=TRUE," ",VLOOKUP($B234,Summary!$B:$D,2,FALSE))</f>
        <v> </v>
      </c>
      <c r="D234" s="50" t="str">
        <f>IF(ISNA(VLOOKUP($B234,Summary!$B:$D,3,FALSE))=TRUE," ",VLOOKUP($B234,Summary!$B:$D,3,FALSE))</f>
        <v> </v>
      </c>
      <c r="E234" s="62"/>
      <c r="F234" s="62"/>
      <c r="G234" s="62"/>
      <c r="I234" s="63">
        <f t="shared" si="3"/>
        <v>0</v>
      </c>
      <c r="K234" s="64">
        <f>IF(E234="Support(L1_L2)",IF(NOT(ISBLANK(B234)),IF(NOT(ISBLANK(D234)),NETWORKDAYS('CPY TOC'!$F$5,'CPY TOC'!$G$5))))-L234</f>
        <v>0</v>
      </c>
      <c r="L234" s="64">
        <f>IF(E234="Support(L1_L2)",SUMIFS(Support_allowance_Entries!$G:$G,Support_allowance_Entries!$B:$B,CPY!B234),0)</f>
        <v>0</v>
      </c>
      <c r="M234" s="63" t="b">
        <f>IF($D234="D0",MD!$C$4*(K234),IF($D234="D1",MD!$C$5*(K234),IF($D234="D2",MD!$C$6*(K234),IF($D234="D3",MD!$C$7*(K234),IF($D234="D4",MD!$C$8*(K234),IF($D234="D5",MD!$C$9*(K234),IF($D234="M1",MD!$C$10*(K234),IF($D234="T1",MD!$C$11*(K234)))))))))</f>
        <v>0</v>
      </c>
      <c r="O234" s="65">
        <f>SUMIFS(Shift_allowance_Entries!$G:$G,Shift_allowance_Entries!$F:$F,"6:30AM-03:30PM",Shift_allowance_Entries!$B:$B,CPY!$B234)</f>
        <v>0</v>
      </c>
      <c r="P234" s="65">
        <f>SUMIFS(Shift_allowance_Entries!$G:$G,Shift_allowance_Entries!$F:$F,"1-9PM/2:30PM-11:30PM",Shift_allowance_Entries!$B:$B,CPY!$B234)</f>
        <v>0</v>
      </c>
      <c r="Q234" s="65">
        <f>SUMIFS(Shift_allowance_Entries!$G:$G,Shift_allowance_Entries!$F:$F,"11PM-7AM",Shift_allowance_Entries!$B:$B,CPY!$B234)</f>
        <v>0</v>
      </c>
      <c r="R234" s="63">
        <f>(CPY!O234*MD!$F$4)+(CPY!P234*MD!$F$5)+(CPY!Q234*MD!$F$6)</f>
        <v>0</v>
      </c>
      <c r="T234" s="64">
        <f>ROUNDUP((SUMIFS('OOH Activities'!$K:$K,'OOH Activities'!$F:$F,"Non_workdays",'OOH Activities'!$B:$B,CPY!B234)) *24,1)</f>
        <v>0</v>
      </c>
      <c r="U234" s="64">
        <f>ROUNDUP((SUMIFS('OOH Activities'!$K:$K,'OOH Activities'!$F:$F,"Workdays",'OOH Activities'!$B:$B,CPY!B234)) *24,1)</f>
        <v>0</v>
      </c>
      <c r="V234" s="63">
        <f>ROUNDUP((SUMIFS('OOH Activities'!$L:$L,'OOH Activities'!$B:$B,CPY!B234)),1)</f>
        <v>0</v>
      </c>
      <c r="X234" s="65">
        <f>ROUNDUP((SUMIFS('ON Call_Call Out Activities'!$L:$L,'ON Call_Call Out Activities'!$F:$F,"Workdays",'ON Call_Call Out Activities'!$B:$B,CPY!B234))*24,1)</f>
        <v>0</v>
      </c>
      <c r="Y234" s="64">
        <f>ROUNDUP((SUMIFS('ON Call_Call Out Activities'!$L:$L,'ON Call_Call Out Activities'!$F:$F,"Non_workdays",'ON Call_Call Out Activities'!$B:$B,CPY!B234)) *24,1)</f>
        <v>0</v>
      </c>
      <c r="Z234" s="63">
        <f>ROUNDUP((SUMIFS('ON Call_Call Out Activities'!$M:$M,'ON Call_Call Out Activities'!$F:$F,"Non_workdays",'ON Call_Call Out Activities'!$B:$B,CPY!B234)),1) + ROUNDUP((SUMIFS('ON Call_Call Out Activities'!$M:$M,'ON Call_Call Out Activities'!$F:$F,"Workdays",'ON Call_Call Out Activities'!$B:$B,CPY!B234)),1)</f>
        <v>0</v>
      </c>
      <c r="AA234" s="66"/>
      <c r="AB234" s="64">
        <f>ROUNDUP((SUMIFS('ON Call_Call Out Activities'!$L:$L,'ON Call_Call Out Activities'!$F:$F,"Call_Out",'ON Call_Call Out Activities'!$B:$B,CPY!B234)) *24,1)</f>
        <v>0</v>
      </c>
      <c r="AC234" s="63">
        <f>ROUNDUP((SUMIFS('ON Call_Call Out Activities'!$M:$M,'ON Call_Call Out Activities'!$F:$F,"Call_Out",'ON Call_Call Out Activities'!$B:$B,CPY!B234)),1)</f>
        <v>0</v>
      </c>
      <c r="AE234" s="65">
        <f>IF((SUMIF(Shift_allowance_Entries!$B:$B,CPY!$B234,Shift_allowance_Entries!$H:$H)) &gt; (SUMIF(Shift_allowance_Entries!$B:$B,CPY!$B234,Shift_allowance_Entries!$G:$G)),0,((SUMIF(Shift_allowance_Entries!$B:$B,CPY!$B234,Shift_allowance_Entries!$G:$G))-(SUMIF(Shift_allowance_Entries!$B:$B,CPY!$B234,Shift_allowance_Entries!$H:$H))))</f>
        <v>0</v>
      </c>
      <c r="AF234" s="63">
        <f>AE234*MD!$S$4</f>
        <v>0</v>
      </c>
    </row>
    <row r="235" spans="1:32" x14ac:dyDescent="0.25">
      <c r="A235" s="62">
        <v>233</v>
      </c>
      <c r="B235" s="62"/>
      <c r="C235" s="50" t="str">
        <f>IF(ISNA(VLOOKUP($B235,Summary!$B:$D,2,FALSE))=TRUE," ",VLOOKUP($B235,Summary!$B:$D,2,FALSE))</f>
        <v> </v>
      </c>
      <c r="D235" s="50" t="str">
        <f>IF(ISNA(VLOOKUP($B235,Summary!$B:$D,3,FALSE))=TRUE," ",VLOOKUP($B235,Summary!$B:$D,3,FALSE))</f>
        <v> </v>
      </c>
      <c r="E235" s="62"/>
      <c r="F235" s="62"/>
      <c r="G235" s="62"/>
      <c r="I235" s="63">
        <f t="shared" si="3"/>
        <v>0</v>
      </c>
      <c r="K235" s="64">
        <f>IF(E235="Support(L1_L2)",IF(NOT(ISBLANK(B235)),IF(NOT(ISBLANK(D235)),NETWORKDAYS('CPY TOC'!$F$5,'CPY TOC'!$G$5))))-L235</f>
        <v>0</v>
      </c>
      <c r="L235" s="64">
        <f>IF(E235="Support(L1_L2)",SUMIFS(Support_allowance_Entries!$G:$G,Support_allowance_Entries!$B:$B,CPY!B235),0)</f>
        <v>0</v>
      </c>
      <c r="M235" s="63" t="b">
        <f>IF($D235="D0",MD!$C$4*(K235),IF($D235="D1",MD!$C$5*(K235),IF($D235="D2",MD!$C$6*(K235),IF($D235="D3",MD!$C$7*(K235),IF($D235="D4",MD!$C$8*(K235),IF($D235="D5",MD!$C$9*(K235),IF($D235="M1",MD!$C$10*(K235),IF($D235="T1",MD!$C$11*(K235)))))))))</f>
        <v>0</v>
      </c>
      <c r="O235" s="65">
        <f>SUMIFS(Shift_allowance_Entries!$G:$G,Shift_allowance_Entries!$F:$F,"6:30AM-03:30PM",Shift_allowance_Entries!$B:$B,CPY!$B235)</f>
        <v>0</v>
      </c>
      <c r="P235" s="65">
        <f>SUMIFS(Shift_allowance_Entries!$G:$G,Shift_allowance_Entries!$F:$F,"1-9PM/2:30PM-11:30PM",Shift_allowance_Entries!$B:$B,CPY!$B235)</f>
        <v>0</v>
      </c>
      <c r="Q235" s="65">
        <f>SUMIFS(Shift_allowance_Entries!$G:$G,Shift_allowance_Entries!$F:$F,"11PM-7AM",Shift_allowance_Entries!$B:$B,CPY!$B235)</f>
        <v>0</v>
      </c>
      <c r="R235" s="63">
        <f>(CPY!O235*MD!$F$4)+(CPY!P235*MD!$F$5)+(CPY!Q235*MD!$F$6)</f>
        <v>0</v>
      </c>
      <c r="T235" s="64">
        <f>ROUNDUP((SUMIFS('OOH Activities'!$K:$K,'OOH Activities'!$F:$F,"Non_workdays",'OOH Activities'!$B:$B,CPY!B235)) *24,1)</f>
        <v>0</v>
      </c>
      <c r="U235" s="64">
        <f>ROUNDUP((SUMIFS('OOH Activities'!$K:$K,'OOH Activities'!$F:$F,"Workdays",'OOH Activities'!$B:$B,CPY!B235)) *24,1)</f>
        <v>0</v>
      </c>
      <c r="V235" s="63">
        <f>ROUNDUP((SUMIFS('OOH Activities'!$L:$L,'OOH Activities'!$B:$B,CPY!B235)),1)</f>
        <v>0</v>
      </c>
      <c r="X235" s="65">
        <f>ROUNDUP((SUMIFS('ON Call_Call Out Activities'!$L:$L,'ON Call_Call Out Activities'!$F:$F,"Workdays",'ON Call_Call Out Activities'!$B:$B,CPY!B235))*24,1)</f>
        <v>0</v>
      </c>
      <c r="Y235" s="64">
        <f>ROUNDUP((SUMIFS('ON Call_Call Out Activities'!$L:$L,'ON Call_Call Out Activities'!$F:$F,"Non_workdays",'ON Call_Call Out Activities'!$B:$B,CPY!B235)) *24,1)</f>
        <v>0</v>
      </c>
      <c r="Z235" s="63">
        <f>ROUNDUP((SUMIFS('ON Call_Call Out Activities'!$M:$M,'ON Call_Call Out Activities'!$F:$F,"Non_workdays",'ON Call_Call Out Activities'!$B:$B,CPY!B235)),1) + ROUNDUP((SUMIFS('ON Call_Call Out Activities'!$M:$M,'ON Call_Call Out Activities'!$F:$F,"Workdays",'ON Call_Call Out Activities'!$B:$B,CPY!B235)),1)</f>
        <v>0</v>
      </c>
      <c r="AA235" s="66"/>
      <c r="AB235" s="64">
        <f>ROUNDUP((SUMIFS('ON Call_Call Out Activities'!$L:$L,'ON Call_Call Out Activities'!$F:$F,"Call_Out",'ON Call_Call Out Activities'!$B:$B,CPY!B235)) *24,1)</f>
        <v>0</v>
      </c>
      <c r="AC235" s="63">
        <f>ROUNDUP((SUMIFS('ON Call_Call Out Activities'!$M:$M,'ON Call_Call Out Activities'!$F:$F,"Call_Out",'ON Call_Call Out Activities'!$B:$B,CPY!B235)),1)</f>
        <v>0</v>
      </c>
      <c r="AE235" s="65">
        <f>IF((SUMIF(Shift_allowance_Entries!$B:$B,CPY!$B235,Shift_allowance_Entries!$H:$H)) &gt; (SUMIF(Shift_allowance_Entries!$B:$B,CPY!$B235,Shift_allowance_Entries!$G:$G)),0,((SUMIF(Shift_allowance_Entries!$B:$B,CPY!$B235,Shift_allowance_Entries!$G:$G))-(SUMIF(Shift_allowance_Entries!$B:$B,CPY!$B235,Shift_allowance_Entries!$H:$H))))</f>
        <v>0</v>
      </c>
      <c r="AF235" s="63">
        <f>AE235*MD!$S$4</f>
        <v>0</v>
      </c>
    </row>
    <row r="236" spans="1:32" x14ac:dyDescent="0.25">
      <c r="A236" s="62">
        <v>234</v>
      </c>
      <c r="B236" s="62"/>
      <c r="C236" s="50" t="str">
        <f>IF(ISNA(VLOOKUP($B236,Summary!$B:$D,2,FALSE))=TRUE," ",VLOOKUP($B236,Summary!$B:$D,2,FALSE))</f>
        <v> </v>
      </c>
      <c r="D236" s="50" t="str">
        <f>IF(ISNA(VLOOKUP($B236,Summary!$B:$D,3,FALSE))=TRUE," ",VLOOKUP($B236,Summary!$B:$D,3,FALSE))</f>
        <v> </v>
      </c>
      <c r="E236" s="62"/>
      <c r="F236" s="62"/>
      <c r="G236" s="62"/>
      <c r="I236" s="63">
        <f t="shared" si="3"/>
        <v>0</v>
      </c>
      <c r="K236" s="64">
        <f>IF(E236="Support(L1_L2)",IF(NOT(ISBLANK(B236)),IF(NOT(ISBLANK(D236)),NETWORKDAYS('CPY TOC'!$F$5,'CPY TOC'!$G$5))))-L236</f>
        <v>0</v>
      </c>
      <c r="L236" s="64">
        <f>IF(E236="Support(L1_L2)",SUMIFS(Support_allowance_Entries!$G:$G,Support_allowance_Entries!$B:$B,CPY!B236),0)</f>
        <v>0</v>
      </c>
      <c r="M236" s="63" t="b">
        <f>IF($D236="D0",MD!$C$4*(K236),IF($D236="D1",MD!$C$5*(K236),IF($D236="D2",MD!$C$6*(K236),IF($D236="D3",MD!$C$7*(K236),IF($D236="D4",MD!$C$8*(K236),IF($D236="D5",MD!$C$9*(K236),IF($D236="M1",MD!$C$10*(K236),IF($D236="T1",MD!$C$11*(K236)))))))))</f>
        <v>0</v>
      </c>
      <c r="O236" s="65">
        <f>SUMIFS(Shift_allowance_Entries!$G:$G,Shift_allowance_Entries!$F:$F,"6:30AM-03:30PM",Shift_allowance_Entries!$B:$B,CPY!$B236)</f>
        <v>0</v>
      </c>
      <c r="P236" s="65">
        <f>SUMIFS(Shift_allowance_Entries!$G:$G,Shift_allowance_Entries!$F:$F,"1-9PM/2:30PM-11:30PM",Shift_allowance_Entries!$B:$B,CPY!$B236)</f>
        <v>0</v>
      </c>
      <c r="Q236" s="65">
        <f>SUMIFS(Shift_allowance_Entries!$G:$G,Shift_allowance_Entries!$F:$F,"11PM-7AM",Shift_allowance_Entries!$B:$B,CPY!$B236)</f>
        <v>0</v>
      </c>
      <c r="R236" s="63">
        <f>(CPY!O236*MD!$F$4)+(CPY!P236*MD!$F$5)+(CPY!Q236*MD!$F$6)</f>
        <v>0</v>
      </c>
      <c r="T236" s="64">
        <f>ROUNDUP((SUMIFS('OOH Activities'!$K:$K,'OOH Activities'!$F:$F,"Non_workdays",'OOH Activities'!$B:$B,CPY!B236)) *24,1)</f>
        <v>0</v>
      </c>
      <c r="U236" s="64">
        <f>ROUNDUP((SUMIFS('OOH Activities'!$K:$K,'OOH Activities'!$F:$F,"Workdays",'OOH Activities'!$B:$B,CPY!B236)) *24,1)</f>
        <v>0</v>
      </c>
      <c r="V236" s="63">
        <f>ROUNDUP((SUMIFS('OOH Activities'!$L:$L,'OOH Activities'!$B:$B,CPY!B236)),1)</f>
        <v>0</v>
      </c>
      <c r="X236" s="65">
        <f>ROUNDUP((SUMIFS('ON Call_Call Out Activities'!$L:$L,'ON Call_Call Out Activities'!$F:$F,"Workdays",'ON Call_Call Out Activities'!$B:$B,CPY!B236))*24,1)</f>
        <v>0</v>
      </c>
      <c r="Y236" s="64">
        <f>ROUNDUP((SUMIFS('ON Call_Call Out Activities'!$L:$L,'ON Call_Call Out Activities'!$F:$F,"Non_workdays",'ON Call_Call Out Activities'!$B:$B,CPY!B236)) *24,1)</f>
        <v>0</v>
      </c>
      <c r="Z236" s="63">
        <f>ROUNDUP((SUMIFS('ON Call_Call Out Activities'!$M:$M,'ON Call_Call Out Activities'!$F:$F,"Non_workdays",'ON Call_Call Out Activities'!$B:$B,CPY!B236)),1) + ROUNDUP((SUMIFS('ON Call_Call Out Activities'!$M:$M,'ON Call_Call Out Activities'!$F:$F,"Workdays",'ON Call_Call Out Activities'!$B:$B,CPY!B236)),1)</f>
        <v>0</v>
      </c>
      <c r="AA236" s="66"/>
      <c r="AB236" s="64">
        <f>ROUNDUP((SUMIFS('ON Call_Call Out Activities'!$L:$L,'ON Call_Call Out Activities'!$F:$F,"Call_Out",'ON Call_Call Out Activities'!$B:$B,CPY!B236)) *24,1)</f>
        <v>0</v>
      </c>
      <c r="AC236" s="63">
        <f>ROUNDUP((SUMIFS('ON Call_Call Out Activities'!$M:$M,'ON Call_Call Out Activities'!$F:$F,"Call_Out",'ON Call_Call Out Activities'!$B:$B,CPY!B236)),1)</f>
        <v>0</v>
      </c>
      <c r="AE236" s="65">
        <f>IF((SUMIF(Shift_allowance_Entries!$B:$B,CPY!$B236,Shift_allowance_Entries!$H:$H)) &gt; (SUMIF(Shift_allowance_Entries!$B:$B,CPY!$B236,Shift_allowance_Entries!$G:$G)),0,((SUMIF(Shift_allowance_Entries!$B:$B,CPY!$B236,Shift_allowance_Entries!$G:$G))-(SUMIF(Shift_allowance_Entries!$B:$B,CPY!$B236,Shift_allowance_Entries!$H:$H))))</f>
        <v>0</v>
      </c>
      <c r="AF236" s="63">
        <f>AE236*MD!$S$4</f>
        <v>0</v>
      </c>
    </row>
    <row r="237" spans="1:32" x14ac:dyDescent="0.25">
      <c r="A237" s="62">
        <v>235</v>
      </c>
      <c r="B237" s="62"/>
      <c r="C237" s="50" t="str">
        <f>IF(ISNA(VLOOKUP($B237,Summary!$B:$D,2,FALSE))=TRUE," ",VLOOKUP($B237,Summary!$B:$D,2,FALSE))</f>
        <v> </v>
      </c>
      <c r="D237" s="50" t="str">
        <f>IF(ISNA(VLOOKUP($B237,Summary!$B:$D,3,FALSE))=TRUE," ",VLOOKUP($B237,Summary!$B:$D,3,FALSE))</f>
        <v> </v>
      </c>
      <c r="E237" s="62"/>
      <c r="F237" s="62"/>
      <c r="G237" s="62"/>
      <c r="I237" s="63">
        <f t="shared" si="3"/>
        <v>0</v>
      </c>
      <c r="K237" s="64">
        <f>IF(E237="Support(L1_L2)",IF(NOT(ISBLANK(B237)),IF(NOT(ISBLANK(D237)),NETWORKDAYS('CPY TOC'!$F$5,'CPY TOC'!$G$5))))-L237</f>
        <v>0</v>
      </c>
      <c r="L237" s="64">
        <f>IF(E237="Support(L1_L2)",SUMIFS(Support_allowance_Entries!$G:$G,Support_allowance_Entries!$B:$B,CPY!B237),0)</f>
        <v>0</v>
      </c>
      <c r="M237" s="63" t="b">
        <f>IF($D237="D0",MD!$C$4*(K237),IF($D237="D1",MD!$C$5*(K237),IF($D237="D2",MD!$C$6*(K237),IF($D237="D3",MD!$C$7*(K237),IF($D237="D4",MD!$C$8*(K237),IF($D237="D5",MD!$C$9*(K237),IF($D237="M1",MD!$C$10*(K237),IF($D237="T1",MD!$C$11*(K237)))))))))</f>
        <v>0</v>
      </c>
      <c r="O237" s="65">
        <f>SUMIFS(Shift_allowance_Entries!$G:$G,Shift_allowance_Entries!$F:$F,"6:30AM-03:30PM",Shift_allowance_Entries!$B:$B,CPY!$B237)</f>
        <v>0</v>
      </c>
      <c r="P237" s="65">
        <f>SUMIFS(Shift_allowance_Entries!$G:$G,Shift_allowance_Entries!$F:$F,"1-9PM/2:30PM-11:30PM",Shift_allowance_Entries!$B:$B,CPY!$B237)</f>
        <v>0</v>
      </c>
      <c r="Q237" s="65">
        <f>SUMIFS(Shift_allowance_Entries!$G:$G,Shift_allowance_Entries!$F:$F,"11PM-7AM",Shift_allowance_Entries!$B:$B,CPY!$B237)</f>
        <v>0</v>
      </c>
      <c r="R237" s="63">
        <f>(CPY!O237*MD!$F$4)+(CPY!P237*MD!$F$5)+(CPY!Q237*MD!$F$6)</f>
        <v>0</v>
      </c>
      <c r="T237" s="64">
        <f>ROUNDUP((SUMIFS('OOH Activities'!$K:$K,'OOH Activities'!$F:$F,"Non_workdays",'OOH Activities'!$B:$B,CPY!B237)) *24,1)</f>
        <v>0</v>
      </c>
      <c r="U237" s="64">
        <f>ROUNDUP((SUMIFS('OOH Activities'!$K:$K,'OOH Activities'!$F:$F,"Workdays",'OOH Activities'!$B:$B,CPY!B237)) *24,1)</f>
        <v>0</v>
      </c>
      <c r="V237" s="63">
        <f>ROUNDUP((SUMIFS('OOH Activities'!$L:$L,'OOH Activities'!$B:$B,CPY!B237)),1)</f>
        <v>0</v>
      </c>
      <c r="X237" s="65">
        <f>ROUNDUP((SUMIFS('ON Call_Call Out Activities'!$L:$L,'ON Call_Call Out Activities'!$F:$F,"Workdays",'ON Call_Call Out Activities'!$B:$B,CPY!B237))*24,1)</f>
        <v>0</v>
      </c>
      <c r="Y237" s="64">
        <f>ROUNDUP((SUMIFS('ON Call_Call Out Activities'!$L:$L,'ON Call_Call Out Activities'!$F:$F,"Non_workdays",'ON Call_Call Out Activities'!$B:$B,CPY!B237)) *24,1)</f>
        <v>0</v>
      </c>
      <c r="Z237" s="63">
        <f>ROUNDUP((SUMIFS('ON Call_Call Out Activities'!$M:$M,'ON Call_Call Out Activities'!$F:$F,"Non_workdays",'ON Call_Call Out Activities'!$B:$B,CPY!B237)),1) + ROUNDUP((SUMIFS('ON Call_Call Out Activities'!$M:$M,'ON Call_Call Out Activities'!$F:$F,"Workdays",'ON Call_Call Out Activities'!$B:$B,CPY!B237)),1)</f>
        <v>0</v>
      </c>
      <c r="AA237" s="66"/>
      <c r="AB237" s="64">
        <f>ROUNDUP((SUMIFS('ON Call_Call Out Activities'!$L:$L,'ON Call_Call Out Activities'!$F:$F,"Call_Out",'ON Call_Call Out Activities'!$B:$B,CPY!B237)) *24,1)</f>
        <v>0</v>
      </c>
      <c r="AC237" s="63">
        <f>ROUNDUP((SUMIFS('ON Call_Call Out Activities'!$M:$M,'ON Call_Call Out Activities'!$F:$F,"Call_Out",'ON Call_Call Out Activities'!$B:$B,CPY!B237)),1)</f>
        <v>0</v>
      </c>
      <c r="AE237" s="65">
        <f>IF((SUMIF(Shift_allowance_Entries!$B:$B,CPY!$B237,Shift_allowance_Entries!$H:$H)) &gt; (SUMIF(Shift_allowance_Entries!$B:$B,CPY!$B237,Shift_allowance_Entries!$G:$G)),0,((SUMIF(Shift_allowance_Entries!$B:$B,CPY!$B237,Shift_allowance_Entries!$G:$G))-(SUMIF(Shift_allowance_Entries!$B:$B,CPY!$B237,Shift_allowance_Entries!$H:$H))))</f>
        <v>0</v>
      </c>
      <c r="AF237" s="63">
        <f>AE237*MD!$S$4</f>
        <v>0</v>
      </c>
    </row>
    <row r="238" spans="1:32" x14ac:dyDescent="0.25">
      <c r="A238" s="62">
        <v>236</v>
      </c>
      <c r="B238" s="62"/>
      <c r="C238" s="50" t="str">
        <f>IF(ISNA(VLOOKUP($B238,Summary!$B:$D,2,FALSE))=TRUE," ",VLOOKUP($B238,Summary!$B:$D,2,FALSE))</f>
        <v> </v>
      </c>
      <c r="D238" s="50" t="str">
        <f>IF(ISNA(VLOOKUP($B238,Summary!$B:$D,3,FALSE))=TRUE," ",VLOOKUP($B238,Summary!$B:$D,3,FALSE))</f>
        <v> </v>
      </c>
      <c r="E238" s="62"/>
      <c r="F238" s="62"/>
      <c r="G238" s="62"/>
      <c r="I238" s="63">
        <f t="shared" si="3"/>
        <v>0</v>
      </c>
      <c r="K238" s="64">
        <f>IF(E238="Support(L1_L2)",IF(NOT(ISBLANK(B238)),IF(NOT(ISBLANK(D238)),NETWORKDAYS('CPY TOC'!$F$5,'CPY TOC'!$G$5))))-L238</f>
        <v>0</v>
      </c>
      <c r="L238" s="64">
        <f>IF(E238="Support(L1_L2)",SUMIFS(Support_allowance_Entries!$G:$G,Support_allowance_Entries!$B:$B,CPY!B238),0)</f>
        <v>0</v>
      </c>
      <c r="M238" s="63" t="b">
        <f>IF($D238="D0",MD!$C$4*(K238),IF($D238="D1",MD!$C$5*(K238),IF($D238="D2",MD!$C$6*(K238),IF($D238="D3",MD!$C$7*(K238),IF($D238="D4",MD!$C$8*(K238),IF($D238="D5",MD!$C$9*(K238),IF($D238="M1",MD!$C$10*(K238),IF($D238="T1",MD!$C$11*(K238)))))))))</f>
        <v>0</v>
      </c>
      <c r="O238" s="65">
        <f>SUMIFS(Shift_allowance_Entries!$G:$G,Shift_allowance_Entries!$F:$F,"6:30AM-03:30PM",Shift_allowance_Entries!$B:$B,CPY!$B238)</f>
        <v>0</v>
      </c>
      <c r="P238" s="65">
        <f>SUMIFS(Shift_allowance_Entries!$G:$G,Shift_allowance_Entries!$F:$F,"1-9PM/2:30PM-11:30PM",Shift_allowance_Entries!$B:$B,CPY!$B238)</f>
        <v>0</v>
      </c>
      <c r="Q238" s="65">
        <f>SUMIFS(Shift_allowance_Entries!$G:$G,Shift_allowance_Entries!$F:$F,"11PM-7AM",Shift_allowance_Entries!$B:$B,CPY!$B238)</f>
        <v>0</v>
      </c>
      <c r="R238" s="63">
        <f>(CPY!O238*MD!$F$4)+(CPY!P238*MD!$F$5)+(CPY!Q238*MD!$F$6)</f>
        <v>0</v>
      </c>
      <c r="T238" s="64">
        <f>ROUNDUP((SUMIFS('OOH Activities'!$K:$K,'OOH Activities'!$F:$F,"Non_workdays",'OOH Activities'!$B:$B,CPY!B238)) *24,1)</f>
        <v>0</v>
      </c>
      <c r="U238" s="64">
        <f>ROUNDUP((SUMIFS('OOH Activities'!$K:$K,'OOH Activities'!$F:$F,"Workdays",'OOH Activities'!$B:$B,CPY!B238)) *24,1)</f>
        <v>0</v>
      </c>
      <c r="V238" s="63">
        <f>ROUNDUP((SUMIFS('OOH Activities'!$L:$L,'OOH Activities'!$B:$B,CPY!B238)),1)</f>
        <v>0</v>
      </c>
      <c r="X238" s="65">
        <f>ROUNDUP((SUMIFS('ON Call_Call Out Activities'!$L:$L,'ON Call_Call Out Activities'!$F:$F,"Workdays",'ON Call_Call Out Activities'!$B:$B,CPY!B238))*24,1)</f>
        <v>0</v>
      </c>
      <c r="Y238" s="64">
        <f>ROUNDUP((SUMIFS('ON Call_Call Out Activities'!$L:$L,'ON Call_Call Out Activities'!$F:$F,"Non_workdays",'ON Call_Call Out Activities'!$B:$B,CPY!B238)) *24,1)</f>
        <v>0</v>
      </c>
      <c r="Z238" s="63">
        <f>ROUNDUP((SUMIFS('ON Call_Call Out Activities'!$M:$M,'ON Call_Call Out Activities'!$F:$F,"Non_workdays",'ON Call_Call Out Activities'!$B:$B,CPY!B238)),1) + ROUNDUP((SUMIFS('ON Call_Call Out Activities'!$M:$M,'ON Call_Call Out Activities'!$F:$F,"Workdays",'ON Call_Call Out Activities'!$B:$B,CPY!B238)),1)</f>
        <v>0</v>
      </c>
      <c r="AA238" s="66"/>
      <c r="AB238" s="64">
        <f>ROUNDUP((SUMIFS('ON Call_Call Out Activities'!$L:$L,'ON Call_Call Out Activities'!$F:$F,"Call_Out",'ON Call_Call Out Activities'!$B:$B,CPY!B238)) *24,1)</f>
        <v>0</v>
      </c>
      <c r="AC238" s="63">
        <f>ROUNDUP((SUMIFS('ON Call_Call Out Activities'!$M:$M,'ON Call_Call Out Activities'!$F:$F,"Call_Out",'ON Call_Call Out Activities'!$B:$B,CPY!B238)),1)</f>
        <v>0</v>
      </c>
      <c r="AE238" s="65">
        <f>IF((SUMIF(Shift_allowance_Entries!$B:$B,CPY!$B238,Shift_allowance_Entries!$H:$H)) &gt; (SUMIF(Shift_allowance_Entries!$B:$B,CPY!$B238,Shift_allowance_Entries!$G:$G)),0,((SUMIF(Shift_allowance_Entries!$B:$B,CPY!$B238,Shift_allowance_Entries!$G:$G))-(SUMIF(Shift_allowance_Entries!$B:$B,CPY!$B238,Shift_allowance_Entries!$H:$H))))</f>
        <v>0</v>
      </c>
      <c r="AF238" s="63">
        <f>AE238*MD!$S$4</f>
        <v>0</v>
      </c>
    </row>
    <row r="239" spans="1:32" x14ac:dyDescent="0.25">
      <c r="A239" s="62">
        <v>237</v>
      </c>
      <c r="B239" s="62"/>
      <c r="C239" s="50" t="str">
        <f>IF(ISNA(VLOOKUP($B239,Summary!$B:$D,2,FALSE))=TRUE," ",VLOOKUP($B239,Summary!$B:$D,2,FALSE))</f>
        <v> </v>
      </c>
      <c r="D239" s="50" t="str">
        <f>IF(ISNA(VLOOKUP($B239,Summary!$B:$D,3,FALSE))=TRUE," ",VLOOKUP($B239,Summary!$B:$D,3,FALSE))</f>
        <v> </v>
      </c>
      <c r="E239" s="62"/>
      <c r="F239" s="62"/>
      <c r="G239" s="62"/>
      <c r="I239" s="63">
        <f t="shared" si="3"/>
        <v>0</v>
      </c>
      <c r="K239" s="64">
        <f>IF(E239="Support(L1_L2)",IF(NOT(ISBLANK(B239)),IF(NOT(ISBLANK(D239)),NETWORKDAYS('CPY TOC'!$F$5,'CPY TOC'!$G$5))))-L239</f>
        <v>0</v>
      </c>
      <c r="L239" s="64">
        <f>IF(E239="Support(L1_L2)",SUMIFS(Support_allowance_Entries!$G:$G,Support_allowance_Entries!$B:$B,CPY!B239),0)</f>
        <v>0</v>
      </c>
      <c r="M239" s="63" t="b">
        <f>IF($D239="D0",MD!$C$4*(K239),IF($D239="D1",MD!$C$5*(K239),IF($D239="D2",MD!$C$6*(K239),IF($D239="D3",MD!$C$7*(K239),IF($D239="D4",MD!$C$8*(K239),IF($D239="D5",MD!$C$9*(K239),IF($D239="M1",MD!$C$10*(K239),IF($D239="T1",MD!$C$11*(K239)))))))))</f>
        <v>0</v>
      </c>
      <c r="O239" s="65">
        <f>SUMIFS(Shift_allowance_Entries!$G:$G,Shift_allowance_Entries!$F:$F,"6:30AM-03:30PM",Shift_allowance_Entries!$B:$B,CPY!$B239)</f>
        <v>0</v>
      </c>
      <c r="P239" s="65">
        <f>SUMIFS(Shift_allowance_Entries!$G:$G,Shift_allowance_Entries!$F:$F,"1-9PM/2:30PM-11:30PM",Shift_allowance_Entries!$B:$B,CPY!$B239)</f>
        <v>0</v>
      </c>
      <c r="Q239" s="65">
        <f>SUMIFS(Shift_allowance_Entries!$G:$G,Shift_allowance_Entries!$F:$F,"11PM-7AM",Shift_allowance_Entries!$B:$B,CPY!$B239)</f>
        <v>0</v>
      </c>
      <c r="R239" s="63">
        <f>(CPY!O239*MD!$F$4)+(CPY!P239*MD!$F$5)+(CPY!Q239*MD!$F$6)</f>
        <v>0</v>
      </c>
      <c r="T239" s="64">
        <f>ROUNDUP((SUMIFS('OOH Activities'!$K:$K,'OOH Activities'!$F:$F,"Non_workdays",'OOH Activities'!$B:$B,CPY!B239)) *24,1)</f>
        <v>0</v>
      </c>
      <c r="U239" s="64">
        <f>ROUNDUP((SUMIFS('OOH Activities'!$K:$K,'OOH Activities'!$F:$F,"Workdays",'OOH Activities'!$B:$B,CPY!B239)) *24,1)</f>
        <v>0</v>
      </c>
      <c r="V239" s="63">
        <f>ROUNDUP((SUMIFS('OOH Activities'!$L:$L,'OOH Activities'!$B:$B,CPY!B239)),1)</f>
        <v>0</v>
      </c>
      <c r="X239" s="65">
        <f>ROUNDUP((SUMIFS('ON Call_Call Out Activities'!$L:$L,'ON Call_Call Out Activities'!$F:$F,"Workdays",'ON Call_Call Out Activities'!$B:$B,CPY!B239))*24,1)</f>
        <v>0</v>
      </c>
      <c r="Y239" s="64">
        <f>ROUNDUP((SUMIFS('ON Call_Call Out Activities'!$L:$L,'ON Call_Call Out Activities'!$F:$F,"Non_workdays",'ON Call_Call Out Activities'!$B:$B,CPY!B239)) *24,1)</f>
        <v>0</v>
      </c>
      <c r="Z239" s="63">
        <f>ROUNDUP((SUMIFS('ON Call_Call Out Activities'!$M:$M,'ON Call_Call Out Activities'!$F:$F,"Non_workdays",'ON Call_Call Out Activities'!$B:$B,CPY!B239)),1) + ROUNDUP((SUMIFS('ON Call_Call Out Activities'!$M:$M,'ON Call_Call Out Activities'!$F:$F,"Workdays",'ON Call_Call Out Activities'!$B:$B,CPY!B239)),1)</f>
        <v>0</v>
      </c>
      <c r="AA239" s="66"/>
      <c r="AB239" s="64">
        <f>ROUNDUP((SUMIFS('ON Call_Call Out Activities'!$L:$L,'ON Call_Call Out Activities'!$F:$F,"Call_Out",'ON Call_Call Out Activities'!$B:$B,CPY!B239)) *24,1)</f>
        <v>0</v>
      </c>
      <c r="AC239" s="63">
        <f>ROUNDUP((SUMIFS('ON Call_Call Out Activities'!$M:$M,'ON Call_Call Out Activities'!$F:$F,"Call_Out",'ON Call_Call Out Activities'!$B:$B,CPY!B239)),1)</f>
        <v>0</v>
      </c>
      <c r="AE239" s="65">
        <f>IF((SUMIF(Shift_allowance_Entries!$B:$B,CPY!$B239,Shift_allowance_Entries!$H:$H)) &gt; (SUMIF(Shift_allowance_Entries!$B:$B,CPY!$B239,Shift_allowance_Entries!$G:$G)),0,((SUMIF(Shift_allowance_Entries!$B:$B,CPY!$B239,Shift_allowance_Entries!$G:$G))-(SUMIF(Shift_allowance_Entries!$B:$B,CPY!$B239,Shift_allowance_Entries!$H:$H))))</f>
        <v>0</v>
      </c>
      <c r="AF239" s="63">
        <f>AE239*MD!$S$4</f>
        <v>0</v>
      </c>
    </row>
    <row r="240" spans="1:32" x14ac:dyDescent="0.25">
      <c r="A240" s="62">
        <v>238</v>
      </c>
      <c r="B240" s="62"/>
      <c r="C240" s="50" t="str">
        <f>IF(ISNA(VLOOKUP($B240,Summary!$B:$D,2,FALSE))=TRUE," ",VLOOKUP($B240,Summary!$B:$D,2,FALSE))</f>
        <v> </v>
      </c>
      <c r="D240" s="50" t="str">
        <f>IF(ISNA(VLOOKUP($B240,Summary!$B:$D,3,FALSE))=TRUE," ",VLOOKUP($B240,Summary!$B:$D,3,FALSE))</f>
        <v> </v>
      </c>
      <c r="E240" s="62"/>
      <c r="F240" s="62"/>
      <c r="G240" s="62"/>
      <c r="I240" s="63">
        <f t="shared" si="3"/>
        <v>0</v>
      </c>
      <c r="K240" s="64">
        <f>IF(E240="Support(L1_L2)",IF(NOT(ISBLANK(B240)),IF(NOT(ISBLANK(D240)),NETWORKDAYS('CPY TOC'!$F$5,'CPY TOC'!$G$5))))-L240</f>
        <v>0</v>
      </c>
      <c r="L240" s="64">
        <f>IF(E240="Support(L1_L2)",SUMIFS(Support_allowance_Entries!$G:$G,Support_allowance_Entries!$B:$B,CPY!B240),0)</f>
        <v>0</v>
      </c>
      <c r="M240" s="63" t="b">
        <f>IF($D240="D0",MD!$C$4*(K240),IF($D240="D1",MD!$C$5*(K240),IF($D240="D2",MD!$C$6*(K240),IF($D240="D3",MD!$C$7*(K240),IF($D240="D4",MD!$C$8*(K240),IF($D240="D5",MD!$C$9*(K240),IF($D240="M1",MD!$C$10*(K240),IF($D240="T1",MD!$C$11*(K240)))))))))</f>
        <v>0</v>
      </c>
      <c r="O240" s="65">
        <f>SUMIFS(Shift_allowance_Entries!$G:$G,Shift_allowance_Entries!$F:$F,"6:30AM-03:30PM",Shift_allowance_Entries!$B:$B,CPY!$B240)</f>
        <v>0</v>
      </c>
      <c r="P240" s="65">
        <f>SUMIFS(Shift_allowance_Entries!$G:$G,Shift_allowance_Entries!$F:$F,"1-9PM/2:30PM-11:30PM",Shift_allowance_Entries!$B:$B,CPY!$B240)</f>
        <v>0</v>
      </c>
      <c r="Q240" s="65">
        <f>SUMIFS(Shift_allowance_Entries!$G:$G,Shift_allowance_Entries!$F:$F,"11PM-7AM",Shift_allowance_Entries!$B:$B,CPY!$B240)</f>
        <v>0</v>
      </c>
      <c r="R240" s="63">
        <f>(CPY!O240*MD!$F$4)+(CPY!P240*MD!$F$5)+(CPY!Q240*MD!$F$6)</f>
        <v>0</v>
      </c>
      <c r="T240" s="64">
        <f>ROUNDUP((SUMIFS('OOH Activities'!$K:$K,'OOH Activities'!$F:$F,"Non_workdays",'OOH Activities'!$B:$B,CPY!B240)) *24,1)</f>
        <v>0</v>
      </c>
      <c r="U240" s="64">
        <f>ROUNDUP((SUMIFS('OOH Activities'!$K:$K,'OOH Activities'!$F:$F,"Workdays",'OOH Activities'!$B:$B,CPY!B240)) *24,1)</f>
        <v>0</v>
      </c>
      <c r="V240" s="63">
        <f>ROUNDUP((SUMIFS('OOH Activities'!$L:$L,'OOH Activities'!$B:$B,CPY!B240)),1)</f>
        <v>0</v>
      </c>
      <c r="X240" s="65">
        <f>ROUNDUP((SUMIFS('ON Call_Call Out Activities'!$L:$L,'ON Call_Call Out Activities'!$F:$F,"Workdays",'ON Call_Call Out Activities'!$B:$B,CPY!B240))*24,1)</f>
        <v>0</v>
      </c>
      <c r="Y240" s="64">
        <f>ROUNDUP((SUMIFS('ON Call_Call Out Activities'!$L:$L,'ON Call_Call Out Activities'!$F:$F,"Non_workdays",'ON Call_Call Out Activities'!$B:$B,CPY!B240)) *24,1)</f>
        <v>0</v>
      </c>
      <c r="Z240" s="63">
        <f>ROUNDUP((SUMIFS('ON Call_Call Out Activities'!$M:$M,'ON Call_Call Out Activities'!$F:$F,"Non_workdays",'ON Call_Call Out Activities'!$B:$B,CPY!B240)),1) + ROUNDUP((SUMIFS('ON Call_Call Out Activities'!$M:$M,'ON Call_Call Out Activities'!$F:$F,"Workdays",'ON Call_Call Out Activities'!$B:$B,CPY!B240)),1)</f>
        <v>0</v>
      </c>
      <c r="AA240" s="66"/>
      <c r="AB240" s="64">
        <f>ROUNDUP((SUMIFS('ON Call_Call Out Activities'!$L:$L,'ON Call_Call Out Activities'!$F:$F,"Call_Out",'ON Call_Call Out Activities'!$B:$B,CPY!B240)) *24,1)</f>
        <v>0</v>
      </c>
      <c r="AC240" s="63">
        <f>ROUNDUP((SUMIFS('ON Call_Call Out Activities'!$M:$M,'ON Call_Call Out Activities'!$F:$F,"Call_Out",'ON Call_Call Out Activities'!$B:$B,CPY!B240)),1)</f>
        <v>0</v>
      </c>
      <c r="AE240" s="65">
        <f>IF((SUMIF(Shift_allowance_Entries!$B:$B,CPY!$B240,Shift_allowance_Entries!$H:$H)) &gt; (SUMIF(Shift_allowance_Entries!$B:$B,CPY!$B240,Shift_allowance_Entries!$G:$G)),0,((SUMIF(Shift_allowance_Entries!$B:$B,CPY!$B240,Shift_allowance_Entries!$G:$G))-(SUMIF(Shift_allowance_Entries!$B:$B,CPY!$B240,Shift_allowance_Entries!$H:$H))))</f>
        <v>0</v>
      </c>
      <c r="AF240" s="63">
        <f>AE240*MD!$S$4</f>
        <v>0</v>
      </c>
    </row>
    <row r="241" spans="1:32" x14ac:dyDescent="0.25">
      <c r="A241" s="62">
        <v>239</v>
      </c>
      <c r="B241" s="62"/>
      <c r="C241" s="50" t="str">
        <f>IF(ISNA(VLOOKUP($B241,Summary!$B:$D,2,FALSE))=TRUE," ",VLOOKUP($B241,Summary!$B:$D,2,FALSE))</f>
        <v> </v>
      </c>
      <c r="D241" s="50" t="str">
        <f>IF(ISNA(VLOOKUP($B241,Summary!$B:$D,3,FALSE))=TRUE," ",VLOOKUP($B241,Summary!$B:$D,3,FALSE))</f>
        <v> </v>
      </c>
      <c r="E241" s="62"/>
      <c r="F241" s="62"/>
      <c r="G241" s="62"/>
      <c r="I241" s="63">
        <f t="shared" si="3"/>
        <v>0</v>
      </c>
      <c r="K241" s="64">
        <f>IF(E241="Support(L1_L2)",IF(NOT(ISBLANK(B241)),IF(NOT(ISBLANK(D241)),NETWORKDAYS('CPY TOC'!$F$5,'CPY TOC'!$G$5))))-L241</f>
        <v>0</v>
      </c>
      <c r="L241" s="64">
        <f>IF(E241="Support(L1_L2)",SUMIFS(Support_allowance_Entries!$G:$G,Support_allowance_Entries!$B:$B,CPY!B241),0)</f>
        <v>0</v>
      </c>
      <c r="M241" s="63" t="b">
        <f>IF($D241="D0",MD!$C$4*(K241),IF($D241="D1",MD!$C$5*(K241),IF($D241="D2",MD!$C$6*(K241),IF($D241="D3",MD!$C$7*(K241),IF($D241="D4",MD!$C$8*(K241),IF($D241="D5",MD!$C$9*(K241),IF($D241="M1",MD!$C$10*(K241),IF($D241="T1",MD!$C$11*(K241)))))))))</f>
        <v>0</v>
      </c>
      <c r="O241" s="65">
        <f>SUMIFS(Shift_allowance_Entries!$G:$G,Shift_allowance_Entries!$F:$F,"6:30AM-03:30PM",Shift_allowance_Entries!$B:$B,CPY!$B241)</f>
        <v>0</v>
      </c>
      <c r="P241" s="65">
        <f>SUMIFS(Shift_allowance_Entries!$G:$G,Shift_allowance_Entries!$F:$F,"1-9PM/2:30PM-11:30PM",Shift_allowance_Entries!$B:$B,CPY!$B241)</f>
        <v>0</v>
      </c>
      <c r="Q241" s="65">
        <f>SUMIFS(Shift_allowance_Entries!$G:$G,Shift_allowance_Entries!$F:$F,"11PM-7AM",Shift_allowance_Entries!$B:$B,CPY!$B241)</f>
        <v>0</v>
      </c>
      <c r="R241" s="63">
        <f>(CPY!O241*MD!$F$4)+(CPY!P241*MD!$F$5)+(CPY!Q241*MD!$F$6)</f>
        <v>0</v>
      </c>
      <c r="T241" s="64">
        <f>ROUNDUP((SUMIFS('OOH Activities'!$K:$K,'OOH Activities'!$F:$F,"Non_workdays",'OOH Activities'!$B:$B,CPY!B241)) *24,1)</f>
        <v>0</v>
      </c>
      <c r="U241" s="64">
        <f>ROUNDUP((SUMIFS('OOH Activities'!$K:$K,'OOH Activities'!$F:$F,"Workdays",'OOH Activities'!$B:$B,CPY!B241)) *24,1)</f>
        <v>0</v>
      </c>
      <c r="V241" s="63">
        <f>ROUNDUP((SUMIFS('OOH Activities'!$L:$L,'OOH Activities'!$B:$B,CPY!B241)),1)</f>
        <v>0</v>
      </c>
      <c r="X241" s="65">
        <f>ROUNDUP((SUMIFS('ON Call_Call Out Activities'!$L:$L,'ON Call_Call Out Activities'!$F:$F,"Workdays",'ON Call_Call Out Activities'!$B:$B,CPY!B241))*24,1)</f>
        <v>0</v>
      </c>
      <c r="Y241" s="64">
        <f>ROUNDUP((SUMIFS('ON Call_Call Out Activities'!$L:$L,'ON Call_Call Out Activities'!$F:$F,"Non_workdays",'ON Call_Call Out Activities'!$B:$B,CPY!B241)) *24,1)</f>
        <v>0</v>
      </c>
      <c r="Z241" s="63">
        <f>ROUNDUP((SUMIFS('ON Call_Call Out Activities'!$M:$M,'ON Call_Call Out Activities'!$F:$F,"Non_workdays",'ON Call_Call Out Activities'!$B:$B,CPY!B241)),1) + ROUNDUP((SUMIFS('ON Call_Call Out Activities'!$M:$M,'ON Call_Call Out Activities'!$F:$F,"Workdays",'ON Call_Call Out Activities'!$B:$B,CPY!B241)),1)</f>
        <v>0</v>
      </c>
      <c r="AA241" s="66"/>
      <c r="AB241" s="64">
        <f>ROUNDUP((SUMIFS('ON Call_Call Out Activities'!$L:$L,'ON Call_Call Out Activities'!$F:$F,"Call_Out",'ON Call_Call Out Activities'!$B:$B,CPY!B241)) *24,1)</f>
        <v>0</v>
      </c>
      <c r="AC241" s="63">
        <f>ROUNDUP((SUMIFS('ON Call_Call Out Activities'!$M:$M,'ON Call_Call Out Activities'!$F:$F,"Call_Out",'ON Call_Call Out Activities'!$B:$B,CPY!B241)),1)</f>
        <v>0</v>
      </c>
      <c r="AE241" s="65">
        <f>IF((SUMIF(Shift_allowance_Entries!$B:$B,CPY!$B241,Shift_allowance_Entries!$H:$H)) &gt; (SUMIF(Shift_allowance_Entries!$B:$B,CPY!$B241,Shift_allowance_Entries!$G:$G)),0,((SUMIF(Shift_allowance_Entries!$B:$B,CPY!$B241,Shift_allowance_Entries!$G:$G))-(SUMIF(Shift_allowance_Entries!$B:$B,CPY!$B241,Shift_allowance_Entries!$H:$H))))</f>
        <v>0</v>
      </c>
      <c r="AF241" s="63">
        <f>AE241*MD!$S$4</f>
        <v>0</v>
      </c>
    </row>
    <row r="242" spans="1:32" x14ac:dyDescent="0.25">
      <c r="A242" s="62">
        <v>240</v>
      </c>
      <c r="B242" s="62"/>
      <c r="C242" s="50" t="str">
        <f>IF(ISNA(VLOOKUP($B242,Summary!$B:$D,2,FALSE))=TRUE," ",VLOOKUP($B242,Summary!$B:$D,2,FALSE))</f>
        <v> </v>
      </c>
      <c r="D242" s="50" t="str">
        <f>IF(ISNA(VLOOKUP($B242,Summary!$B:$D,3,FALSE))=TRUE," ",VLOOKUP($B242,Summary!$B:$D,3,FALSE))</f>
        <v> </v>
      </c>
      <c r="E242" s="62"/>
      <c r="F242" s="62"/>
      <c r="G242" s="62"/>
      <c r="I242" s="63">
        <f t="shared" si="3"/>
        <v>0</v>
      </c>
      <c r="K242" s="64">
        <f>IF(E242="Support(L1_L2)",IF(NOT(ISBLANK(B242)),IF(NOT(ISBLANK(D242)),NETWORKDAYS('CPY TOC'!$F$5,'CPY TOC'!$G$5))))-L242</f>
        <v>0</v>
      </c>
      <c r="L242" s="64">
        <f>IF(E242="Support(L1_L2)",SUMIFS(Support_allowance_Entries!$G:$G,Support_allowance_Entries!$B:$B,CPY!B242),0)</f>
        <v>0</v>
      </c>
      <c r="M242" s="63" t="b">
        <f>IF($D242="D0",MD!$C$4*(K242),IF($D242="D1",MD!$C$5*(K242),IF($D242="D2",MD!$C$6*(K242),IF($D242="D3",MD!$C$7*(K242),IF($D242="D4",MD!$C$8*(K242),IF($D242="D5",MD!$C$9*(K242),IF($D242="M1",MD!$C$10*(K242),IF($D242="T1",MD!$C$11*(K242)))))))))</f>
        <v>0</v>
      </c>
      <c r="O242" s="65">
        <f>SUMIFS(Shift_allowance_Entries!$G:$G,Shift_allowance_Entries!$F:$F,"6:30AM-03:30PM",Shift_allowance_Entries!$B:$B,CPY!$B242)</f>
        <v>0</v>
      </c>
      <c r="P242" s="65">
        <f>SUMIFS(Shift_allowance_Entries!$G:$G,Shift_allowance_Entries!$F:$F,"1-9PM/2:30PM-11:30PM",Shift_allowance_Entries!$B:$B,CPY!$B242)</f>
        <v>0</v>
      </c>
      <c r="Q242" s="65">
        <f>SUMIFS(Shift_allowance_Entries!$G:$G,Shift_allowance_Entries!$F:$F,"11PM-7AM",Shift_allowance_Entries!$B:$B,CPY!$B242)</f>
        <v>0</v>
      </c>
      <c r="R242" s="63">
        <f>(CPY!O242*MD!$F$4)+(CPY!P242*MD!$F$5)+(CPY!Q242*MD!$F$6)</f>
        <v>0</v>
      </c>
      <c r="T242" s="64">
        <f>ROUNDUP((SUMIFS('OOH Activities'!$K:$K,'OOH Activities'!$F:$F,"Non_workdays",'OOH Activities'!$B:$B,CPY!B242)) *24,1)</f>
        <v>0</v>
      </c>
      <c r="U242" s="64">
        <f>ROUNDUP((SUMIFS('OOH Activities'!$K:$K,'OOH Activities'!$F:$F,"Workdays",'OOH Activities'!$B:$B,CPY!B242)) *24,1)</f>
        <v>0</v>
      </c>
      <c r="V242" s="63">
        <f>ROUNDUP((SUMIFS('OOH Activities'!$L:$L,'OOH Activities'!$B:$B,CPY!B242)),1)</f>
        <v>0</v>
      </c>
      <c r="X242" s="65">
        <f>ROUNDUP((SUMIFS('ON Call_Call Out Activities'!$L:$L,'ON Call_Call Out Activities'!$F:$F,"Workdays",'ON Call_Call Out Activities'!$B:$B,CPY!B242))*24,1)</f>
        <v>0</v>
      </c>
      <c r="Y242" s="64">
        <f>ROUNDUP((SUMIFS('ON Call_Call Out Activities'!$L:$L,'ON Call_Call Out Activities'!$F:$F,"Non_workdays",'ON Call_Call Out Activities'!$B:$B,CPY!B242)) *24,1)</f>
        <v>0</v>
      </c>
      <c r="Z242" s="63">
        <f>ROUNDUP((SUMIFS('ON Call_Call Out Activities'!$M:$M,'ON Call_Call Out Activities'!$F:$F,"Non_workdays",'ON Call_Call Out Activities'!$B:$B,CPY!B242)),1) + ROUNDUP((SUMIFS('ON Call_Call Out Activities'!$M:$M,'ON Call_Call Out Activities'!$F:$F,"Workdays",'ON Call_Call Out Activities'!$B:$B,CPY!B242)),1)</f>
        <v>0</v>
      </c>
      <c r="AA242" s="66"/>
      <c r="AB242" s="64">
        <f>ROUNDUP((SUMIFS('ON Call_Call Out Activities'!$L:$L,'ON Call_Call Out Activities'!$F:$F,"Call_Out",'ON Call_Call Out Activities'!$B:$B,CPY!B242)) *24,1)</f>
        <v>0</v>
      </c>
      <c r="AC242" s="63">
        <f>ROUNDUP((SUMIFS('ON Call_Call Out Activities'!$M:$M,'ON Call_Call Out Activities'!$F:$F,"Call_Out",'ON Call_Call Out Activities'!$B:$B,CPY!B242)),1)</f>
        <v>0</v>
      </c>
      <c r="AE242" s="65">
        <f>IF((SUMIF(Shift_allowance_Entries!$B:$B,CPY!$B242,Shift_allowance_Entries!$H:$H)) &gt; (SUMIF(Shift_allowance_Entries!$B:$B,CPY!$B242,Shift_allowance_Entries!$G:$G)),0,((SUMIF(Shift_allowance_Entries!$B:$B,CPY!$B242,Shift_allowance_Entries!$G:$G))-(SUMIF(Shift_allowance_Entries!$B:$B,CPY!$B242,Shift_allowance_Entries!$H:$H))))</f>
        <v>0</v>
      </c>
      <c r="AF242" s="63">
        <f>AE242*MD!$S$4</f>
        <v>0</v>
      </c>
    </row>
    <row r="243" spans="1:32" x14ac:dyDescent="0.25">
      <c r="A243" s="62">
        <v>241</v>
      </c>
      <c r="B243" s="62"/>
      <c r="C243" s="50" t="str">
        <f>IF(ISNA(VLOOKUP($B243,Summary!$B:$D,2,FALSE))=TRUE," ",VLOOKUP($B243,Summary!$B:$D,2,FALSE))</f>
        <v> </v>
      </c>
      <c r="D243" s="50" t="str">
        <f>IF(ISNA(VLOOKUP($B243,Summary!$B:$D,3,FALSE))=TRUE," ",VLOOKUP($B243,Summary!$B:$D,3,FALSE))</f>
        <v> </v>
      </c>
      <c r="E243" s="62"/>
      <c r="F243" s="62"/>
      <c r="G243" s="62"/>
      <c r="I243" s="63">
        <f t="shared" si="3"/>
        <v>0</v>
      </c>
      <c r="K243" s="64">
        <f>IF(E243="Support(L1_L2)",IF(NOT(ISBLANK(B243)),IF(NOT(ISBLANK(D243)),NETWORKDAYS('CPY TOC'!$F$5,'CPY TOC'!$G$5))))-L243</f>
        <v>0</v>
      </c>
      <c r="L243" s="64">
        <f>IF(E243="Support(L1_L2)",SUMIFS(Support_allowance_Entries!$G:$G,Support_allowance_Entries!$B:$B,CPY!B243),0)</f>
        <v>0</v>
      </c>
      <c r="M243" s="63" t="b">
        <f>IF($D243="D0",MD!$C$4*(K243),IF($D243="D1",MD!$C$5*(K243),IF($D243="D2",MD!$C$6*(K243),IF($D243="D3",MD!$C$7*(K243),IF($D243="D4",MD!$C$8*(K243),IF($D243="D5",MD!$C$9*(K243),IF($D243="M1",MD!$C$10*(K243),IF($D243="T1",MD!$C$11*(K243)))))))))</f>
        <v>0</v>
      </c>
      <c r="O243" s="65">
        <f>SUMIFS(Shift_allowance_Entries!$G:$G,Shift_allowance_Entries!$F:$F,"6:30AM-03:30PM",Shift_allowance_Entries!$B:$B,CPY!$B243)</f>
        <v>0</v>
      </c>
      <c r="P243" s="65">
        <f>SUMIFS(Shift_allowance_Entries!$G:$G,Shift_allowance_Entries!$F:$F,"1-9PM/2:30PM-11:30PM",Shift_allowance_Entries!$B:$B,CPY!$B243)</f>
        <v>0</v>
      </c>
      <c r="Q243" s="65">
        <f>SUMIFS(Shift_allowance_Entries!$G:$G,Shift_allowance_Entries!$F:$F,"11PM-7AM",Shift_allowance_Entries!$B:$B,CPY!$B243)</f>
        <v>0</v>
      </c>
      <c r="R243" s="63">
        <f>(CPY!O243*MD!$F$4)+(CPY!P243*MD!$F$5)+(CPY!Q243*MD!$F$6)</f>
        <v>0</v>
      </c>
      <c r="T243" s="64">
        <f>ROUNDUP((SUMIFS('OOH Activities'!$K:$K,'OOH Activities'!$F:$F,"Non_workdays",'OOH Activities'!$B:$B,CPY!B243)) *24,1)</f>
        <v>0</v>
      </c>
      <c r="U243" s="64">
        <f>ROUNDUP((SUMIFS('OOH Activities'!$K:$K,'OOH Activities'!$F:$F,"Workdays",'OOH Activities'!$B:$B,CPY!B243)) *24,1)</f>
        <v>0</v>
      </c>
      <c r="V243" s="63">
        <f>ROUNDUP((SUMIFS('OOH Activities'!$L:$L,'OOH Activities'!$B:$B,CPY!B243)),1)</f>
        <v>0</v>
      </c>
      <c r="X243" s="65">
        <f>ROUNDUP((SUMIFS('ON Call_Call Out Activities'!$L:$L,'ON Call_Call Out Activities'!$F:$F,"Workdays",'ON Call_Call Out Activities'!$B:$B,CPY!B243))*24,1)</f>
        <v>0</v>
      </c>
      <c r="Y243" s="64">
        <f>ROUNDUP((SUMIFS('ON Call_Call Out Activities'!$L:$L,'ON Call_Call Out Activities'!$F:$F,"Non_workdays",'ON Call_Call Out Activities'!$B:$B,CPY!B243)) *24,1)</f>
        <v>0</v>
      </c>
      <c r="Z243" s="63">
        <f>ROUNDUP((SUMIFS('ON Call_Call Out Activities'!$M:$M,'ON Call_Call Out Activities'!$F:$F,"Non_workdays",'ON Call_Call Out Activities'!$B:$B,CPY!B243)),1) + ROUNDUP((SUMIFS('ON Call_Call Out Activities'!$M:$M,'ON Call_Call Out Activities'!$F:$F,"Workdays",'ON Call_Call Out Activities'!$B:$B,CPY!B243)),1)</f>
        <v>0</v>
      </c>
      <c r="AA243" s="66"/>
      <c r="AB243" s="64">
        <f>ROUNDUP((SUMIFS('ON Call_Call Out Activities'!$L:$L,'ON Call_Call Out Activities'!$F:$F,"Call_Out",'ON Call_Call Out Activities'!$B:$B,CPY!B243)) *24,1)</f>
        <v>0</v>
      </c>
      <c r="AC243" s="63">
        <f>ROUNDUP((SUMIFS('ON Call_Call Out Activities'!$M:$M,'ON Call_Call Out Activities'!$F:$F,"Call_Out",'ON Call_Call Out Activities'!$B:$B,CPY!B243)),1)</f>
        <v>0</v>
      </c>
      <c r="AE243" s="65">
        <f>IF((SUMIF(Shift_allowance_Entries!$B:$B,CPY!$B243,Shift_allowance_Entries!$H:$H)) &gt; (SUMIF(Shift_allowance_Entries!$B:$B,CPY!$B243,Shift_allowance_Entries!$G:$G)),0,((SUMIF(Shift_allowance_Entries!$B:$B,CPY!$B243,Shift_allowance_Entries!$G:$G))-(SUMIF(Shift_allowance_Entries!$B:$B,CPY!$B243,Shift_allowance_Entries!$H:$H))))</f>
        <v>0</v>
      </c>
      <c r="AF243" s="63">
        <f>AE243*MD!$S$4</f>
        <v>0</v>
      </c>
    </row>
    <row r="244" spans="1:32" x14ac:dyDescent="0.25">
      <c r="A244" s="62">
        <v>242</v>
      </c>
      <c r="B244" s="62"/>
      <c r="C244" s="50" t="str">
        <f>IF(ISNA(VLOOKUP($B244,Summary!$B:$D,2,FALSE))=TRUE," ",VLOOKUP($B244,Summary!$B:$D,2,FALSE))</f>
        <v> </v>
      </c>
      <c r="D244" s="50" t="str">
        <f>IF(ISNA(VLOOKUP($B244,Summary!$B:$D,3,FALSE))=TRUE," ",VLOOKUP($B244,Summary!$B:$D,3,FALSE))</f>
        <v> </v>
      </c>
      <c r="E244" s="62"/>
      <c r="F244" s="62"/>
      <c r="G244" s="62"/>
      <c r="I244" s="63">
        <f t="shared" si="3"/>
        <v>0</v>
      </c>
      <c r="K244" s="64">
        <f>IF(E244="Support(L1_L2)",IF(NOT(ISBLANK(B244)),IF(NOT(ISBLANK(D244)),NETWORKDAYS('CPY TOC'!$F$5,'CPY TOC'!$G$5))))-L244</f>
        <v>0</v>
      </c>
      <c r="L244" s="64">
        <f>IF(E244="Support(L1_L2)",SUMIFS(Support_allowance_Entries!$G:$G,Support_allowance_Entries!$B:$B,CPY!B244),0)</f>
        <v>0</v>
      </c>
      <c r="M244" s="63" t="b">
        <f>IF($D244="D0",MD!$C$4*(K244),IF($D244="D1",MD!$C$5*(K244),IF($D244="D2",MD!$C$6*(K244),IF($D244="D3",MD!$C$7*(K244),IF($D244="D4",MD!$C$8*(K244),IF($D244="D5",MD!$C$9*(K244),IF($D244="M1",MD!$C$10*(K244),IF($D244="T1",MD!$C$11*(K244)))))))))</f>
        <v>0</v>
      </c>
      <c r="O244" s="65">
        <f>SUMIFS(Shift_allowance_Entries!$G:$G,Shift_allowance_Entries!$F:$F,"6:30AM-03:30PM",Shift_allowance_Entries!$B:$B,CPY!$B244)</f>
        <v>0</v>
      </c>
      <c r="P244" s="65">
        <f>SUMIFS(Shift_allowance_Entries!$G:$G,Shift_allowance_Entries!$F:$F,"1-9PM/2:30PM-11:30PM",Shift_allowance_Entries!$B:$B,CPY!$B244)</f>
        <v>0</v>
      </c>
      <c r="Q244" s="65">
        <f>SUMIFS(Shift_allowance_Entries!$G:$G,Shift_allowance_Entries!$F:$F,"11PM-7AM",Shift_allowance_Entries!$B:$B,CPY!$B244)</f>
        <v>0</v>
      </c>
      <c r="R244" s="63">
        <f>(CPY!O244*MD!$F$4)+(CPY!P244*MD!$F$5)+(CPY!Q244*MD!$F$6)</f>
        <v>0</v>
      </c>
      <c r="T244" s="64">
        <f>ROUNDUP((SUMIFS('OOH Activities'!$K:$K,'OOH Activities'!$F:$F,"Non_workdays",'OOH Activities'!$B:$B,CPY!B244)) *24,1)</f>
        <v>0</v>
      </c>
      <c r="U244" s="64">
        <f>ROUNDUP((SUMIFS('OOH Activities'!$K:$K,'OOH Activities'!$F:$F,"Workdays",'OOH Activities'!$B:$B,CPY!B244)) *24,1)</f>
        <v>0</v>
      </c>
      <c r="V244" s="63">
        <f>ROUNDUP((SUMIFS('OOH Activities'!$L:$L,'OOH Activities'!$B:$B,CPY!B244)),1)</f>
        <v>0</v>
      </c>
      <c r="X244" s="65">
        <f>ROUNDUP((SUMIFS('ON Call_Call Out Activities'!$L:$L,'ON Call_Call Out Activities'!$F:$F,"Workdays",'ON Call_Call Out Activities'!$B:$B,CPY!B244))*24,1)</f>
        <v>0</v>
      </c>
      <c r="Y244" s="64">
        <f>ROUNDUP((SUMIFS('ON Call_Call Out Activities'!$L:$L,'ON Call_Call Out Activities'!$F:$F,"Non_workdays",'ON Call_Call Out Activities'!$B:$B,CPY!B244)) *24,1)</f>
        <v>0</v>
      </c>
      <c r="Z244" s="63">
        <f>ROUNDUP((SUMIFS('ON Call_Call Out Activities'!$M:$M,'ON Call_Call Out Activities'!$F:$F,"Non_workdays",'ON Call_Call Out Activities'!$B:$B,CPY!B244)),1) + ROUNDUP((SUMIFS('ON Call_Call Out Activities'!$M:$M,'ON Call_Call Out Activities'!$F:$F,"Workdays",'ON Call_Call Out Activities'!$B:$B,CPY!B244)),1)</f>
        <v>0</v>
      </c>
      <c r="AA244" s="66"/>
      <c r="AB244" s="64">
        <f>ROUNDUP((SUMIFS('ON Call_Call Out Activities'!$L:$L,'ON Call_Call Out Activities'!$F:$F,"Call_Out",'ON Call_Call Out Activities'!$B:$B,CPY!B244)) *24,1)</f>
        <v>0</v>
      </c>
      <c r="AC244" s="63">
        <f>ROUNDUP((SUMIFS('ON Call_Call Out Activities'!$M:$M,'ON Call_Call Out Activities'!$F:$F,"Call_Out",'ON Call_Call Out Activities'!$B:$B,CPY!B244)),1)</f>
        <v>0</v>
      </c>
      <c r="AE244" s="65">
        <f>IF((SUMIF(Shift_allowance_Entries!$B:$B,CPY!$B244,Shift_allowance_Entries!$H:$H)) &gt; (SUMIF(Shift_allowance_Entries!$B:$B,CPY!$B244,Shift_allowance_Entries!$G:$G)),0,((SUMIF(Shift_allowance_Entries!$B:$B,CPY!$B244,Shift_allowance_Entries!$G:$G))-(SUMIF(Shift_allowance_Entries!$B:$B,CPY!$B244,Shift_allowance_Entries!$H:$H))))</f>
        <v>0</v>
      </c>
      <c r="AF244" s="63">
        <f>AE244*MD!$S$4</f>
        <v>0</v>
      </c>
    </row>
    <row r="245" spans="1:32" x14ac:dyDescent="0.25">
      <c r="A245" s="62">
        <v>243</v>
      </c>
      <c r="B245" s="62"/>
      <c r="C245" s="50" t="str">
        <f>IF(ISNA(VLOOKUP($B245,Summary!$B:$D,2,FALSE))=TRUE," ",VLOOKUP($B245,Summary!$B:$D,2,FALSE))</f>
        <v> </v>
      </c>
      <c r="D245" s="50" t="str">
        <f>IF(ISNA(VLOOKUP($B245,Summary!$B:$D,3,FALSE))=TRUE," ",VLOOKUP($B245,Summary!$B:$D,3,FALSE))</f>
        <v> </v>
      </c>
      <c r="E245" s="62"/>
      <c r="F245" s="62"/>
      <c r="G245" s="62"/>
      <c r="I245" s="63">
        <f t="shared" si="3"/>
        <v>0</v>
      </c>
      <c r="K245" s="64">
        <f>IF(E245="Support(L1_L2)",IF(NOT(ISBLANK(B245)),IF(NOT(ISBLANK(D245)),NETWORKDAYS('CPY TOC'!$F$5,'CPY TOC'!$G$5))))-L245</f>
        <v>0</v>
      </c>
      <c r="L245" s="64">
        <f>IF(E245="Support(L1_L2)",SUMIFS(Support_allowance_Entries!$G:$G,Support_allowance_Entries!$B:$B,CPY!B245),0)</f>
        <v>0</v>
      </c>
      <c r="M245" s="63" t="b">
        <f>IF($D245="D0",MD!$C$4*(K245),IF($D245="D1",MD!$C$5*(K245),IF($D245="D2",MD!$C$6*(K245),IF($D245="D3",MD!$C$7*(K245),IF($D245="D4",MD!$C$8*(K245),IF($D245="D5",MD!$C$9*(K245),IF($D245="M1",MD!$C$10*(K245),IF($D245="T1",MD!$C$11*(K245)))))))))</f>
        <v>0</v>
      </c>
      <c r="O245" s="65">
        <f>SUMIFS(Shift_allowance_Entries!$G:$G,Shift_allowance_Entries!$F:$F,"6:30AM-03:30PM",Shift_allowance_Entries!$B:$B,CPY!$B245)</f>
        <v>0</v>
      </c>
      <c r="P245" s="65">
        <f>SUMIFS(Shift_allowance_Entries!$G:$G,Shift_allowance_Entries!$F:$F,"1-9PM/2:30PM-11:30PM",Shift_allowance_Entries!$B:$B,CPY!$B245)</f>
        <v>0</v>
      </c>
      <c r="Q245" s="65">
        <f>SUMIFS(Shift_allowance_Entries!$G:$G,Shift_allowance_Entries!$F:$F,"11PM-7AM",Shift_allowance_Entries!$B:$B,CPY!$B245)</f>
        <v>0</v>
      </c>
      <c r="R245" s="63">
        <f>(CPY!O245*MD!$F$4)+(CPY!P245*MD!$F$5)+(CPY!Q245*MD!$F$6)</f>
        <v>0</v>
      </c>
      <c r="T245" s="64">
        <f>ROUNDUP((SUMIFS('OOH Activities'!$K:$K,'OOH Activities'!$F:$F,"Non_workdays",'OOH Activities'!$B:$B,CPY!B245)) *24,1)</f>
        <v>0</v>
      </c>
      <c r="U245" s="64">
        <f>ROUNDUP((SUMIFS('OOH Activities'!$K:$K,'OOH Activities'!$F:$F,"Workdays",'OOH Activities'!$B:$B,CPY!B245)) *24,1)</f>
        <v>0</v>
      </c>
      <c r="V245" s="63">
        <f>ROUNDUP((SUMIFS('OOH Activities'!$L:$L,'OOH Activities'!$B:$B,CPY!B245)),1)</f>
        <v>0</v>
      </c>
      <c r="X245" s="65">
        <f>ROUNDUP((SUMIFS('ON Call_Call Out Activities'!$L:$L,'ON Call_Call Out Activities'!$F:$F,"Workdays",'ON Call_Call Out Activities'!$B:$B,CPY!B245))*24,1)</f>
        <v>0</v>
      </c>
      <c r="Y245" s="64">
        <f>ROUNDUP((SUMIFS('ON Call_Call Out Activities'!$L:$L,'ON Call_Call Out Activities'!$F:$F,"Non_workdays",'ON Call_Call Out Activities'!$B:$B,CPY!B245)) *24,1)</f>
        <v>0</v>
      </c>
      <c r="Z245" s="63">
        <f>ROUNDUP((SUMIFS('ON Call_Call Out Activities'!$M:$M,'ON Call_Call Out Activities'!$F:$F,"Non_workdays",'ON Call_Call Out Activities'!$B:$B,CPY!B245)),1) + ROUNDUP((SUMIFS('ON Call_Call Out Activities'!$M:$M,'ON Call_Call Out Activities'!$F:$F,"Workdays",'ON Call_Call Out Activities'!$B:$B,CPY!B245)),1)</f>
        <v>0</v>
      </c>
      <c r="AA245" s="66"/>
      <c r="AB245" s="64">
        <f>ROUNDUP((SUMIFS('ON Call_Call Out Activities'!$L:$L,'ON Call_Call Out Activities'!$F:$F,"Call_Out",'ON Call_Call Out Activities'!$B:$B,CPY!B245)) *24,1)</f>
        <v>0</v>
      </c>
      <c r="AC245" s="63">
        <f>ROUNDUP((SUMIFS('ON Call_Call Out Activities'!$M:$M,'ON Call_Call Out Activities'!$F:$F,"Call_Out",'ON Call_Call Out Activities'!$B:$B,CPY!B245)),1)</f>
        <v>0</v>
      </c>
      <c r="AE245" s="65">
        <f>IF((SUMIF(Shift_allowance_Entries!$B:$B,CPY!$B245,Shift_allowance_Entries!$H:$H)) &gt; (SUMIF(Shift_allowance_Entries!$B:$B,CPY!$B245,Shift_allowance_Entries!$G:$G)),0,((SUMIF(Shift_allowance_Entries!$B:$B,CPY!$B245,Shift_allowance_Entries!$G:$G))-(SUMIF(Shift_allowance_Entries!$B:$B,CPY!$B245,Shift_allowance_Entries!$H:$H))))</f>
        <v>0</v>
      </c>
      <c r="AF245" s="63">
        <f>AE245*MD!$S$4</f>
        <v>0</v>
      </c>
    </row>
    <row r="246" spans="1:32" x14ac:dyDescent="0.25">
      <c r="A246" s="62">
        <v>244</v>
      </c>
      <c r="B246" s="62"/>
      <c r="C246" s="50" t="str">
        <f>IF(ISNA(VLOOKUP($B246,Summary!$B:$D,2,FALSE))=TRUE," ",VLOOKUP($B246,Summary!$B:$D,2,FALSE))</f>
        <v> </v>
      </c>
      <c r="D246" s="50" t="str">
        <f>IF(ISNA(VLOOKUP($B246,Summary!$B:$D,3,FALSE))=TRUE," ",VLOOKUP($B246,Summary!$B:$D,3,FALSE))</f>
        <v> </v>
      </c>
      <c r="E246" s="62"/>
      <c r="F246" s="62"/>
      <c r="G246" s="62"/>
      <c r="I246" s="63">
        <f t="shared" si="3"/>
        <v>0</v>
      </c>
      <c r="K246" s="64">
        <f>IF(E246="Support(L1_L2)",IF(NOT(ISBLANK(B246)),IF(NOT(ISBLANK(D246)),NETWORKDAYS('CPY TOC'!$F$5,'CPY TOC'!$G$5))))-L246</f>
        <v>0</v>
      </c>
      <c r="L246" s="64">
        <f>IF(E246="Support(L1_L2)",SUMIFS(Support_allowance_Entries!$G:$G,Support_allowance_Entries!$B:$B,CPY!B246),0)</f>
        <v>0</v>
      </c>
      <c r="M246" s="63" t="b">
        <f>IF($D246="D0",MD!$C$4*(K246),IF($D246="D1",MD!$C$5*(K246),IF($D246="D2",MD!$C$6*(K246),IF($D246="D3",MD!$C$7*(K246),IF($D246="D4",MD!$C$8*(K246),IF($D246="D5",MD!$C$9*(K246),IF($D246="M1",MD!$C$10*(K246),IF($D246="T1",MD!$C$11*(K246)))))))))</f>
        <v>0</v>
      </c>
      <c r="O246" s="65">
        <f>SUMIFS(Shift_allowance_Entries!$G:$G,Shift_allowance_Entries!$F:$F,"6:30AM-03:30PM",Shift_allowance_Entries!$B:$B,CPY!$B246)</f>
        <v>0</v>
      </c>
      <c r="P246" s="65">
        <f>SUMIFS(Shift_allowance_Entries!$G:$G,Shift_allowance_Entries!$F:$F,"1-9PM/2:30PM-11:30PM",Shift_allowance_Entries!$B:$B,CPY!$B246)</f>
        <v>0</v>
      </c>
      <c r="Q246" s="65">
        <f>SUMIFS(Shift_allowance_Entries!$G:$G,Shift_allowance_Entries!$F:$F,"11PM-7AM",Shift_allowance_Entries!$B:$B,CPY!$B246)</f>
        <v>0</v>
      </c>
      <c r="R246" s="63">
        <f>(CPY!O246*MD!$F$4)+(CPY!P246*MD!$F$5)+(CPY!Q246*MD!$F$6)</f>
        <v>0</v>
      </c>
      <c r="T246" s="64">
        <f>ROUNDUP((SUMIFS('OOH Activities'!$K:$K,'OOH Activities'!$F:$F,"Non_workdays",'OOH Activities'!$B:$B,CPY!B246)) *24,1)</f>
        <v>0</v>
      </c>
      <c r="U246" s="64">
        <f>ROUNDUP((SUMIFS('OOH Activities'!$K:$K,'OOH Activities'!$F:$F,"Workdays",'OOH Activities'!$B:$B,CPY!B246)) *24,1)</f>
        <v>0</v>
      </c>
      <c r="V246" s="63">
        <f>ROUNDUP((SUMIFS('OOH Activities'!$L:$L,'OOH Activities'!$B:$B,CPY!B246)),1)</f>
        <v>0</v>
      </c>
      <c r="X246" s="65">
        <f>ROUNDUP((SUMIFS('ON Call_Call Out Activities'!$L:$L,'ON Call_Call Out Activities'!$F:$F,"Workdays",'ON Call_Call Out Activities'!$B:$B,CPY!B246))*24,1)</f>
        <v>0</v>
      </c>
      <c r="Y246" s="64">
        <f>ROUNDUP((SUMIFS('ON Call_Call Out Activities'!$L:$L,'ON Call_Call Out Activities'!$F:$F,"Non_workdays",'ON Call_Call Out Activities'!$B:$B,CPY!B246)) *24,1)</f>
        <v>0</v>
      </c>
      <c r="Z246" s="63">
        <f>ROUNDUP((SUMIFS('ON Call_Call Out Activities'!$M:$M,'ON Call_Call Out Activities'!$F:$F,"Non_workdays",'ON Call_Call Out Activities'!$B:$B,CPY!B246)),1) + ROUNDUP((SUMIFS('ON Call_Call Out Activities'!$M:$M,'ON Call_Call Out Activities'!$F:$F,"Workdays",'ON Call_Call Out Activities'!$B:$B,CPY!B246)),1)</f>
        <v>0</v>
      </c>
      <c r="AA246" s="66"/>
      <c r="AB246" s="64">
        <f>ROUNDUP((SUMIFS('ON Call_Call Out Activities'!$L:$L,'ON Call_Call Out Activities'!$F:$F,"Call_Out",'ON Call_Call Out Activities'!$B:$B,CPY!B246)) *24,1)</f>
        <v>0</v>
      </c>
      <c r="AC246" s="63">
        <f>ROUNDUP((SUMIFS('ON Call_Call Out Activities'!$M:$M,'ON Call_Call Out Activities'!$F:$F,"Call_Out",'ON Call_Call Out Activities'!$B:$B,CPY!B246)),1)</f>
        <v>0</v>
      </c>
      <c r="AE246" s="65">
        <f>IF((SUMIF(Shift_allowance_Entries!$B:$B,CPY!$B246,Shift_allowance_Entries!$H:$H)) &gt; (SUMIF(Shift_allowance_Entries!$B:$B,CPY!$B246,Shift_allowance_Entries!$G:$G)),0,((SUMIF(Shift_allowance_Entries!$B:$B,CPY!$B246,Shift_allowance_Entries!$G:$G))-(SUMIF(Shift_allowance_Entries!$B:$B,CPY!$B246,Shift_allowance_Entries!$H:$H))))</f>
        <v>0</v>
      </c>
      <c r="AF246" s="63">
        <f>AE246*MD!$S$4</f>
        <v>0</v>
      </c>
    </row>
    <row r="247" spans="1:32" x14ac:dyDescent="0.25">
      <c r="A247" s="62">
        <v>245</v>
      </c>
      <c r="B247" s="62"/>
      <c r="C247" s="50" t="str">
        <f>IF(ISNA(VLOOKUP($B247,Summary!$B:$D,2,FALSE))=TRUE," ",VLOOKUP($B247,Summary!$B:$D,2,FALSE))</f>
        <v> </v>
      </c>
      <c r="D247" s="50" t="str">
        <f>IF(ISNA(VLOOKUP($B247,Summary!$B:$D,3,FALSE))=TRUE," ",VLOOKUP($B247,Summary!$B:$D,3,FALSE))</f>
        <v> </v>
      </c>
      <c r="E247" s="62"/>
      <c r="F247" s="62"/>
      <c r="G247" s="62"/>
      <c r="I247" s="63">
        <f t="shared" si="3"/>
        <v>0</v>
      </c>
      <c r="K247" s="64">
        <f>IF(E247="Support(L1_L2)",IF(NOT(ISBLANK(B247)),IF(NOT(ISBLANK(D247)),NETWORKDAYS('CPY TOC'!$F$5,'CPY TOC'!$G$5))))-L247</f>
        <v>0</v>
      </c>
      <c r="L247" s="64">
        <f>IF(E247="Support(L1_L2)",SUMIFS(Support_allowance_Entries!$G:$G,Support_allowance_Entries!$B:$B,CPY!B247),0)</f>
        <v>0</v>
      </c>
      <c r="M247" s="63" t="b">
        <f>IF($D247="D0",MD!$C$4*(K247),IF($D247="D1",MD!$C$5*(K247),IF($D247="D2",MD!$C$6*(K247),IF($D247="D3",MD!$C$7*(K247),IF($D247="D4",MD!$C$8*(K247),IF($D247="D5",MD!$C$9*(K247),IF($D247="M1",MD!$C$10*(K247),IF($D247="T1",MD!$C$11*(K247)))))))))</f>
        <v>0</v>
      </c>
      <c r="O247" s="65">
        <f>SUMIFS(Shift_allowance_Entries!$G:$G,Shift_allowance_Entries!$F:$F,"6:30AM-03:30PM",Shift_allowance_Entries!$B:$B,CPY!$B247)</f>
        <v>0</v>
      </c>
      <c r="P247" s="65">
        <f>SUMIFS(Shift_allowance_Entries!$G:$G,Shift_allowance_Entries!$F:$F,"1-9PM/2:30PM-11:30PM",Shift_allowance_Entries!$B:$B,CPY!$B247)</f>
        <v>0</v>
      </c>
      <c r="Q247" s="65">
        <f>SUMIFS(Shift_allowance_Entries!$G:$G,Shift_allowance_Entries!$F:$F,"11PM-7AM",Shift_allowance_Entries!$B:$B,CPY!$B247)</f>
        <v>0</v>
      </c>
      <c r="R247" s="63">
        <f>(CPY!O247*MD!$F$4)+(CPY!P247*MD!$F$5)+(CPY!Q247*MD!$F$6)</f>
        <v>0</v>
      </c>
      <c r="T247" s="64">
        <f>ROUNDUP((SUMIFS('OOH Activities'!$K:$K,'OOH Activities'!$F:$F,"Non_workdays",'OOH Activities'!$B:$B,CPY!B247)) *24,1)</f>
        <v>0</v>
      </c>
      <c r="U247" s="64">
        <f>ROUNDUP((SUMIFS('OOH Activities'!$K:$K,'OOH Activities'!$F:$F,"Workdays",'OOH Activities'!$B:$B,CPY!B247)) *24,1)</f>
        <v>0</v>
      </c>
      <c r="V247" s="63">
        <f>ROUNDUP((SUMIFS('OOH Activities'!$L:$L,'OOH Activities'!$B:$B,CPY!B247)),1)</f>
        <v>0</v>
      </c>
      <c r="X247" s="65">
        <f>ROUNDUP((SUMIFS('ON Call_Call Out Activities'!$L:$L,'ON Call_Call Out Activities'!$F:$F,"Workdays",'ON Call_Call Out Activities'!$B:$B,CPY!B247))*24,1)</f>
        <v>0</v>
      </c>
      <c r="Y247" s="64">
        <f>ROUNDUP((SUMIFS('ON Call_Call Out Activities'!$L:$L,'ON Call_Call Out Activities'!$F:$F,"Non_workdays",'ON Call_Call Out Activities'!$B:$B,CPY!B247)) *24,1)</f>
        <v>0</v>
      </c>
      <c r="Z247" s="63">
        <f>ROUNDUP((SUMIFS('ON Call_Call Out Activities'!$M:$M,'ON Call_Call Out Activities'!$F:$F,"Non_workdays",'ON Call_Call Out Activities'!$B:$B,CPY!B247)),1) + ROUNDUP((SUMIFS('ON Call_Call Out Activities'!$M:$M,'ON Call_Call Out Activities'!$F:$F,"Workdays",'ON Call_Call Out Activities'!$B:$B,CPY!B247)),1)</f>
        <v>0</v>
      </c>
      <c r="AA247" s="66"/>
      <c r="AB247" s="64">
        <f>ROUNDUP((SUMIFS('ON Call_Call Out Activities'!$L:$L,'ON Call_Call Out Activities'!$F:$F,"Call_Out",'ON Call_Call Out Activities'!$B:$B,CPY!B247)) *24,1)</f>
        <v>0</v>
      </c>
      <c r="AC247" s="63">
        <f>ROUNDUP((SUMIFS('ON Call_Call Out Activities'!$M:$M,'ON Call_Call Out Activities'!$F:$F,"Call_Out",'ON Call_Call Out Activities'!$B:$B,CPY!B247)),1)</f>
        <v>0</v>
      </c>
      <c r="AE247" s="65">
        <f>IF((SUMIF(Shift_allowance_Entries!$B:$B,CPY!$B247,Shift_allowance_Entries!$H:$H)) &gt; (SUMIF(Shift_allowance_Entries!$B:$B,CPY!$B247,Shift_allowance_Entries!$G:$G)),0,((SUMIF(Shift_allowance_Entries!$B:$B,CPY!$B247,Shift_allowance_Entries!$G:$G))-(SUMIF(Shift_allowance_Entries!$B:$B,CPY!$B247,Shift_allowance_Entries!$H:$H))))</f>
        <v>0</v>
      </c>
      <c r="AF247" s="63">
        <f>AE247*MD!$S$4</f>
        <v>0</v>
      </c>
    </row>
    <row r="248" spans="1:32" x14ac:dyDescent="0.25">
      <c r="A248" s="62">
        <v>246</v>
      </c>
      <c r="B248" s="62"/>
      <c r="C248" s="50" t="str">
        <f>IF(ISNA(VLOOKUP($B248,Summary!$B:$D,2,FALSE))=TRUE," ",VLOOKUP($B248,Summary!$B:$D,2,FALSE))</f>
        <v> </v>
      </c>
      <c r="D248" s="50" t="str">
        <f>IF(ISNA(VLOOKUP($B248,Summary!$B:$D,3,FALSE))=TRUE," ",VLOOKUP($B248,Summary!$B:$D,3,FALSE))</f>
        <v> </v>
      </c>
      <c r="E248" s="62"/>
      <c r="F248" s="62"/>
      <c r="G248" s="62"/>
      <c r="I248" s="63">
        <f t="shared" si="3"/>
        <v>0</v>
      </c>
      <c r="K248" s="64">
        <f>IF(E248="Support(L1_L2)",IF(NOT(ISBLANK(B248)),IF(NOT(ISBLANK(D248)),NETWORKDAYS('CPY TOC'!$F$5,'CPY TOC'!$G$5))))-L248</f>
        <v>0</v>
      </c>
      <c r="L248" s="64">
        <f>IF(E248="Support(L1_L2)",SUMIFS(Support_allowance_Entries!$G:$G,Support_allowance_Entries!$B:$B,CPY!B248),0)</f>
        <v>0</v>
      </c>
      <c r="M248" s="63" t="b">
        <f>IF($D248="D0",MD!$C$4*(K248),IF($D248="D1",MD!$C$5*(K248),IF($D248="D2",MD!$C$6*(K248),IF($D248="D3",MD!$C$7*(K248),IF($D248="D4",MD!$C$8*(K248),IF($D248="D5",MD!$C$9*(K248),IF($D248="M1",MD!$C$10*(K248),IF($D248="T1",MD!$C$11*(K248)))))))))</f>
        <v>0</v>
      </c>
      <c r="O248" s="65">
        <f>SUMIFS(Shift_allowance_Entries!$G:$G,Shift_allowance_Entries!$F:$F,"6:30AM-03:30PM",Shift_allowance_Entries!$B:$B,CPY!$B248)</f>
        <v>0</v>
      </c>
      <c r="P248" s="65">
        <f>SUMIFS(Shift_allowance_Entries!$G:$G,Shift_allowance_Entries!$F:$F,"1-9PM/2:30PM-11:30PM",Shift_allowance_Entries!$B:$B,CPY!$B248)</f>
        <v>0</v>
      </c>
      <c r="Q248" s="65">
        <f>SUMIFS(Shift_allowance_Entries!$G:$G,Shift_allowance_Entries!$F:$F,"11PM-7AM",Shift_allowance_Entries!$B:$B,CPY!$B248)</f>
        <v>0</v>
      </c>
      <c r="R248" s="63">
        <f>(CPY!O248*MD!$F$4)+(CPY!P248*MD!$F$5)+(CPY!Q248*MD!$F$6)</f>
        <v>0</v>
      </c>
      <c r="T248" s="64">
        <f>ROUNDUP((SUMIFS('OOH Activities'!$K:$K,'OOH Activities'!$F:$F,"Non_workdays",'OOH Activities'!$B:$B,CPY!B248)) *24,1)</f>
        <v>0</v>
      </c>
      <c r="U248" s="64">
        <f>ROUNDUP((SUMIFS('OOH Activities'!$K:$K,'OOH Activities'!$F:$F,"Workdays",'OOH Activities'!$B:$B,CPY!B248)) *24,1)</f>
        <v>0</v>
      </c>
      <c r="V248" s="63">
        <f>ROUNDUP((SUMIFS('OOH Activities'!$L:$L,'OOH Activities'!$B:$B,CPY!B248)),1)</f>
        <v>0</v>
      </c>
      <c r="X248" s="65">
        <f>ROUNDUP((SUMIFS('ON Call_Call Out Activities'!$L:$L,'ON Call_Call Out Activities'!$F:$F,"Workdays",'ON Call_Call Out Activities'!$B:$B,CPY!B248))*24,1)</f>
        <v>0</v>
      </c>
      <c r="Y248" s="64">
        <f>ROUNDUP((SUMIFS('ON Call_Call Out Activities'!$L:$L,'ON Call_Call Out Activities'!$F:$F,"Non_workdays",'ON Call_Call Out Activities'!$B:$B,CPY!B248)) *24,1)</f>
        <v>0</v>
      </c>
      <c r="Z248" s="63">
        <f>ROUNDUP((SUMIFS('ON Call_Call Out Activities'!$M:$M,'ON Call_Call Out Activities'!$F:$F,"Non_workdays",'ON Call_Call Out Activities'!$B:$B,CPY!B248)),1) + ROUNDUP((SUMIFS('ON Call_Call Out Activities'!$M:$M,'ON Call_Call Out Activities'!$F:$F,"Workdays",'ON Call_Call Out Activities'!$B:$B,CPY!B248)),1)</f>
        <v>0</v>
      </c>
      <c r="AA248" s="66"/>
      <c r="AB248" s="64">
        <f>ROUNDUP((SUMIFS('ON Call_Call Out Activities'!$L:$L,'ON Call_Call Out Activities'!$F:$F,"Call_Out",'ON Call_Call Out Activities'!$B:$B,CPY!B248)) *24,1)</f>
        <v>0</v>
      </c>
      <c r="AC248" s="63">
        <f>ROUNDUP((SUMIFS('ON Call_Call Out Activities'!$M:$M,'ON Call_Call Out Activities'!$F:$F,"Call_Out",'ON Call_Call Out Activities'!$B:$B,CPY!B248)),1)</f>
        <v>0</v>
      </c>
      <c r="AE248" s="65">
        <f>IF((SUMIF(Shift_allowance_Entries!$B:$B,CPY!$B248,Shift_allowance_Entries!$H:$H)) &gt; (SUMIF(Shift_allowance_Entries!$B:$B,CPY!$B248,Shift_allowance_Entries!$G:$G)),0,((SUMIF(Shift_allowance_Entries!$B:$B,CPY!$B248,Shift_allowance_Entries!$G:$G))-(SUMIF(Shift_allowance_Entries!$B:$B,CPY!$B248,Shift_allowance_Entries!$H:$H))))</f>
        <v>0</v>
      </c>
      <c r="AF248" s="63">
        <f>AE248*MD!$S$4</f>
        <v>0</v>
      </c>
    </row>
    <row r="249" spans="1:32" x14ac:dyDescent="0.25">
      <c r="A249" s="62">
        <v>247</v>
      </c>
      <c r="B249" s="62"/>
      <c r="C249" s="50" t="str">
        <f>IF(ISNA(VLOOKUP($B249,Summary!$B:$D,2,FALSE))=TRUE," ",VLOOKUP($B249,Summary!$B:$D,2,FALSE))</f>
        <v> </v>
      </c>
      <c r="D249" s="50" t="str">
        <f>IF(ISNA(VLOOKUP($B249,Summary!$B:$D,3,FALSE))=TRUE," ",VLOOKUP($B249,Summary!$B:$D,3,FALSE))</f>
        <v> </v>
      </c>
      <c r="E249" s="62"/>
      <c r="F249" s="62"/>
      <c r="G249" s="62"/>
      <c r="I249" s="63">
        <f t="shared" si="3"/>
        <v>0</v>
      </c>
      <c r="K249" s="64">
        <f>IF(E249="Support(L1_L2)",IF(NOT(ISBLANK(B249)),IF(NOT(ISBLANK(D249)),NETWORKDAYS('CPY TOC'!$F$5,'CPY TOC'!$G$5))))-L249</f>
        <v>0</v>
      </c>
      <c r="L249" s="64">
        <f>IF(E249="Support(L1_L2)",SUMIFS(Support_allowance_Entries!$G:$G,Support_allowance_Entries!$B:$B,CPY!B249),0)</f>
        <v>0</v>
      </c>
      <c r="M249" s="63" t="b">
        <f>IF($D249="D0",MD!$C$4*(K249),IF($D249="D1",MD!$C$5*(K249),IF($D249="D2",MD!$C$6*(K249),IF($D249="D3",MD!$C$7*(K249),IF($D249="D4",MD!$C$8*(K249),IF($D249="D5",MD!$C$9*(K249),IF($D249="M1",MD!$C$10*(K249),IF($D249="T1",MD!$C$11*(K249)))))))))</f>
        <v>0</v>
      </c>
      <c r="O249" s="65">
        <f>SUMIFS(Shift_allowance_Entries!$G:$G,Shift_allowance_Entries!$F:$F,"6:30AM-03:30PM",Shift_allowance_Entries!$B:$B,CPY!$B249)</f>
        <v>0</v>
      </c>
      <c r="P249" s="65">
        <f>SUMIFS(Shift_allowance_Entries!$G:$G,Shift_allowance_Entries!$F:$F,"1-9PM/2:30PM-11:30PM",Shift_allowance_Entries!$B:$B,CPY!$B249)</f>
        <v>0</v>
      </c>
      <c r="Q249" s="65">
        <f>SUMIFS(Shift_allowance_Entries!$G:$G,Shift_allowance_Entries!$F:$F,"11PM-7AM",Shift_allowance_Entries!$B:$B,CPY!$B249)</f>
        <v>0</v>
      </c>
      <c r="R249" s="63">
        <f>(CPY!O249*MD!$F$4)+(CPY!P249*MD!$F$5)+(CPY!Q249*MD!$F$6)</f>
        <v>0</v>
      </c>
      <c r="T249" s="64">
        <f>ROUNDUP((SUMIFS('OOH Activities'!$K:$K,'OOH Activities'!$F:$F,"Non_workdays",'OOH Activities'!$B:$B,CPY!B249)) *24,1)</f>
        <v>0</v>
      </c>
      <c r="U249" s="64">
        <f>ROUNDUP((SUMIFS('OOH Activities'!$K:$K,'OOH Activities'!$F:$F,"Workdays",'OOH Activities'!$B:$B,CPY!B249)) *24,1)</f>
        <v>0</v>
      </c>
      <c r="V249" s="63">
        <f>ROUNDUP((SUMIFS('OOH Activities'!$L:$L,'OOH Activities'!$B:$B,CPY!B249)),1)</f>
        <v>0</v>
      </c>
      <c r="X249" s="65">
        <f>ROUNDUP((SUMIFS('ON Call_Call Out Activities'!$L:$L,'ON Call_Call Out Activities'!$F:$F,"Workdays",'ON Call_Call Out Activities'!$B:$B,CPY!B249))*24,1)</f>
        <v>0</v>
      </c>
      <c r="Y249" s="64">
        <f>ROUNDUP((SUMIFS('ON Call_Call Out Activities'!$L:$L,'ON Call_Call Out Activities'!$F:$F,"Non_workdays",'ON Call_Call Out Activities'!$B:$B,CPY!B249)) *24,1)</f>
        <v>0</v>
      </c>
      <c r="Z249" s="63">
        <f>ROUNDUP((SUMIFS('ON Call_Call Out Activities'!$M:$M,'ON Call_Call Out Activities'!$F:$F,"Non_workdays",'ON Call_Call Out Activities'!$B:$B,CPY!B249)),1) + ROUNDUP((SUMIFS('ON Call_Call Out Activities'!$M:$M,'ON Call_Call Out Activities'!$F:$F,"Workdays",'ON Call_Call Out Activities'!$B:$B,CPY!B249)),1)</f>
        <v>0</v>
      </c>
      <c r="AA249" s="66"/>
      <c r="AB249" s="64">
        <f>ROUNDUP((SUMIFS('ON Call_Call Out Activities'!$L:$L,'ON Call_Call Out Activities'!$F:$F,"Call_Out",'ON Call_Call Out Activities'!$B:$B,CPY!B249)) *24,1)</f>
        <v>0</v>
      </c>
      <c r="AC249" s="63">
        <f>ROUNDUP((SUMIFS('ON Call_Call Out Activities'!$M:$M,'ON Call_Call Out Activities'!$F:$F,"Call_Out",'ON Call_Call Out Activities'!$B:$B,CPY!B249)),1)</f>
        <v>0</v>
      </c>
      <c r="AE249" s="65">
        <f>IF((SUMIF(Shift_allowance_Entries!$B:$B,CPY!$B249,Shift_allowance_Entries!$H:$H)) &gt; (SUMIF(Shift_allowance_Entries!$B:$B,CPY!$B249,Shift_allowance_Entries!$G:$G)),0,((SUMIF(Shift_allowance_Entries!$B:$B,CPY!$B249,Shift_allowance_Entries!$G:$G))-(SUMIF(Shift_allowance_Entries!$B:$B,CPY!$B249,Shift_allowance_Entries!$H:$H))))</f>
        <v>0</v>
      </c>
      <c r="AF249" s="63">
        <f>AE249*MD!$S$4</f>
        <v>0</v>
      </c>
    </row>
    <row r="250" spans="1:32" x14ac:dyDescent="0.25">
      <c r="A250" s="62">
        <v>248</v>
      </c>
      <c r="B250" s="62"/>
      <c r="C250" s="50" t="str">
        <f>IF(ISNA(VLOOKUP($B250,Summary!$B:$D,2,FALSE))=TRUE," ",VLOOKUP($B250,Summary!$B:$D,2,FALSE))</f>
        <v> </v>
      </c>
      <c r="D250" s="50" t="str">
        <f>IF(ISNA(VLOOKUP($B250,Summary!$B:$D,3,FALSE))=TRUE," ",VLOOKUP($B250,Summary!$B:$D,3,FALSE))</f>
        <v> </v>
      </c>
      <c r="E250" s="62"/>
      <c r="F250" s="62"/>
      <c r="G250" s="62"/>
      <c r="I250" s="63">
        <f t="shared" si="3"/>
        <v>0</v>
      </c>
      <c r="K250" s="64">
        <f>IF(E250="Support(L1_L2)",IF(NOT(ISBLANK(B250)),IF(NOT(ISBLANK(D250)),NETWORKDAYS('CPY TOC'!$F$5,'CPY TOC'!$G$5))))-L250</f>
        <v>0</v>
      </c>
      <c r="L250" s="64">
        <f>IF(E250="Support(L1_L2)",SUMIFS(Support_allowance_Entries!$G:$G,Support_allowance_Entries!$B:$B,CPY!B250),0)</f>
        <v>0</v>
      </c>
      <c r="M250" s="63" t="b">
        <f>IF($D250="D0",MD!$C$4*(K250),IF($D250="D1",MD!$C$5*(K250),IF($D250="D2",MD!$C$6*(K250),IF($D250="D3",MD!$C$7*(K250),IF($D250="D4",MD!$C$8*(K250),IF($D250="D5",MD!$C$9*(K250),IF($D250="M1",MD!$C$10*(K250),IF($D250="T1",MD!$C$11*(K250)))))))))</f>
        <v>0</v>
      </c>
      <c r="O250" s="65">
        <f>SUMIFS(Shift_allowance_Entries!$G:$G,Shift_allowance_Entries!$F:$F,"6:30AM-03:30PM",Shift_allowance_Entries!$B:$B,CPY!$B250)</f>
        <v>0</v>
      </c>
      <c r="P250" s="65">
        <f>SUMIFS(Shift_allowance_Entries!$G:$G,Shift_allowance_Entries!$F:$F,"1-9PM/2:30PM-11:30PM",Shift_allowance_Entries!$B:$B,CPY!$B250)</f>
        <v>0</v>
      </c>
      <c r="Q250" s="65">
        <f>SUMIFS(Shift_allowance_Entries!$G:$G,Shift_allowance_Entries!$F:$F,"11PM-7AM",Shift_allowance_Entries!$B:$B,CPY!$B250)</f>
        <v>0</v>
      </c>
      <c r="R250" s="63">
        <f>(CPY!O250*MD!$F$4)+(CPY!P250*MD!$F$5)+(CPY!Q250*MD!$F$6)</f>
        <v>0</v>
      </c>
      <c r="T250" s="64">
        <f>ROUNDUP((SUMIFS('OOH Activities'!$K:$K,'OOH Activities'!$F:$F,"Non_workdays",'OOH Activities'!$B:$B,CPY!B250)) *24,1)</f>
        <v>0</v>
      </c>
      <c r="U250" s="64">
        <f>ROUNDUP((SUMIFS('OOH Activities'!$K:$K,'OOH Activities'!$F:$F,"Workdays",'OOH Activities'!$B:$B,CPY!B250)) *24,1)</f>
        <v>0</v>
      </c>
      <c r="V250" s="63">
        <f>ROUNDUP((SUMIFS('OOH Activities'!$L:$L,'OOH Activities'!$B:$B,CPY!B250)),1)</f>
        <v>0</v>
      </c>
      <c r="X250" s="65">
        <f>ROUNDUP((SUMIFS('ON Call_Call Out Activities'!$L:$L,'ON Call_Call Out Activities'!$F:$F,"Workdays",'ON Call_Call Out Activities'!$B:$B,CPY!B250))*24,1)</f>
        <v>0</v>
      </c>
      <c r="Y250" s="64">
        <f>ROUNDUP((SUMIFS('ON Call_Call Out Activities'!$L:$L,'ON Call_Call Out Activities'!$F:$F,"Non_workdays",'ON Call_Call Out Activities'!$B:$B,CPY!B250)) *24,1)</f>
        <v>0</v>
      </c>
      <c r="Z250" s="63">
        <f>ROUNDUP((SUMIFS('ON Call_Call Out Activities'!$M:$M,'ON Call_Call Out Activities'!$F:$F,"Non_workdays",'ON Call_Call Out Activities'!$B:$B,CPY!B250)),1) + ROUNDUP((SUMIFS('ON Call_Call Out Activities'!$M:$M,'ON Call_Call Out Activities'!$F:$F,"Workdays",'ON Call_Call Out Activities'!$B:$B,CPY!B250)),1)</f>
        <v>0</v>
      </c>
      <c r="AA250" s="66"/>
      <c r="AB250" s="64">
        <f>ROUNDUP((SUMIFS('ON Call_Call Out Activities'!$L:$L,'ON Call_Call Out Activities'!$F:$F,"Call_Out",'ON Call_Call Out Activities'!$B:$B,CPY!B250)) *24,1)</f>
        <v>0</v>
      </c>
      <c r="AC250" s="63">
        <f>ROUNDUP((SUMIFS('ON Call_Call Out Activities'!$M:$M,'ON Call_Call Out Activities'!$F:$F,"Call_Out",'ON Call_Call Out Activities'!$B:$B,CPY!B250)),1)</f>
        <v>0</v>
      </c>
      <c r="AE250" s="65">
        <f>IF((SUMIF(Shift_allowance_Entries!$B:$B,CPY!$B250,Shift_allowance_Entries!$H:$H)) &gt; (SUMIF(Shift_allowance_Entries!$B:$B,CPY!$B250,Shift_allowance_Entries!$G:$G)),0,((SUMIF(Shift_allowance_Entries!$B:$B,CPY!$B250,Shift_allowance_Entries!$G:$G))-(SUMIF(Shift_allowance_Entries!$B:$B,CPY!$B250,Shift_allowance_Entries!$H:$H))))</f>
        <v>0</v>
      </c>
      <c r="AF250" s="63">
        <f>AE250*MD!$S$4</f>
        <v>0</v>
      </c>
    </row>
    <row r="251" spans="1:32" x14ac:dyDescent="0.25">
      <c r="A251" s="62">
        <v>249</v>
      </c>
      <c r="B251" s="62"/>
      <c r="C251" s="50" t="str">
        <f>IF(ISNA(VLOOKUP($B251,Summary!$B:$D,2,FALSE))=TRUE," ",VLOOKUP($B251,Summary!$B:$D,2,FALSE))</f>
        <v> </v>
      </c>
      <c r="D251" s="50" t="str">
        <f>IF(ISNA(VLOOKUP($B251,Summary!$B:$D,3,FALSE))=TRUE," ",VLOOKUP($B251,Summary!$B:$D,3,FALSE))</f>
        <v> </v>
      </c>
      <c r="E251" s="62"/>
      <c r="F251" s="62"/>
      <c r="G251" s="62"/>
      <c r="I251" s="63">
        <f t="shared" si="3"/>
        <v>0</v>
      </c>
      <c r="K251" s="64">
        <f>IF(E251="Support(L1_L2)",IF(NOT(ISBLANK(B251)),IF(NOT(ISBLANK(D251)),NETWORKDAYS('CPY TOC'!$F$5,'CPY TOC'!$G$5))))-L251</f>
        <v>0</v>
      </c>
      <c r="L251" s="64">
        <f>IF(E251="Support(L1_L2)",SUMIFS(Support_allowance_Entries!$G:$G,Support_allowance_Entries!$B:$B,CPY!B251),0)</f>
        <v>0</v>
      </c>
      <c r="M251" s="63" t="b">
        <f>IF($D251="D0",MD!$C$4*(K251),IF($D251="D1",MD!$C$5*(K251),IF($D251="D2",MD!$C$6*(K251),IF($D251="D3",MD!$C$7*(K251),IF($D251="D4",MD!$C$8*(K251),IF($D251="D5",MD!$C$9*(K251),IF($D251="M1",MD!$C$10*(K251),IF($D251="T1",MD!$C$11*(K251)))))))))</f>
        <v>0</v>
      </c>
      <c r="O251" s="65">
        <f>SUMIFS(Shift_allowance_Entries!$G:$G,Shift_allowance_Entries!$F:$F,"6:30AM-03:30PM",Shift_allowance_Entries!$B:$B,CPY!$B251)</f>
        <v>0</v>
      </c>
      <c r="P251" s="65">
        <f>SUMIFS(Shift_allowance_Entries!$G:$G,Shift_allowance_Entries!$F:$F,"1-9PM/2:30PM-11:30PM",Shift_allowance_Entries!$B:$B,CPY!$B251)</f>
        <v>0</v>
      </c>
      <c r="Q251" s="65">
        <f>SUMIFS(Shift_allowance_Entries!$G:$G,Shift_allowance_Entries!$F:$F,"11PM-7AM",Shift_allowance_Entries!$B:$B,CPY!$B251)</f>
        <v>0</v>
      </c>
      <c r="R251" s="63">
        <f>(CPY!O251*MD!$F$4)+(CPY!P251*MD!$F$5)+(CPY!Q251*MD!$F$6)</f>
        <v>0</v>
      </c>
      <c r="T251" s="64">
        <f>ROUNDUP((SUMIFS('OOH Activities'!$K:$K,'OOH Activities'!$F:$F,"Non_workdays",'OOH Activities'!$B:$B,CPY!B251)) *24,1)</f>
        <v>0</v>
      </c>
      <c r="U251" s="64">
        <f>ROUNDUP((SUMIFS('OOH Activities'!$K:$K,'OOH Activities'!$F:$F,"Workdays",'OOH Activities'!$B:$B,CPY!B251)) *24,1)</f>
        <v>0</v>
      </c>
      <c r="V251" s="63">
        <f>ROUNDUP((SUMIFS('OOH Activities'!$L:$L,'OOH Activities'!$B:$B,CPY!B251)),1)</f>
        <v>0</v>
      </c>
      <c r="X251" s="65">
        <f>ROUNDUP((SUMIFS('ON Call_Call Out Activities'!$L:$L,'ON Call_Call Out Activities'!$F:$F,"Workdays",'ON Call_Call Out Activities'!$B:$B,CPY!B251))*24,1)</f>
        <v>0</v>
      </c>
      <c r="Y251" s="64">
        <f>ROUNDUP((SUMIFS('ON Call_Call Out Activities'!$L:$L,'ON Call_Call Out Activities'!$F:$F,"Non_workdays",'ON Call_Call Out Activities'!$B:$B,CPY!B251)) *24,1)</f>
        <v>0</v>
      </c>
      <c r="Z251" s="63">
        <f>ROUNDUP((SUMIFS('ON Call_Call Out Activities'!$M:$M,'ON Call_Call Out Activities'!$F:$F,"Non_workdays",'ON Call_Call Out Activities'!$B:$B,CPY!B251)),1) + ROUNDUP((SUMIFS('ON Call_Call Out Activities'!$M:$M,'ON Call_Call Out Activities'!$F:$F,"Workdays",'ON Call_Call Out Activities'!$B:$B,CPY!B251)),1)</f>
        <v>0</v>
      </c>
      <c r="AA251" s="66"/>
      <c r="AB251" s="64">
        <f>ROUNDUP((SUMIFS('ON Call_Call Out Activities'!$L:$L,'ON Call_Call Out Activities'!$F:$F,"Call_Out",'ON Call_Call Out Activities'!$B:$B,CPY!B251)) *24,1)</f>
        <v>0</v>
      </c>
      <c r="AC251" s="63">
        <f>ROUNDUP((SUMIFS('ON Call_Call Out Activities'!$M:$M,'ON Call_Call Out Activities'!$F:$F,"Call_Out",'ON Call_Call Out Activities'!$B:$B,CPY!B251)),1)</f>
        <v>0</v>
      </c>
      <c r="AE251" s="65">
        <f>IF((SUMIF(Shift_allowance_Entries!$B:$B,CPY!$B251,Shift_allowance_Entries!$H:$H)) &gt; (SUMIF(Shift_allowance_Entries!$B:$B,CPY!$B251,Shift_allowance_Entries!$G:$G)),0,((SUMIF(Shift_allowance_Entries!$B:$B,CPY!$B251,Shift_allowance_Entries!$G:$G))-(SUMIF(Shift_allowance_Entries!$B:$B,CPY!$B251,Shift_allowance_Entries!$H:$H))))</f>
        <v>0</v>
      </c>
      <c r="AF251" s="63">
        <f>AE251*MD!$S$4</f>
        <v>0</v>
      </c>
    </row>
    <row r="252" spans="1:32" x14ac:dyDescent="0.25">
      <c r="A252" s="62">
        <v>250</v>
      </c>
      <c r="B252" s="62"/>
      <c r="C252" s="50" t="str">
        <f>IF(ISNA(VLOOKUP($B252,Summary!$B:$D,2,FALSE))=TRUE," ",VLOOKUP($B252,Summary!$B:$D,2,FALSE))</f>
        <v> </v>
      </c>
      <c r="D252" s="50" t="str">
        <f>IF(ISNA(VLOOKUP($B252,Summary!$B:$D,3,FALSE))=TRUE," ",VLOOKUP($B252,Summary!$B:$D,3,FALSE))</f>
        <v> </v>
      </c>
      <c r="E252" s="62"/>
      <c r="F252" s="62"/>
      <c r="G252" s="62"/>
      <c r="I252" s="63">
        <f t="shared" si="3"/>
        <v>0</v>
      </c>
      <c r="K252" s="64">
        <f>IF(E252="Support(L1_L2)",IF(NOT(ISBLANK(B252)),IF(NOT(ISBLANK(D252)),NETWORKDAYS('CPY TOC'!$F$5,'CPY TOC'!$G$5))))-L252</f>
        <v>0</v>
      </c>
      <c r="L252" s="64">
        <f>IF(E252="Support(L1_L2)",SUMIFS(Support_allowance_Entries!$G:$G,Support_allowance_Entries!$B:$B,CPY!B252),0)</f>
        <v>0</v>
      </c>
      <c r="M252" s="63" t="b">
        <f>IF($D252="D0",MD!$C$4*(K252),IF($D252="D1",MD!$C$5*(K252),IF($D252="D2",MD!$C$6*(K252),IF($D252="D3",MD!$C$7*(K252),IF($D252="D4",MD!$C$8*(K252),IF($D252="D5",MD!$C$9*(K252),IF($D252="M1",MD!$C$10*(K252),IF($D252="T1",MD!$C$11*(K252)))))))))</f>
        <v>0</v>
      </c>
      <c r="O252" s="65">
        <f>SUMIFS(Shift_allowance_Entries!$G:$G,Shift_allowance_Entries!$F:$F,"6:30AM-03:30PM",Shift_allowance_Entries!$B:$B,CPY!$B252)</f>
        <v>0</v>
      </c>
      <c r="P252" s="65">
        <f>SUMIFS(Shift_allowance_Entries!$G:$G,Shift_allowance_Entries!$F:$F,"1-9PM/2:30PM-11:30PM",Shift_allowance_Entries!$B:$B,CPY!$B252)</f>
        <v>0</v>
      </c>
      <c r="Q252" s="65">
        <f>SUMIFS(Shift_allowance_Entries!$G:$G,Shift_allowance_Entries!$F:$F,"11PM-7AM",Shift_allowance_Entries!$B:$B,CPY!$B252)</f>
        <v>0</v>
      </c>
      <c r="R252" s="63">
        <f>(CPY!O252*MD!$F$4)+(CPY!P252*MD!$F$5)+(CPY!Q252*MD!$F$6)</f>
        <v>0</v>
      </c>
      <c r="T252" s="64">
        <f>ROUNDUP((SUMIFS('OOH Activities'!$K:$K,'OOH Activities'!$F:$F,"Non_workdays",'OOH Activities'!$B:$B,CPY!B252)) *24,1)</f>
        <v>0</v>
      </c>
      <c r="U252" s="64">
        <f>ROUNDUP((SUMIFS('OOH Activities'!$K:$K,'OOH Activities'!$F:$F,"Workdays",'OOH Activities'!$B:$B,CPY!B252)) *24,1)</f>
        <v>0</v>
      </c>
      <c r="V252" s="63">
        <f>ROUNDUP((SUMIFS('OOH Activities'!$L:$L,'OOH Activities'!$B:$B,CPY!B252)),1)</f>
        <v>0</v>
      </c>
      <c r="X252" s="65">
        <f>ROUNDUP((SUMIFS('ON Call_Call Out Activities'!$L:$L,'ON Call_Call Out Activities'!$F:$F,"Workdays",'ON Call_Call Out Activities'!$B:$B,CPY!B252))*24,1)</f>
        <v>0</v>
      </c>
      <c r="Y252" s="64">
        <f>ROUNDUP((SUMIFS('ON Call_Call Out Activities'!$L:$L,'ON Call_Call Out Activities'!$F:$F,"Non_workdays",'ON Call_Call Out Activities'!$B:$B,CPY!B252)) *24,1)</f>
        <v>0</v>
      </c>
      <c r="Z252" s="63">
        <f>ROUNDUP((SUMIFS('ON Call_Call Out Activities'!$M:$M,'ON Call_Call Out Activities'!$F:$F,"Non_workdays",'ON Call_Call Out Activities'!$B:$B,CPY!B252)),1) + ROUNDUP((SUMIFS('ON Call_Call Out Activities'!$M:$M,'ON Call_Call Out Activities'!$F:$F,"Workdays",'ON Call_Call Out Activities'!$B:$B,CPY!B252)),1)</f>
        <v>0</v>
      </c>
      <c r="AA252" s="66"/>
      <c r="AB252" s="64">
        <f>ROUNDUP((SUMIFS('ON Call_Call Out Activities'!$L:$L,'ON Call_Call Out Activities'!$F:$F,"Call_Out",'ON Call_Call Out Activities'!$B:$B,CPY!B252)) *24,1)</f>
        <v>0</v>
      </c>
      <c r="AC252" s="63">
        <f>ROUNDUP((SUMIFS('ON Call_Call Out Activities'!$M:$M,'ON Call_Call Out Activities'!$F:$F,"Call_Out",'ON Call_Call Out Activities'!$B:$B,CPY!B252)),1)</f>
        <v>0</v>
      </c>
      <c r="AE252" s="65">
        <f>IF((SUMIF(Shift_allowance_Entries!$B:$B,CPY!$B252,Shift_allowance_Entries!$H:$H)) &gt; (SUMIF(Shift_allowance_Entries!$B:$B,CPY!$B252,Shift_allowance_Entries!$G:$G)),0,((SUMIF(Shift_allowance_Entries!$B:$B,CPY!$B252,Shift_allowance_Entries!$G:$G))-(SUMIF(Shift_allowance_Entries!$B:$B,CPY!$B252,Shift_allowance_Entries!$H:$H))))</f>
        <v>0</v>
      </c>
      <c r="AF252" s="63">
        <f>AE252*MD!$S$4</f>
        <v>0</v>
      </c>
    </row>
    <row r="253" spans="1:32" x14ac:dyDescent="0.25">
      <c r="A253" s="62">
        <v>251</v>
      </c>
      <c r="B253" s="62"/>
      <c r="C253" s="50" t="str">
        <f>IF(ISNA(VLOOKUP($B253,Summary!$B:$D,2,FALSE))=TRUE," ",VLOOKUP($B253,Summary!$B:$D,2,FALSE))</f>
        <v> </v>
      </c>
      <c r="D253" s="50" t="str">
        <f>IF(ISNA(VLOOKUP($B253,Summary!$B:$D,3,FALSE))=TRUE," ",VLOOKUP($B253,Summary!$B:$D,3,FALSE))</f>
        <v> </v>
      </c>
      <c r="E253" s="62"/>
      <c r="F253" s="62"/>
      <c r="G253" s="62"/>
      <c r="I253" s="63">
        <f t="shared" si="3"/>
        <v>0</v>
      </c>
      <c r="K253" s="64">
        <f>IF(E253="Support(L1_L2)",IF(NOT(ISBLANK(B253)),IF(NOT(ISBLANK(D253)),NETWORKDAYS('CPY TOC'!$F$5,'CPY TOC'!$G$5))))-L253</f>
        <v>0</v>
      </c>
      <c r="L253" s="64">
        <f>IF(E253="Support(L1_L2)",SUMIFS(Support_allowance_Entries!$G:$G,Support_allowance_Entries!$B:$B,CPY!B253),0)</f>
        <v>0</v>
      </c>
      <c r="M253" s="63" t="b">
        <f>IF($D253="D0",MD!$C$4*(K253),IF($D253="D1",MD!$C$5*(K253),IF($D253="D2",MD!$C$6*(K253),IF($D253="D3",MD!$C$7*(K253),IF($D253="D4",MD!$C$8*(K253),IF($D253="D5",MD!$C$9*(K253),IF($D253="M1",MD!$C$10*(K253),IF($D253="T1",MD!$C$11*(K253)))))))))</f>
        <v>0</v>
      </c>
      <c r="O253" s="65">
        <f>SUMIFS(Shift_allowance_Entries!$G:$G,Shift_allowance_Entries!$F:$F,"6:30AM-03:30PM",Shift_allowance_Entries!$B:$B,CPY!$B253)</f>
        <v>0</v>
      </c>
      <c r="P253" s="65">
        <f>SUMIFS(Shift_allowance_Entries!$G:$G,Shift_allowance_Entries!$F:$F,"1-9PM/2:30PM-11:30PM",Shift_allowance_Entries!$B:$B,CPY!$B253)</f>
        <v>0</v>
      </c>
      <c r="Q253" s="65">
        <f>SUMIFS(Shift_allowance_Entries!$G:$G,Shift_allowance_Entries!$F:$F,"11PM-7AM",Shift_allowance_Entries!$B:$B,CPY!$B253)</f>
        <v>0</v>
      </c>
      <c r="R253" s="63">
        <f>(CPY!O253*MD!$F$4)+(CPY!P253*MD!$F$5)+(CPY!Q253*MD!$F$6)</f>
        <v>0</v>
      </c>
      <c r="T253" s="64">
        <f>ROUNDUP((SUMIFS('OOH Activities'!$K:$K,'OOH Activities'!$F:$F,"Non_workdays",'OOH Activities'!$B:$B,CPY!B253)) *24,1)</f>
        <v>0</v>
      </c>
      <c r="U253" s="64">
        <f>ROUNDUP((SUMIFS('OOH Activities'!$K:$K,'OOH Activities'!$F:$F,"Workdays",'OOH Activities'!$B:$B,CPY!B253)) *24,1)</f>
        <v>0</v>
      </c>
      <c r="V253" s="63">
        <f>ROUNDUP((SUMIFS('OOH Activities'!$L:$L,'OOH Activities'!$B:$B,CPY!B253)),1)</f>
        <v>0</v>
      </c>
      <c r="X253" s="65">
        <f>ROUNDUP((SUMIFS('ON Call_Call Out Activities'!$L:$L,'ON Call_Call Out Activities'!$F:$F,"Workdays",'ON Call_Call Out Activities'!$B:$B,CPY!B253))*24,1)</f>
        <v>0</v>
      </c>
      <c r="Y253" s="64">
        <f>ROUNDUP((SUMIFS('ON Call_Call Out Activities'!$L:$L,'ON Call_Call Out Activities'!$F:$F,"Non_workdays",'ON Call_Call Out Activities'!$B:$B,CPY!B253)) *24,1)</f>
        <v>0</v>
      </c>
      <c r="Z253" s="63">
        <f>ROUNDUP((SUMIFS('ON Call_Call Out Activities'!$M:$M,'ON Call_Call Out Activities'!$F:$F,"Non_workdays",'ON Call_Call Out Activities'!$B:$B,CPY!B253)),1) + ROUNDUP((SUMIFS('ON Call_Call Out Activities'!$M:$M,'ON Call_Call Out Activities'!$F:$F,"Workdays",'ON Call_Call Out Activities'!$B:$B,CPY!B253)),1)</f>
        <v>0</v>
      </c>
      <c r="AA253" s="66"/>
      <c r="AB253" s="64">
        <f>ROUNDUP((SUMIFS('ON Call_Call Out Activities'!$L:$L,'ON Call_Call Out Activities'!$F:$F,"Call_Out",'ON Call_Call Out Activities'!$B:$B,CPY!B253)) *24,1)</f>
        <v>0</v>
      </c>
      <c r="AC253" s="63">
        <f>ROUNDUP((SUMIFS('ON Call_Call Out Activities'!$M:$M,'ON Call_Call Out Activities'!$F:$F,"Call_Out",'ON Call_Call Out Activities'!$B:$B,CPY!B253)),1)</f>
        <v>0</v>
      </c>
      <c r="AE253" s="65">
        <f>IF((SUMIF(Shift_allowance_Entries!$B:$B,CPY!$B253,Shift_allowance_Entries!$H:$H)) &gt; (SUMIF(Shift_allowance_Entries!$B:$B,CPY!$B253,Shift_allowance_Entries!$G:$G)),0,((SUMIF(Shift_allowance_Entries!$B:$B,CPY!$B253,Shift_allowance_Entries!$G:$G))-(SUMIF(Shift_allowance_Entries!$B:$B,CPY!$B253,Shift_allowance_Entries!$H:$H))))</f>
        <v>0</v>
      </c>
      <c r="AF253" s="63">
        <f>AE253*MD!$S$4</f>
        <v>0</v>
      </c>
    </row>
    <row r="254" spans="1:32" x14ac:dyDescent="0.25">
      <c r="A254" s="62">
        <v>252</v>
      </c>
      <c r="B254" s="62"/>
      <c r="C254" s="50" t="str">
        <f>IF(ISNA(VLOOKUP($B254,Summary!$B:$D,2,FALSE))=TRUE," ",VLOOKUP($B254,Summary!$B:$D,2,FALSE))</f>
        <v> </v>
      </c>
      <c r="D254" s="50" t="str">
        <f>IF(ISNA(VLOOKUP($B254,Summary!$B:$D,3,FALSE))=TRUE," ",VLOOKUP($B254,Summary!$B:$D,3,FALSE))</f>
        <v> </v>
      </c>
      <c r="E254" s="62"/>
      <c r="F254" s="62"/>
      <c r="G254" s="62"/>
      <c r="I254" s="63">
        <f t="shared" si="3"/>
        <v>0</v>
      </c>
      <c r="K254" s="64">
        <f>IF(E254="Support(L1_L2)",IF(NOT(ISBLANK(B254)),IF(NOT(ISBLANK(D254)),NETWORKDAYS('CPY TOC'!$F$5,'CPY TOC'!$G$5))))-L254</f>
        <v>0</v>
      </c>
      <c r="L254" s="64">
        <f>IF(E254="Support(L1_L2)",SUMIFS(Support_allowance_Entries!$G:$G,Support_allowance_Entries!$B:$B,CPY!B254),0)</f>
        <v>0</v>
      </c>
      <c r="M254" s="63" t="b">
        <f>IF($D254="D0",MD!$C$4*(K254),IF($D254="D1",MD!$C$5*(K254),IF($D254="D2",MD!$C$6*(K254),IF($D254="D3",MD!$C$7*(K254),IF($D254="D4",MD!$C$8*(K254),IF($D254="D5",MD!$C$9*(K254),IF($D254="M1",MD!$C$10*(K254),IF($D254="T1",MD!$C$11*(K254)))))))))</f>
        <v>0</v>
      </c>
      <c r="O254" s="65">
        <f>SUMIFS(Shift_allowance_Entries!$G:$G,Shift_allowance_Entries!$F:$F,"6:30AM-03:30PM",Shift_allowance_Entries!$B:$B,CPY!$B254)</f>
        <v>0</v>
      </c>
      <c r="P254" s="65">
        <f>SUMIFS(Shift_allowance_Entries!$G:$G,Shift_allowance_Entries!$F:$F,"1-9PM/2:30PM-11:30PM",Shift_allowance_Entries!$B:$B,CPY!$B254)</f>
        <v>0</v>
      </c>
      <c r="Q254" s="65">
        <f>SUMIFS(Shift_allowance_Entries!$G:$G,Shift_allowance_Entries!$F:$F,"11PM-7AM",Shift_allowance_Entries!$B:$B,CPY!$B254)</f>
        <v>0</v>
      </c>
      <c r="R254" s="63">
        <f>(CPY!O254*MD!$F$4)+(CPY!P254*MD!$F$5)+(CPY!Q254*MD!$F$6)</f>
        <v>0</v>
      </c>
      <c r="T254" s="64">
        <f>ROUNDUP((SUMIFS('OOH Activities'!$K:$K,'OOH Activities'!$F:$F,"Non_workdays",'OOH Activities'!$B:$B,CPY!B254)) *24,1)</f>
        <v>0</v>
      </c>
      <c r="U254" s="64">
        <f>ROUNDUP((SUMIFS('OOH Activities'!$K:$K,'OOH Activities'!$F:$F,"Workdays",'OOH Activities'!$B:$B,CPY!B254)) *24,1)</f>
        <v>0</v>
      </c>
      <c r="V254" s="63">
        <f>ROUNDUP((SUMIFS('OOH Activities'!$L:$L,'OOH Activities'!$B:$B,CPY!B254)),1)</f>
        <v>0</v>
      </c>
      <c r="X254" s="65">
        <f>ROUNDUP((SUMIFS('ON Call_Call Out Activities'!$L:$L,'ON Call_Call Out Activities'!$F:$F,"Workdays",'ON Call_Call Out Activities'!$B:$B,CPY!B254))*24,1)</f>
        <v>0</v>
      </c>
      <c r="Y254" s="64">
        <f>ROUNDUP((SUMIFS('ON Call_Call Out Activities'!$L:$L,'ON Call_Call Out Activities'!$F:$F,"Non_workdays",'ON Call_Call Out Activities'!$B:$B,CPY!B254)) *24,1)</f>
        <v>0</v>
      </c>
      <c r="Z254" s="63">
        <f>ROUNDUP((SUMIFS('ON Call_Call Out Activities'!$M:$M,'ON Call_Call Out Activities'!$F:$F,"Non_workdays",'ON Call_Call Out Activities'!$B:$B,CPY!B254)),1) + ROUNDUP((SUMIFS('ON Call_Call Out Activities'!$M:$M,'ON Call_Call Out Activities'!$F:$F,"Workdays",'ON Call_Call Out Activities'!$B:$B,CPY!B254)),1)</f>
        <v>0</v>
      </c>
      <c r="AA254" s="66"/>
      <c r="AB254" s="64">
        <f>ROUNDUP((SUMIFS('ON Call_Call Out Activities'!$L:$L,'ON Call_Call Out Activities'!$F:$F,"Call_Out",'ON Call_Call Out Activities'!$B:$B,CPY!B254)) *24,1)</f>
        <v>0</v>
      </c>
      <c r="AC254" s="63">
        <f>ROUNDUP((SUMIFS('ON Call_Call Out Activities'!$M:$M,'ON Call_Call Out Activities'!$F:$F,"Call_Out",'ON Call_Call Out Activities'!$B:$B,CPY!B254)),1)</f>
        <v>0</v>
      </c>
      <c r="AE254" s="65">
        <f>IF((SUMIF(Shift_allowance_Entries!$B:$B,CPY!$B254,Shift_allowance_Entries!$H:$H)) &gt; (SUMIF(Shift_allowance_Entries!$B:$B,CPY!$B254,Shift_allowance_Entries!$G:$G)),0,((SUMIF(Shift_allowance_Entries!$B:$B,CPY!$B254,Shift_allowance_Entries!$G:$G))-(SUMIF(Shift_allowance_Entries!$B:$B,CPY!$B254,Shift_allowance_Entries!$H:$H))))</f>
        <v>0</v>
      </c>
      <c r="AF254" s="63">
        <f>AE254*MD!$S$4</f>
        <v>0</v>
      </c>
    </row>
    <row r="255" spans="1:32" x14ac:dyDescent="0.25">
      <c r="A255" s="62">
        <v>253</v>
      </c>
      <c r="B255" s="62"/>
      <c r="C255" s="50" t="str">
        <f>IF(ISNA(VLOOKUP($B255,Summary!$B:$D,2,FALSE))=TRUE," ",VLOOKUP($B255,Summary!$B:$D,2,FALSE))</f>
        <v> </v>
      </c>
      <c r="D255" s="50" t="str">
        <f>IF(ISNA(VLOOKUP($B255,Summary!$B:$D,3,FALSE))=TRUE," ",VLOOKUP($B255,Summary!$B:$D,3,FALSE))</f>
        <v> </v>
      </c>
      <c r="E255" s="62"/>
      <c r="F255" s="62"/>
      <c r="G255" s="62"/>
      <c r="I255" s="63">
        <f t="shared" si="3"/>
        <v>0</v>
      </c>
      <c r="K255" s="64">
        <f>IF(E255="Support(L1_L2)",IF(NOT(ISBLANK(B255)),IF(NOT(ISBLANK(D255)),NETWORKDAYS('CPY TOC'!$F$5,'CPY TOC'!$G$5))))-L255</f>
        <v>0</v>
      </c>
      <c r="L255" s="64">
        <f>IF(E255="Support(L1_L2)",SUMIFS(Support_allowance_Entries!$G:$G,Support_allowance_Entries!$B:$B,CPY!B255),0)</f>
        <v>0</v>
      </c>
      <c r="M255" s="63" t="b">
        <f>IF($D255="D0",MD!$C$4*(K255),IF($D255="D1",MD!$C$5*(K255),IF($D255="D2",MD!$C$6*(K255),IF($D255="D3",MD!$C$7*(K255),IF($D255="D4",MD!$C$8*(K255),IF($D255="D5",MD!$C$9*(K255),IF($D255="M1",MD!$C$10*(K255),IF($D255="T1",MD!$C$11*(K255)))))))))</f>
        <v>0</v>
      </c>
      <c r="O255" s="65">
        <f>SUMIFS(Shift_allowance_Entries!$G:$G,Shift_allowance_Entries!$F:$F,"6:30AM-03:30PM",Shift_allowance_Entries!$B:$B,CPY!$B255)</f>
        <v>0</v>
      </c>
      <c r="P255" s="65">
        <f>SUMIFS(Shift_allowance_Entries!$G:$G,Shift_allowance_Entries!$F:$F,"1-9PM/2:30PM-11:30PM",Shift_allowance_Entries!$B:$B,CPY!$B255)</f>
        <v>0</v>
      </c>
      <c r="Q255" s="65">
        <f>SUMIFS(Shift_allowance_Entries!$G:$G,Shift_allowance_Entries!$F:$F,"11PM-7AM",Shift_allowance_Entries!$B:$B,CPY!$B255)</f>
        <v>0</v>
      </c>
      <c r="R255" s="63">
        <f>(CPY!O255*MD!$F$4)+(CPY!P255*MD!$F$5)+(CPY!Q255*MD!$F$6)</f>
        <v>0</v>
      </c>
      <c r="T255" s="64">
        <f>ROUNDUP((SUMIFS('OOH Activities'!$K:$K,'OOH Activities'!$F:$F,"Non_workdays",'OOH Activities'!$B:$B,CPY!B255)) *24,1)</f>
        <v>0</v>
      </c>
      <c r="U255" s="64">
        <f>ROUNDUP((SUMIFS('OOH Activities'!$K:$K,'OOH Activities'!$F:$F,"Workdays",'OOH Activities'!$B:$B,CPY!B255)) *24,1)</f>
        <v>0</v>
      </c>
      <c r="V255" s="63">
        <f>ROUNDUP((SUMIFS('OOH Activities'!$L:$L,'OOH Activities'!$B:$B,CPY!B255)),1)</f>
        <v>0</v>
      </c>
      <c r="X255" s="65">
        <f>ROUNDUP((SUMIFS('ON Call_Call Out Activities'!$L:$L,'ON Call_Call Out Activities'!$F:$F,"Workdays",'ON Call_Call Out Activities'!$B:$B,CPY!B255))*24,1)</f>
        <v>0</v>
      </c>
      <c r="Y255" s="64">
        <f>ROUNDUP((SUMIFS('ON Call_Call Out Activities'!$L:$L,'ON Call_Call Out Activities'!$F:$F,"Non_workdays",'ON Call_Call Out Activities'!$B:$B,CPY!B255)) *24,1)</f>
        <v>0</v>
      </c>
      <c r="Z255" s="63">
        <f>ROUNDUP((SUMIFS('ON Call_Call Out Activities'!$M:$M,'ON Call_Call Out Activities'!$F:$F,"Non_workdays",'ON Call_Call Out Activities'!$B:$B,CPY!B255)),1) + ROUNDUP((SUMIFS('ON Call_Call Out Activities'!$M:$M,'ON Call_Call Out Activities'!$F:$F,"Workdays",'ON Call_Call Out Activities'!$B:$B,CPY!B255)),1)</f>
        <v>0</v>
      </c>
      <c r="AA255" s="66"/>
      <c r="AB255" s="64">
        <f>ROUNDUP((SUMIFS('ON Call_Call Out Activities'!$L:$L,'ON Call_Call Out Activities'!$F:$F,"Call_Out",'ON Call_Call Out Activities'!$B:$B,CPY!B255)) *24,1)</f>
        <v>0</v>
      </c>
      <c r="AC255" s="63">
        <f>ROUNDUP((SUMIFS('ON Call_Call Out Activities'!$M:$M,'ON Call_Call Out Activities'!$F:$F,"Call_Out",'ON Call_Call Out Activities'!$B:$B,CPY!B255)),1)</f>
        <v>0</v>
      </c>
      <c r="AE255" s="65">
        <f>IF((SUMIF(Shift_allowance_Entries!$B:$B,CPY!$B255,Shift_allowance_Entries!$H:$H)) &gt; (SUMIF(Shift_allowance_Entries!$B:$B,CPY!$B255,Shift_allowance_Entries!$G:$G)),0,((SUMIF(Shift_allowance_Entries!$B:$B,CPY!$B255,Shift_allowance_Entries!$G:$G))-(SUMIF(Shift_allowance_Entries!$B:$B,CPY!$B255,Shift_allowance_Entries!$H:$H))))</f>
        <v>0</v>
      </c>
      <c r="AF255" s="63">
        <f>AE255*MD!$S$4</f>
        <v>0</v>
      </c>
    </row>
    <row r="256" spans="1:32" x14ac:dyDescent="0.25">
      <c r="A256" s="62">
        <v>254</v>
      </c>
      <c r="B256" s="62"/>
      <c r="C256" s="50" t="str">
        <f>IF(ISNA(VLOOKUP($B256,Summary!$B:$D,2,FALSE))=TRUE," ",VLOOKUP($B256,Summary!$B:$D,2,FALSE))</f>
        <v> </v>
      </c>
      <c r="D256" s="50" t="str">
        <f>IF(ISNA(VLOOKUP($B256,Summary!$B:$D,3,FALSE))=TRUE," ",VLOOKUP($B256,Summary!$B:$D,3,FALSE))</f>
        <v> </v>
      </c>
      <c r="E256" s="62"/>
      <c r="F256" s="62"/>
      <c r="G256" s="62"/>
      <c r="I256" s="63">
        <f t="shared" si="3"/>
        <v>0</v>
      </c>
      <c r="K256" s="64">
        <f>IF(E256="Support(L1_L2)",IF(NOT(ISBLANK(B256)),IF(NOT(ISBLANK(D256)),NETWORKDAYS('CPY TOC'!$F$5,'CPY TOC'!$G$5))))-L256</f>
        <v>0</v>
      </c>
      <c r="L256" s="64">
        <f>IF(E256="Support(L1_L2)",SUMIFS(Support_allowance_Entries!$G:$G,Support_allowance_Entries!$B:$B,CPY!B256),0)</f>
        <v>0</v>
      </c>
      <c r="M256" s="63" t="b">
        <f>IF($D256="D0",MD!$C$4*(K256),IF($D256="D1",MD!$C$5*(K256),IF($D256="D2",MD!$C$6*(K256),IF($D256="D3",MD!$C$7*(K256),IF($D256="D4",MD!$C$8*(K256),IF($D256="D5",MD!$C$9*(K256),IF($D256="M1",MD!$C$10*(K256),IF($D256="T1",MD!$C$11*(K256)))))))))</f>
        <v>0</v>
      </c>
      <c r="O256" s="65">
        <f>SUMIFS(Shift_allowance_Entries!$G:$G,Shift_allowance_Entries!$F:$F,"6:30AM-03:30PM",Shift_allowance_Entries!$B:$B,CPY!$B256)</f>
        <v>0</v>
      </c>
      <c r="P256" s="65">
        <f>SUMIFS(Shift_allowance_Entries!$G:$G,Shift_allowance_Entries!$F:$F,"1-9PM/2:30PM-11:30PM",Shift_allowance_Entries!$B:$B,CPY!$B256)</f>
        <v>0</v>
      </c>
      <c r="Q256" s="65">
        <f>SUMIFS(Shift_allowance_Entries!$G:$G,Shift_allowance_Entries!$F:$F,"11PM-7AM",Shift_allowance_Entries!$B:$B,CPY!$B256)</f>
        <v>0</v>
      </c>
      <c r="R256" s="63">
        <f>(CPY!O256*MD!$F$4)+(CPY!P256*MD!$F$5)+(CPY!Q256*MD!$F$6)</f>
        <v>0</v>
      </c>
      <c r="T256" s="64">
        <f>ROUNDUP((SUMIFS('OOH Activities'!$K:$K,'OOH Activities'!$F:$F,"Non_workdays",'OOH Activities'!$B:$B,CPY!B256)) *24,1)</f>
        <v>0</v>
      </c>
      <c r="U256" s="64">
        <f>ROUNDUP((SUMIFS('OOH Activities'!$K:$K,'OOH Activities'!$F:$F,"Workdays",'OOH Activities'!$B:$B,CPY!B256)) *24,1)</f>
        <v>0</v>
      </c>
      <c r="V256" s="63">
        <f>ROUNDUP((SUMIFS('OOH Activities'!$L:$L,'OOH Activities'!$B:$B,CPY!B256)),1)</f>
        <v>0</v>
      </c>
      <c r="X256" s="65">
        <f>ROUNDUP((SUMIFS('ON Call_Call Out Activities'!$L:$L,'ON Call_Call Out Activities'!$F:$F,"Workdays",'ON Call_Call Out Activities'!$B:$B,CPY!B256))*24,1)</f>
        <v>0</v>
      </c>
      <c r="Y256" s="64">
        <f>ROUNDUP((SUMIFS('ON Call_Call Out Activities'!$L:$L,'ON Call_Call Out Activities'!$F:$F,"Non_workdays",'ON Call_Call Out Activities'!$B:$B,CPY!B256)) *24,1)</f>
        <v>0</v>
      </c>
      <c r="Z256" s="63">
        <f>ROUNDUP((SUMIFS('ON Call_Call Out Activities'!$M:$M,'ON Call_Call Out Activities'!$F:$F,"Non_workdays",'ON Call_Call Out Activities'!$B:$B,CPY!B256)),1) + ROUNDUP((SUMIFS('ON Call_Call Out Activities'!$M:$M,'ON Call_Call Out Activities'!$F:$F,"Workdays",'ON Call_Call Out Activities'!$B:$B,CPY!B256)),1)</f>
        <v>0</v>
      </c>
      <c r="AA256" s="66"/>
      <c r="AB256" s="64">
        <f>ROUNDUP((SUMIFS('ON Call_Call Out Activities'!$L:$L,'ON Call_Call Out Activities'!$F:$F,"Call_Out",'ON Call_Call Out Activities'!$B:$B,CPY!B256)) *24,1)</f>
        <v>0</v>
      </c>
      <c r="AC256" s="63">
        <f>ROUNDUP((SUMIFS('ON Call_Call Out Activities'!$M:$M,'ON Call_Call Out Activities'!$F:$F,"Call_Out",'ON Call_Call Out Activities'!$B:$B,CPY!B256)),1)</f>
        <v>0</v>
      </c>
      <c r="AE256" s="65">
        <f>IF((SUMIF(Shift_allowance_Entries!$B:$B,CPY!$B256,Shift_allowance_Entries!$H:$H)) &gt; (SUMIF(Shift_allowance_Entries!$B:$B,CPY!$B256,Shift_allowance_Entries!$G:$G)),0,((SUMIF(Shift_allowance_Entries!$B:$B,CPY!$B256,Shift_allowance_Entries!$G:$G))-(SUMIF(Shift_allowance_Entries!$B:$B,CPY!$B256,Shift_allowance_Entries!$H:$H))))</f>
        <v>0</v>
      </c>
      <c r="AF256" s="63">
        <f>AE256*MD!$S$4</f>
        <v>0</v>
      </c>
    </row>
    <row r="257" spans="1:32" x14ac:dyDescent="0.25">
      <c r="A257" s="62">
        <v>255</v>
      </c>
      <c r="B257" s="62"/>
      <c r="C257" s="50" t="str">
        <f>IF(ISNA(VLOOKUP($B257,Summary!$B:$D,2,FALSE))=TRUE," ",VLOOKUP($B257,Summary!$B:$D,2,FALSE))</f>
        <v> </v>
      </c>
      <c r="D257" s="50" t="str">
        <f>IF(ISNA(VLOOKUP($B257,Summary!$B:$D,3,FALSE))=TRUE," ",VLOOKUP($B257,Summary!$B:$D,3,FALSE))</f>
        <v> </v>
      </c>
      <c r="E257" s="62"/>
      <c r="F257" s="62"/>
      <c r="G257" s="62"/>
      <c r="I257" s="63">
        <f t="shared" si="3"/>
        <v>0</v>
      </c>
      <c r="K257" s="64">
        <f>IF(E257="Support(L1_L2)",IF(NOT(ISBLANK(B257)),IF(NOT(ISBLANK(D257)),NETWORKDAYS('CPY TOC'!$F$5,'CPY TOC'!$G$5))))-L257</f>
        <v>0</v>
      </c>
      <c r="L257" s="64">
        <f>IF(E257="Support(L1_L2)",SUMIFS(Support_allowance_Entries!$G:$G,Support_allowance_Entries!$B:$B,CPY!B257),0)</f>
        <v>0</v>
      </c>
      <c r="M257" s="63" t="b">
        <f>IF($D257="D0",MD!$C$4*(K257),IF($D257="D1",MD!$C$5*(K257),IF($D257="D2",MD!$C$6*(K257),IF($D257="D3",MD!$C$7*(K257),IF($D257="D4",MD!$C$8*(K257),IF($D257="D5",MD!$C$9*(K257),IF($D257="M1",MD!$C$10*(K257),IF($D257="T1",MD!$C$11*(K257)))))))))</f>
        <v>0</v>
      </c>
      <c r="O257" s="65">
        <f>SUMIFS(Shift_allowance_Entries!$G:$G,Shift_allowance_Entries!$F:$F,"6:30AM-03:30PM",Shift_allowance_Entries!$B:$B,CPY!$B257)</f>
        <v>0</v>
      </c>
      <c r="P257" s="65">
        <f>SUMIFS(Shift_allowance_Entries!$G:$G,Shift_allowance_Entries!$F:$F,"1-9PM/2:30PM-11:30PM",Shift_allowance_Entries!$B:$B,CPY!$B257)</f>
        <v>0</v>
      </c>
      <c r="Q257" s="65">
        <f>SUMIFS(Shift_allowance_Entries!$G:$G,Shift_allowance_Entries!$F:$F,"11PM-7AM",Shift_allowance_Entries!$B:$B,CPY!$B257)</f>
        <v>0</v>
      </c>
      <c r="R257" s="63">
        <f>(CPY!O257*MD!$F$4)+(CPY!P257*MD!$F$5)+(CPY!Q257*MD!$F$6)</f>
        <v>0</v>
      </c>
      <c r="T257" s="64">
        <f>ROUNDUP((SUMIFS('OOH Activities'!$K:$K,'OOH Activities'!$F:$F,"Non_workdays",'OOH Activities'!$B:$B,CPY!B257)) *24,1)</f>
        <v>0</v>
      </c>
      <c r="U257" s="64">
        <f>ROUNDUP((SUMIFS('OOH Activities'!$K:$K,'OOH Activities'!$F:$F,"Workdays",'OOH Activities'!$B:$B,CPY!B257)) *24,1)</f>
        <v>0</v>
      </c>
      <c r="V257" s="63">
        <f>ROUNDUP((SUMIFS('OOH Activities'!$L:$L,'OOH Activities'!$B:$B,CPY!B257)),1)</f>
        <v>0</v>
      </c>
      <c r="X257" s="65">
        <f>ROUNDUP((SUMIFS('ON Call_Call Out Activities'!$L:$L,'ON Call_Call Out Activities'!$F:$F,"Workdays",'ON Call_Call Out Activities'!$B:$B,CPY!B257))*24,1)</f>
        <v>0</v>
      </c>
      <c r="Y257" s="64">
        <f>ROUNDUP((SUMIFS('ON Call_Call Out Activities'!$L:$L,'ON Call_Call Out Activities'!$F:$F,"Non_workdays",'ON Call_Call Out Activities'!$B:$B,CPY!B257)) *24,1)</f>
        <v>0</v>
      </c>
      <c r="Z257" s="63">
        <f>ROUNDUP((SUMIFS('ON Call_Call Out Activities'!$M:$M,'ON Call_Call Out Activities'!$F:$F,"Non_workdays",'ON Call_Call Out Activities'!$B:$B,CPY!B257)),1) + ROUNDUP((SUMIFS('ON Call_Call Out Activities'!$M:$M,'ON Call_Call Out Activities'!$F:$F,"Workdays",'ON Call_Call Out Activities'!$B:$B,CPY!B257)),1)</f>
        <v>0</v>
      </c>
      <c r="AA257" s="66"/>
      <c r="AB257" s="64">
        <f>ROUNDUP((SUMIFS('ON Call_Call Out Activities'!$L:$L,'ON Call_Call Out Activities'!$F:$F,"Call_Out",'ON Call_Call Out Activities'!$B:$B,CPY!B257)) *24,1)</f>
        <v>0</v>
      </c>
      <c r="AC257" s="63">
        <f>ROUNDUP((SUMIFS('ON Call_Call Out Activities'!$M:$M,'ON Call_Call Out Activities'!$F:$F,"Call_Out",'ON Call_Call Out Activities'!$B:$B,CPY!B257)),1)</f>
        <v>0</v>
      </c>
      <c r="AE257" s="65">
        <f>IF((SUMIF(Shift_allowance_Entries!$B:$B,CPY!$B257,Shift_allowance_Entries!$H:$H)) &gt; (SUMIF(Shift_allowance_Entries!$B:$B,CPY!$B257,Shift_allowance_Entries!$G:$G)),0,((SUMIF(Shift_allowance_Entries!$B:$B,CPY!$B257,Shift_allowance_Entries!$G:$G))-(SUMIF(Shift_allowance_Entries!$B:$B,CPY!$B257,Shift_allowance_Entries!$H:$H))))</f>
        <v>0</v>
      </c>
      <c r="AF257" s="63">
        <f>AE257*MD!$S$4</f>
        <v>0</v>
      </c>
    </row>
    <row r="258" spans="1:32" x14ac:dyDescent="0.25">
      <c r="A258" s="62">
        <v>256</v>
      </c>
      <c r="B258" s="62"/>
      <c r="C258" s="50" t="str">
        <f>IF(ISNA(VLOOKUP($B258,Summary!$B:$D,2,FALSE))=TRUE," ",VLOOKUP($B258,Summary!$B:$D,2,FALSE))</f>
        <v> </v>
      </c>
      <c r="D258" s="50" t="str">
        <f>IF(ISNA(VLOOKUP($B258,Summary!$B:$D,3,FALSE))=TRUE," ",VLOOKUP($B258,Summary!$B:$D,3,FALSE))</f>
        <v> </v>
      </c>
      <c r="E258" s="62"/>
      <c r="F258" s="62"/>
      <c r="G258" s="62"/>
      <c r="I258" s="63">
        <f t="shared" si="3"/>
        <v>0</v>
      </c>
      <c r="K258" s="64">
        <f>IF(E258="Support(L1_L2)",IF(NOT(ISBLANK(B258)),IF(NOT(ISBLANK(D258)),NETWORKDAYS('CPY TOC'!$F$5,'CPY TOC'!$G$5))))-L258</f>
        <v>0</v>
      </c>
      <c r="L258" s="64">
        <f>IF(E258="Support(L1_L2)",SUMIFS(Support_allowance_Entries!$G:$G,Support_allowance_Entries!$B:$B,CPY!B258),0)</f>
        <v>0</v>
      </c>
      <c r="M258" s="63" t="b">
        <f>IF($D258="D0",MD!$C$4*(K258),IF($D258="D1",MD!$C$5*(K258),IF($D258="D2",MD!$C$6*(K258),IF($D258="D3",MD!$C$7*(K258),IF($D258="D4",MD!$C$8*(K258),IF($D258="D5",MD!$C$9*(K258),IF($D258="M1",MD!$C$10*(K258),IF($D258="T1",MD!$C$11*(K258)))))))))</f>
        <v>0</v>
      </c>
      <c r="O258" s="65">
        <f>SUMIFS(Shift_allowance_Entries!$G:$G,Shift_allowance_Entries!$F:$F,"6:30AM-03:30PM",Shift_allowance_Entries!$B:$B,CPY!$B258)</f>
        <v>0</v>
      </c>
      <c r="P258" s="65">
        <f>SUMIFS(Shift_allowance_Entries!$G:$G,Shift_allowance_Entries!$F:$F,"1-9PM/2:30PM-11:30PM",Shift_allowance_Entries!$B:$B,CPY!$B258)</f>
        <v>0</v>
      </c>
      <c r="Q258" s="65">
        <f>SUMIFS(Shift_allowance_Entries!$G:$G,Shift_allowance_Entries!$F:$F,"11PM-7AM",Shift_allowance_Entries!$B:$B,CPY!$B258)</f>
        <v>0</v>
      </c>
      <c r="R258" s="63">
        <f>(CPY!O258*MD!$F$4)+(CPY!P258*MD!$F$5)+(CPY!Q258*MD!$F$6)</f>
        <v>0</v>
      </c>
      <c r="T258" s="64">
        <f>ROUNDUP((SUMIFS('OOH Activities'!$K:$K,'OOH Activities'!$F:$F,"Non_workdays",'OOH Activities'!$B:$B,CPY!B258)) *24,1)</f>
        <v>0</v>
      </c>
      <c r="U258" s="64">
        <f>ROUNDUP((SUMIFS('OOH Activities'!$K:$K,'OOH Activities'!$F:$F,"Workdays",'OOH Activities'!$B:$B,CPY!B258)) *24,1)</f>
        <v>0</v>
      </c>
      <c r="V258" s="63">
        <f>ROUNDUP((SUMIFS('OOH Activities'!$L:$L,'OOH Activities'!$B:$B,CPY!B258)),1)</f>
        <v>0</v>
      </c>
      <c r="X258" s="65">
        <f>ROUNDUP((SUMIFS('ON Call_Call Out Activities'!$L:$L,'ON Call_Call Out Activities'!$F:$F,"Workdays",'ON Call_Call Out Activities'!$B:$B,CPY!B258))*24,1)</f>
        <v>0</v>
      </c>
      <c r="Y258" s="64">
        <f>ROUNDUP((SUMIFS('ON Call_Call Out Activities'!$L:$L,'ON Call_Call Out Activities'!$F:$F,"Non_workdays",'ON Call_Call Out Activities'!$B:$B,CPY!B258)) *24,1)</f>
        <v>0</v>
      </c>
      <c r="Z258" s="63">
        <f>ROUNDUP((SUMIFS('ON Call_Call Out Activities'!$M:$M,'ON Call_Call Out Activities'!$F:$F,"Non_workdays",'ON Call_Call Out Activities'!$B:$B,CPY!B258)),1) + ROUNDUP((SUMIFS('ON Call_Call Out Activities'!$M:$M,'ON Call_Call Out Activities'!$F:$F,"Workdays",'ON Call_Call Out Activities'!$B:$B,CPY!B258)),1)</f>
        <v>0</v>
      </c>
      <c r="AA258" s="66"/>
      <c r="AB258" s="64">
        <f>ROUNDUP((SUMIFS('ON Call_Call Out Activities'!$L:$L,'ON Call_Call Out Activities'!$F:$F,"Call_Out",'ON Call_Call Out Activities'!$B:$B,CPY!B258)) *24,1)</f>
        <v>0</v>
      </c>
      <c r="AC258" s="63">
        <f>ROUNDUP((SUMIFS('ON Call_Call Out Activities'!$M:$M,'ON Call_Call Out Activities'!$F:$F,"Call_Out",'ON Call_Call Out Activities'!$B:$B,CPY!B258)),1)</f>
        <v>0</v>
      </c>
      <c r="AE258" s="65">
        <f>IF((SUMIF(Shift_allowance_Entries!$B:$B,CPY!$B258,Shift_allowance_Entries!$H:$H)) &gt; (SUMIF(Shift_allowance_Entries!$B:$B,CPY!$B258,Shift_allowance_Entries!$G:$G)),0,((SUMIF(Shift_allowance_Entries!$B:$B,CPY!$B258,Shift_allowance_Entries!$G:$G))-(SUMIF(Shift_allowance_Entries!$B:$B,CPY!$B258,Shift_allowance_Entries!$H:$H))))</f>
        <v>0</v>
      </c>
      <c r="AF258" s="63">
        <f>AE258*MD!$S$4</f>
        <v>0</v>
      </c>
    </row>
    <row r="259" spans="1:32" x14ac:dyDescent="0.25">
      <c r="A259" s="62">
        <v>257</v>
      </c>
      <c r="B259" s="62"/>
      <c r="C259" s="50" t="str">
        <f>IF(ISNA(VLOOKUP($B259,Summary!$B:$D,2,FALSE))=TRUE," ",VLOOKUP($B259,Summary!$B:$D,2,FALSE))</f>
        <v> </v>
      </c>
      <c r="D259" s="50" t="str">
        <f>IF(ISNA(VLOOKUP($B259,Summary!$B:$D,3,FALSE))=TRUE," ",VLOOKUP($B259,Summary!$B:$D,3,FALSE))</f>
        <v> </v>
      </c>
      <c r="E259" s="62"/>
      <c r="F259" s="62"/>
      <c r="G259" s="62"/>
      <c r="I259" s="63">
        <f t="shared" ref="I259:I322" si="4">M259+R259+V259+Z259+AC259+AF259</f>
        <v>0</v>
      </c>
      <c r="K259" s="64">
        <f>IF(E259="Support(L1_L2)",IF(NOT(ISBLANK(B259)),IF(NOT(ISBLANK(D259)),NETWORKDAYS('CPY TOC'!$F$5,'CPY TOC'!$G$5))))-L259</f>
        <v>0</v>
      </c>
      <c r="L259" s="64">
        <f>IF(E259="Support(L1_L2)",SUMIFS(Support_allowance_Entries!$G:$G,Support_allowance_Entries!$B:$B,CPY!B259),0)</f>
        <v>0</v>
      </c>
      <c r="M259" s="63" t="b">
        <f>IF($D259="D0",MD!$C$4*(K259),IF($D259="D1",MD!$C$5*(K259),IF($D259="D2",MD!$C$6*(K259),IF($D259="D3",MD!$C$7*(K259),IF($D259="D4",MD!$C$8*(K259),IF($D259="D5",MD!$C$9*(K259),IF($D259="M1",MD!$C$10*(K259),IF($D259="T1",MD!$C$11*(K259)))))))))</f>
        <v>0</v>
      </c>
      <c r="O259" s="65">
        <f>SUMIFS(Shift_allowance_Entries!$G:$G,Shift_allowance_Entries!$F:$F,"6:30AM-03:30PM",Shift_allowance_Entries!$B:$B,CPY!$B259)</f>
        <v>0</v>
      </c>
      <c r="P259" s="65">
        <f>SUMIFS(Shift_allowance_Entries!$G:$G,Shift_allowance_Entries!$F:$F,"1-9PM/2:30PM-11:30PM",Shift_allowance_Entries!$B:$B,CPY!$B259)</f>
        <v>0</v>
      </c>
      <c r="Q259" s="65">
        <f>SUMIFS(Shift_allowance_Entries!$G:$G,Shift_allowance_Entries!$F:$F,"11PM-7AM",Shift_allowance_Entries!$B:$B,CPY!$B259)</f>
        <v>0</v>
      </c>
      <c r="R259" s="63">
        <f>(CPY!O259*MD!$F$4)+(CPY!P259*MD!$F$5)+(CPY!Q259*MD!$F$6)</f>
        <v>0</v>
      </c>
      <c r="T259" s="64">
        <f>ROUNDUP((SUMIFS('OOH Activities'!$K:$K,'OOH Activities'!$F:$F,"Non_workdays",'OOH Activities'!$B:$B,CPY!B259)) *24,1)</f>
        <v>0</v>
      </c>
      <c r="U259" s="64">
        <f>ROUNDUP((SUMIFS('OOH Activities'!$K:$K,'OOH Activities'!$F:$F,"Workdays",'OOH Activities'!$B:$B,CPY!B259)) *24,1)</f>
        <v>0</v>
      </c>
      <c r="V259" s="63">
        <f>ROUNDUP((SUMIFS('OOH Activities'!$L:$L,'OOH Activities'!$B:$B,CPY!B259)),1)</f>
        <v>0</v>
      </c>
      <c r="X259" s="65">
        <f>ROUNDUP((SUMIFS('ON Call_Call Out Activities'!$L:$L,'ON Call_Call Out Activities'!$F:$F,"Workdays",'ON Call_Call Out Activities'!$B:$B,CPY!B259))*24,1)</f>
        <v>0</v>
      </c>
      <c r="Y259" s="64">
        <f>ROUNDUP((SUMIFS('ON Call_Call Out Activities'!$L:$L,'ON Call_Call Out Activities'!$F:$F,"Non_workdays",'ON Call_Call Out Activities'!$B:$B,CPY!B259)) *24,1)</f>
        <v>0</v>
      </c>
      <c r="Z259" s="63">
        <f>ROUNDUP((SUMIFS('ON Call_Call Out Activities'!$M:$M,'ON Call_Call Out Activities'!$F:$F,"Non_workdays",'ON Call_Call Out Activities'!$B:$B,CPY!B259)),1) + ROUNDUP((SUMIFS('ON Call_Call Out Activities'!$M:$M,'ON Call_Call Out Activities'!$F:$F,"Workdays",'ON Call_Call Out Activities'!$B:$B,CPY!B259)),1)</f>
        <v>0</v>
      </c>
      <c r="AA259" s="66"/>
      <c r="AB259" s="64">
        <f>ROUNDUP((SUMIFS('ON Call_Call Out Activities'!$L:$L,'ON Call_Call Out Activities'!$F:$F,"Call_Out",'ON Call_Call Out Activities'!$B:$B,CPY!B259)) *24,1)</f>
        <v>0</v>
      </c>
      <c r="AC259" s="63">
        <f>ROUNDUP((SUMIFS('ON Call_Call Out Activities'!$M:$M,'ON Call_Call Out Activities'!$F:$F,"Call_Out",'ON Call_Call Out Activities'!$B:$B,CPY!B259)),1)</f>
        <v>0</v>
      </c>
      <c r="AE259" s="65">
        <f>IF((SUMIF(Shift_allowance_Entries!$B:$B,CPY!$B259,Shift_allowance_Entries!$H:$H)) &gt; (SUMIF(Shift_allowance_Entries!$B:$B,CPY!$B259,Shift_allowance_Entries!$G:$G)),0,((SUMIF(Shift_allowance_Entries!$B:$B,CPY!$B259,Shift_allowance_Entries!$G:$G))-(SUMIF(Shift_allowance_Entries!$B:$B,CPY!$B259,Shift_allowance_Entries!$H:$H))))</f>
        <v>0</v>
      </c>
      <c r="AF259" s="63">
        <f>AE259*MD!$S$4</f>
        <v>0</v>
      </c>
    </row>
    <row r="260" spans="1:32" x14ac:dyDescent="0.25">
      <c r="A260" s="62">
        <v>258</v>
      </c>
      <c r="B260" s="62"/>
      <c r="C260" s="50" t="str">
        <f>IF(ISNA(VLOOKUP($B260,Summary!$B:$D,2,FALSE))=TRUE," ",VLOOKUP($B260,Summary!$B:$D,2,FALSE))</f>
        <v> </v>
      </c>
      <c r="D260" s="50" t="str">
        <f>IF(ISNA(VLOOKUP($B260,Summary!$B:$D,3,FALSE))=TRUE," ",VLOOKUP($B260,Summary!$B:$D,3,FALSE))</f>
        <v> </v>
      </c>
      <c r="E260" s="62"/>
      <c r="F260" s="62"/>
      <c r="G260" s="62"/>
      <c r="I260" s="63">
        <f t="shared" si="4"/>
        <v>0</v>
      </c>
      <c r="K260" s="64">
        <f>IF(E260="Support(L1_L2)",IF(NOT(ISBLANK(B260)),IF(NOT(ISBLANK(D260)),NETWORKDAYS('CPY TOC'!$F$5,'CPY TOC'!$G$5))))-L260</f>
        <v>0</v>
      </c>
      <c r="L260" s="64">
        <f>IF(E260="Support(L1_L2)",SUMIFS(Support_allowance_Entries!$G:$G,Support_allowance_Entries!$B:$B,CPY!B260),0)</f>
        <v>0</v>
      </c>
      <c r="M260" s="63" t="b">
        <f>IF($D260="D0",MD!$C$4*(K260),IF($D260="D1",MD!$C$5*(K260),IF($D260="D2",MD!$C$6*(K260),IF($D260="D3",MD!$C$7*(K260),IF($D260="D4",MD!$C$8*(K260),IF($D260="D5",MD!$C$9*(K260),IF($D260="M1",MD!$C$10*(K260),IF($D260="T1",MD!$C$11*(K260)))))))))</f>
        <v>0</v>
      </c>
      <c r="O260" s="65">
        <f>SUMIFS(Shift_allowance_Entries!$G:$G,Shift_allowance_Entries!$F:$F,"6:30AM-03:30PM",Shift_allowance_Entries!$B:$B,CPY!$B260)</f>
        <v>0</v>
      </c>
      <c r="P260" s="65">
        <f>SUMIFS(Shift_allowance_Entries!$G:$G,Shift_allowance_Entries!$F:$F,"1-9PM/2:30PM-11:30PM",Shift_allowance_Entries!$B:$B,CPY!$B260)</f>
        <v>0</v>
      </c>
      <c r="Q260" s="65">
        <f>SUMIFS(Shift_allowance_Entries!$G:$G,Shift_allowance_Entries!$F:$F,"11PM-7AM",Shift_allowance_Entries!$B:$B,CPY!$B260)</f>
        <v>0</v>
      </c>
      <c r="R260" s="63">
        <f>(CPY!O260*MD!$F$4)+(CPY!P260*MD!$F$5)+(CPY!Q260*MD!$F$6)</f>
        <v>0</v>
      </c>
      <c r="T260" s="64">
        <f>ROUNDUP((SUMIFS('OOH Activities'!$K:$K,'OOH Activities'!$F:$F,"Non_workdays",'OOH Activities'!$B:$B,CPY!B260)) *24,1)</f>
        <v>0</v>
      </c>
      <c r="U260" s="64">
        <f>ROUNDUP((SUMIFS('OOH Activities'!$K:$K,'OOH Activities'!$F:$F,"Workdays",'OOH Activities'!$B:$B,CPY!B260)) *24,1)</f>
        <v>0</v>
      </c>
      <c r="V260" s="63">
        <f>ROUNDUP((SUMIFS('OOH Activities'!$L:$L,'OOH Activities'!$B:$B,CPY!B260)),1)</f>
        <v>0</v>
      </c>
      <c r="X260" s="65">
        <f>ROUNDUP((SUMIFS('ON Call_Call Out Activities'!$L:$L,'ON Call_Call Out Activities'!$F:$F,"Workdays",'ON Call_Call Out Activities'!$B:$B,CPY!B260))*24,1)</f>
        <v>0</v>
      </c>
      <c r="Y260" s="64">
        <f>ROUNDUP((SUMIFS('ON Call_Call Out Activities'!$L:$L,'ON Call_Call Out Activities'!$F:$F,"Non_workdays",'ON Call_Call Out Activities'!$B:$B,CPY!B260)) *24,1)</f>
        <v>0</v>
      </c>
      <c r="Z260" s="63">
        <f>ROUNDUP((SUMIFS('ON Call_Call Out Activities'!$M:$M,'ON Call_Call Out Activities'!$F:$F,"Non_workdays",'ON Call_Call Out Activities'!$B:$B,CPY!B260)),1) + ROUNDUP((SUMIFS('ON Call_Call Out Activities'!$M:$M,'ON Call_Call Out Activities'!$F:$F,"Workdays",'ON Call_Call Out Activities'!$B:$B,CPY!B260)),1)</f>
        <v>0</v>
      </c>
      <c r="AA260" s="66"/>
      <c r="AB260" s="64">
        <f>ROUNDUP((SUMIFS('ON Call_Call Out Activities'!$L:$L,'ON Call_Call Out Activities'!$F:$F,"Call_Out",'ON Call_Call Out Activities'!$B:$B,CPY!B260)) *24,1)</f>
        <v>0</v>
      </c>
      <c r="AC260" s="63">
        <f>ROUNDUP((SUMIFS('ON Call_Call Out Activities'!$M:$M,'ON Call_Call Out Activities'!$F:$F,"Call_Out",'ON Call_Call Out Activities'!$B:$B,CPY!B260)),1)</f>
        <v>0</v>
      </c>
      <c r="AE260" s="65">
        <f>IF((SUMIF(Shift_allowance_Entries!$B:$B,CPY!$B260,Shift_allowance_Entries!$H:$H)) &gt; (SUMIF(Shift_allowance_Entries!$B:$B,CPY!$B260,Shift_allowance_Entries!$G:$G)),0,((SUMIF(Shift_allowance_Entries!$B:$B,CPY!$B260,Shift_allowance_Entries!$G:$G))-(SUMIF(Shift_allowance_Entries!$B:$B,CPY!$B260,Shift_allowance_Entries!$H:$H))))</f>
        <v>0</v>
      </c>
      <c r="AF260" s="63">
        <f>AE260*MD!$S$4</f>
        <v>0</v>
      </c>
    </row>
    <row r="261" spans="1:32" x14ac:dyDescent="0.25">
      <c r="A261" s="62">
        <v>259</v>
      </c>
      <c r="B261" s="62"/>
      <c r="C261" s="50" t="str">
        <f>IF(ISNA(VLOOKUP($B261,Summary!$B:$D,2,FALSE))=TRUE," ",VLOOKUP($B261,Summary!$B:$D,2,FALSE))</f>
        <v> </v>
      </c>
      <c r="D261" s="50" t="str">
        <f>IF(ISNA(VLOOKUP($B261,Summary!$B:$D,3,FALSE))=TRUE," ",VLOOKUP($B261,Summary!$B:$D,3,FALSE))</f>
        <v> </v>
      </c>
      <c r="E261" s="62"/>
      <c r="F261" s="62"/>
      <c r="G261" s="62"/>
      <c r="I261" s="63">
        <f t="shared" si="4"/>
        <v>0</v>
      </c>
      <c r="K261" s="64">
        <f>IF(E261="Support(L1_L2)",IF(NOT(ISBLANK(B261)),IF(NOT(ISBLANK(D261)),NETWORKDAYS('CPY TOC'!$F$5,'CPY TOC'!$G$5))))-L261</f>
        <v>0</v>
      </c>
      <c r="L261" s="64">
        <f>IF(E261="Support(L1_L2)",SUMIFS(Support_allowance_Entries!$G:$G,Support_allowance_Entries!$B:$B,CPY!B261),0)</f>
        <v>0</v>
      </c>
      <c r="M261" s="63" t="b">
        <f>IF($D261="D0",MD!$C$4*(K261),IF($D261="D1",MD!$C$5*(K261),IF($D261="D2",MD!$C$6*(K261),IF($D261="D3",MD!$C$7*(K261),IF($D261="D4",MD!$C$8*(K261),IF($D261="D5",MD!$C$9*(K261),IF($D261="M1",MD!$C$10*(K261),IF($D261="T1",MD!$C$11*(K261)))))))))</f>
        <v>0</v>
      </c>
      <c r="O261" s="65">
        <f>SUMIFS(Shift_allowance_Entries!$G:$G,Shift_allowance_Entries!$F:$F,"6:30AM-03:30PM",Shift_allowance_Entries!$B:$B,CPY!$B261)</f>
        <v>0</v>
      </c>
      <c r="P261" s="65">
        <f>SUMIFS(Shift_allowance_Entries!$G:$G,Shift_allowance_Entries!$F:$F,"1-9PM/2:30PM-11:30PM",Shift_allowance_Entries!$B:$B,CPY!$B261)</f>
        <v>0</v>
      </c>
      <c r="Q261" s="65">
        <f>SUMIFS(Shift_allowance_Entries!$G:$G,Shift_allowance_Entries!$F:$F,"11PM-7AM",Shift_allowance_Entries!$B:$B,CPY!$B261)</f>
        <v>0</v>
      </c>
      <c r="R261" s="63">
        <f>(CPY!O261*MD!$F$4)+(CPY!P261*MD!$F$5)+(CPY!Q261*MD!$F$6)</f>
        <v>0</v>
      </c>
      <c r="T261" s="64">
        <f>ROUNDUP((SUMIFS('OOH Activities'!$K:$K,'OOH Activities'!$F:$F,"Non_workdays",'OOH Activities'!$B:$B,CPY!B261)) *24,1)</f>
        <v>0</v>
      </c>
      <c r="U261" s="64">
        <f>ROUNDUP((SUMIFS('OOH Activities'!$K:$K,'OOH Activities'!$F:$F,"Workdays",'OOH Activities'!$B:$B,CPY!B261)) *24,1)</f>
        <v>0</v>
      </c>
      <c r="V261" s="63">
        <f>ROUNDUP((SUMIFS('OOH Activities'!$L:$L,'OOH Activities'!$B:$B,CPY!B261)),1)</f>
        <v>0</v>
      </c>
      <c r="X261" s="65">
        <f>ROUNDUP((SUMIFS('ON Call_Call Out Activities'!$L:$L,'ON Call_Call Out Activities'!$F:$F,"Workdays",'ON Call_Call Out Activities'!$B:$B,CPY!B261))*24,1)</f>
        <v>0</v>
      </c>
      <c r="Y261" s="64">
        <f>ROUNDUP((SUMIFS('ON Call_Call Out Activities'!$L:$L,'ON Call_Call Out Activities'!$F:$F,"Non_workdays",'ON Call_Call Out Activities'!$B:$B,CPY!B261)) *24,1)</f>
        <v>0</v>
      </c>
      <c r="Z261" s="63">
        <f>ROUNDUP((SUMIFS('ON Call_Call Out Activities'!$M:$M,'ON Call_Call Out Activities'!$F:$F,"Non_workdays",'ON Call_Call Out Activities'!$B:$B,CPY!B261)),1) + ROUNDUP((SUMIFS('ON Call_Call Out Activities'!$M:$M,'ON Call_Call Out Activities'!$F:$F,"Workdays",'ON Call_Call Out Activities'!$B:$B,CPY!B261)),1)</f>
        <v>0</v>
      </c>
      <c r="AA261" s="66"/>
      <c r="AB261" s="64">
        <f>ROUNDUP((SUMIFS('ON Call_Call Out Activities'!$L:$L,'ON Call_Call Out Activities'!$F:$F,"Call_Out",'ON Call_Call Out Activities'!$B:$B,CPY!B261)) *24,1)</f>
        <v>0</v>
      </c>
      <c r="AC261" s="63">
        <f>ROUNDUP((SUMIFS('ON Call_Call Out Activities'!$M:$M,'ON Call_Call Out Activities'!$F:$F,"Call_Out",'ON Call_Call Out Activities'!$B:$B,CPY!B261)),1)</f>
        <v>0</v>
      </c>
      <c r="AE261" s="65">
        <f>IF((SUMIF(Shift_allowance_Entries!$B:$B,CPY!$B261,Shift_allowance_Entries!$H:$H)) &gt; (SUMIF(Shift_allowance_Entries!$B:$B,CPY!$B261,Shift_allowance_Entries!$G:$G)),0,((SUMIF(Shift_allowance_Entries!$B:$B,CPY!$B261,Shift_allowance_Entries!$G:$G))-(SUMIF(Shift_allowance_Entries!$B:$B,CPY!$B261,Shift_allowance_Entries!$H:$H))))</f>
        <v>0</v>
      </c>
      <c r="AF261" s="63">
        <f>AE261*MD!$S$4</f>
        <v>0</v>
      </c>
    </row>
    <row r="262" spans="1:32" x14ac:dyDescent="0.25">
      <c r="A262" s="62">
        <v>260</v>
      </c>
      <c r="B262" s="62"/>
      <c r="C262" s="50" t="str">
        <f>IF(ISNA(VLOOKUP($B262,Summary!$B:$D,2,FALSE))=TRUE," ",VLOOKUP($B262,Summary!$B:$D,2,FALSE))</f>
        <v> </v>
      </c>
      <c r="D262" s="50" t="str">
        <f>IF(ISNA(VLOOKUP($B262,Summary!$B:$D,3,FALSE))=TRUE," ",VLOOKUP($B262,Summary!$B:$D,3,FALSE))</f>
        <v> </v>
      </c>
      <c r="E262" s="62"/>
      <c r="F262" s="62"/>
      <c r="G262" s="62"/>
      <c r="I262" s="63">
        <f t="shared" si="4"/>
        <v>0</v>
      </c>
      <c r="K262" s="64">
        <f>IF(E262="Support(L1_L2)",IF(NOT(ISBLANK(B262)),IF(NOT(ISBLANK(D262)),NETWORKDAYS('CPY TOC'!$F$5,'CPY TOC'!$G$5))))-L262</f>
        <v>0</v>
      </c>
      <c r="L262" s="64">
        <f>IF(E262="Support(L1_L2)",SUMIFS(Support_allowance_Entries!$G:$G,Support_allowance_Entries!$B:$B,CPY!B262),0)</f>
        <v>0</v>
      </c>
      <c r="M262" s="63" t="b">
        <f>IF($D262="D0",MD!$C$4*(K262),IF($D262="D1",MD!$C$5*(K262),IF($D262="D2",MD!$C$6*(K262),IF($D262="D3",MD!$C$7*(K262),IF($D262="D4",MD!$C$8*(K262),IF($D262="D5",MD!$C$9*(K262),IF($D262="M1",MD!$C$10*(K262),IF($D262="T1",MD!$C$11*(K262)))))))))</f>
        <v>0</v>
      </c>
      <c r="O262" s="65">
        <f>SUMIFS(Shift_allowance_Entries!$G:$G,Shift_allowance_Entries!$F:$F,"6:30AM-03:30PM",Shift_allowance_Entries!$B:$B,CPY!$B262)</f>
        <v>0</v>
      </c>
      <c r="P262" s="65">
        <f>SUMIFS(Shift_allowance_Entries!$G:$G,Shift_allowance_Entries!$F:$F,"1-9PM/2:30PM-11:30PM",Shift_allowance_Entries!$B:$B,CPY!$B262)</f>
        <v>0</v>
      </c>
      <c r="Q262" s="65">
        <f>SUMIFS(Shift_allowance_Entries!$G:$G,Shift_allowance_Entries!$F:$F,"11PM-7AM",Shift_allowance_Entries!$B:$B,CPY!$B262)</f>
        <v>0</v>
      </c>
      <c r="R262" s="63">
        <f>(CPY!O262*MD!$F$4)+(CPY!P262*MD!$F$5)+(CPY!Q262*MD!$F$6)</f>
        <v>0</v>
      </c>
      <c r="T262" s="64">
        <f>ROUNDUP((SUMIFS('OOH Activities'!$K:$K,'OOH Activities'!$F:$F,"Non_workdays",'OOH Activities'!$B:$B,CPY!B262)) *24,1)</f>
        <v>0</v>
      </c>
      <c r="U262" s="64">
        <f>ROUNDUP((SUMIFS('OOH Activities'!$K:$K,'OOH Activities'!$F:$F,"Workdays",'OOH Activities'!$B:$B,CPY!B262)) *24,1)</f>
        <v>0</v>
      </c>
      <c r="V262" s="63">
        <f>ROUNDUP((SUMIFS('OOH Activities'!$L:$L,'OOH Activities'!$B:$B,CPY!B262)),1)</f>
        <v>0</v>
      </c>
      <c r="X262" s="65">
        <f>ROUNDUP((SUMIFS('ON Call_Call Out Activities'!$L:$L,'ON Call_Call Out Activities'!$F:$F,"Workdays",'ON Call_Call Out Activities'!$B:$B,CPY!B262))*24,1)</f>
        <v>0</v>
      </c>
      <c r="Y262" s="64">
        <f>ROUNDUP((SUMIFS('ON Call_Call Out Activities'!$L:$L,'ON Call_Call Out Activities'!$F:$F,"Non_workdays",'ON Call_Call Out Activities'!$B:$B,CPY!B262)) *24,1)</f>
        <v>0</v>
      </c>
      <c r="Z262" s="63">
        <f>ROUNDUP((SUMIFS('ON Call_Call Out Activities'!$M:$M,'ON Call_Call Out Activities'!$F:$F,"Non_workdays",'ON Call_Call Out Activities'!$B:$B,CPY!B262)),1) + ROUNDUP((SUMIFS('ON Call_Call Out Activities'!$M:$M,'ON Call_Call Out Activities'!$F:$F,"Workdays",'ON Call_Call Out Activities'!$B:$B,CPY!B262)),1)</f>
        <v>0</v>
      </c>
      <c r="AA262" s="66"/>
      <c r="AB262" s="64">
        <f>ROUNDUP((SUMIFS('ON Call_Call Out Activities'!$L:$L,'ON Call_Call Out Activities'!$F:$F,"Call_Out",'ON Call_Call Out Activities'!$B:$B,CPY!B262)) *24,1)</f>
        <v>0</v>
      </c>
      <c r="AC262" s="63">
        <f>ROUNDUP((SUMIFS('ON Call_Call Out Activities'!$M:$M,'ON Call_Call Out Activities'!$F:$F,"Call_Out",'ON Call_Call Out Activities'!$B:$B,CPY!B262)),1)</f>
        <v>0</v>
      </c>
      <c r="AE262" s="65">
        <f>IF((SUMIF(Shift_allowance_Entries!$B:$B,CPY!$B262,Shift_allowance_Entries!$H:$H)) &gt; (SUMIF(Shift_allowance_Entries!$B:$B,CPY!$B262,Shift_allowance_Entries!$G:$G)),0,((SUMIF(Shift_allowance_Entries!$B:$B,CPY!$B262,Shift_allowance_Entries!$G:$G))-(SUMIF(Shift_allowance_Entries!$B:$B,CPY!$B262,Shift_allowance_Entries!$H:$H))))</f>
        <v>0</v>
      </c>
      <c r="AF262" s="63">
        <f>AE262*MD!$S$4</f>
        <v>0</v>
      </c>
    </row>
    <row r="263" spans="1:32" x14ac:dyDescent="0.25">
      <c r="A263" s="62">
        <v>261</v>
      </c>
      <c r="B263" s="62"/>
      <c r="C263" s="50" t="str">
        <f>IF(ISNA(VLOOKUP($B263,Summary!$B:$D,2,FALSE))=TRUE," ",VLOOKUP($B263,Summary!$B:$D,2,FALSE))</f>
        <v> </v>
      </c>
      <c r="D263" s="50" t="str">
        <f>IF(ISNA(VLOOKUP($B263,Summary!$B:$D,3,FALSE))=TRUE," ",VLOOKUP($B263,Summary!$B:$D,3,FALSE))</f>
        <v> </v>
      </c>
      <c r="E263" s="62"/>
      <c r="F263" s="62"/>
      <c r="G263" s="62"/>
      <c r="I263" s="63">
        <f t="shared" si="4"/>
        <v>0</v>
      </c>
      <c r="K263" s="64">
        <f>IF(E263="Support(L1_L2)",IF(NOT(ISBLANK(B263)),IF(NOT(ISBLANK(D263)),NETWORKDAYS('CPY TOC'!$F$5,'CPY TOC'!$G$5))))-L263</f>
        <v>0</v>
      </c>
      <c r="L263" s="64">
        <f>IF(E263="Support(L1_L2)",SUMIFS(Support_allowance_Entries!$G:$G,Support_allowance_Entries!$B:$B,CPY!B263),0)</f>
        <v>0</v>
      </c>
      <c r="M263" s="63" t="b">
        <f>IF($D263="D0",MD!$C$4*(K263),IF($D263="D1",MD!$C$5*(K263),IF($D263="D2",MD!$C$6*(K263),IF($D263="D3",MD!$C$7*(K263),IF($D263="D4",MD!$C$8*(K263),IF($D263="D5",MD!$C$9*(K263),IF($D263="M1",MD!$C$10*(K263),IF($D263="T1",MD!$C$11*(K263)))))))))</f>
        <v>0</v>
      </c>
      <c r="O263" s="65">
        <f>SUMIFS(Shift_allowance_Entries!$G:$G,Shift_allowance_Entries!$F:$F,"6:30AM-03:30PM",Shift_allowance_Entries!$B:$B,CPY!$B263)</f>
        <v>0</v>
      </c>
      <c r="P263" s="65">
        <f>SUMIFS(Shift_allowance_Entries!$G:$G,Shift_allowance_Entries!$F:$F,"1-9PM/2:30PM-11:30PM",Shift_allowance_Entries!$B:$B,CPY!$B263)</f>
        <v>0</v>
      </c>
      <c r="Q263" s="65">
        <f>SUMIFS(Shift_allowance_Entries!$G:$G,Shift_allowance_Entries!$F:$F,"11PM-7AM",Shift_allowance_Entries!$B:$B,CPY!$B263)</f>
        <v>0</v>
      </c>
      <c r="R263" s="63">
        <f>(CPY!O263*MD!$F$4)+(CPY!P263*MD!$F$5)+(CPY!Q263*MD!$F$6)</f>
        <v>0</v>
      </c>
      <c r="T263" s="64">
        <f>ROUNDUP((SUMIFS('OOH Activities'!$K:$K,'OOH Activities'!$F:$F,"Non_workdays",'OOH Activities'!$B:$B,CPY!B263)) *24,1)</f>
        <v>0</v>
      </c>
      <c r="U263" s="64">
        <f>ROUNDUP((SUMIFS('OOH Activities'!$K:$K,'OOH Activities'!$F:$F,"Workdays",'OOH Activities'!$B:$B,CPY!B263)) *24,1)</f>
        <v>0</v>
      </c>
      <c r="V263" s="63">
        <f>ROUNDUP((SUMIFS('OOH Activities'!$L:$L,'OOH Activities'!$B:$B,CPY!B263)),1)</f>
        <v>0</v>
      </c>
      <c r="X263" s="65">
        <f>ROUNDUP((SUMIFS('ON Call_Call Out Activities'!$L:$L,'ON Call_Call Out Activities'!$F:$F,"Workdays",'ON Call_Call Out Activities'!$B:$B,CPY!B263))*24,1)</f>
        <v>0</v>
      </c>
      <c r="Y263" s="64">
        <f>ROUNDUP((SUMIFS('ON Call_Call Out Activities'!$L:$L,'ON Call_Call Out Activities'!$F:$F,"Non_workdays",'ON Call_Call Out Activities'!$B:$B,CPY!B263)) *24,1)</f>
        <v>0</v>
      </c>
      <c r="Z263" s="63">
        <f>ROUNDUP((SUMIFS('ON Call_Call Out Activities'!$M:$M,'ON Call_Call Out Activities'!$F:$F,"Non_workdays",'ON Call_Call Out Activities'!$B:$B,CPY!B263)),1) + ROUNDUP((SUMIFS('ON Call_Call Out Activities'!$M:$M,'ON Call_Call Out Activities'!$F:$F,"Workdays",'ON Call_Call Out Activities'!$B:$B,CPY!B263)),1)</f>
        <v>0</v>
      </c>
      <c r="AA263" s="66"/>
      <c r="AB263" s="64">
        <f>ROUNDUP((SUMIFS('ON Call_Call Out Activities'!$L:$L,'ON Call_Call Out Activities'!$F:$F,"Call_Out",'ON Call_Call Out Activities'!$B:$B,CPY!B263)) *24,1)</f>
        <v>0</v>
      </c>
      <c r="AC263" s="63">
        <f>ROUNDUP((SUMIFS('ON Call_Call Out Activities'!$M:$M,'ON Call_Call Out Activities'!$F:$F,"Call_Out",'ON Call_Call Out Activities'!$B:$B,CPY!B263)),1)</f>
        <v>0</v>
      </c>
      <c r="AE263" s="65">
        <f>IF((SUMIF(Shift_allowance_Entries!$B:$B,CPY!$B263,Shift_allowance_Entries!$H:$H)) &gt; (SUMIF(Shift_allowance_Entries!$B:$B,CPY!$B263,Shift_allowance_Entries!$G:$G)),0,((SUMIF(Shift_allowance_Entries!$B:$B,CPY!$B263,Shift_allowance_Entries!$G:$G))-(SUMIF(Shift_allowance_Entries!$B:$B,CPY!$B263,Shift_allowance_Entries!$H:$H))))</f>
        <v>0</v>
      </c>
      <c r="AF263" s="63">
        <f>AE263*MD!$S$4</f>
        <v>0</v>
      </c>
    </row>
    <row r="264" spans="1:32" x14ac:dyDescent="0.25">
      <c r="A264" s="62">
        <v>262</v>
      </c>
      <c r="B264" s="62"/>
      <c r="C264" s="50" t="str">
        <f>IF(ISNA(VLOOKUP($B264,Summary!$B:$D,2,FALSE))=TRUE," ",VLOOKUP($B264,Summary!$B:$D,2,FALSE))</f>
        <v> </v>
      </c>
      <c r="D264" s="50" t="str">
        <f>IF(ISNA(VLOOKUP($B264,Summary!$B:$D,3,FALSE))=TRUE," ",VLOOKUP($B264,Summary!$B:$D,3,FALSE))</f>
        <v> </v>
      </c>
      <c r="E264" s="62"/>
      <c r="F264" s="62"/>
      <c r="G264" s="62"/>
      <c r="I264" s="63">
        <f t="shared" si="4"/>
        <v>0</v>
      </c>
      <c r="K264" s="64">
        <f>IF(E264="Support(L1_L2)",IF(NOT(ISBLANK(B264)),IF(NOT(ISBLANK(D264)),NETWORKDAYS('CPY TOC'!$F$5,'CPY TOC'!$G$5))))-L264</f>
        <v>0</v>
      </c>
      <c r="L264" s="64">
        <f>IF(E264="Support(L1_L2)",SUMIFS(Support_allowance_Entries!$G:$G,Support_allowance_Entries!$B:$B,CPY!B264),0)</f>
        <v>0</v>
      </c>
      <c r="M264" s="63" t="b">
        <f>IF($D264="D0",MD!$C$4*(K264),IF($D264="D1",MD!$C$5*(K264),IF($D264="D2",MD!$C$6*(K264),IF($D264="D3",MD!$C$7*(K264),IF($D264="D4",MD!$C$8*(K264),IF($D264="D5",MD!$C$9*(K264),IF($D264="M1",MD!$C$10*(K264),IF($D264="T1",MD!$C$11*(K264)))))))))</f>
        <v>0</v>
      </c>
      <c r="O264" s="65">
        <f>SUMIFS(Shift_allowance_Entries!$G:$G,Shift_allowance_Entries!$F:$F,"6:30AM-03:30PM",Shift_allowance_Entries!$B:$B,CPY!$B264)</f>
        <v>0</v>
      </c>
      <c r="P264" s="65">
        <f>SUMIFS(Shift_allowance_Entries!$G:$G,Shift_allowance_Entries!$F:$F,"1-9PM/2:30PM-11:30PM",Shift_allowance_Entries!$B:$B,CPY!$B264)</f>
        <v>0</v>
      </c>
      <c r="Q264" s="65">
        <f>SUMIFS(Shift_allowance_Entries!$G:$G,Shift_allowance_Entries!$F:$F,"11PM-7AM",Shift_allowance_Entries!$B:$B,CPY!$B264)</f>
        <v>0</v>
      </c>
      <c r="R264" s="63">
        <f>(CPY!O264*MD!$F$4)+(CPY!P264*MD!$F$5)+(CPY!Q264*MD!$F$6)</f>
        <v>0</v>
      </c>
      <c r="T264" s="64">
        <f>ROUNDUP((SUMIFS('OOH Activities'!$K:$K,'OOH Activities'!$F:$F,"Non_workdays",'OOH Activities'!$B:$B,CPY!B264)) *24,1)</f>
        <v>0</v>
      </c>
      <c r="U264" s="64">
        <f>ROUNDUP((SUMIFS('OOH Activities'!$K:$K,'OOH Activities'!$F:$F,"Workdays",'OOH Activities'!$B:$B,CPY!B264)) *24,1)</f>
        <v>0</v>
      </c>
      <c r="V264" s="63">
        <f>ROUNDUP((SUMIFS('OOH Activities'!$L:$L,'OOH Activities'!$B:$B,CPY!B264)),1)</f>
        <v>0</v>
      </c>
      <c r="X264" s="65">
        <f>ROUNDUP((SUMIFS('ON Call_Call Out Activities'!$L:$L,'ON Call_Call Out Activities'!$F:$F,"Workdays",'ON Call_Call Out Activities'!$B:$B,CPY!B264))*24,1)</f>
        <v>0</v>
      </c>
      <c r="Y264" s="64">
        <f>ROUNDUP((SUMIFS('ON Call_Call Out Activities'!$L:$L,'ON Call_Call Out Activities'!$F:$F,"Non_workdays",'ON Call_Call Out Activities'!$B:$B,CPY!B264)) *24,1)</f>
        <v>0</v>
      </c>
      <c r="Z264" s="63">
        <f>ROUNDUP((SUMIFS('ON Call_Call Out Activities'!$M:$M,'ON Call_Call Out Activities'!$F:$F,"Non_workdays",'ON Call_Call Out Activities'!$B:$B,CPY!B264)),1) + ROUNDUP((SUMIFS('ON Call_Call Out Activities'!$M:$M,'ON Call_Call Out Activities'!$F:$F,"Workdays",'ON Call_Call Out Activities'!$B:$B,CPY!B264)),1)</f>
        <v>0</v>
      </c>
      <c r="AA264" s="66"/>
      <c r="AB264" s="64">
        <f>ROUNDUP((SUMIFS('ON Call_Call Out Activities'!$L:$L,'ON Call_Call Out Activities'!$F:$F,"Call_Out",'ON Call_Call Out Activities'!$B:$B,CPY!B264)) *24,1)</f>
        <v>0</v>
      </c>
      <c r="AC264" s="63">
        <f>ROUNDUP((SUMIFS('ON Call_Call Out Activities'!$M:$M,'ON Call_Call Out Activities'!$F:$F,"Call_Out",'ON Call_Call Out Activities'!$B:$B,CPY!B264)),1)</f>
        <v>0</v>
      </c>
      <c r="AE264" s="65">
        <f>IF((SUMIF(Shift_allowance_Entries!$B:$B,CPY!$B264,Shift_allowance_Entries!$H:$H)) &gt; (SUMIF(Shift_allowance_Entries!$B:$B,CPY!$B264,Shift_allowance_Entries!$G:$G)),0,((SUMIF(Shift_allowance_Entries!$B:$B,CPY!$B264,Shift_allowance_Entries!$G:$G))-(SUMIF(Shift_allowance_Entries!$B:$B,CPY!$B264,Shift_allowance_Entries!$H:$H))))</f>
        <v>0</v>
      </c>
      <c r="AF264" s="63">
        <f>AE264*MD!$S$4</f>
        <v>0</v>
      </c>
    </row>
    <row r="265" spans="1:32" x14ac:dyDescent="0.25">
      <c r="A265" s="62">
        <v>263</v>
      </c>
      <c r="B265" s="62"/>
      <c r="C265" s="50" t="str">
        <f>IF(ISNA(VLOOKUP($B265,Summary!$B:$D,2,FALSE))=TRUE," ",VLOOKUP($B265,Summary!$B:$D,2,FALSE))</f>
        <v> </v>
      </c>
      <c r="D265" s="50" t="str">
        <f>IF(ISNA(VLOOKUP($B265,Summary!$B:$D,3,FALSE))=TRUE," ",VLOOKUP($B265,Summary!$B:$D,3,FALSE))</f>
        <v> </v>
      </c>
      <c r="E265" s="62"/>
      <c r="F265" s="62"/>
      <c r="G265" s="62"/>
      <c r="I265" s="63">
        <f t="shared" si="4"/>
        <v>0</v>
      </c>
      <c r="K265" s="64">
        <f>IF(E265="Support(L1_L2)",IF(NOT(ISBLANK(B265)),IF(NOT(ISBLANK(D265)),NETWORKDAYS('CPY TOC'!$F$5,'CPY TOC'!$G$5))))-L265</f>
        <v>0</v>
      </c>
      <c r="L265" s="64">
        <f>IF(E265="Support(L1_L2)",SUMIFS(Support_allowance_Entries!$G:$G,Support_allowance_Entries!$B:$B,CPY!B265),0)</f>
        <v>0</v>
      </c>
      <c r="M265" s="63" t="b">
        <f>IF($D265="D0",MD!$C$4*(K265),IF($D265="D1",MD!$C$5*(K265),IF($D265="D2",MD!$C$6*(K265),IF($D265="D3",MD!$C$7*(K265),IF($D265="D4",MD!$C$8*(K265),IF($D265="D5",MD!$C$9*(K265),IF($D265="M1",MD!$C$10*(K265),IF($D265="T1",MD!$C$11*(K265)))))))))</f>
        <v>0</v>
      </c>
      <c r="O265" s="65">
        <f>SUMIFS(Shift_allowance_Entries!$G:$G,Shift_allowance_Entries!$F:$F,"6:30AM-03:30PM",Shift_allowance_Entries!$B:$B,CPY!$B265)</f>
        <v>0</v>
      </c>
      <c r="P265" s="65">
        <f>SUMIFS(Shift_allowance_Entries!$G:$G,Shift_allowance_Entries!$F:$F,"1-9PM/2:30PM-11:30PM",Shift_allowance_Entries!$B:$B,CPY!$B265)</f>
        <v>0</v>
      </c>
      <c r="Q265" s="65">
        <f>SUMIFS(Shift_allowance_Entries!$G:$G,Shift_allowance_Entries!$F:$F,"11PM-7AM",Shift_allowance_Entries!$B:$B,CPY!$B265)</f>
        <v>0</v>
      </c>
      <c r="R265" s="63">
        <f>(CPY!O265*MD!$F$4)+(CPY!P265*MD!$F$5)+(CPY!Q265*MD!$F$6)</f>
        <v>0</v>
      </c>
      <c r="T265" s="64">
        <f>ROUNDUP((SUMIFS('OOH Activities'!$K:$K,'OOH Activities'!$F:$F,"Non_workdays",'OOH Activities'!$B:$B,CPY!B265)) *24,1)</f>
        <v>0</v>
      </c>
      <c r="U265" s="64">
        <f>ROUNDUP((SUMIFS('OOH Activities'!$K:$K,'OOH Activities'!$F:$F,"Workdays",'OOH Activities'!$B:$B,CPY!B265)) *24,1)</f>
        <v>0</v>
      </c>
      <c r="V265" s="63">
        <f>ROUNDUP((SUMIFS('OOH Activities'!$L:$L,'OOH Activities'!$B:$B,CPY!B265)),1)</f>
        <v>0</v>
      </c>
      <c r="X265" s="65">
        <f>ROUNDUP((SUMIFS('ON Call_Call Out Activities'!$L:$L,'ON Call_Call Out Activities'!$F:$F,"Workdays",'ON Call_Call Out Activities'!$B:$B,CPY!B265))*24,1)</f>
        <v>0</v>
      </c>
      <c r="Y265" s="64">
        <f>ROUNDUP((SUMIFS('ON Call_Call Out Activities'!$L:$L,'ON Call_Call Out Activities'!$F:$F,"Non_workdays",'ON Call_Call Out Activities'!$B:$B,CPY!B265)) *24,1)</f>
        <v>0</v>
      </c>
      <c r="Z265" s="63">
        <f>ROUNDUP((SUMIFS('ON Call_Call Out Activities'!$M:$M,'ON Call_Call Out Activities'!$F:$F,"Non_workdays",'ON Call_Call Out Activities'!$B:$B,CPY!B265)),1) + ROUNDUP((SUMIFS('ON Call_Call Out Activities'!$M:$M,'ON Call_Call Out Activities'!$F:$F,"Workdays",'ON Call_Call Out Activities'!$B:$B,CPY!B265)),1)</f>
        <v>0</v>
      </c>
      <c r="AA265" s="66"/>
      <c r="AB265" s="64">
        <f>ROUNDUP((SUMIFS('ON Call_Call Out Activities'!$L:$L,'ON Call_Call Out Activities'!$F:$F,"Call_Out",'ON Call_Call Out Activities'!$B:$B,CPY!B265)) *24,1)</f>
        <v>0</v>
      </c>
      <c r="AC265" s="63">
        <f>ROUNDUP((SUMIFS('ON Call_Call Out Activities'!$M:$M,'ON Call_Call Out Activities'!$F:$F,"Call_Out",'ON Call_Call Out Activities'!$B:$B,CPY!B265)),1)</f>
        <v>0</v>
      </c>
      <c r="AE265" s="65">
        <f>IF((SUMIF(Shift_allowance_Entries!$B:$B,CPY!$B265,Shift_allowance_Entries!$H:$H)) &gt; (SUMIF(Shift_allowance_Entries!$B:$B,CPY!$B265,Shift_allowance_Entries!$G:$G)),0,((SUMIF(Shift_allowance_Entries!$B:$B,CPY!$B265,Shift_allowance_Entries!$G:$G))-(SUMIF(Shift_allowance_Entries!$B:$B,CPY!$B265,Shift_allowance_Entries!$H:$H))))</f>
        <v>0</v>
      </c>
      <c r="AF265" s="63">
        <f>AE265*MD!$S$4</f>
        <v>0</v>
      </c>
    </row>
    <row r="266" spans="1:32" x14ac:dyDescent="0.25">
      <c r="A266" s="62">
        <v>264</v>
      </c>
      <c r="B266" s="62"/>
      <c r="C266" s="50" t="str">
        <f>IF(ISNA(VLOOKUP($B266,Summary!$B:$D,2,FALSE))=TRUE," ",VLOOKUP($B266,Summary!$B:$D,2,FALSE))</f>
        <v> </v>
      </c>
      <c r="D266" s="50" t="str">
        <f>IF(ISNA(VLOOKUP($B266,Summary!$B:$D,3,FALSE))=TRUE," ",VLOOKUP($B266,Summary!$B:$D,3,FALSE))</f>
        <v> </v>
      </c>
      <c r="E266" s="62"/>
      <c r="F266" s="62"/>
      <c r="G266" s="62"/>
      <c r="I266" s="63">
        <f t="shared" si="4"/>
        <v>0</v>
      </c>
      <c r="K266" s="64">
        <f>IF(E266="Support(L1_L2)",IF(NOT(ISBLANK(B266)),IF(NOT(ISBLANK(D266)),NETWORKDAYS('CPY TOC'!$F$5,'CPY TOC'!$G$5))))-L266</f>
        <v>0</v>
      </c>
      <c r="L266" s="64">
        <f>IF(E266="Support(L1_L2)",SUMIFS(Support_allowance_Entries!$G:$G,Support_allowance_Entries!$B:$B,CPY!B266),0)</f>
        <v>0</v>
      </c>
      <c r="M266" s="63" t="b">
        <f>IF($D266="D0",MD!$C$4*(K266),IF($D266="D1",MD!$C$5*(K266),IF($D266="D2",MD!$C$6*(K266),IF($D266="D3",MD!$C$7*(K266),IF($D266="D4",MD!$C$8*(K266),IF($D266="D5",MD!$C$9*(K266),IF($D266="M1",MD!$C$10*(K266),IF($D266="T1",MD!$C$11*(K266)))))))))</f>
        <v>0</v>
      </c>
      <c r="O266" s="65">
        <f>SUMIFS(Shift_allowance_Entries!$G:$G,Shift_allowance_Entries!$F:$F,"6:30AM-03:30PM",Shift_allowance_Entries!$B:$B,CPY!$B266)</f>
        <v>0</v>
      </c>
      <c r="P266" s="65">
        <f>SUMIFS(Shift_allowance_Entries!$G:$G,Shift_allowance_Entries!$F:$F,"1-9PM/2:30PM-11:30PM",Shift_allowance_Entries!$B:$B,CPY!$B266)</f>
        <v>0</v>
      </c>
      <c r="Q266" s="65">
        <f>SUMIFS(Shift_allowance_Entries!$G:$G,Shift_allowance_Entries!$F:$F,"11PM-7AM",Shift_allowance_Entries!$B:$B,CPY!$B266)</f>
        <v>0</v>
      </c>
      <c r="R266" s="63">
        <f>(CPY!O266*MD!$F$4)+(CPY!P266*MD!$F$5)+(CPY!Q266*MD!$F$6)</f>
        <v>0</v>
      </c>
      <c r="T266" s="64">
        <f>ROUNDUP((SUMIFS('OOH Activities'!$K:$K,'OOH Activities'!$F:$F,"Non_workdays",'OOH Activities'!$B:$B,CPY!B266)) *24,1)</f>
        <v>0</v>
      </c>
      <c r="U266" s="64">
        <f>ROUNDUP((SUMIFS('OOH Activities'!$K:$K,'OOH Activities'!$F:$F,"Workdays",'OOH Activities'!$B:$B,CPY!B266)) *24,1)</f>
        <v>0</v>
      </c>
      <c r="V266" s="63">
        <f>ROUNDUP((SUMIFS('OOH Activities'!$L:$L,'OOH Activities'!$B:$B,CPY!B266)),1)</f>
        <v>0</v>
      </c>
      <c r="X266" s="65">
        <f>ROUNDUP((SUMIFS('ON Call_Call Out Activities'!$L:$L,'ON Call_Call Out Activities'!$F:$F,"Workdays",'ON Call_Call Out Activities'!$B:$B,CPY!B266))*24,1)</f>
        <v>0</v>
      </c>
      <c r="Y266" s="64">
        <f>ROUNDUP((SUMIFS('ON Call_Call Out Activities'!$L:$L,'ON Call_Call Out Activities'!$F:$F,"Non_workdays",'ON Call_Call Out Activities'!$B:$B,CPY!B266)) *24,1)</f>
        <v>0</v>
      </c>
      <c r="Z266" s="63">
        <f>ROUNDUP((SUMIFS('ON Call_Call Out Activities'!$M:$M,'ON Call_Call Out Activities'!$F:$F,"Non_workdays",'ON Call_Call Out Activities'!$B:$B,CPY!B266)),1) + ROUNDUP((SUMIFS('ON Call_Call Out Activities'!$M:$M,'ON Call_Call Out Activities'!$F:$F,"Workdays",'ON Call_Call Out Activities'!$B:$B,CPY!B266)),1)</f>
        <v>0</v>
      </c>
      <c r="AA266" s="66"/>
      <c r="AB266" s="64">
        <f>ROUNDUP((SUMIFS('ON Call_Call Out Activities'!$L:$L,'ON Call_Call Out Activities'!$F:$F,"Call_Out",'ON Call_Call Out Activities'!$B:$B,CPY!B266)) *24,1)</f>
        <v>0</v>
      </c>
      <c r="AC266" s="63">
        <f>ROUNDUP((SUMIFS('ON Call_Call Out Activities'!$M:$M,'ON Call_Call Out Activities'!$F:$F,"Call_Out",'ON Call_Call Out Activities'!$B:$B,CPY!B266)),1)</f>
        <v>0</v>
      </c>
      <c r="AE266" s="65">
        <f>IF((SUMIF(Shift_allowance_Entries!$B:$B,CPY!$B266,Shift_allowance_Entries!$H:$H)) &gt; (SUMIF(Shift_allowance_Entries!$B:$B,CPY!$B266,Shift_allowance_Entries!$G:$G)),0,((SUMIF(Shift_allowance_Entries!$B:$B,CPY!$B266,Shift_allowance_Entries!$G:$G))-(SUMIF(Shift_allowance_Entries!$B:$B,CPY!$B266,Shift_allowance_Entries!$H:$H))))</f>
        <v>0</v>
      </c>
      <c r="AF266" s="63">
        <f>AE266*MD!$S$4</f>
        <v>0</v>
      </c>
    </row>
    <row r="267" spans="1:32" x14ac:dyDescent="0.25">
      <c r="A267" s="62">
        <v>265</v>
      </c>
      <c r="B267" s="62"/>
      <c r="C267" s="50" t="str">
        <f>IF(ISNA(VLOOKUP($B267,Summary!$B:$D,2,FALSE))=TRUE," ",VLOOKUP($B267,Summary!$B:$D,2,FALSE))</f>
        <v> </v>
      </c>
      <c r="D267" s="50" t="str">
        <f>IF(ISNA(VLOOKUP($B267,Summary!$B:$D,3,FALSE))=TRUE," ",VLOOKUP($B267,Summary!$B:$D,3,FALSE))</f>
        <v> </v>
      </c>
      <c r="E267" s="62"/>
      <c r="F267" s="62"/>
      <c r="G267" s="62"/>
      <c r="I267" s="63">
        <f t="shared" si="4"/>
        <v>0</v>
      </c>
      <c r="K267" s="64">
        <f>IF(E267="Support(L1_L2)",IF(NOT(ISBLANK(B267)),IF(NOT(ISBLANK(D267)),NETWORKDAYS('CPY TOC'!$F$5,'CPY TOC'!$G$5))))-L267</f>
        <v>0</v>
      </c>
      <c r="L267" s="64">
        <f>IF(E267="Support(L1_L2)",SUMIFS(Support_allowance_Entries!$G:$G,Support_allowance_Entries!$B:$B,CPY!B267),0)</f>
        <v>0</v>
      </c>
      <c r="M267" s="63" t="b">
        <f>IF($D267="D0",MD!$C$4*(K267),IF($D267="D1",MD!$C$5*(K267),IF($D267="D2",MD!$C$6*(K267),IF($D267="D3",MD!$C$7*(K267),IF($D267="D4",MD!$C$8*(K267),IF($D267="D5",MD!$C$9*(K267),IF($D267="M1",MD!$C$10*(K267),IF($D267="T1",MD!$C$11*(K267)))))))))</f>
        <v>0</v>
      </c>
      <c r="O267" s="65">
        <f>SUMIFS(Shift_allowance_Entries!$G:$G,Shift_allowance_Entries!$F:$F,"6:30AM-03:30PM",Shift_allowance_Entries!$B:$B,CPY!$B267)</f>
        <v>0</v>
      </c>
      <c r="P267" s="65">
        <f>SUMIFS(Shift_allowance_Entries!$G:$G,Shift_allowance_Entries!$F:$F,"1-9PM/2:30PM-11:30PM",Shift_allowance_Entries!$B:$B,CPY!$B267)</f>
        <v>0</v>
      </c>
      <c r="Q267" s="65">
        <f>SUMIFS(Shift_allowance_Entries!$G:$G,Shift_allowance_Entries!$F:$F,"11PM-7AM",Shift_allowance_Entries!$B:$B,CPY!$B267)</f>
        <v>0</v>
      </c>
      <c r="R267" s="63">
        <f>(CPY!O267*MD!$F$4)+(CPY!P267*MD!$F$5)+(CPY!Q267*MD!$F$6)</f>
        <v>0</v>
      </c>
      <c r="T267" s="64">
        <f>ROUNDUP((SUMIFS('OOH Activities'!$K:$K,'OOH Activities'!$F:$F,"Non_workdays",'OOH Activities'!$B:$B,CPY!B267)) *24,1)</f>
        <v>0</v>
      </c>
      <c r="U267" s="64">
        <f>ROUNDUP((SUMIFS('OOH Activities'!$K:$K,'OOH Activities'!$F:$F,"Workdays",'OOH Activities'!$B:$B,CPY!B267)) *24,1)</f>
        <v>0</v>
      </c>
      <c r="V267" s="63">
        <f>ROUNDUP((SUMIFS('OOH Activities'!$L:$L,'OOH Activities'!$B:$B,CPY!B267)),1)</f>
        <v>0</v>
      </c>
      <c r="X267" s="65">
        <f>ROUNDUP((SUMIFS('ON Call_Call Out Activities'!$L:$L,'ON Call_Call Out Activities'!$F:$F,"Workdays",'ON Call_Call Out Activities'!$B:$B,CPY!B267))*24,1)</f>
        <v>0</v>
      </c>
      <c r="Y267" s="64">
        <f>ROUNDUP((SUMIFS('ON Call_Call Out Activities'!$L:$L,'ON Call_Call Out Activities'!$F:$F,"Non_workdays",'ON Call_Call Out Activities'!$B:$B,CPY!B267)) *24,1)</f>
        <v>0</v>
      </c>
      <c r="Z267" s="63">
        <f>ROUNDUP((SUMIFS('ON Call_Call Out Activities'!$M:$M,'ON Call_Call Out Activities'!$F:$F,"Non_workdays",'ON Call_Call Out Activities'!$B:$B,CPY!B267)),1) + ROUNDUP((SUMIFS('ON Call_Call Out Activities'!$M:$M,'ON Call_Call Out Activities'!$F:$F,"Workdays",'ON Call_Call Out Activities'!$B:$B,CPY!B267)),1)</f>
        <v>0</v>
      </c>
      <c r="AA267" s="66"/>
      <c r="AB267" s="64">
        <f>ROUNDUP((SUMIFS('ON Call_Call Out Activities'!$L:$L,'ON Call_Call Out Activities'!$F:$F,"Call_Out",'ON Call_Call Out Activities'!$B:$B,CPY!B267)) *24,1)</f>
        <v>0</v>
      </c>
      <c r="AC267" s="63">
        <f>ROUNDUP((SUMIFS('ON Call_Call Out Activities'!$M:$M,'ON Call_Call Out Activities'!$F:$F,"Call_Out",'ON Call_Call Out Activities'!$B:$B,CPY!B267)),1)</f>
        <v>0</v>
      </c>
      <c r="AE267" s="65">
        <f>IF((SUMIF(Shift_allowance_Entries!$B:$B,CPY!$B267,Shift_allowance_Entries!$H:$H)) &gt; (SUMIF(Shift_allowance_Entries!$B:$B,CPY!$B267,Shift_allowance_Entries!$G:$G)),0,((SUMIF(Shift_allowance_Entries!$B:$B,CPY!$B267,Shift_allowance_Entries!$G:$G))-(SUMIF(Shift_allowance_Entries!$B:$B,CPY!$B267,Shift_allowance_Entries!$H:$H))))</f>
        <v>0</v>
      </c>
      <c r="AF267" s="63">
        <f>AE267*MD!$S$4</f>
        <v>0</v>
      </c>
    </row>
    <row r="268" spans="1:32" x14ac:dyDescent="0.25">
      <c r="A268" s="62">
        <v>266</v>
      </c>
      <c r="B268" s="62"/>
      <c r="C268" s="50" t="str">
        <f>IF(ISNA(VLOOKUP($B268,Summary!$B:$D,2,FALSE))=TRUE," ",VLOOKUP($B268,Summary!$B:$D,2,FALSE))</f>
        <v> </v>
      </c>
      <c r="D268" s="50" t="str">
        <f>IF(ISNA(VLOOKUP($B268,Summary!$B:$D,3,FALSE))=TRUE," ",VLOOKUP($B268,Summary!$B:$D,3,FALSE))</f>
        <v> </v>
      </c>
      <c r="E268" s="62"/>
      <c r="F268" s="62"/>
      <c r="G268" s="62"/>
      <c r="I268" s="63">
        <f t="shared" si="4"/>
        <v>0</v>
      </c>
      <c r="K268" s="64">
        <f>IF(E268="Support(L1_L2)",IF(NOT(ISBLANK(B268)),IF(NOT(ISBLANK(D268)),NETWORKDAYS('CPY TOC'!$F$5,'CPY TOC'!$G$5))))-L268</f>
        <v>0</v>
      </c>
      <c r="L268" s="64">
        <f>IF(E268="Support(L1_L2)",SUMIFS(Support_allowance_Entries!$G:$G,Support_allowance_Entries!$B:$B,CPY!B268),0)</f>
        <v>0</v>
      </c>
      <c r="M268" s="63" t="b">
        <f>IF($D268="D0",MD!$C$4*(K268),IF($D268="D1",MD!$C$5*(K268),IF($D268="D2",MD!$C$6*(K268),IF($D268="D3",MD!$C$7*(K268),IF($D268="D4",MD!$C$8*(K268),IF($D268="D5",MD!$C$9*(K268),IF($D268="M1",MD!$C$10*(K268),IF($D268="T1",MD!$C$11*(K268)))))))))</f>
        <v>0</v>
      </c>
      <c r="O268" s="65">
        <f>SUMIFS(Shift_allowance_Entries!$G:$G,Shift_allowance_Entries!$F:$F,"6:30AM-03:30PM",Shift_allowance_Entries!$B:$B,CPY!$B268)</f>
        <v>0</v>
      </c>
      <c r="P268" s="65">
        <f>SUMIFS(Shift_allowance_Entries!$G:$G,Shift_allowance_Entries!$F:$F,"1-9PM/2:30PM-11:30PM",Shift_allowance_Entries!$B:$B,CPY!$B268)</f>
        <v>0</v>
      </c>
      <c r="Q268" s="65">
        <f>SUMIFS(Shift_allowance_Entries!$G:$G,Shift_allowance_Entries!$F:$F,"11PM-7AM",Shift_allowance_Entries!$B:$B,CPY!$B268)</f>
        <v>0</v>
      </c>
      <c r="R268" s="63">
        <f>(CPY!O268*MD!$F$4)+(CPY!P268*MD!$F$5)+(CPY!Q268*MD!$F$6)</f>
        <v>0</v>
      </c>
      <c r="T268" s="64">
        <f>ROUNDUP((SUMIFS('OOH Activities'!$K:$K,'OOH Activities'!$F:$F,"Non_workdays",'OOH Activities'!$B:$B,CPY!B268)) *24,1)</f>
        <v>0</v>
      </c>
      <c r="U268" s="64">
        <f>ROUNDUP((SUMIFS('OOH Activities'!$K:$K,'OOH Activities'!$F:$F,"Workdays",'OOH Activities'!$B:$B,CPY!B268)) *24,1)</f>
        <v>0</v>
      </c>
      <c r="V268" s="63">
        <f>ROUNDUP((SUMIFS('OOH Activities'!$L:$L,'OOH Activities'!$B:$B,CPY!B268)),1)</f>
        <v>0</v>
      </c>
      <c r="X268" s="65">
        <f>ROUNDUP((SUMIFS('ON Call_Call Out Activities'!$L:$L,'ON Call_Call Out Activities'!$F:$F,"Workdays",'ON Call_Call Out Activities'!$B:$B,CPY!B268))*24,1)</f>
        <v>0</v>
      </c>
      <c r="Y268" s="64">
        <f>ROUNDUP((SUMIFS('ON Call_Call Out Activities'!$L:$L,'ON Call_Call Out Activities'!$F:$F,"Non_workdays",'ON Call_Call Out Activities'!$B:$B,CPY!B268)) *24,1)</f>
        <v>0</v>
      </c>
      <c r="Z268" s="63">
        <f>ROUNDUP((SUMIFS('ON Call_Call Out Activities'!$M:$M,'ON Call_Call Out Activities'!$F:$F,"Non_workdays",'ON Call_Call Out Activities'!$B:$B,CPY!B268)),1) + ROUNDUP((SUMIFS('ON Call_Call Out Activities'!$M:$M,'ON Call_Call Out Activities'!$F:$F,"Workdays",'ON Call_Call Out Activities'!$B:$B,CPY!B268)),1)</f>
        <v>0</v>
      </c>
      <c r="AA268" s="66"/>
      <c r="AB268" s="64">
        <f>ROUNDUP((SUMIFS('ON Call_Call Out Activities'!$L:$L,'ON Call_Call Out Activities'!$F:$F,"Call_Out",'ON Call_Call Out Activities'!$B:$B,CPY!B268)) *24,1)</f>
        <v>0</v>
      </c>
      <c r="AC268" s="63">
        <f>ROUNDUP((SUMIFS('ON Call_Call Out Activities'!$M:$M,'ON Call_Call Out Activities'!$F:$F,"Call_Out",'ON Call_Call Out Activities'!$B:$B,CPY!B268)),1)</f>
        <v>0</v>
      </c>
      <c r="AE268" s="65">
        <f>IF((SUMIF(Shift_allowance_Entries!$B:$B,CPY!$B268,Shift_allowance_Entries!$H:$H)) &gt; (SUMIF(Shift_allowance_Entries!$B:$B,CPY!$B268,Shift_allowance_Entries!$G:$G)),0,((SUMIF(Shift_allowance_Entries!$B:$B,CPY!$B268,Shift_allowance_Entries!$G:$G))-(SUMIF(Shift_allowance_Entries!$B:$B,CPY!$B268,Shift_allowance_Entries!$H:$H))))</f>
        <v>0</v>
      </c>
      <c r="AF268" s="63">
        <f>AE268*MD!$S$4</f>
        <v>0</v>
      </c>
    </row>
    <row r="269" spans="1:32" x14ac:dyDescent="0.25">
      <c r="A269" s="62">
        <v>267</v>
      </c>
      <c r="B269" s="62"/>
      <c r="C269" s="50" t="str">
        <f>IF(ISNA(VLOOKUP($B269,Summary!$B:$D,2,FALSE))=TRUE," ",VLOOKUP($B269,Summary!$B:$D,2,FALSE))</f>
        <v> </v>
      </c>
      <c r="D269" s="50" t="str">
        <f>IF(ISNA(VLOOKUP($B269,Summary!$B:$D,3,FALSE))=TRUE," ",VLOOKUP($B269,Summary!$B:$D,3,FALSE))</f>
        <v> </v>
      </c>
      <c r="E269" s="62"/>
      <c r="F269" s="62"/>
      <c r="G269" s="62"/>
      <c r="I269" s="63">
        <f t="shared" si="4"/>
        <v>0</v>
      </c>
      <c r="K269" s="64">
        <f>IF(E269="Support(L1_L2)",IF(NOT(ISBLANK(B269)),IF(NOT(ISBLANK(D269)),NETWORKDAYS('CPY TOC'!$F$5,'CPY TOC'!$G$5))))-L269</f>
        <v>0</v>
      </c>
      <c r="L269" s="64">
        <f>IF(E269="Support(L1_L2)",SUMIFS(Support_allowance_Entries!$G:$G,Support_allowance_Entries!$B:$B,CPY!B269),0)</f>
        <v>0</v>
      </c>
      <c r="M269" s="63" t="b">
        <f>IF($D269="D0",MD!$C$4*(K269),IF($D269="D1",MD!$C$5*(K269),IF($D269="D2",MD!$C$6*(K269),IF($D269="D3",MD!$C$7*(K269),IF($D269="D4",MD!$C$8*(K269),IF($D269="D5",MD!$C$9*(K269),IF($D269="M1",MD!$C$10*(K269),IF($D269="T1",MD!$C$11*(K269)))))))))</f>
        <v>0</v>
      </c>
      <c r="O269" s="65">
        <f>SUMIFS(Shift_allowance_Entries!$G:$G,Shift_allowance_Entries!$F:$F,"6:30AM-03:30PM",Shift_allowance_Entries!$B:$B,CPY!$B269)</f>
        <v>0</v>
      </c>
      <c r="P269" s="65">
        <f>SUMIFS(Shift_allowance_Entries!$G:$G,Shift_allowance_Entries!$F:$F,"1-9PM/2:30PM-11:30PM",Shift_allowance_Entries!$B:$B,CPY!$B269)</f>
        <v>0</v>
      </c>
      <c r="Q269" s="65">
        <f>SUMIFS(Shift_allowance_Entries!$G:$G,Shift_allowance_Entries!$F:$F,"11PM-7AM",Shift_allowance_Entries!$B:$B,CPY!$B269)</f>
        <v>0</v>
      </c>
      <c r="R269" s="63">
        <f>(CPY!O269*MD!$F$4)+(CPY!P269*MD!$F$5)+(CPY!Q269*MD!$F$6)</f>
        <v>0</v>
      </c>
      <c r="T269" s="64">
        <f>ROUNDUP((SUMIFS('OOH Activities'!$K:$K,'OOH Activities'!$F:$F,"Non_workdays",'OOH Activities'!$B:$B,CPY!B269)) *24,1)</f>
        <v>0</v>
      </c>
      <c r="U269" s="64">
        <f>ROUNDUP((SUMIFS('OOH Activities'!$K:$K,'OOH Activities'!$F:$F,"Workdays",'OOH Activities'!$B:$B,CPY!B269)) *24,1)</f>
        <v>0</v>
      </c>
      <c r="V269" s="63">
        <f>ROUNDUP((SUMIFS('OOH Activities'!$L:$L,'OOH Activities'!$B:$B,CPY!B269)),1)</f>
        <v>0</v>
      </c>
      <c r="X269" s="65">
        <f>ROUNDUP((SUMIFS('ON Call_Call Out Activities'!$L:$L,'ON Call_Call Out Activities'!$F:$F,"Workdays",'ON Call_Call Out Activities'!$B:$B,CPY!B269))*24,1)</f>
        <v>0</v>
      </c>
      <c r="Y269" s="64">
        <f>ROUNDUP((SUMIFS('ON Call_Call Out Activities'!$L:$L,'ON Call_Call Out Activities'!$F:$F,"Non_workdays",'ON Call_Call Out Activities'!$B:$B,CPY!B269)) *24,1)</f>
        <v>0</v>
      </c>
      <c r="Z269" s="63">
        <f>ROUNDUP((SUMIFS('ON Call_Call Out Activities'!$M:$M,'ON Call_Call Out Activities'!$F:$F,"Non_workdays",'ON Call_Call Out Activities'!$B:$B,CPY!B269)),1) + ROUNDUP((SUMIFS('ON Call_Call Out Activities'!$M:$M,'ON Call_Call Out Activities'!$F:$F,"Workdays",'ON Call_Call Out Activities'!$B:$B,CPY!B269)),1)</f>
        <v>0</v>
      </c>
      <c r="AA269" s="66"/>
      <c r="AB269" s="64">
        <f>ROUNDUP((SUMIFS('ON Call_Call Out Activities'!$L:$L,'ON Call_Call Out Activities'!$F:$F,"Call_Out",'ON Call_Call Out Activities'!$B:$B,CPY!B269)) *24,1)</f>
        <v>0</v>
      </c>
      <c r="AC269" s="63">
        <f>ROUNDUP((SUMIFS('ON Call_Call Out Activities'!$M:$M,'ON Call_Call Out Activities'!$F:$F,"Call_Out",'ON Call_Call Out Activities'!$B:$B,CPY!B269)),1)</f>
        <v>0</v>
      </c>
      <c r="AE269" s="65">
        <f>IF((SUMIF(Shift_allowance_Entries!$B:$B,CPY!$B269,Shift_allowance_Entries!$H:$H)) &gt; (SUMIF(Shift_allowance_Entries!$B:$B,CPY!$B269,Shift_allowance_Entries!$G:$G)),0,((SUMIF(Shift_allowance_Entries!$B:$B,CPY!$B269,Shift_allowance_Entries!$G:$G))-(SUMIF(Shift_allowance_Entries!$B:$B,CPY!$B269,Shift_allowance_Entries!$H:$H))))</f>
        <v>0</v>
      </c>
      <c r="AF269" s="63">
        <f>AE269*MD!$S$4</f>
        <v>0</v>
      </c>
    </row>
    <row r="270" spans="1:32" x14ac:dyDescent="0.25">
      <c r="A270" s="62">
        <v>268</v>
      </c>
      <c r="B270" s="62"/>
      <c r="C270" s="50" t="str">
        <f>IF(ISNA(VLOOKUP($B270,Summary!$B:$D,2,FALSE))=TRUE," ",VLOOKUP($B270,Summary!$B:$D,2,FALSE))</f>
        <v> </v>
      </c>
      <c r="D270" s="50" t="str">
        <f>IF(ISNA(VLOOKUP($B270,Summary!$B:$D,3,FALSE))=TRUE," ",VLOOKUP($B270,Summary!$B:$D,3,FALSE))</f>
        <v> </v>
      </c>
      <c r="E270" s="62"/>
      <c r="F270" s="62"/>
      <c r="G270" s="62"/>
      <c r="I270" s="63">
        <f t="shared" si="4"/>
        <v>0</v>
      </c>
      <c r="K270" s="64">
        <f>IF(E270="Support(L1_L2)",IF(NOT(ISBLANK(B270)),IF(NOT(ISBLANK(D270)),NETWORKDAYS('CPY TOC'!$F$5,'CPY TOC'!$G$5))))-L270</f>
        <v>0</v>
      </c>
      <c r="L270" s="64">
        <f>IF(E270="Support(L1_L2)",SUMIFS(Support_allowance_Entries!$G:$G,Support_allowance_Entries!$B:$B,CPY!B270),0)</f>
        <v>0</v>
      </c>
      <c r="M270" s="63" t="b">
        <f>IF($D270="D0",MD!$C$4*(K270),IF($D270="D1",MD!$C$5*(K270),IF($D270="D2",MD!$C$6*(K270),IF($D270="D3",MD!$C$7*(K270),IF($D270="D4",MD!$C$8*(K270),IF($D270="D5",MD!$C$9*(K270),IF($D270="M1",MD!$C$10*(K270),IF($D270="T1",MD!$C$11*(K270)))))))))</f>
        <v>0</v>
      </c>
      <c r="O270" s="65">
        <f>SUMIFS(Shift_allowance_Entries!$G:$G,Shift_allowance_Entries!$F:$F,"6:30AM-03:30PM",Shift_allowance_Entries!$B:$B,CPY!$B270)</f>
        <v>0</v>
      </c>
      <c r="P270" s="65">
        <f>SUMIFS(Shift_allowance_Entries!$G:$G,Shift_allowance_Entries!$F:$F,"1-9PM/2:30PM-11:30PM",Shift_allowance_Entries!$B:$B,CPY!$B270)</f>
        <v>0</v>
      </c>
      <c r="Q270" s="65">
        <f>SUMIFS(Shift_allowance_Entries!$G:$G,Shift_allowance_Entries!$F:$F,"11PM-7AM",Shift_allowance_Entries!$B:$B,CPY!$B270)</f>
        <v>0</v>
      </c>
      <c r="R270" s="63">
        <f>(CPY!O270*MD!$F$4)+(CPY!P270*MD!$F$5)+(CPY!Q270*MD!$F$6)</f>
        <v>0</v>
      </c>
      <c r="T270" s="64">
        <f>ROUNDUP((SUMIFS('OOH Activities'!$K:$K,'OOH Activities'!$F:$F,"Non_workdays",'OOH Activities'!$B:$B,CPY!B270)) *24,1)</f>
        <v>0</v>
      </c>
      <c r="U270" s="64">
        <f>ROUNDUP((SUMIFS('OOH Activities'!$K:$K,'OOH Activities'!$F:$F,"Workdays",'OOH Activities'!$B:$B,CPY!B270)) *24,1)</f>
        <v>0</v>
      </c>
      <c r="V270" s="63">
        <f>ROUNDUP((SUMIFS('OOH Activities'!$L:$L,'OOH Activities'!$B:$B,CPY!B270)),1)</f>
        <v>0</v>
      </c>
      <c r="X270" s="65">
        <f>ROUNDUP((SUMIFS('ON Call_Call Out Activities'!$L:$L,'ON Call_Call Out Activities'!$F:$F,"Workdays",'ON Call_Call Out Activities'!$B:$B,CPY!B270))*24,1)</f>
        <v>0</v>
      </c>
      <c r="Y270" s="64">
        <f>ROUNDUP((SUMIFS('ON Call_Call Out Activities'!$L:$L,'ON Call_Call Out Activities'!$F:$F,"Non_workdays",'ON Call_Call Out Activities'!$B:$B,CPY!B270)) *24,1)</f>
        <v>0</v>
      </c>
      <c r="Z270" s="63">
        <f>ROUNDUP((SUMIFS('ON Call_Call Out Activities'!$M:$M,'ON Call_Call Out Activities'!$F:$F,"Non_workdays",'ON Call_Call Out Activities'!$B:$B,CPY!B270)),1) + ROUNDUP((SUMIFS('ON Call_Call Out Activities'!$M:$M,'ON Call_Call Out Activities'!$F:$F,"Workdays",'ON Call_Call Out Activities'!$B:$B,CPY!B270)),1)</f>
        <v>0</v>
      </c>
      <c r="AA270" s="66"/>
      <c r="AB270" s="64">
        <f>ROUNDUP((SUMIFS('ON Call_Call Out Activities'!$L:$L,'ON Call_Call Out Activities'!$F:$F,"Call_Out",'ON Call_Call Out Activities'!$B:$B,CPY!B270)) *24,1)</f>
        <v>0</v>
      </c>
      <c r="AC270" s="63">
        <f>ROUNDUP((SUMIFS('ON Call_Call Out Activities'!$M:$M,'ON Call_Call Out Activities'!$F:$F,"Call_Out",'ON Call_Call Out Activities'!$B:$B,CPY!B270)),1)</f>
        <v>0</v>
      </c>
      <c r="AE270" s="65">
        <f>IF((SUMIF(Shift_allowance_Entries!$B:$B,CPY!$B270,Shift_allowance_Entries!$H:$H)) &gt; (SUMIF(Shift_allowance_Entries!$B:$B,CPY!$B270,Shift_allowance_Entries!$G:$G)),0,((SUMIF(Shift_allowance_Entries!$B:$B,CPY!$B270,Shift_allowance_Entries!$G:$G))-(SUMIF(Shift_allowance_Entries!$B:$B,CPY!$B270,Shift_allowance_Entries!$H:$H))))</f>
        <v>0</v>
      </c>
      <c r="AF270" s="63">
        <f>AE270*MD!$S$4</f>
        <v>0</v>
      </c>
    </row>
    <row r="271" spans="1:32" x14ac:dyDescent="0.25">
      <c r="A271" s="62">
        <v>269</v>
      </c>
      <c r="B271" s="62"/>
      <c r="C271" s="50" t="str">
        <f>IF(ISNA(VLOOKUP($B271,Summary!$B:$D,2,FALSE))=TRUE," ",VLOOKUP($B271,Summary!$B:$D,2,FALSE))</f>
        <v> </v>
      </c>
      <c r="D271" s="50" t="str">
        <f>IF(ISNA(VLOOKUP($B271,Summary!$B:$D,3,FALSE))=TRUE," ",VLOOKUP($B271,Summary!$B:$D,3,FALSE))</f>
        <v> </v>
      </c>
      <c r="E271" s="62"/>
      <c r="F271" s="62"/>
      <c r="G271" s="62"/>
      <c r="I271" s="63">
        <f t="shared" si="4"/>
        <v>0</v>
      </c>
      <c r="K271" s="64">
        <f>IF(E271="Support(L1_L2)",IF(NOT(ISBLANK(B271)),IF(NOT(ISBLANK(D271)),NETWORKDAYS('CPY TOC'!$F$5,'CPY TOC'!$G$5))))-L271</f>
        <v>0</v>
      </c>
      <c r="L271" s="64">
        <f>IF(E271="Support(L1_L2)",SUMIFS(Support_allowance_Entries!$G:$G,Support_allowance_Entries!$B:$B,CPY!B271),0)</f>
        <v>0</v>
      </c>
      <c r="M271" s="63" t="b">
        <f>IF($D271="D0",MD!$C$4*(K271),IF($D271="D1",MD!$C$5*(K271),IF($D271="D2",MD!$C$6*(K271),IF($D271="D3",MD!$C$7*(K271),IF($D271="D4",MD!$C$8*(K271),IF($D271="D5",MD!$C$9*(K271),IF($D271="M1",MD!$C$10*(K271),IF($D271="T1",MD!$C$11*(K271)))))))))</f>
        <v>0</v>
      </c>
      <c r="O271" s="65">
        <f>SUMIFS(Shift_allowance_Entries!$G:$G,Shift_allowance_Entries!$F:$F,"6:30AM-03:30PM",Shift_allowance_Entries!$B:$B,CPY!$B271)</f>
        <v>0</v>
      </c>
      <c r="P271" s="65">
        <f>SUMIFS(Shift_allowance_Entries!$G:$G,Shift_allowance_Entries!$F:$F,"1-9PM/2:30PM-11:30PM",Shift_allowance_Entries!$B:$B,CPY!$B271)</f>
        <v>0</v>
      </c>
      <c r="Q271" s="65">
        <f>SUMIFS(Shift_allowance_Entries!$G:$G,Shift_allowance_Entries!$F:$F,"11PM-7AM",Shift_allowance_Entries!$B:$B,CPY!$B271)</f>
        <v>0</v>
      </c>
      <c r="R271" s="63">
        <f>(CPY!O271*MD!$F$4)+(CPY!P271*MD!$F$5)+(CPY!Q271*MD!$F$6)</f>
        <v>0</v>
      </c>
      <c r="T271" s="64">
        <f>ROUNDUP((SUMIFS('OOH Activities'!$K:$K,'OOH Activities'!$F:$F,"Non_workdays",'OOH Activities'!$B:$B,CPY!B271)) *24,1)</f>
        <v>0</v>
      </c>
      <c r="U271" s="64">
        <f>ROUNDUP((SUMIFS('OOH Activities'!$K:$K,'OOH Activities'!$F:$F,"Workdays",'OOH Activities'!$B:$B,CPY!B271)) *24,1)</f>
        <v>0</v>
      </c>
      <c r="V271" s="63">
        <f>ROUNDUP((SUMIFS('OOH Activities'!$L:$L,'OOH Activities'!$B:$B,CPY!B271)),1)</f>
        <v>0</v>
      </c>
      <c r="X271" s="65">
        <f>ROUNDUP((SUMIFS('ON Call_Call Out Activities'!$L:$L,'ON Call_Call Out Activities'!$F:$F,"Workdays",'ON Call_Call Out Activities'!$B:$B,CPY!B271))*24,1)</f>
        <v>0</v>
      </c>
      <c r="Y271" s="64">
        <f>ROUNDUP((SUMIFS('ON Call_Call Out Activities'!$L:$L,'ON Call_Call Out Activities'!$F:$F,"Non_workdays",'ON Call_Call Out Activities'!$B:$B,CPY!B271)) *24,1)</f>
        <v>0</v>
      </c>
      <c r="Z271" s="63">
        <f>ROUNDUP((SUMIFS('ON Call_Call Out Activities'!$M:$M,'ON Call_Call Out Activities'!$F:$F,"Non_workdays",'ON Call_Call Out Activities'!$B:$B,CPY!B271)),1) + ROUNDUP((SUMIFS('ON Call_Call Out Activities'!$M:$M,'ON Call_Call Out Activities'!$F:$F,"Workdays",'ON Call_Call Out Activities'!$B:$B,CPY!B271)),1)</f>
        <v>0</v>
      </c>
      <c r="AA271" s="66"/>
      <c r="AB271" s="64">
        <f>ROUNDUP((SUMIFS('ON Call_Call Out Activities'!$L:$L,'ON Call_Call Out Activities'!$F:$F,"Call_Out",'ON Call_Call Out Activities'!$B:$B,CPY!B271)) *24,1)</f>
        <v>0</v>
      </c>
      <c r="AC271" s="63">
        <f>ROUNDUP((SUMIFS('ON Call_Call Out Activities'!$M:$M,'ON Call_Call Out Activities'!$F:$F,"Call_Out",'ON Call_Call Out Activities'!$B:$B,CPY!B271)),1)</f>
        <v>0</v>
      </c>
      <c r="AE271" s="65">
        <f>IF((SUMIF(Shift_allowance_Entries!$B:$B,CPY!$B271,Shift_allowance_Entries!$H:$H)) &gt; (SUMIF(Shift_allowance_Entries!$B:$B,CPY!$B271,Shift_allowance_Entries!$G:$G)),0,((SUMIF(Shift_allowance_Entries!$B:$B,CPY!$B271,Shift_allowance_Entries!$G:$G))-(SUMIF(Shift_allowance_Entries!$B:$B,CPY!$B271,Shift_allowance_Entries!$H:$H))))</f>
        <v>0</v>
      </c>
      <c r="AF271" s="63">
        <f>AE271*MD!$S$4</f>
        <v>0</v>
      </c>
    </row>
    <row r="272" spans="1:32" x14ac:dyDescent="0.25">
      <c r="A272" s="62">
        <v>270</v>
      </c>
      <c r="B272" s="62"/>
      <c r="C272" s="50" t="str">
        <f>IF(ISNA(VLOOKUP($B272,Summary!$B:$D,2,FALSE))=TRUE," ",VLOOKUP($B272,Summary!$B:$D,2,FALSE))</f>
        <v> </v>
      </c>
      <c r="D272" s="50" t="str">
        <f>IF(ISNA(VLOOKUP($B272,Summary!$B:$D,3,FALSE))=TRUE," ",VLOOKUP($B272,Summary!$B:$D,3,FALSE))</f>
        <v> </v>
      </c>
      <c r="E272" s="62"/>
      <c r="F272" s="62"/>
      <c r="G272" s="62"/>
      <c r="I272" s="63">
        <f t="shared" si="4"/>
        <v>0</v>
      </c>
      <c r="K272" s="64">
        <f>IF(E272="Support(L1_L2)",IF(NOT(ISBLANK(B272)),IF(NOT(ISBLANK(D272)),NETWORKDAYS('CPY TOC'!$F$5,'CPY TOC'!$G$5))))-L272</f>
        <v>0</v>
      </c>
      <c r="L272" s="64">
        <f>IF(E272="Support(L1_L2)",SUMIFS(Support_allowance_Entries!$G:$G,Support_allowance_Entries!$B:$B,CPY!B272),0)</f>
        <v>0</v>
      </c>
      <c r="M272" s="63" t="b">
        <f>IF($D272="D0",MD!$C$4*(K272),IF($D272="D1",MD!$C$5*(K272),IF($D272="D2",MD!$C$6*(K272),IF($D272="D3",MD!$C$7*(K272),IF($D272="D4",MD!$C$8*(K272),IF($D272="D5",MD!$C$9*(K272),IF($D272="M1",MD!$C$10*(K272),IF($D272="T1",MD!$C$11*(K272)))))))))</f>
        <v>0</v>
      </c>
      <c r="O272" s="65">
        <f>SUMIFS(Shift_allowance_Entries!$G:$G,Shift_allowance_Entries!$F:$F,"6:30AM-03:30PM",Shift_allowance_Entries!$B:$B,CPY!$B272)</f>
        <v>0</v>
      </c>
      <c r="P272" s="65">
        <f>SUMIFS(Shift_allowance_Entries!$G:$G,Shift_allowance_Entries!$F:$F,"1-9PM/2:30PM-11:30PM",Shift_allowance_Entries!$B:$B,CPY!$B272)</f>
        <v>0</v>
      </c>
      <c r="Q272" s="65">
        <f>SUMIFS(Shift_allowance_Entries!$G:$G,Shift_allowance_Entries!$F:$F,"11PM-7AM",Shift_allowance_Entries!$B:$B,CPY!$B272)</f>
        <v>0</v>
      </c>
      <c r="R272" s="63">
        <f>(CPY!O272*MD!$F$4)+(CPY!P272*MD!$F$5)+(CPY!Q272*MD!$F$6)</f>
        <v>0</v>
      </c>
      <c r="T272" s="64">
        <f>ROUNDUP((SUMIFS('OOH Activities'!$K:$K,'OOH Activities'!$F:$F,"Non_workdays",'OOH Activities'!$B:$B,CPY!B272)) *24,1)</f>
        <v>0</v>
      </c>
      <c r="U272" s="64">
        <f>ROUNDUP((SUMIFS('OOH Activities'!$K:$K,'OOH Activities'!$F:$F,"Workdays",'OOH Activities'!$B:$B,CPY!B272)) *24,1)</f>
        <v>0</v>
      </c>
      <c r="V272" s="63">
        <f>ROUNDUP((SUMIFS('OOH Activities'!$L:$L,'OOH Activities'!$B:$B,CPY!B272)),1)</f>
        <v>0</v>
      </c>
      <c r="X272" s="65">
        <f>ROUNDUP((SUMIFS('ON Call_Call Out Activities'!$L:$L,'ON Call_Call Out Activities'!$F:$F,"Workdays",'ON Call_Call Out Activities'!$B:$B,CPY!B272))*24,1)</f>
        <v>0</v>
      </c>
      <c r="Y272" s="64">
        <f>ROUNDUP((SUMIFS('ON Call_Call Out Activities'!$L:$L,'ON Call_Call Out Activities'!$F:$F,"Non_workdays",'ON Call_Call Out Activities'!$B:$B,CPY!B272)) *24,1)</f>
        <v>0</v>
      </c>
      <c r="Z272" s="63">
        <f>ROUNDUP((SUMIFS('ON Call_Call Out Activities'!$M:$M,'ON Call_Call Out Activities'!$F:$F,"Non_workdays",'ON Call_Call Out Activities'!$B:$B,CPY!B272)),1) + ROUNDUP((SUMIFS('ON Call_Call Out Activities'!$M:$M,'ON Call_Call Out Activities'!$F:$F,"Workdays",'ON Call_Call Out Activities'!$B:$B,CPY!B272)),1)</f>
        <v>0</v>
      </c>
      <c r="AA272" s="66"/>
      <c r="AB272" s="64">
        <f>ROUNDUP((SUMIFS('ON Call_Call Out Activities'!$L:$L,'ON Call_Call Out Activities'!$F:$F,"Call_Out",'ON Call_Call Out Activities'!$B:$B,CPY!B272)) *24,1)</f>
        <v>0</v>
      </c>
      <c r="AC272" s="63">
        <f>ROUNDUP((SUMIFS('ON Call_Call Out Activities'!$M:$M,'ON Call_Call Out Activities'!$F:$F,"Call_Out",'ON Call_Call Out Activities'!$B:$B,CPY!B272)),1)</f>
        <v>0</v>
      </c>
      <c r="AE272" s="65">
        <f>IF((SUMIF(Shift_allowance_Entries!$B:$B,CPY!$B272,Shift_allowance_Entries!$H:$H)) &gt; (SUMIF(Shift_allowance_Entries!$B:$B,CPY!$B272,Shift_allowance_Entries!$G:$G)),0,((SUMIF(Shift_allowance_Entries!$B:$B,CPY!$B272,Shift_allowance_Entries!$G:$G))-(SUMIF(Shift_allowance_Entries!$B:$B,CPY!$B272,Shift_allowance_Entries!$H:$H))))</f>
        <v>0</v>
      </c>
      <c r="AF272" s="63">
        <f>AE272*MD!$S$4</f>
        <v>0</v>
      </c>
    </row>
    <row r="273" spans="1:32" x14ac:dyDescent="0.25">
      <c r="A273" s="62">
        <v>271</v>
      </c>
      <c r="B273" s="62"/>
      <c r="C273" s="50" t="str">
        <f>IF(ISNA(VLOOKUP($B273,Summary!$B:$D,2,FALSE))=TRUE," ",VLOOKUP($B273,Summary!$B:$D,2,FALSE))</f>
        <v> </v>
      </c>
      <c r="D273" s="50" t="str">
        <f>IF(ISNA(VLOOKUP($B273,Summary!$B:$D,3,FALSE))=TRUE," ",VLOOKUP($B273,Summary!$B:$D,3,FALSE))</f>
        <v> </v>
      </c>
      <c r="E273" s="62"/>
      <c r="F273" s="62"/>
      <c r="G273" s="62"/>
      <c r="I273" s="63">
        <f t="shared" si="4"/>
        <v>0</v>
      </c>
      <c r="K273" s="64">
        <f>IF(E273="Support(L1_L2)",IF(NOT(ISBLANK(B273)),IF(NOT(ISBLANK(D273)),NETWORKDAYS('CPY TOC'!$F$5,'CPY TOC'!$G$5))))-L273</f>
        <v>0</v>
      </c>
      <c r="L273" s="64">
        <f>IF(E273="Support(L1_L2)",SUMIFS(Support_allowance_Entries!$G:$G,Support_allowance_Entries!$B:$B,CPY!B273),0)</f>
        <v>0</v>
      </c>
      <c r="M273" s="63" t="b">
        <f>IF($D273="D0",MD!$C$4*(K273),IF($D273="D1",MD!$C$5*(K273),IF($D273="D2",MD!$C$6*(K273),IF($D273="D3",MD!$C$7*(K273),IF($D273="D4",MD!$C$8*(K273),IF($D273="D5",MD!$C$9*(K273),IF($D273="M1",MD!$C$10*(K273),IF($D273="T1",MD!$C$11*(K273)))))))))</f>
        <v>0</v>
      </c>
      <c r="O273" s="65">
        <f>SUMIFS(Shift_allowance_Entries!$G:$G,Shift_allowance_Entries!$F:$F,"6:30AM-03:30PM",Shift_allowance_Entries!$B:$B,CPY!$B273)</f>
        <v>0</v>
      </c>
      <c r="P273" s="65">
        <f>SUMIFS(Shift_allowance_Entries!$G:$G,Shift_allowance_Entries!$F:$F,"1-9PM/2:30PM-11:30PM",Shift_allowance_Entries!$B:$B,CPY!$B273)</f>
        <v>0</v>
      </c>
      <c r="Q273" s="65">
        <f>SUMIFS(Shift_allowance_Entries!$G:$G,Shift_allowance_Entries!$F:$F,"11PM-7AM",Shift_allowance_Entries!$B:$B,CPY!$B273)</f>
        <v>0</v>
      </c>
      <c r="R273" s="63">
        <f>(CPY!O273*MD!$F$4)+(CPY!P273*MD!$F$5)+(CPY!Q273*MD!$F$6)</f>
        <v>0</v>
      </c>
      <c r="T273" s="64">
        <f>ROUNDUP((SUMIFS('OOH Activities'!$K:$K,'OOH Activities'!$F:$F,"Non_workdays",'OOH Activities'!$B:$B,CPY!B273)) *24,1)</f>
        <v>0</v>
      </c>
      <c r="U273" s="64">
        <f>ROUNDUP((SUMIFS('OOH Activities'!$K:$K,'OOH Activities'!$F:$F,"Workdays",'OOH Activities'!$B:$B,CPY!B273)) *24,1)</f>
        <v>0</v>
      </c>
      <c r="V273" s="63">
        <f>ROUNDUP((SUMIFS('OOH Activities'!$L:$L,'OOH Activities'!$B:$B,CPY!B273)),1)</f>
        <v>0</v>
      </c>
      <c r="X273" s="65">
        <f>ROUNDUP((SUMIFS('ON Call_Call Out Activities'!$L:$L,'ON Call_Call Out Activities'!$F:$F,"Workdays",'ON Call_Call Out Activities'!$B:$B,CPY!B273))*24,1)</f>
        <v>0</v>
      </c>
      <c r="Y273" s="64">
        <f>ROUNDUP((SUMIFS('ON Call_Call Out Activities'!$L:$L,'ON Call_Call Out Activities'!$F:$F,"Non_workdays",'ON Call_Call Out Activities'!$B:$B,CPY!B273)) *24,1)</f>
        <v>0</v>
      </c>
      <c r="Z273" s="63">
        <f>ROUNDUP((SUMIFS('ON Call_Call Out Activities'!$M:$M,'ON Call_Call Out Activities'!$F:$F,"Non_workdays",'ON Call_Call Out Activities'!$B:$B,CPY!B273)),1) + ROUNDUP((SUMIFS('ON Call_Call Out Activities'!$M:$M,'ON Call_Call Out Activities'!$F:$F,"Workdays",'ON Call_Call Out Activities'!$B:$B,CPY!B273)),1)</f>
        <v>0</v>
      </c>
      <c r="AA273" s="66"/>
      <c r="AB273" s="64">
        <f>ROUNDUP((SUMIFS('ON Call_Call Out Activities'!$L:$L,'ON Call_Call Out Activities'!$F:$F,"Call_Out",'ON Call_Call Out Activities'!$B:$B,CPY!B273)) *24,1)</f>
        <v>0</v>
      </c>
      <c r="AC273" s="63">
        <f>ROUNDUP((SUMIFS('ON Call_Call Out Activities'!$M:$M,'ON Call_Call Out Activities'!$F:$F,"Call_Out",'ON Call_Call Out Activities'!$B:$B,CPY!B273)),1)</f>
        <v>0</v>
      </c>
      <c r="AE273" s="65">
        <f>IF((SUMIF(Shift_allowance_Entries!$B:$B,CPY!$B273,Shift_allowance_Entries!$H:$H)) &gt; (SUMIF(Shift_allowance_Entries!$B:$B,CPY!$B273,Shift_allowance_Entries!$G:$G)),0,((SUMIF(Shift_allowance_Entries!$B:$B,CPY!$B273,Shift_allowance_Entries!$G:$G))-(SUMIF(Shift_allowance_Entries!$B:$B,CPY!$B273,Shift_allowance_Entries!$H:$H))))</f>
        <v>0</v>
      </c>
      <c r="AF273" s="63">
        <f>AE273*MD!$S$4</f>
        <v>0</v>
      </c>
    </row>
    <row r="274" spans="1:32" x14ac:dyDescent="0.25">
      <c r="A274" s="62">
        <v>272</v>
      </c>
      <c r="B274" s="62"/>
      <c r="C274" s="50" t="str">
        <f>IF(ISNA(VLOOKUP($B274,Summary!$B:$D,2,FALSE))=TRUE," ",VLOOKUP($B274,Summary!$B:$D,2,FALSE))</f>
        <v> </v>
      </c>
      <c r="D274" s="50" t="str">
        <f>IF(ISNA(VLOOKUP($B274,Summary!$B:$D,3,FALSE))=TRUE," ",VLOOKUP($B274,Summary!$B:$D,3,FALSE))</f>
        <v> </v>
      </c>
      <c r="E274" s="62"/>
      <c r="F274" s="62"/>
      <c r="G274" s="62"/>
      <c r="I274" s="63">
        <f t="shared" si="4"/>
        <v>0</v>
      </c>
      <c r="K274" s="64">
        <f>IF(E274="Support(L1_L2)",IF(NOT(ISBLANK(B274)),IF(NOT(ISBLANK(D274)),NETWORKDAYS('CPY TOC'!$F$5,'CPY TOC'!$G$5))))-L274</f>
        <v>0</v>
      </c>
      <c r="L274" s="64">
        <f>IF(E274="Support(L1_L2)",SUMIFS(Support_allowance_Entries!$G:$G,Support_allowance_Entries!$B:$B,CPY!B274),0)</f>
        <v>0</v>
      </c>
      <c r="M274" s="63" t="b">
        <f>IF($D274="D0",MD!$C$4*(K274),IF($D274="D1",MD!$C$5*(K274),IF($D274="D2",MD!$C$6*(K274),IF($D274="D3",MD!$C$7*(K274),IF($D274="D4",MD!$C$8*(K274),IF($D274="D5",MD!$C$9*(K274),IF($D274="M1",MD!$C$10*(K274),IF($D274="T1",MD!$C$11*(K274)))))))))</f>
        <v>0</v>
      </c>
      <c r="O274" s="65">
        <f>SUMIFS(Shift_allowance_Entries!$G:$G,Shift_allowance_Entries!$F:$F,"6:30AM-03:30PM",Shift_allowance_Entries!$B:$B,CPY!$B274)</f>
        <v>0</v>
      </c>
      <c r="P274" s="65">
        <f>SUMIFS(Shift_allowance_Entries!$G:$G,Shift_allowance_Entries!$F:$F,"1-9PM/2:30PM-11:30PM",Shift_allowance_Entries!$B:$B,CPY!$B274)</f>
        <v>0</v>
      </c>
      <c r="Q274" s="65">
        <f>SUMIFS(Shift_allowance_Entries!$G:$G,Shift_allowance_Entries!$F:$F,"11PM-7AM",Shift_allowance_Entries!$B:$B,CPY!$B274)</f>
        <v>0</v>
      </c>
      <c r="R274" s="63">
        <f>(CPY!O274*MD!$F$4)+(CPY!P274*MD!$F$5)+(CPY!Q274*MD!$F$6)</f>
        <v>0</v>
      </c>
      <c r="T274" s="64">
        <f>ROUNDUP((SUMIFS('OOH Activities'!$K:$K,'OOH Activities'!$F:$F,"Non_workdays",'OOH Activities'!$B:$B,CPY!B274)) *24,1)</f>
        <v>0</v>
      </c>
      <c r="U274" s="64">
        <f>ROUNDUP((SUMIFS('OOH Activities'!$K:$K,'OOH Activities'!$F:$F,"Workdays",'OOH Activities'!$B:$B,CPY!B274)) *24,1)</f>
        <v>0</v>
      </c>
      <c r="V274" s="63">
        <f>ROUNDUP((SUMIFS('OOH Activities'!$L:$L,'OOH Activities'!$B:$B,CPY!B274)),1)</f>
        <v>0</v>
      </c>
      <c r="X274" s="65">
        <f>ROUNDUP((SUMIFS('ON Call_Call Out Activities'!$L:$L,'ON Call_Call Out Activities'!$F:$F,"Workdays",'ON Call_Call Out Activities'!$B:$B,CPY!B274))*24,1)</f>
        <v>0</v>
      </c>
      <c r="Y274" s="64">
        <f>ROUNDUP((SUMIFS('ON Call_Call Out Activities'!$L:$L,'ON Call_Call Out Activities'!$F:$F,"Non_workdays",'ON Call_Call Out Activities'!$B:$B,CPY!B274)) *24,1)</f>
        <v>0</v>
      </c>
      <c r="Z274" s="63">
        <f>ROUNDUP((SUMIFS('ON Call_Call Out Activities'!$M:$M,'ON Call_Call Out Activities'!$F:$F,"Non_workdays",'ON Call_Call Out Activities'!$B:$B,CPY!B274)),1) + ROUNDUP((SUMIFS('ON Call_Call Out Activities'!$M:$M,'ON Call_Call Out Activities'!$F:$F,"Workdays",'ON Call_Call Out Activities'!$B:$B,CPY!B274)),1)</f>
        <v>0</v>
      </c>
      <c r="AA274" s="66"/>
      <c r="AB274" s="64">
        <f>ROUNDUP((SUMIFS('ON Call_Call Out Activities'!$L:$L,'ON Call_Call Out Activities'!$F:$F,"Call_Out",'ON Call_Call Out Activities'!$B:$B,CPY!B274)) *24,1)</f>
        <v>0</v>
      </c>
      <c r="AC274" s="63">
        <f>ROUNDUP((SUMIFS('ON Call_Call Out Activities'!$M:$M,'ON Call_Call Out Activities'!$F:$F,"Call_Out",'ON Call_Call Out Activities'!$B:$B,CPY!B274)),1)</f>
        <v>0</v>
      </c>
      <c r="AE274" s="65">
        <f>IF((SUMIF(Shift_allowance_Entries!$B:$B,CPY!$B274,Shift_allowance_Entries!$H:$H)) &gt; (SUMIF(Shift_allowance_Entries!$B:$B,CPY!$B274,Shift_allowance_Entries!$G:$G)),0,((SUMIF(Shift_allowance_Entries!$B:$B,CPY!$B274,Shift_allowance_Entries!$G:$G))-(SUMIF(Shift_allowance_Entries!$B:$B,CPY!$B274,Shift_allowance_Entries!$H:$H))))</f>
        <v>0</v>
      </c>
      <c r="AF274" s="63">
        <f>AE274*MD!$S$4</f>
        <v>0</v>
      </c>
    </row>
    <row r="275" spans="1:32" x14ac:dyDescent="0.25">
      <c r="A275" s="62">
        <v>273</v>
      </c>
      <c r="B275" s="62"/>
      <c r="C275" s="50" t="str">
        <f>IF(ISNA(VLOOKUP($B275,Summary!$B:$D,2,FALSE))=TRUE," ",VLOOKUP($B275,Summary!$B:$D,2,FALSE))</f>
        <v> </v>
      </c>
      <c r="D275" s="50" t="str">
        <f>IF(ISNA(VLOOKUP($B275,Summary!$B:$D,3,FALSE))=TRUE," ",VLOOKUP($B275,Summary!$B:$D,3,FALSE))</f>
        <v> </v>
      </c>
      <c r="E275" s="62"/>
      <c r="F275" s="62"/>
      <c r="G275" s="62"/>
      <c r="I275" s="63">
        <f t="shared" si="4"/>
        <v>0</v>
      </c>
      <c r="K275" s="64">
        <f>IF(E275="Support(L1_L2)",IF(NOT(ISBLANK(B275)),IF(NOT(ISBLANK(D275)),NETWORKDAYS('CPY TOC'!$F$5,'CPY TOC'!$G$5))))-L275</f>
        <v>0</v>
      </c>
      <c r="L275" s="64">
        <f>IF(E275="Support(L1_L2)",SUMIFS(Support_allowance_Entries!$G:$G,Support_allowance_Entries!$B:$B,CPY!B275),0)</f>
        <v>0</v>
      </c>
      <c r="M275" s="63" t="b">
        <f>IF($D275="D0",MD!$C$4*(K275),IF($D275="D1",MD!$C$5*(K275),IF($D275="D2",MD!$C$6*(K275),IF($D275="D3",MD!$C$7*(K275),IF($D275="D4",MD!$C$8*(K275),IF($D275="D5",MD!$C$9*(K275),IF($D275="M1",MD!$C$10*(K275),IF($D275="T1",MD!$C$11*(K275)))))))))</f>
        <v>0</v>
      </c>
      <c r="O275" s="65">
        <f>SUMIFS(Shift_allowance_Entries!$G:$G,Shift_allowance_Entries!$F:$F,"6:30AM-03:30PM",Shift_allowance_Entries!$B:$B,CPY!$B275)</f>
        <v>0</v>
      </c>
      <c r="P275" s="65">
        <f>SUMIFS(Shift_allowance_Entries!$G:$G,Shift_allowance_Entries!$F:$F,"1-9PM/2:30PM-11:30PM",Shift_allowance_Entries!$B:$B,CPY!$B275)</f>
        <v>0</v>
      </c>
      <c r="Q275" s="65">
        <f>SUMIFS(Shift_allowance_Entries!$G:$G,Shift_allowance_Entries!$F:$F,"11PM-7AM",Shift_allowance_Entries!$B:$B,CPY!$B275)</f>
        <v>0</v>
      </c>
      <c r="R275" s="63">
        <f>(CPY!O275*MD!$F$4)+(CPY!P275*MD!$F$5)+(CPY!Q275*MD!$F$6)</f>
        <v>0</v>
      </c>
      <c r="T275" s="64">
        <f>ROUNDUP((SUMIFS('OOH Activities'!$K:$K,'OOH Activities'!$F:$F,"Non_workdays",'OOH Activities'!$B:$B,CPY!B275)) *24,1)</f>
        <v>0</v>
      </c>
      <c r="U275" s="64">
        <f>ROUNDUP((SUMIFS('OOH Activities'!$K:$K,'OOH Activities'!$F:$F,"Workdays",'OOH Activities'!$B:$B,CPY!B275)) *24,1)</f>
        <v>0</v>
      </c>
      <c r="V275" s="63">
        <f>ROUNDUP((SUMIFS('OOH Activities'!$L:$L,'OOH Activities'!$B:$B,CPY!B275)),1)</f>
        <v>0</v>
      </c>
      <c r="X275" s="65">
        <f>ROUNDUP((SUMIFS('ON Call_Call Out Activities'!$L:$L,'ON Call_Call Out Activities'!$F:$F,"Workdays",'ON Call_Call Out Activities'!$B:$B,CPY!B275))*24,1)</f>
        <v>0</v>
      </c>
      <c r="Y275" s="64">
        <f>ROUNDUP((SUMIFS('ON Call_Call Out Activities'!$L:$L,'ON Call_Call Out Activities'!$F:$F,"Non_workdays",'ON Call_Call Out Activities'!$B:$B,CPY!B275)) *24,1)</f>
        <v>0</v>
      </c>
      <c r="Z275" s="63">
        <f>ROUNDUP((SUMIFS('ON Call_Call Out Activities'!$M:$M,'ON Call_Call Out Activities'!$F:$F,"Non_workdays",'ON Call_Call Out Activities'!$B:$B,CPY!B275)),1) + ROUNDUP((SUMIFS('ON Call_Call Out Activities'!$M:$M,'ON Call_Call Out Activities'!$F:$F,"Workdays",'ON Call_Call Out Activities'!$B:$B,CPY!B275)),1)</f>
        <v>0</v>
      </c>
      <c r="AA275" s="66"/>
      <c r="AB275" s="64">
        <f>ROUNDUP((SUMIFS('ON Call_Call Out Activities'!$L:$L,'ON Call_Call Out Activities'!$F:$F,"Call_Out",'ON Call_Call Out Activities'!$B:$B,CPY!B275)) *24,1)</f>
        <v>0</v>
      </c>
      <c r="AC275" s="63">
        <f>ROUNDUP((SUMIFS('ON Call_Call Out Activities'!$M:$M,'ON Call_Call Out Activities'!$F:$F,"Call_Out",'ON Call_Call Out Activities'!$B:$B,CPY!B275)),1)</f>
        <v>0</v>
      </c>
      <c r="AE275" s="65">
        <f>IF((SUMIF(Shift_allowance_Entries!$B:$B,CPY!$B275,Shift_allowance_Entries!$H:$H)) &gt; (SUMIF(Shift_allowance_Entries!$B:$B,CPY!$B275,Shift_allowance_Entries!$G:$G)),0,((SUMIF(Shift_allowance_Entries!$B:$B,CPY!$B275,Shift_allowance_Entries!$G:$G))-(SUMIF(Shift_allowance_Entries!$B:$B,CPY!$B275,Shift_allowance_Entries!$H:$H))))</f>
        <v>0</v>
      </c>
      <c r="AF275" s="63">
        <f>AE275*MD!$S$4</f>
        <v>0</v>
      </c>
    </row>
    <row r="276" spans="1:32" x14ac:dyDescent="0.25">
      <c r="A276" s="62">
        <v>274</v>
      </c>
      <c r="B276" s="62"/>
      <c r="C276" s="50" t="str">
        <f>IF(ISNA(VLOOKUP($B276,Summary!$B:$D,2,FALSE))=TRUE," ",VLOOKUP($B276,Summary!$B:$D,2,FALSE))</f>
        <v> </v>
      </c>
      <c r="D276" s="50" t="str">
        <f>IF(ISNA(VLOOKUP($B276,Summary!$B:$D,3,FALSE))=TRUE," ",VLOOKUP($B276,Summary!$B:$D,3,FALSE))</f>
        <v> </v>
      </c>
      <c r="E276" s="62"/>
      <c r="F276" s="62"/>
      <c r="G276" s="62"/>
      <c r="I276" s="63">
        <f t="shared" si="4"/>
        <v>0</v>
      </c>
      <c r="K276" s="64">
        <f>IF(E276="Support(L1_L2)",IF(NOT(ISBLANK(B276)),IF(NOT(ISBLANK(D276)),NETWORKDAYS('CPY TOC'!$F$5,'CPY TOC'!$G$5))))-L276</f>
        <v>0</v>
      </c>
      <c r="L276" s="64">
        <f>IF(E276="Support(L1_L2)",SUMIFS(Support_allowance_Entries!$G:$G,Support_allowance_Entries!$B:$B,CPY!B276),0)</f>
        <v>0</v>
      </c>
      <c r="M276" s="63" t="b">
        <f>IF($D276="D0",MD!$C$4*(K276),IF($D276="D1",MD!$C$5*(K276),IF($D276="D2",MD!$C$6*(K276),IF($D276="D3",MD!$C$7*(K276),IF($D276="D4",MD!$C$8*(K276),IF($D276="D5",MD!$C$9*(K276),IF($D276="M1",MD!$C$10*(K276),IF($D276="T1",MD!$C$11*(K276)))))))))</f>
        <v>0</v>
      </c>
      <c r="O276" s="65">
        <f>SUMIFS(Shift_allowance_Entries!$G:$G,Shift_allowance_Entries!$F:$F,"6:30AM-03:30PM",Shift_allowance_Entries!$B:$B,CPY!$B276)</f>
        <v>0</v>
      </c>
      <c r="P276" s="65">
        <f>SUMIFS(Shift_allowance_Entries!$G:$G,Shift_allowance_Entries!$F:$F,"1-9PM/2:30PM-11:30PM",Shift_allowance_Entries!$B:$B,CPY!$B276)</f>
        <v>0</v>
      </c>
      <c r="Q276" s="65">
        <f>SUMIFS(Shift_allowance_Entries!$G:$G,Shift_allowance_Entries!$F:$F,"11PM-7AM",Shift_allowance_Entries!$B:$B,CPY!$B276)</f>
        <v>0</v>
      </c>
      <c r="R276" s="63">
        <f>(CPY!O276*MD!$F$4)+(CPY!P276*MD!$F$5)+(CPY!Q276*MD!$F$6)</f>
        <v>0</v>
      </c>
      <c r="T276" s="64">
        <f>ROUNDUP((SUMIFS('OOH Activities'!$K:$K,'OOH Activities'!$F:$F,"Non_workdays",'OOH Activities'!$B:$B,CPY!B276)) *24,1)</f>
        <v>0</v>
      </c>
      <c r="U276" s="64">
        <f>ROUNDUP((SUMIFS('OOH Activities'!$K:$K,'OOH Activities'!$F:$F,"Workdays",'OOH Activities'!$B:$B,CPY!B276)) *24,1)</f>
        <v>0</v>
      </c>
      <c r="V276" s="63">
        <f>ROUNDUP((SUMIFS('OOH Activities'!$L:$L,'OOH Activities'!$B:$B,CPY!B276)),1)</f>
        <v>0</v>
      </c>
      <c r="X276" s="65">
        <f>ROUNDUP((SUMIFS('ON Call_Call Out Activities'!$L:$L,'ON Call_Call Out Activities'!$F:$F,"Workdays",'ON Call_Call Out Activities'!$B:$B,CPY!B276))*24,1)</f>
        <v>0</v>
      </c>
      <c r="Y276" s="64">
        <f>ROUNDUP((SUMIFS('ON Call_Call Out Activities'!$L:$L,'ON Call_Call Out Activities'!$F:$F,"Non_workdays",'ON Call_Call Out Activities'!$B:$B,CPY!B276)) *24,1)</f>
        <v>0</v>
      </c>
      <c r="Z276" s="63">
        <f>ROUNDUP((SUMIFS('ON Call_Call Out Activities'!$M:$M,'ON Call_Call Out Activities'!$F:$F,"Non_workdays",'ON Call_Call Out Activities'!$B:$B,CPY!B276)),1) + ROUNDUP((SUMIFS('ON Call_Call Out Activities'!$M:$M,'ON Call_Call Out Activities'!$F:$F,"Workdays",'ON Call_Call Out Activities'!$B:$B,CPY!B276)),1)</f>
        <v>0</v>
      </c>
      <c r="AA276" s="66"/>
      <c r="AB276" s="64">
        <f>ROUNDUP((SUMIFS('ON Call_Call Out Activities'!$L:$L,'ON Call_Call Out Activities'!$F:$F,"Call_Out",'ON Call_Call Out Activities'!$B:$B,CPY!B276)) *24,1)</f>
        <v>0</v>
      </c>
      <c r="AC276" s="63">
        <f>ROUNDUP((SUMIFS('ON Call_Call Out Activities'!$M:$M,'ON Call_Call Out Activities'!$F:$F,"Call_Out",'ON Call_Call Out Activities'!$B:$B,CPY!B276)),1)</f>
        <v>0</v>
      </c>
      <c r="AE276" s="65">
        <f>IF((SUMIF(Shift_allowance_Entries!$B:$B,CPY!$B276,Shift_allowance_Entries!$H:$H)) &gt; (SUMIF(Shift_allowance_Entries!$B:$B,CPY!$B276,Shift_allowance_Entries!$G:$G)),0,((SUMIF(Shift_allowance_Entries!$B:$B,CPY!$B276,Shift_allowance_Entries!$G:$G))-(SUMIF(Shift_allowance_Entries!$B:$B,CPY!$B276,Shift_allowance_Entries!$H:$H))))</f>
        <v>0</v>
      </c>
      <c r="AF276" s="63">
        <f>AE276*MD!$S$4</f>
        <v>0</v>
      </c>
    </row>
    <row r="277" spans="1:32" x14ac:dyDescent="0.25">
      <c r="A277" s="62">
        <v>275</v>
      </c>
      <c r="B277" s="62"/>
      <c r="C277" s="50" t="str">
        <f>IF(ISNA(VLOOKUP($B277,Summary!$B:$D,2,FALSE))=TRUE," ",VLOOKUP($B277,Summary!$B:$D,2,FALSE))</f>
        <v> </v>
      </c>
      <c r="D277" s="50" t="str">
        <f>IF(ISNA(VLOOKUP($B277,Summary!$B:$D,3,FALSE))=TRUE," ",VLOOKUP($B277,Summary!$B:$D,3,FALSE))</f>
        <v> </v>
      </c>
      <c r="E277" s="62"/>
      <c r="F277" s="62"/>
      <c r="G277" s="62"/>
      <c r="I277" s="63">
        <f t="shared" si="4"/>
        <v>0</v>
      </c>
      <c r="K277" s="64">
        <f>IF(E277="Support(L1_L2)",IF(NOT(ISBLANK(B277)),IF(NOT(ISBLANK(D277)),NETWORKDAYS('CPY TOC'!$F$5,'CPY TOC'!$G$5))))-L277</f>
        <v>0</v>
      </c>
      <c r="L277" s="64">
        <f>IF(E277="Support(L1_L2)",SUMIFS(Support_allowance_Entries!$G:$G,Support_allowance_Entries!$B:$B,CPY!B277),0)</f>
        <v>0</v>
      </c>
      <c r="M277" s="63" t="b">
        <f>IF($D277="D0",MD!$C$4*(K277),IF($D277="D1",MD!$C$5*(K277),IF($D277="D2",MD!$C$6*(K277),IF($D277="D3",MD!$C$7*(K277),IF($D277="D4",MD!$C$8*(K277),IF($D277="D5",MD!$C$9*(K277),IF($D277="M1",MD!$C$10*(K277),IF($D277="T1",MD!$C$11*(K277)))))))))</f>
        <v>0</v>
      </c>
      <c r="O277" s="65">
        <f>SUMIFS(Shift_allowance_Entries!$G:$G,Shift_allowance_Entries!$F:$F,"6:30AM-03:30PM",Shift_allowance_Entries!$B:$B,CPY!$B277)</f>
        <v>0</v>
      </c>
      <c r="P277" s="65">
        <f>SUMIFS(Shift_allowance_Entries!$G:$G,Shift_allowance_Entries!$F:$F,"1-9PM/2:30PM-11:30PM",Shift_allowance_Entries!$B:$B,CPY!$B277)</f>
        <v>0</v>
      </c>
      <c r="Q277" s="65">
        <f>SUMIFS(Shift_allowance_Entries!$G:$G,Shift_allowance_Entries!$F:$F,"11PM-7AM",Shift_allowance_Entries!$B:$B,CPY!$B277)</f>
        <v>0</v>
      </c>
      <c r="R277" s="63">
        <f>(CPY!O277*MD!$F$4)+(CPY!P277*MD!$F$5)+(CPY!Q277*MD!$F$6)</f>
        <v>0</v>
      </c>
      <c r="T277" s="64">
        <f>ROUNDUP((SUMIFS('OOH Activities'!$K:$K,'OOH Activities'!$F:$F,"Non_workdays",'OOH Activities'!$B:$B,CPY!B277)) *24,1)</f>
        <v>0</v>
      </c>
      <c r="U277" s="64">
        <f>ROUNDUP((SUMIFS('OOH Activities'!$K:$K,'OOH Activities'!$F:$F,"Workdays",'OOH Activities'!$B:$B,CPY!B277)) *24,1)</f>
        <v>0</v>
      </c>
      <c r="V277" s="63">
        <f>ROUNDUP((SUMIFS('OOH Activities'!$L:$L,'OOH Activities'!$B:$B,CPY!B277)),1)</f>
        <v>0</v>
      </c>
      <c r="X277" s="65">
        <f>ROUNDUP((SUMIFS('ON Call_Call Out Activities'!$L:$L,'ON Call_Call Out Activities'!$F:$F,"Workdays",'ON Call_Call Out Activities'!$B:$B,CPY!B277))*24,1)</f>
        <v>0</v>
      </c>
      <c r="Y277" s="64">
        <f>ROUNDUP((SUMIFS('ON Call_Call Out Activities'!$L:$L,'ON Call_Call Out Activities'!$F:$F,"Non_workdays",'ON Call_Call Out Activities'!$B:$B,CPY!B277)) *24,1)</f>
        <v>0</v>
      </c>
      <c r="Z277" s="63">
        <f>ROUNDUP((SUMIFS('ON Call_Call Out Activities'!$M:$M,'ON Call_Call Out Activities'!$F:$F,"Non_workdays",'ON Call_Call Out Activities'!$B:$B,CPY!B277)),1) + ROUNDUP((SUMIFS('ON Call_Call Out Activities'!$M:$M,'ON Call_Call Out Activities'!$F:$F,"Workdays",'ON Call_Call Out Activities'!$B:$B,CPY!B277)),1)</f>
        <v>0</v>
      </c>
      <c r="AA277" s="66"/>
      <c r="AB277" s="64">
        <f>ROUNDUP((SUMIFS('ON Call_Call Out Activities'!$L:$L,'ON Call_Call Out Activities'!$F:$F,"Call_Out",'ON Call_Call Out Activities'!$B:$B,CPY!B277)) *24,1)</f>
        <v>0</v>
      </c>
      <c r="AC277" s="63">
        <f>ROUNDUP((SUMIFS('ON Call_Call Out Activities'!$M:$M,'ON Call_Call Out Activities'!$F:$F,"Call_Out",'ON Call_Call Out Activities'!$B:$B,CPY!B277)),1)</f>
        <v>0</v>
      </c>
      <c r="AE277" s="65">
        <f>IF((SUMIF(Shift_allowance_Entries!$B:$B,CPY!$B277,Shift_allowance_Entries!$H:$H)) &gt; (SUMIF(Shift_allowance_Entries!$B:$B,CPY!$B277,Shift_allowance_Entries!$G:$G)),0,((SUMIF(Shift_allowance_Entries!$B:$B,CPY!$B277,Shift_allowance_Entries!$G:$G))-(SUMIF(Shift_allowance_Entries!$B:$B,CPY!$B277,Shift_allowance_Entries!$H:$H))))</f>
        <v>0</v>
      </c>
      <c r="AF277" s="63">
        <f>AE277*MD!$S$4</f>
        <v>0</v>
      </c>
    </row>
    <row r="278" spans="1:32" x14ac:dyDescent="0.25">
      <c r="A278" s="62">
        <v>276</v>
      </c>
      <c r="B278" s="62"/>
      <c r="C278" s="50" t="str">
        <f>IF(ISNA(VLOOKUP($B278,Summary!$B:$D,2,FALSE))=TRUE," ",VLOOKUP($B278,Summary!$B:$D,2,FALSE))</f>
        <v> </v>
      </c>
      <c r="D278" s="50" t="str">
        <f>IF(ISNA(VLOOKUP($B278,Summary!$B:$D,3,FALSE))=TRUE," ",VLOOKUP($B278,Summary!$B:$D,3,FALSE))</f>
        <v> </v>
      </c>
      <c r="E278" s="62"/>
      <c r="F278" s="62"/>
      <c r="G278" s="62"/>
      <c r="I278" s="63">
        <f t="shared" si="4"/>
        <v>0</v>
      </c>
      <c r="K278" s="64">
        <f>IF(E278="Support(L1_L2)",IF(NOT(ISBLANK(B278)),IF(NOT(ISBLANK(D278)),NETWORKDAYS('CPY TOC'!$F$5,'CPY TOC'!$G$5))))-L278</f>
        <v>0</v>
      </c>
      <c r="L278" s="64">
        <f>IF(E278="Support(L1_L2)",SUMIFS(Support_allowance_Entries!$G:$G,Support_allowance_Entries!$B:$B,CPY!B278),0)</f>
        <v>0</v>
      </c>
      <c r="M278" s="63" t="b">
        <f>IF($D278="D0",MD!$C$4*(K278),IF($D278="D1",MD!$C$5*(K278),IF($D278="D2",MD!$C$6*(K278),IF($D278="D3",MD!$C$7*(K278),IF($D278="D4",MD!$C$8*(K278),IF($D278="D5",MD!$C$9*(K278),IF($D278="M1",MD!$C$10*(K278),IF($D278="T1",MD!$C$11*(K278)))))))))</f>
        <v>0</v>
      </c>
      <c r="O278" s="65">
        <f>SUMIFS(Shift_allowance_Entries!$G:$G,Shift_allowance_Entries!$F:$F,"6:30AM-03:30PM",Shift_allowance_Entries!$B:$B,CPY!$B278)</f>
        <v>0</v>
      </c>
      <c r="P278" s="65">
        <f>SUMIFS(Shift_allowance_Entries!$G:$G,Shift_allowance_Entries!$F:$F,"1-9PM/2:30PM-11:30PM",Shift_allowance_Entries!$B:$B,CPY!$B278)</f>
        <v>0</v>
      </c>
      <c r="Q278" s="65">
        <f>SUMIFS(Shift_allowance_Entries!$G:$G,Shift_allowance_Entries!$F:$F,"11PM-7AM",Shift_allowance_Entries!$B:$B,CPY!$B278)</f>
        <v>0</v>
      </c>
      <c r="R278" s="63">
        <f>(CPY!O278*MD!$F$4)+(CPY!P278*MD!$F$5)+(CPY!Q278*MD!$F$6)</f>
        <v>0</v>
      </c>
      <c r="T278" s="64">
        <f>ROUNDUP((SUMIFS('OOH Activities'!$K:$K,'OOH Activities'!$F:$F,"Non_workdays",'OOH Activities'!$B:$B,CPY!B278)) *24,1)</f>
        <v>0</v>
      </c>
      <c r="U278" s="64">
        <f>ROUNDUP((SUMIFS('OOH Activities'!$K:$K,'OOH Activities'!$F:$F,"Workdays",'OOH Activities'!$B:$B,CPY!B278)) *24,1)</f>
        <v>0</v>
      </c>
      <c r="V278" s="63">
        <f>ROUNDUP((SUMIFS('OOH Activities'!$L:$L,'OOH Activities'!$B:$B,CPY!B278)),1)</f>
        <v>0</v>
      </c>
      <c r="X278" s="65">
        <f>ROUNDUP((SUMIFS('ON Call_Call Out Activities'!$L:$L,'ON Call_Call Out Activities'!$F:$F,"Workdays",'ON Call_Call Out Activities'!$B:$B,CPY!B278))*24,1)</f>
        <v>0</v>
      </c>
      <c r="Y278" s="64">
        <f>ROUNDUP((SUMIFS('ON Call_Call Out Activities'!$L:$L,'ON Call_Call Out Activities'!$F:$F,"Non_workdays",'ON Call_Call Out Activities'!$B:$B,CPY!B278)) *24,1)</f>
        <v>0</v>
      </c>
      <c r="Z278" s="63">
        <f>ROUNDUP((SUMIFS('ON Call_Call Out Activities'!$M:$M,'ON Call_Call Out Activities'!$F:$F,"Non_workdays",'ON Call_Call Out Activities'!$B:$B,CPY!B278)),1) + ROUNDUP((SUMIFS('ON Call_Call Out Activities'!$M:$M,'ON Call_Call Out Activities'!$F:$F,"Workdays",'ON Call_Call Out Activities'!$B:$B,CPY!B278)),1)</f>
        <v>0</v>
      </c>
      <c r="AA278" s="66"/>
      <c r="AB278" s="64">
        <f>ROUNDUP((SUMIFS('ON Call_Call Out Activities'!$L:$L,'ON Call_Call Out Activities'!$F:$F,"Call_Out",'ON Call_Call Out Activities'!$B:$B,CPY!B278)) *24,1)</f>
        <v>0</v>
      </c>
      <c r="AC278" s="63">
        <f>ROUNDUP((SUMIFS('ON Call_Call Out Activities'!$M:$M,'ON Call_Call Out Activities'!$F:$F,"Call_Out",'ON Call_Call Out Activities'!$B:$B,CPY!B278)),1)</f>
        <v>0</v>
      </c>
      <c r="AE278" s="65">
        <f>IF((SUMIF(Shift_allowance_Entries!$B:$B,CPY!$B278,Shift_allowance_Entries!$H:$H)) &gt; (SUMIF(Shift_allowance_Entries!$B:$B,CPY!$B278,Shift_allowance_Entries!$G:$G)),0,((SUMIF(Shift_allowance_Entries!$B:$B,CPY!$B278,Shift_allowance_Entries!$G:$G))-(SUMIF(Shift_allowance_Entries!$B:$B,CPY!$B278,Shift_allowance_Entries!$H:$H))))</f>
        <v>0</v>
      </c>
      <c r="AF278" s="63">
        <f>AE278*MD!$S$4</f>
        <v>0</v>
      </c>
    </row>
    <row r="279" spans="1:32" x14ac:dyDescent="0.25">
      <c r="A279" s="62">
        <v>277</v>
      </c>
      <c r="B279" s="62"/>
      <c r="C279" s="50" t="str">
        <f>IF(ISNA(VLOOKUP($B279,Summary!$B:$D,2,FALSE))=TRUE," ",VLOOKUP($B279,Summary!$B:$D,2,FALSE))</f>
        <v> </v>
      </c>
      <c r="D279" s="50" t="str">
        <f>IF(ISNA(VLOOKUP($B279,Summary!$B:$D,3,FALSE))=TRUE," ",VLOOKUP($B279,Summary!$B:$D,3,FALSE))</f>
        <v> </v>
      </c>
      <c r="E279" s="62"/>
      <c r="F279" s="62"/>
      <c r="G279" s="62"/>
      <c r="I279" s="63">
        <f t="shared" si="4"/>
        <v>0</v>
      </c>
      <c r="K279" s="64">
        <f>IF(E279="Support(L1_L2)",IF(NOT(ISBLANK(B279)),IF(NOT(ISBLANK(D279)),NETWORKDAYS('CPY TOC'!$F$5,'CPY TOC'!$G$5))))-L279</f>
        <v>0</v>
      </c>
      <c r="L279" s="64">
        <f>IF(E279="Support(L1_L2)",SUMIFS(Support_allowance_Entries!$G:$G,Support_allowance_Entries!$B:$B,CPY!B279),0)</f>
        <v>0</v>
      </c>
      <c r="M279" s="63" t="b">
        <f>IF($D279="D0",MD!$C$4*(K279),IF($D279="D1",MD!$C$5*(K279),IF($D279="D2",MD!$C$6*(K279),IF($D279="D3",MD!$C$7*(K279),IF($D279="D4",MD!$C$8*(K279),IF($D279="D5",MD!$C$9*(K279),IF($D279="M1",MD!$C$10*(K279),IF($D279="T1",MD!$C$11*(K279)))))))))</f>
        <v>0</v>
      </c>
      <c r="O279" s="65">
        <f>SUMIFS(Shift_allowance_Entries!$G:$G,Shift_allowance_Entries!$F:$F,"6:30AM-03:30PM",Shift_allowance_Entries!$B:$B,CPY!$B279)</f>
        <v>0</v>
      </c>
      <c r="P279" s="65">
        <f>SUMIFS(Shift_allowance_Entries!$G:$G,Shift_allowance_Entries!$F:$F,"1-9PM/2:30PM-11:30PM",Shift_allowance_Entries!$B:$B,CPY!$B279)</f>
        <v>0</v>
      </c>
      <c r="Q279" s="65">
        <f>SUMIFS(Shift_allowance_Entries!$G:$G,Shift_allowance_Entries!$F:$F,"11PM-7AM",Shift_allowance_Entries!$B:$B,CPY!$B279)</f>
        <v>0</v>
      </c>
      <c r="R279" s="63">
        <f>(CPY!O279*MD!$F$4)+(CPY!P279*MD!$F$5)+(CPY!Q279*MD!$F$6)</f>
        <v>0</v>
      </c>
      <c r="T279" s="64">
        <f>ROUNDUP((SUMIFS('OOH Activities'!$K:$K,'OOH Activities'!$F:$F,"Non_workdays",'OOH Activities'!$B:$B,CPY!B279)) *24,1)</f>
        <v>0</v>
      </c>
      <c r="U279" s="64">
        <f>ROUNDUP((SUMIFS('OOH Activities'!$K:$K,'OOH Activities'!$F:$F,"Workdays",'OOH Activities'!$B:$B,CPY!B279)) *24,1)</f>
        <v>0</v>
      </c>
      <c r="V279" s="63">
        <f>ROUNDUP((SUMIFS('OOH Activities'!$L:$L,'OOH Activities'!$B:$B,CPY!B279)),1)</f>
        <v>0</v>
      </c>
      <c r="X279" s="65">
        <f>ROUNDUP((SUMIFS('ON Call_Call Out Activities'!$L:$L,'ON Call_Call Out Activities'!$F:$F,"Workdays",'ON Call_Call Out Activities'!$B:$B,CPY!B279))*24,1)</f>
        <v>0</v>
      </c>
      <c r="Y279" s="64">
        <f>ROUNDUP((SUMIFS('ON Call_Call Out Activities'!$L:$L,'ON Call_Call Out Activities'!$F:$F,"Non_workdays",'ON Call_Call Out Activities'!$B:$B,CPY!B279)) *24,1)</f>
        <v>0</v>
      </c>
      <c r="Z279" s="63">
        <f>ROUNDUP((SUMIFS('ON Call_Call Out Activities'!$M:$M,'ON Call_Call Out Activities'!$F:$F,"Non_workdays",'ON Call_Call Out Activities'!$B:$B,CPY!B279)),1) + ROUNDUP((SUMIFS('ON Call_Call Out Activities'!$M:$M,'ON Call_Call Out Activities'!$F:$F,"Workdays",'ON Call_Call Out Activities'!$B:$B,CPY!B279)),1)</f>
        <v>0</v>
      </c>
      <c r="AA279" s="66"/>
      <c r="AB279" s="64">
        <f>ROUNDUP((SUMIFS('ON Call_Call Out Activities'!$L:$L,'ON Call_Call Out Activities'!$F:$F,"Call_Out",'ON Call_Call Out Activities'!$B:$B,CPY!B279)) *24,1)</f>
        <v>0</v>
      </c>
      <c r="AC279" s="63">
        <f>ROUNDUP((SUMIFS('ON Call_Call Out Activities'!$M:$M,'ON Call_Call Out Activities'!$F:$F,"Call_Out",'ON Call_Call Out Activities'!$B:$B,CPY!B279)),1)</f>
        <v>0</v>
      </c>
      <c r="AE279" s="65">
        <f>IF((SUMIF(Shift_allowance_Entries!$B:$B,CPY!$B279,Shift_allowance_Entries!$H:$H)) &gt; (SUMIF(Shift_allowance_Entries!$B:$B,CPY!$B279,Shift_allowance_Entries!$G:$G)),0,((SUMIF(Shift_allowance_Entries!$B:$B,CPY!$B279,Shift_allowance_Entries!$G:$G))-(SUMIF(Shift_allowance_Entries!$B:$B,CPY!$B279,Shift_allowance_Entries!$H:$H))))</f>
        <v>0</v>
      </c>
      <c r="AF279" s="63">
        <f>AE279*MD!$S$4</f>
        <v>0</v>
      </c>
    </row>
    <row r="280" spans="1:32" x14ac:dyDescent="0.25">
      <c r="A280" s="62">
        <v>278</v>
      </c>
      <c r="B280" s="62"/>
      <c r="C280" s="50" t="str">
        <f>IF(ISNA(VLOOKUP($B280,Summary!$B:$D,2,FALSE))=TRUE," ",VLOOKUP($B280,Summary!$B:$D,2,FALSE))</f>
        <v> </v>
      </c>
      <c r="D280" s="50" t="str">
        <f>IF(ISNA(VLOOKUP($B280,Summary!$B:$D,3,FALSE))=TRUE," ",VLOOKUP($B280,Summary!$B:$D,3,FALSE))</f>
        <v> </v>
      </c>
      <c r="E280" s="62"/>
      <c r="F280" s="62"/>
      <c r="G280" s="62"/>
      <c r="I280" s="63">
        <f t="shared" si="4"/>
        <v>0</v>
      </c>
      <c r="K280" s="64">
        <f>IF(E280="Support(L1_L2)",IF(NOT(ISBLANK(B280)),IF(NOT(ISBLANK(D280)),NETWORKDAYS('CPY TOC'!$F$5,'CPY TOC'!$G$5))))-L280</f>
        <v>0</v>
      </c>
      <c r="L280" s="64">
        <f>IF(E280="Support(L1_L2)",SUMIFS(Support_allowance_Entries!$G:$G,Support_allowance_Entries!$B:$B,CPY!B280),0)</f>
        <v>0</v>
      </c>
      <c r="M280" s="63" t="b">
        <f>IF($D280="D0",MD!$C$4*(K280),IF($D280="D1",MD!$C$5*(K280),IF($D280="D2",MD!$C$6*(K280),IF($D280="D3",MD!$C$7*(K280),IF($D280="D4",MD!$C$8*(K280),IF($D280="D5",MD!$C$9*(K280),IF($D280="M1",MD!$C$10*(K280),IF($D280="T1",MD!$C$11*(K280)))))))))</f>
        <v>0</v>
      </c>
      <c r="O280" s="65">
        <f>SUMIFS(Shift_allowance_Entries!$G:$G,Shift_allowance_Entries!$F:$F,"6:30AM-03:30PM",Shift_allowance_Entries!$B:$B,CPY!$B280)</f>
        <v>0</v>
      </c>
      <c r="P280" s="65">
        <f>SUMIFS(Shift_allowance_Entries!$G:$G,Shift_allowance_Entries!$F:$F,"1-9PM/2:30PM-11:30PM",Shift_allowance_Entries!$B:$B,CPY!$B280)</f>
        <v>0</v>
      </c>
      <c r="Q280" s="65">
        <f>SUMIFS(Shift_allowance_Entries!$G:$G,Shift_allowance_Entries!$F:$F,"11PM-7AM",Shift_allowance_Entries!$B:$B,CPY!$B280)</f>
        <v>0</v>
      </c>
      <c r="R280" s="63">
        <f>(CPY!O280*MD!$F$4)+(CPY!P280*MD!$F$5)+(CPY!Q280*MD!$F$6)</f>
        <v>0</v>
      </c>
      <c r="T280" s="64">
        <f>ROUNDUP((SUMIFS('OOH Activities'!$K:$K,'OOH Activities'!$F:$F,"Non_workdays",'OOH Activities'!$B:$B,CPY!B280)) *24,1)</f>
        <v>0</v>
      </c>
      <c r="U280" s="64">
        <f>ROUNDUP((SUMIFS('OOH Activities'!$K:$K,'OOH Activities'!$F:$F,"Workdays",'OOH Activities'!$B:$B,CPY!B280)) *24,1)</f>
        <v>0</v>
      </c>
      <c r="V280" s="63">
        <f>ROUNDUP((SUMIFS('OOH Activities'!$L:$L,'OOH Activities'!$B:$B,CPY!B280)),1)</f>
        <v>0</v>
      </c>
      <c r="X280" s="65">
        <f>ROUNDUP((SUMIFS('ON Call_Call Out Activities'!$L:$L,'ON Call_Call Out Activities'!$F:$F,"Workdays",'ON Call_Call Out Activities'!$B:$B,CPY!B280))*24,1)</f>
        <v>0</v>
      </c>
      <c r="Y280" s="64">
        <f>ROUNDUP((SUMIFS('ON Call_Call Out Activities'!$L:$L,'ON Call_Call Out Activities'!$F:$F,"Non_workdays",'ON Call_Call Out Activities'!$B:$B,CPY!B280)) *24,1)</f>
        <v>0</v>
      </c>
      <c r="Z280" s="63">
        <f>ROUNDUP((SUMIFS('ON Call_Call Out Activities'!$M:$M,'ON Call_Call Out Activities'!$F:$F,"Non_workdays",'ON Call_Call Out Activities'!$B:$B,CPY!B280)),1) + ROUNDUP((SUMIFS('ON Call_Call Out Activities'!$M:$M,'ON Call_Call Out Activities'!$F:$F,"Workdays",'ON Call_Call Out Activities'!$B:$B,CPY!B280)),1)</f>
        <v>0</v>
      </c>
      <c r="AA280" s="66"/>
      <c r="AB280" s="64">
        <f>ROUNDUP((SUMIFS('ON Call_Call Out Activities'!$L:$L,'ON Call_Call Out Activities'!$F:$F,"Call_Out",'ON Call_Call Out Activities'!$B:$B,CPY!B280)) *24,1)</f>
        <v>0</v>
      </c>
      <c r="AC280" s="63">
        <f>ROUNDUP((SUMIFS('ON Call_Call Out Activities'!$M:$M,'ON Call_Call Out Activities'!$F:$F,"Call_Out",'ON Call_Call Out Activities'!$B:$B,CPY!B280)),1)</f>
        <v>0</v>
      </c>
      <c r="AE280" s="65">
        <f>IF((SUMIF(Shift_allowance_Entries!$B:$B,CPY!$B280,Shift_allowance_Entries!$H:$H)) &gt; (SUMIF(Shift_allowance_Entries!$B:$B,CPY!$B280,Shift_allowance_Entries!$G:$G)),0,((SUMIF(Shift_allowance_Entries!$B:$B,CPY!$B280,Shift_allowance_Entries!$G:$G))-(SUMIF(Shift_allowance_Entries!$B:$B,CPY!$B280,Shift_allowance_Entries!$H:$H))))</f>
        <v>0</v>
      </c>
      <c r="AF280" s="63">
        <f>AE280*MD!$S$4</f>
        <v>0</v>
      </c>
    </row>
    <row r="281" spans="1:32" x14ac:dyDescent="0.25">
      <c r="A281" s="62">
        <v>279</v>
      </c>
      <c r="B281" s="62"/>
      <c r="C281" s="50" t="str">
        <f>IF(ISNA(VLOOKUP($B281,Summary!$B:$D,2,FALSE))=TRUE," ",VLOOKUP($B281,Summary!$B:$D,2,FALSE))</f>
        <v> </v>
      </c>
      <c r="D281" s="50" t="str">
        <f>IF(ISNA(VLOOKUP($B281,Summary!$B:$D,3,FALSE))=TRUE," ",VLOOKUP($B281,Summary!$B:$D,3,FALSE))</f>
        <v> </v>
      </c>
      <c r="E281" s="62"/>
      <c r="F281" s="62"/>
      <c r="G281" s="62"/>
      <c r="I281" s="63">
        <f t="shared" si="4"/>
        <v>0</v>
      </c>
      <c r="K281" s="64">
        <f>IF(E281="Support(L1_L2)",IF(NOT(ISBLANK(B281)),IF(NOT(ISBLANK(D281)),NETWORKDAYS('CPY TOC'!$F$5,'CPY TOC'!$G$5))))-L281</f>
        <v>0</v>
      </c>
      <c r="L281" s="64">
        <f>IF(E281="Support(L1_L2)",SUMIFS(Support_allowance_Entries!$G:$G,Support_allowance_Entries!$B:$B,CPY!B281),0)</f>
        <v>0</v>
      </c>
      <c r="M281" s="63" t="b">
        <f>IF($D281="D0",MD!$C$4*(K281),IF($D281="D1",MD!$C$5*(K281),IF($D281="D2",MD!$C$6*(K281),IF($D281="D3",MD!$C$7*(K281),IF($D281="D4",MD!$C$8*(K281),IF($D281="D5",MD!$C$9*(K281),IF($D281="M1",MD!$C$10*(K281),IF($D281="T1",MD!$C$11*(K281)))))))))</f>
        <v>0</v>
      </c>
      <c r="O281" s="65">
        <f>SUMIFS(Shift_allowance_Entries!$G:$G,Shift_allowance_Entries!$F:$F,"6:30AM-03:30PM",Shift_allowance_Entries!$B:$B,CPY!$B281)</f>
        <v>0</v>
      </c>
      <c r="P281" s="65">
        <f>SUMIFS(Shift_allowance_Entries!$G:$G,Shift_allowance_Entries!$F:$F,"1-9PM/2:30PM-11:30PM",Shift_allowance_Entries!$B:$B,CPY!$B281)</f>
        <v>0</v>
      </c>
      <c r="Q281" s="65">
        <f>SUMIFS(Shift_allowance_Entries!$G:$G,Shift_allowance_Entries!$F:$F,"11PM-7AM",Shift_allowance_Entries!$B:$B,CPY!$B281)</f>
        <v>0</v>
      </c>
      <c r="R281" s="63">
        <f>(CPY!O281*MD!$F$4)+(CPY!P281*MD!$F$5)+(CPY!Q281*MD!$F$6)</f>
        <v>0</v>
      </c>
      <c r="T281" s="64">
        <f>ROUNDUP((SUMIFS('OOH Activities'!$K:$K,'OOH Activities'!$F:$F,"Non_workdays",'OOH Activities'!$B:$B,CPY!B281)) *24,1)</f>
        <v>0</v>
      </c>
      <c r="U281" s="64">
        <f>ROUNDUP((SUMIFS('OOH Activities'!$K:$K,'OOH Activities'!$F:$F,"Workdays",'OOH Activities'!$B:$B,CPY!B281)) *24,1)</f>
        <v>0</v>
      </c>
      <c r="V281" s="63">
        <f>ROUNDUP((SUMIFS('OOH Activities'!$L:$L,'OOH Activities'!$B:$B,CPY!B281)),1)</f>
        <v>0</v>
      </c>
      <c r="X281" s="65">
        <f>ROUNDUP((SUMIFS('ON Call_Call Out Activities'!$L:$L,'ON Call_Call Out Activities'!$F:$F,"Workdays",'ON Call_Call Out Activities'!$B:$B,CPY!B281))*24,1)</f>
        <v>0</v>
      </c>
      <c r="Y281" s="64">
        <f>ROUNDUP((SUMIFS('ON Call_Call Out Activities'!$L:$L,'ON Call_Call Out Activities'!$F:$F,"Non_workdays",'ON Call_Call Out Activities'!$B:$B,CPY!B281)) *24,1)</f>
        <v>0</v>
      </c>
      <c r="Z281" s="63">
        <f>ROUNDUP((SUMIFS('ON Call_Call Out Activities'!$M:$M,'ON Call_Call Out Activities'!$F:$F,"Non_workdays",'ON Call_Call Out Activities'!$B:$B,CPY!B281)),1) + ROUNDUP((SUMIFS('ON Call_Call Out Activities'!$M:$M,'ON Call_Call Out Activities'!$F:$F,"Workdays",'ON Call_Call Out Activities'!$B:$B,CPY!B281)),1)</f>
        <v>0</v>
      </c>
      <c r="AA281" s="66"/>
      <c r="AB281" s="64">
        <f>ROUNDUP((SUMIFS('ON Call_Call Out Activities'!$L:$L,'ON Call_Call Out Activities'!$F:$F,"Call_Out",'ON Call_Call Out Activities'!$B:$B,CPY!B281)) *24,1)</f>
        <v>0</v>
      </c>
      <c r="AC281" s="63">
        <f>ROUNDUP((SUMIFS('ON Call_Call Out Activities'!$M:$M,'ON Call_Call Out Activities'!$F:$F,"Call_Out",'ON Call_Call Out Activities'!$B:$B,CPY!B281)),1)</f>
        <v>0</v>
      </c>
      <c r="AE281" s="65">
        <f>IF((SUMIF(Shift_allowance_Entries!$B:$B,CPY!$B281,Shift_allowance_Entries!$H:$H)) &gt; (SUMIF(Shift_allowance_Entries!$B:$B,CPY!$B281,Shift_allowance_Entries!$G:$G)),0,((SUMIF(Shift_allowance_Entries!$B:$B,CPY!$B281,Shift_allowance_Entries!$G:$G))-(SUMIF(Shift_allowance_Entries!$B:$B,CPY!$B281,Shift_allowance_Entries!$H:$H))))</f>
        <v>0</v>
      </c>
      <c r="AF281" s="63">
        <f>AE281*MD!$S$4</f>
        <v>0</v>
      </c>
    </row>
    <row r="282" spans="1:32" x14ac:dyDescent="0.25">
      <c r="A282" s="62">
        <v>280</v>
      </c>
      <c r="B282" s="62"/>
      <c r="C282" s="50" t="str">
        <f>IF(ISNA(VLOOKUP($B282,Summary!$B:$D,2,FALSE))=TRUE," ",VLOOKUP($B282,Summary!$B:$D,2,FALSE))</f>
        <v> </v>
      </c>
      <c r="D282" s="50" t="str">
        <f>IF(ISNA(VLOOKUP($B282,Summary!$B:$D,3,FALSE))=TRUE," ",VLOOKUP($B282,Summary!$B:$D,3,FALSE))</f>
        <v> </v>
      </c>
      <c r="E282" s="62"/>
      <c r="F282" s="62"/>
      <c r="G282" s="62"/>
      <c r="I282" s="63">
        <f t="shared" si="4"/>
        <v>0</v>
      </c>
      <c r="K282" s="64">
        <f>IF(E282="Support(L1_L2)",IF(NOT(ISBLANK(B282)),IF(NOT(ISBLANK(D282)),NETWORKDAYS('CPY TOC'!$F$5,'CPY TOC'!$G$5))))-L282</f>
        <v>0</v>
      </c>
      <c r="L282" s="64">
        <f>IF(E282="Support(L1_L2)",SUMIFS(Support_allowance_Entries!$G:$G,Support_allowance_Entries!$B:$B,CPY!B282),0)</f>
        <v>0</v>
      </c>
      <c r="M282" s="63" t="b">
        <f>IF($D282="D0",MD!$C$4*(K282),IF($D282="D1",MD!$C$5*(K282),IF($D282="D2",MD!$C$6*(K282),IF($D282="D3",MD!$C$7*(K282),IF($D282="D4",MD!$C$8*(K282),IF($D282="D5",MD!$C$9*(K282),IF($D282="M1",MD!$C$10*(K282),IF($D282="T1",MD!$C$11*(K282)))))))))</f>
        <v>0</v>
      </c>
      <c r="O282" s="65">
        <f>SUMIFS(Shift_allowance_Entries!$G:$G,Shift_allowance_Entries!$F:$F,"6:30AM-03:30PM",Shift_allowance_Entries!$B:$B,CPY!$B282)</f>
        <v>0</v>
      </c>
      <c r="P282" s="65">
        <f>SUMIFS(Shift_allowance_Entries!$G:$G,Shift_allowance_Entries!$F:$F,"1-9PM/2:30PM-11:30PM",Shift_allowance_Entries!$B:$B,CPY!$B282)</f>
        <v>0</v>
      </c>
      <c r="Q282" s="65">
        <f>SUMIFS(Shift_allowance_Entries!$G:$G,Shift_allowance_Entries!$F:$F,"11PM-7AM",Shift_allowance_Entries!$B:$B,CPY!$B282)</f>
        <v>0</v>
      </c>
      <c r="R282" s="63">
        <f>(CPY!O282*MD!$F$4)+(CPY!P282*MD!$F$5)+(CPY!Q282*MD!$F$6)</f>
        <v>0</v>
      </c>
      <c r="T282" s="64">
        <f>ROUNDUP((SUMIFS('OOH Activities'!$K:$K,'OOH Activities'!$F:$F,"Non_workdays",'OOH Activities'!$B:$B,CPY!B282)) *24,1)</f>
        <v>0</v>
      </c>
      <c r="U282" s="64">
        <f>ROUNDUP((SUMIFS('OOH Activities'!$K:$K,'OOH Activities'!$F:$F,"Workdays",'OOH Activities'!$B:$B,CPY!B282)) *24,1)</f>
        <v>0</v>
      </c>
      <c r="V282" s="63">
        <f>ROUNDUP((SUMIFS('OOH Activities'!$L:$L,'OOH Activities'!$B:$B,CPY!B282)),1)</f>
        <v>0</v>
      </c>
      <c r="X282" s="65">
        <f>ROUNDUP((SUMIFS('ON Call_Call Out Activities'!$L:$L,'ON Call_Call Out Activities'!$F:$F,"Workdays",'ON Call_Call Out Activities'!$B:$B,CPY!B282))*24,1)</f>
        <v>0</v>
      </c>
      <c r="Y282" s="64">
        <f>ROUNDUP((SUMIFS('ON Call_Call Out Activities'!$L:$L,'ON Call_Call Out Activities'!$F:$F,"Non_workdays",'ON Call_Call Out Activities'!$B:$B,CPY!B282)) *24,1)</f>
        <v>0</v>
      </c>
      <c r="Z282" s="63">
        <f>ROUNDUP((SUMIFS('ON Call_Call Out Activities'!$M:$M,'ON Call_Call Out Activities'!$F:$F,"Non_workdays",'ON Call_Call Out Activities'!$B:$B,CPY!B282)),1) + ROUNDUP((SUMIFS('ON Call_Call Out Activities'!$M:$M,'ON Call_Call Out Activities'!$F:$F,"Workdays",'ON Call_Call Out Activities'!$B:$B,CPY!B282)),1)</f>
        <v>0</v>
      </c>
      <c r="AA282" s="66"/>
      <c r="AB282" s="64">
        <f>ROUNDUP((SUMIFS('ON Call_Call Out Activities'!$L:$L,'ON Call_Call Out Activities'!$F:$F,"Call_Out",'ON Call_Call Out Activities'!$B:$B,CPY!B282)) *24,1)</f>
        <v>0</v>
      </c>
      <c r="AC282" s="63">
        <f>ROUNDUP((SUMIFS('ON Call_Call Out Activities'!$M:$M,'ON Call_Call Out Activities'!$F:$F,"Call_Out",'ON Call_Call Out Activities'!$B:$B,CPY!B282)),1)</f>
        <v>0</v>
      </c>
      <c r="AE282" s="65">
        <f>IF((SUMIF(Shift_allowance_Entries!$B:$B,CPY!$B282,Shift_allowance_Entries!$H:$H)) &gt; (SUMIF(Shift_allowance_Entries!$B:$B,CPY!$B282,Shift_allowance_Entries!$G:$G)),0,((SUMIF(Shift_allowance_Entries!$B:$B,CPY!$B282,Shift_allowance_Entries!$G:$G))-(SUMIF(Shift_allowance_Entries!$B:$B,CPY!$B282,Shift_allowance_Entries!$H:$H))))</f>
        <v>0</v>
      </c>
      <c r="AF282" s="63">
        <f>AE282*MD!$S$4</f>
        <v>0</v>
      </c>
    </row>
    <row r="283" spans="1:32" x14ac:dyDescent="0.25">
      <c r="A283" s="62">
        <v>281</v>
      </c>
      <c r="B283" s="62"/>
      <c r="C283" s="50" t="str">
        <f>IF(ISNA(VLOOKUP($B283,Summary!$B:$D,2,FALSE))=TRUE," ",VLOOKUP($B283,Summary!$B:$D,2,FALSE))</f>
        <v> </v>
      </c>
      <c r="D283" s="50" t="str">
        <f>IF(ISNA(VLOOKUP($B283,Summary!$B:$D,3,FALSE))=TRUE," ",VLOOKUP($B283,Summary!$B:$D,3,FALSE))</f>
        <v> </v>
      </c>
      <c r="E283" s="62"/>
      <c r="F283" s="62"/>
      <c r="G283" s="62"/>
      <c r="I283" s="63">
        <f t="shared" si="4"/>
        <v>0</v>
      </c>
      <c r="K283" s="64">
        <f>IF(E283="Support(L1_L2)",IF(NOT(ISBLANK(B283)),IF(NOT(ISBLANK(D283)),NETWORKDAYS('CPY TOC'!$F$5,'CPY TOC'!$G$5))))-L283</f>
        <v>0</v>
      </c>
      <c r="L283" s="64">
        <f>IF(E283="Support(L1_L2)",SUMIFS(Support_allowance_Entries!$G:$G,Support_allowance_Entries!$B:$B,CPY!B283),0)</f>
        <v>0</v>
      </c>
      <c r="M283" s="63" t="b">
        <f>IF($D283="D0",MD!$C$4*(K283),IF($D283="D1",MD!$C$5*(K283),IF($D283="D2",MD!$C$6*(K283),IF($D283="D3",MD!$C$7*(K283),IF($D283="D4",MD!$C$8*(K283),IF($D283="D5",MD!$C$9*(K283),IF($D283="M1",MD!$C$10*(K283),IF($D283="T1",MD!$C$11*(K283)))))))))</f>
        <v>0</v>
      </c>
      <c r="O283" s="65">
        <f>SUMIFS(Shift_allowance_Entries!$G:$G,Shift_allowance_Entries!$F:$F,"6:30AM-03:30PM",Shift_allowance_Entries!$B:$B,CPY!$B283)</f>
        <v>0</v>
      </c>
      <c r="P283" s="65">
        <f>SUMIFS(Shift_allowance_Entries!$G:$G,Shift_allowance_Entries!$F:$F,"1-9PM/2:30PM-11:30PM",Shift_allowance_Entries!$B:$B,CPY!$B283)</f>
        <v>0</v>
      </c>
      <c r="Q283" s="65">
        <f>SUMIFS(Shift_allowance_Entries!$G:$G,Shift_allowance_Entries!$F:$F,"11PM-7AM",Shift_allowance_Entries!$B:$B,CPY!$B283)</f>
        <v>0</v>
      </c>
      <c r="R283" s="63">
        <f>(CPY!O283*MD!$F$4)+(CPY!P283*MD!$F$5)+(CPY!Q283*MD!$F$6)</f>
        <v>0</v>
      </c>
      <c r="T283" s="64">
        <f>ROUNDUP((SUMIFS('OOH Activities'!$K:$K,'OOH Activities'!$F:$F,"Non_workdays",'OOH Activities'!$B:$B,CPY!B283)) *24,1)</f>
        <v>0</v>
      </c>
      <c r="U283" s="64">
        <f>ROUNDUP((SUMIFS('OOH Activities'!$K:$K,'OOH Activities'!$F:$F,"Workdays",'OOH Activities'!$B:$B,CPY!B283)) *24,1)</f>
        <v>0</v>
      </c>
      <c r="V283" s="63">
        <f>ROUNDUP((SUMIFS('OOH Activities'!$L:$L,'OOH Activities'!$B:$B,CPY!B283)),1)</f>
        <v>0</v>
      </c>
      <c r="X283" s="65">
        <f>ROUNDUP((SUMIFS('ON Call_Call Out Activities'!$L:$L,'ON Call_Call Out Activities'!$F:$F,"Workdays",'ON Call_Call Out Activities'!$B:$B,CPY!B283))*24,1)</f>
        <v>0</v>
      </c>
      <c r="Y283" s="64">
        <f>ROUNDUP((SUMIFS('ON Call_Call Out Activities'!$L:$L,'ON Call_Call Out Activities'!$F:$F,"Non_workdays",'ON Call_Call Out Activities'!$B:$B,CPY!B283)) *24,1)</f>
        <v>0</v>
      </c>
      <c r="Z283" s="63">
        <f>ROUNDUP((SUMIFS('ON Call_Call Out Activities'!$M:$M,'ON Call_Call Out Activities'!$F:$F,"Non_workdays",'ON Call_Call Out Activities'!$B:$B,CPY!B283)),1) + ROUNDUP((SUMIFS('ON Call_Call Out Activities'!$M:$M,'ON Call_Call Out Activities'!$F:$F,"Workdays",'ON Call_Call Out Activities'!$B:$B,CPY!B283)),1)</f>
        <v>0</v>
      </c>
      <c r="AA283" s="66"/>
      <c r="AB283" s="64">
        <f>ROUNDUP((SUMIFS('ON Call_Call Out Activities'!$L:$L,'ON Call_Call Out Activities'!$F:$F,"Call_Out",'ON Call_Call Out Activities'!$B:$B,CPY!B283)) *24,1)</f>
        <v>0</v>
      </c>
      <c r="AC283" s="63">
        <f>ROUNDUP((SUMIFS('ON Call_Call Out Activities'!$M:$M,'ON Call_Call Out Activities'!$F:$F,"Call_Out",'ON Call_Call Out Activities'!$B:$B,CPY!B283)),1)</f>
        <v>0</v>
      </c>
      <c r="AE283" s="65">
        <f>IF((SUMIF(Shift_allowance_Entries!$B:$B,CPY!$B283,Shift_allowance_Entries!$H:$H)) &gt; (SUMIF(Shift_allowance_Entries!$B:$B,CPY!$B283,Shift_allowance_Entries!$G:$G)),0,((SUMIF(Shift_allowance_Entries!$B:$B,CPY!$B283,Shift_allowance_Entries!$G:$G))-(SUMIF(Shift_allowance_Entries!$B:$B,CPY!$B283,Shift_allowance_Entries!$H:$H))))</f>
        <v>0</v>
      </c>
      <c r="AF283" s="63">
        <f>AE283*MD!$S$4</f>
        <v>0</v>
      </c>
    </row>
    <row r="284" spans="1:32" x14ac:dyDescent="0.25">
      <c r="A284" s="62">
        <v>282</v>
      </c>
      <c r="B284" s="62"/>
      <c r="C284" s="50" t="str">
        <f>IF(ISNA(VLOOKUP($B284,Summary!$B:$D,2,FALSE))=TRUE," ",VLOOKUP($B284,Summary!$B:$D,2,FALSE))</f>
        <v> </v>
      </c>
      <c r="D284" s="50" t="str">
        <f>IF(ISNA(VLOOKUP($B284,Summary!$B:$D,3,FALSE))=TRUE," ",VLOOKUP($B284,Summary!$B:$D,3,FALSE))</f>
        <v> </v>
      </c>
      <c r="E284" s="62"/>
      <c r="F284" s="62"/>
      <c r="G284" s="62"/>
      <c r="I284" s="63">
        <f t="shared" si="4"/>
        <v>0</v>
      </c>
      <c r="K284" s="64">
        <f>IF(E284="Support(L1_L2)",IF(NOT(ISBLANK(B284)),IF(NOT(ISBLANK(D284)),NETWORKDAYS('CPY TOC'!$F$5,'CPY TOC'!$G$5))))-L284</f>
        <v>0</v>
      </c>
      <c r="L284" s="64">
        <f>IF(E284="Support(L1_L2)",SUMIFS(Support_allowance_Entries!$G:$G,Support_allowance_Entries!$B:$B,CPY!B284),0)</f>
        <v>0</v>
      </c>
      <c r="M284" s="63" t="b">
        <f>IF($D284="D0",MD!$C$4*(K284),IF($D284="D1",MD!$C$5*(K284),IF($D284="D2",MD!$C$6*(K284),IF($D284="D3",MD!$C$7*(K284),IF($D284="D4",MD!$C$8*(K284),IF($D284="D5",MD!$C$9*(K284),IF($D284="M1",MD!$C$10*(K284),IF($D284="T1",MD!$C$11*(K284)))))))))</f>
        <v>0</v>
      </c>
      <c r="O284" s="65">
        <f>SUMIFS(Shift_allowance_Entries!$G:$G,Shift_allowance_Entries!$F:$F,"6:30AM-03:30PM",Shift_allowance_Entries!$B:$B,CPY!$B284)</f>
        <v>0</v>
      </c>
      <c r="P284" s="65">
        <f>SUMIFS(Shift_allowance_Entries!$G:$G,Shift_allowance_Entries!$F:$F,"1-9PM/2:30PM-11:30PM",Shift_allowance_Entries!$B:$B,CPY!$B284)</f>
        <v>0</v>
      </c>
      <c r="Q284" s="65">
        <f>SUMIFS(Shift_allowance_Entries!$G:$G,Shift_allowance_Entries!$F:$F,"11PM-7AM",Shift_allowance_Entries!$B:$B,CPY!$B284)</f>
        <v>0</v>
      </c>
      <c r="R284" s="63">
        <f>(CPY!O284*MD!$F$4)+(CPY!P284*MD!$F$5)+(CPY!Q284*MD!$F$6)</f>
        <v>0</v>
      </c>
      <c r="T284" s="64">
        <f>ROUNDUP((SUMIFS('OOH Activities'!$K:$K,'OOH Activities'!$F:$F,"Non_workdays",'OOH Activities'!$B:$B,CPY!B284)) *24,1)</f>
        <v>0</v>
      </c>
      <c r="U284" s="64">
        <f>ROUNDUP((SUMIFS('OOH Activities'!$K:$K,'OOH Activities'!$F:$F,"Workdays",'OOH Activities'!$B:$B,CPY!B284)) *24,1)</f>
        <v>0</v>
      </c>
      <c r="V284" s="63">
        <f>ROUNDUP((SUMIFS('OOH Activities'!$L:$L,'OOH Activities'!$B:$B,CPY!B284)),1)</f>
        <v>0</v>
      </c>
      <c r="X284" s="65">
        <f>ROUNDUP((SUMIFS('ON Call_Call Out Activities'!$L:$L,'ON Call_Call Out Activities'!$F:$F,"Workdays",'ON Call_Call Out Activities'!$B:$B,CPY!B284))*24,1)</f>
        <v>0</v>
      </c>
      <c r="Y284" s="64">
        <f>ROUNDUP((SUMIFS('ON Call_Call Out Activities'!$L:$L,'ON Call_Call Out Activities'!$F:$F,"Non_workdays",'ON Call_Call Out Activities'!$B:$B,CPY!B284)) *24,1)</f>
        <v>0</v>
      </c>
      <c r="Z284" s="63">
        <f>ROUNDUP((SUMIFS('ON Call_Call Out Activities'!$M:$M,'ON Call_Call Out Activities'!$F:$F,"Non_workdays",'ON Call_Call Out Activities'!$B:$B,CPY!B284)),1) + ROUNDUP((SUMIFS('ON Call_Call Out Activities'!$M:$M,'ON Call_Call Out Activities'!$F:$F,"Workdays",'ON Call_Call Out Activities'!$B:$B,CPY!B284)),1)</f>
        <v>0</v>
      </c>
      <c r="AA284" s="66"/>
      <c r="AB284" s="64">
        <f>ROUNDUP((SUMIFS('ON Call_Call Out Activities'!$L:$L,'ON Call_Call Out Activities'!$F:$F,"Call_Out",'ON Call_Call Out Activities'!$B:$B,CPY!B284)) *24,1)</f>
        <v>0</v>
      </c>
      <c r="AC284" s="63">
        <f>ROUNDUP((SUMIFS('ON Call_Call Out Activities'!$M:$M,'ON Call_Call Out Activities'!$F:$F,"Call_Out",'ON Call_Call Out Activities'!$B:$B,CPY!B284)),1)</f>
        <v>0</v>
      </c>
      <c r="AE284" s="65">
        <f>IF((SUMIF(Shift_allowance_Entries!$B:$B,CPY!$B284,Shift_allowance_Entries!$H:$H)) &gt; (SUMIF(Shift_allowance_Entries!$B:$B,CPY!$B284,Shift_allowance_Entries!$G:$G)),0,((SUMIF(Shift_allowance_Entries!$B:$B,CPY!$B284,Shift_allowance_Entries!$G:$G))-(SUMIF(Shift_allowance_Entries!$B:$B,CPY!$B284,Shift_allowance_Entries!$H:$H))))</f>
        <v>0</v>
      </c>
      <c r="AF284" s="63">
        <f>AE284*MD!$S$4</f>
        <v>0</v>
      </c>
    </row>
    <row r="285" spans="1:32" x14ac:dyDescent="0.25">
      <c r="A285" s="62">
        <v>283</v>
      </c>
      <c r="B285" s="62"/>
      <c r="C285" s="50" t="str">
        <f>IF(ISNA(VLOOKUP($B285,Summary!$B:$D,2,FALSE))=TRUE," ",VLOOKUP($B285,Summary!$B:$D,2,FALSE))</f>
        <v> </v>
      </c>
      <c r="D285" s="50" t="str">
        <f>IF(ISNA(VLOOKUP($B285,Summary!$B:$D,3,FALSE))=TRUE," ",VLOOKUP($B285,Summary!$B:$D,3,FALSE))</f>
        <v> </v>
      </c>
      <c r="E285" s="62"/>
      <c r="F285" s="62"/>
      <c r="G285" s="62"/>
      <c r="I285" s="63">
        <f t="shared" si="4"/>
        <v>0</v>
      </c>
      <c r="K285" s="64">
        <f>IF(E285="Support(L1_L2)",IF(NOT(ISBLANK(B285)),IF(NOT(ISBLANK(D285)),NETWORKDAYS('CPY TOC'!$F$5,'CPY TOC'!$G$5))))-L285</f>
        <v>0</v>
      </c>
      <c r="L285" s="64">
        <f>IF(E285="Support(L1_L2)",SUMIFS(Support_allowance_Entries!$G:$G,Support_allowance_Entries!$B:$B,CPY!B285),0)</f>
        <v>0</v>
      </c>
      <c r="M285" s="63" t="b">
        <f>IF($D285="D0",MD!$C$4*(K285),IF($D285="D1",MD!$C$5*(K285),IF($D285="D2",MD!$C$6*(K285),IF($D285="D3",MD!$C$7*(K285),IF($D285="D4",MD!$C$8*(K285),IF($D285="D5",MD!$C$9*(K285),IF($D285="M1",MD!$C$10*(K285),IF($D285="T1",MD!$C$11*(K285)))))))))</f>
        <v>0</v>
      </c>
      <c r="O285" s="65">
        <f>SUMIFS(Shift_allowance_Entries!$G:$G,Shift_allowance_Entries!$F:$F,"6:30AM-03:30PM",Shift_allowance_Entries!$B:$B,CPY!$B285)</f>
        <v>0</v>
      </c>
      <c r="P285" s="65">
        <f>SUMIFS(Shift_allowance_Entries!$G:$G,Shift_allowance_Entries!$F:$F,"1-9PM/2:30PM-11:30PM",Shift_allowance_Entries!$B:$B,CPY!$B285)</f>
        <v>0</v>
      </c>
      <c r="Q285" s="65">
        <f>SUMIFS(Shift_allowance_Entries!$G:$G,Shift_allowance_Entries!$F:$F,"11PM-7AM",Shift_allowance_Entries!$B:$B,CPY!$B285)</f>
        <v>0</v>
      </c>
      <c r="R285" s="63">
        <f>(CPY!O285*MD!$F$4)+(CPY!P285*MD!$F$5)+(CPY!Q285*MD!$F$6)</f>
        <v>0</v>
      </c>
      <c r="T285" s="64">
        <f>ROUNDUP((SUMIFS('OOH Activities'!$K:$K,'OOH Activities'!$F:$F,"Non_workdays",'OOH Activities'!$B:$B,CPY!B285)) *24,1)</f>
        <v>0</v>
      </c>
      <c r="U285" s="64">
        <f>ROUNDUP((SUMIFS('OOH Activities'!$K:$K,'OOH Activities'!$F:$F,"Workdays",'OOH Activities'!$B:$B,CPY!B285)) *24,1)</f>
        <v>0</v>
      </c>
      <c r="V285" s="63">
        <f>ROUNDUP((SUMIFS('OOH Activities'!$L:$L,'OOH Activities'!$B:$B,CPY!B285)),1)</f>
        <v>0</v>
      </c>
      <c r="X285" s="65">
        <f>ROUNDUP((SUMIFS('ON Call_Call Out Activities'!$L:$L,'ON Call_Call Out Activities'!$F:$F,"Workdays",'ON Call_Call Out Activities'!$B:$B,CPY!B285))*24,1)</f>
        <v>0</v>
      </c>
      <c r="Y285" s="64">
        <f>ROUNDUP((SUMIFS('ON Call_Call Out Activities'!$L:$L,'ON Call_Call Out Activities'!$F:$F,"Non_workdays",'ON Call_Call Out Activities'!$B:$B,CPY!B285)) *24,1)</f>
        <v>0</v>
      </c>
      <c r="Z285" s="63">
        <f>ROUNDUP((SUMIFS('ON Call_Call Out Activities'!$M:$M,'ON Call_Call Out Activities'!$F:$F,"Non_workdays",'ON Call_Call Out Activities'!$B:$B,CPY!B285)),1) + ROUNDUP((SUMIFS('ON Call_Call Out Activities'!$M:$M,'ON Call_Call Out Activities'!$F:$F,"Workdays",'ON Call_Call Out Activities'!$B:$B,CPY!B285)),1)</f>
        <v>0</v>
      </c>
      <c r="AA285" s="66"/>
      <c r="AB285" s="64">
        <f>ROUNDUP((SUMIFS('ON Call_Call Out Activities'!$L:$L,'ON Call_Call Out Activities'!$F:$F,"Call_Out",'ON Call_Call Out Activities'!$B:$B,CPY!B285)) *24,1)</f>
        <v>0</v>
      </c>
      <c r="AC285" s="63">
        <f>ROUNDUP((SUMIFS('ON Call_Call Out Activities'!$M:$M,'ON Call_Call Out Activities'!$F:$F,"Call_Out",'ON Call_Call Out Activities'!$B:$B,CPY!B285)),1)</f>
        <v>0</v>
      </c>
      <c r="AE285" s="65">
        <f>IF((SUMIF(Shift_allowance_Entries!$B:$B,CPY!$B285,Shift_allowance_Entries!$H:$H)) &gt; (SUMIF(Shift_allowance_Entries!$B:$B,CPY!$B285,Shift_allowance_Entries!$G:$G)),0,((SUMIF(Shift_allowance_Entries!$B:$B,CPY!$B285,Shift_allowance_Entries!$G:$G))-(SUMIF(Shift_allowance_Entries!$B:$B,CPY!$B285,Shift_allowance_Entries!$H:$H))))</f>
        <v>0</v>
      </c>
      <c r="AF285" s="63">
        <f>AE285*MD!$S$4</f>
        <v>0</v>
      </c>
    </row>
    <row r="286" spans="1:32" x14ac:dyDescent="0.25">
      <c r="A286" s="62">
        <v>284</v>
      </c>
      <c r="B286" s="62"/>
      <c r="C286" s="50" t="str">
        <f>IF(ISNA(VLOOKUP($B286,Summary!$B:$D,2,FALSE))=TRUE," ",VLOOKUP($B286,Summary!$B:$D,2,FALSE))</f>
        <v> </v>
      </c>
      <c r="D286" s="50" t="str">
        <f>IF(ISNA(VLOOKUP($B286,Summary!$B:$D,3,FALSE))=TRUE," ",VLOOKUP($B286,Summary!$B:$D,3,FALSE))</f>
        <v> </v>
      </c>
      <c r="E286" s="62"/>
      <c r="F286" s="62"/>
      <c r="G286" s="62"/>
      <c r="I286" s="63">
        <f t="shared" si="4"/>
        <v>0</v>
      </c>
      <c r="K286" s="64">
        <f>IF(E286="Support(L1_L2)",IF(NOT(ISBLANK(B286)),IF(NOT(ISBLANK(D286)),NETWORKDAYS('CPY TOC'!$F$5,'CPY TOC'!$G$5))))-L286</f>
        <v>0</v>
      </c>
      <c r="L286" s="64">
        <f>IF(E286="Support(L1_L2)",SUMIFS(Support_allowance_Entries!$G:$G,Support_allowance_Entries!$B:$B,CPY!B286),0)</f>
        <v>0</v>
      </c>
      <c r="M286" s="63" t="b">
        <f>IF($D286="D0",MD!$C$4*(K286),IF($D286="D1",MD!$C$5*(K286),IF($D286="D2",MD!$C$6*(K286),IF($D286="D3",MD!$C$7*(K286),IF($D286="D4",MD!$C$8*(K286),IF($D286="D5",MD!$C$9*(K286),IF($D286="M1",MD!$C$10*(K286),IF($D286="T1",MD!$C$11*(K286)))))))))</f>
        <v>0</v>
      </c>
      <c r="O286" s="65">
        <f>SUMIFS(Shift_allowance_Entries!$G:$G,Shift_allowance_Entries!$F:$F,"6:30AM-03:30PM",Shift_allowance_Entries!$B:$B,CPY!$B286)</f>
        <v>0</v>
      </c>
      <c r="P286" s="65">
        <f>SUMIFS(Shift_allowance_Entries!$G:$G,Shift_allowance_Entries!$F:$F,"1-9PM/2:30PM-11:30PM",Shift_allowance_Entries!$B:$B,CPY!$B286)</f>
        <v>0</v>
      </c>
      <c r="Q286" s="65">
        <f>SUMIFS(Shift_allowance_Entries!$G:$G,Shift_allowance_Entries!$F:$F,"11PM-7AM",Shift_allowance_Entries!$B:$B,CPY!$B286)</f>
        <v>0</v>
      </c>
      <c r="R286" s="63">
        <f>(CPY!O286*MD!$F$4)+(CPY!P286*MD!$F$5)+(CPY!Q286*MD!$F$6)</f>
        <v>0</v>
      </c>
      <c r="T286" s="64">
        <f>ROUNDUP((SUMIFS('OOH Activities'!$K:$K,'OOH Activities'!$F:$F,"Non_workdays",'OOH Activities'!$B:$B,CPY!B286)) *24,1)</f>
        <v>0</v>
      </c>
      <c r="U286" s="64">
        <f>ROUNDUP((SUMIFS('OOH Activities'!$K:$K,'OOH Activities'!$F:$F,"Workdays",'OOH Activities'!$B:$B,CPY!B286)) *24,1)</f>
        <v>0</v>
      </c>
      <c r="V286" s="63">
        <f>ROUNDUP((SUMIFS('OOH Activities'!$L:$L,'OOH Activities'!$B:$B,CPY!B286)),1)</f>
        <v>0</v>
      </c>
      <c r="X286" s="65">
        <f>ROUNDUP((SUMIFS('ON Call_Call Out Activities'!$L:$L,'ON Call_Call Out Activities'!$F:$F,"Workdays",'ON Call_Call Out Activities'!$B:$B,CPY!B286))*24,1)</f>
        <v>0</v>
      </c>
      <c r="Y286" s="64">
        <f>ROUNDUP((SUMIFS('ON Call_Call Out Activities'!$L:$L,'ON Call_Call Out Activities'!$F:$F,"Non_workdays",'ON Call_Call Out Activities'!$B:$B,CPY!B286)) *24,1)</f>
        <v>0</v>
      </c>
      <c r="Z286" s="63">
        <f>ROUNDUP((SUMIFS('ON Call_Call Out Activities'!$M:$M,'ON Call_Call Out Activities'!$F:$F,"Non_workdays",'ON Call_Call Out Activities'!$B:$B,CPY!B286)),1) + ROUNDUP((SUMIFS('ON Call_Call Out Activities'!$M:$M,'ON Call_Call Out Activities'!$F:$F,"Workdays",'ON Call_Call Out Activities'!$B:$B,CPY!B286)),1)</f>
        <v>0</v>
      </c>
      <c r="AA286" s="66"/>
      <c r="AB286" s="64">
        <f>ROUNDUP((SUMIFS('ON Call_Call Out Activities'!$L:$L,'ON Call_Call Out Activities'!$F:$F,"Call_Out",'ON Call_Call Out Activities'!$B:$B,CPY!B286)) *24,1)</f>
        <v>0</v>
      </c>
      <c r="AC286" s="63">
        <f>ROUNDUP((SUMIFS('ON Call_Call Out Activities'!$M:$M,'ON Call_Call Out Activities'!$F:$F,"Call_Out",'ON Call_Call Out Activities'!$B:$B,CPY!B286)),1)</f>
        <v>0</v>
      </c>
      <c r="AE286" s="65">
        <f>IF((SUMIF(Shift_allowance_Entries!$B:$B,CPY!$B286,Shift_allowance_Entries!$H:$H)) &gt; (SUMIF(Shift_allowance_Entries!$B:$B,CPY!$B286,Shift_allowance_Entries!$G:$G)),0,((SUMIF(Shift_allowance_Entries!$B:$B,CPY!$B286,Shift_allowance_Entries!$G:$G))-(SUMIF(Shift_allowance_Entries!$B:$B,CPY!$B286,Shift_allowance_Entries!$H:$H))))</f>
        <v>0</v>
      </c>
      <c r="AF286" s="63">
        <f>AE286*MD!$S$4</f>
        <v>0</v>
      </c>
    </row>
    <row r="287" spans="1:32" x14ac:dyDescent="0.25">
      <c r="A287" s="62">
        <v>285</v>
      </c>
      <c r="B287" s="62"/>
      <c r="C287" s="50" t="str">
        <f>IF(ISNA(VLOOKUP($B287,Summary!$B:$D,2,FALSE))=TRUE," ",VLOOKUP($B287,Summary!$B:$D,2,FALSE))</f>
        <v> </v>
      </c>
      <c r="D287" s="50" t="str">
        <f>IF(ISNA(VLOOKUP($B287,Summary!$B:$D,3,FALSE))=TRUE," ",VLOOKUP($B287,Summary!$B:$D,3,FALSE))</f>
        <v> </v>
      </c>
      <c r="E287" s="62"/>
      <c r="F287" s="62"/>
      <c r="G287" s="62"/>
      <c r="I287" s="63">
        <f t="shared" si="4"/>
        <v>0</v>
      </c>
      <c r="K287" s="64">
        <f>IF(E287="Support(L1_L2)",IF(NOT(ISBLANK(B287)),IF(NOT(ISBLANK(D287)),NETWORKDAYS('CPY TOC'!$F$5,'CPY TOC'!$G$5))))-L287</f>
        <v>0</v>
      </c>
      <c r="L287" s="64">
        <f>IF(E287="Support(L1_L2)",SUMIFS(Support_allowance_Entries!$G:$G,Support_allowance_Entries!$B:$B,CPY!B287),0)</f>
        <v>0</v>
      </c>
      <c r="M287" s="63" t="b">
        <f>IF($D287="D0",MD!$C$4*(K287),IF($D287="D1",MD!$C$5*(K287),IF($D287="D2",MD!$C$6*(K287),IF($D287="D3",MD!$C$7*(K287),IF($D287="D4",MD!$C$8*(K287),IF($D287="D5",MD!$C$9*(K287),IF($D287="M1",MD!$C$10*(K287),IF($D287="T1",MD!$C$11*(K287)))))))))</f>
        <v>0</v>
      </c>
      <c r="O287" s="65">
        <f>SUMIFS(Shift_allowance_Entries!$G:$G,Shift_allowance_Entries!$F:$F,"6:30AM-03:30PM",Shift_allowance_Entries!$B:$B,CPY!$B287)</f>
        <v>0</v>
      </c>
      <c r="P287" s="65">
        <f>SUMIFS(Shift_allowance_Entries!$G:$G,Shift_allowance_Entries!$F:$F,"1-9PM/2:30PM-11:30PM",Shift_allowance_Entries!$B:$B,CPY!$B287)</f>
        <v>0</v>
      </c>
      <c r="Q287" s="65">
        <f>SUMIFS(Shift_allowance_Entries!$G:$G,Shift_allowance_Entries!$F:$F,"11PM-7AM",Shift_allowance_Entries!$B:$B,CPY!$B287)</f>
        <v>0</v>
      </c>
      <c r="R287" s="63">
        <f>(CPY!O287*MD!$F$4)+(CPY!P287*MD!$F$5)+(CPY!Q287*MD!$F$6)</f>
        <v>0</v>
      </c>
      <c r="T287" s="64">
        <f>ROUNDUP((SUMIFS('OOH Activities'!$K:$K,'OOH Activities'!$F:$F,"Non_workdays",'OOH Activities'!$B:$B,CPY!B287)) *24,1)</f>
        <v>0</v>
      </c>
      <c r="U287" s="64">
        <f>ROUNDUP((SUMIFS('OOH Activities'!$K:$K,'OOH Activities'!$F:$F,"Workdays",'OOH Activities'!$B:$B,CPY!B287)) *24,1)</f>
        <v>0</v>
      </c>
      <c r="V287" s="63">
        <f>ROUNDUP((SUMIFS('OOH Activities'!$L:$L,'OOH Activities'!$B:$B,CPY!B287)),1)</f>
        <v>0</v>
      </c>
      <c r="X287" s="65">
        <f>ROUNDUP((SUMIFS('ON Call_Call Out Activities'!$L:$L,'ON Call_Call Out Activities'!$F:$F,"Workdays",'ON Call_Call Out Activities'!$B:$B,CPY!B287))*24,1)</f>
        <v>0</v>
      </c>
      <c r="Y287" s="64">
        <f>ROUNDUP((SUMIFS('ON Call_Call Out Activities'!$L:$L,'ON Call_Call Out Activities'!$F:$F,"Non_workdays",'ON Call_Call Out Activities'!$B:$B,CPY!B287)) *24,1)</f>
        <v>0</v>
      </c>
      <c r="Z287" s="63">
        <f>ROUNDUP((SUMIFS('ON Call_Call Out Activities'!$M:$M,'ON Call_Call Out Activities'!$F:$F,"Non_workdays",'ON Call_Call Out Activities'!$B:$B,CPY!B287)),1) + ROUNDUP((SUMIFS('ON Call_Call Out Activities'!$M:$M,'ON Call_Call Out Activities'!$F:$F,"Workdays",'ON Call_Call Out Activities'!$B:$B,CPY!B287)),1)</f>
        <v>0</v>
      </c>
      <c r="AA287" s="66"/>
      <c r="AB287" s="64">
        <f>ROUNDUP((SUMIFS('ON Call_Call Out Activities'!$L:$L,'ON Call_Call Out Activities'!$F:$F,"Call_Out",'ON Call_Call Out Activities'!$B:$B,CPY!B287)) *24,1)</f>
        <v>0</v>
      </c>
      <c r="AC287" s="63">
        <f>ROUNDUP((SUMIFS('ON Call_Call Out Activities'!$M:$M,'ON Call_Call Out Activities'!$F:$F,"Call_Out",'ON Call_Call Out Activities'!$B:$B,CPY!B287)),1)</f>
        <v>0</v>
      </c>
      <c r="AE287" s="65">
        <f>IF((SUMIF(Shift_allowance_Entries!$B:$B,CPY!$B287,Shift_allowance_Entries!$H:$H)) &gt; (SUMIF(Shift_allowance_Entries!$B:$B,CPY!$B287,Shift_allowance_Entries!$G:$G)),0,((SUMIF(Shift_allowance_Entries!$B:$B,CPY!$B287,Shift_allowance_Entries!$G:$G))-(SUMIF(Shift_allowance_Entries!$B:$B,CPY!$B287,Shift_allowance_Entries!$H:$H))))</f>
        <v>0</v>
      </c>
      <c r="AF287" s="63">
        <f>AE287*MD!$S$4</f>
        <v>0</v>
      </c>
    </row>
    <row r="288" spans="1:32" x14ac:dyDescent="0.25">
      <c r="A288" s="62">
        <v>286</v>
      </c>
      <c r="B288" s="62"/>
      <c r="C288" s="50" t="str">
        <f>IF(ISNA(VLOOKUP($B288,Summary!$B:$D,2,FALSE))=TRUE," ",VLOOKUP($B288,Summary!$B:$D,2,FALSE))</f>
        <v> </v>
      </c>
      <c r="D288" s="50" t="str">
        <f>IF(ISNA(VLOOKUP($B288,Summary!$B:$D,3,FALSE))=TRUE," ",VLOOKUP($B288,Summary!$B:$D,3,FALSE))</f>
        <v> </v>
      </c>
      <c r="E288" s="62"/>
      <c r="F288" s="62"/>
      <c r="G288" s="62"/>
      <c r="I288" s="63">
        <f t="shared" si="4"/>
        <v>0</v>
      </c>
      <c r="K288" s="64">
        <f>IF(E288="Support(L1_L2)",IF(NOT(ISBLANK(B288)),IF(NOT(ISBLANK(D288)),NETWORKDAYS('CPY TOC'!$F$5,'CPY TOC'!$G$5))))-L288</f>
        <v>0</v>
      </c>
      <c r="L288" s="64">
        <f>IF(E288="Support(L1_L2)",SUMIFS(Support_allowance_Entries!$G:$G,Support_allowance_Entries!$B:$B,CPY!B288),0)</f>
        <v>0</v>
      </c>
      <c r="M288" s="63" t="b">
        <f>IF($D288="D0",MD!$C$4*(K288),IF($D288="D1",MD!$C$5*(K288),IF($D288="D2",MD!$C$6*(K288),IF($D288="D3",MD!$C$7*(K288),IF($D288="D4",MD!$C$8*(K288),IF($D288="D5",MD!$C$9*(K288),IF($D288="M1",MD!$C$10*(K288),IF($D288="T1",MD!$C$11*(K288)))))))))</f>
        <v>0</v>
      </c>
      <c r="O288" s="65">
        <f>SUMIFS(Shift_allowance_Entries!$G:$G,Shift_allowance_Entries!$F:$F,"6:30AM-03:30PM",Shift_allowance_Entries!$B:$B,CPY!$B288)</f>
        <v>0</v>
      </c>
      <c r="P288" s="65">
        <f>SUMIFS(Shift_allowance_Entries!$G:$G,Shift_allowance_Entries!$F:$F,"1-9PM/2:30PM-11:30PM",Shift_allowance_Entries!$B:$B,CPY!$B288)</f>
        <v>0</v>
      </c>
      <c r="Q288" s="65">
        <f>SUMIFS(Shift_allowance_Entries!$G:$G,Shift_allowance_Entries!$F:$F,"11PM-7AM",Shift_allowance_Entries!$B:$B,CPY!$B288)</f>
        <v>0</v>
      </c>
      <c r="R288" s="63">
        <f>(CPY!O288*MD!$F$4)+(CPY!P288*MD!$F$5)+(CPY!Q288*MD!$F$6)</f>
        <v>0</v>
      </c>
      <c r="T288" s="64">
        <f>ROUNDUP((SUMIFS('OOH Activities'!$K:$K,'OOH Activities'!$F:$F,"Non_workdays",'OOH Activities'!$B:$B,CPY!B288)) *24,1)</f>
        <v>0</v>
      </c>
      <c r="U288" s="64">
        <f>ROUNDUP((SUMIFS('OOH Activities'!$K:$K,'OOH Activities'!$F:$F,"Workdays",'OOH Activities'!$B:$B,CPY!B288)) *24,1)</f>
        <v>0</v>
      </c>
      <c r="V288" s="63">
        <f>ROUNDUP((SUMIFS('OOH Activities'!$L:$L,'OOH Activities'!$B:$B,CPY!B288)),1)</f>
        <v>0</v>
      </c>
      <c r="X288" s="65">
        <f>ROUNDUP((SUMIFS('ON Call_Call Out Activities'!$L:$L,'ON Call_Call Out Activities'!$F:$F,"Workdays",'ON Call_Call Out Activities'!$B:$B,CPY!B288))*24,1)</f>
        <v>0</v>
      </c>
      <c r="Y288" s="64">
        <f>ROUNDUP((SUMIFS('ON Call_Call Out Activities'!$L:$L,'ON Call_Call Out Activities'!$F:$F,"Non_workdays",'ON Call_Call Out Activities'!$B:$B,CPY!B288)) *24,1)</f>
        <v>0</v>
      </c>
      <c r="Z288" s="63">
        <f>ROUNDUP((SUMIFS('ON Call_Call Out Activities'!$M:$M,'ON Call_Call Out Activities'!$F:$F,"Non_workdays",'ON Call_Call Out Activities'!$B:$B,CPY!B288)),1) + ROUNDUP((SUMIFS('ON Call_Call Out Activities'!$M:$M,'ON Call_Call Out Activities'!$F:$F,"Workdays",'ON Call_Call Out Activities'!$B:$B,CPY!B288)),1)</f>
        <v>0</v>
      </c>
      <c r="AA288" s="66"/>
      <c r="AB288" s="64">
        <f>ROUNDUP((SUMIFS('ON Call_Call Out Activities'!$L:$L,'ON Call_Call Out Activities'!$F:$F,"Call_Out",'ON Call_Call Out Activities'!$B:$B,CPY!B288)) *24,1)</f>
        <v>0</v>
      </c>
      <c r="AC288" s="63">
        <f>ROUNDUP((SUMIFS('ON Call_Call Out Activities'!$M:$M,'ON Call_Call Out Activities'!$F:$F,"Call_Out",'ON Call_Call Out Activities'!$B:$B,CPY!B288)),1)</f>
        <v>0</v>
      </c>
      <c r="AE288" s="65">
        <f>IF((SUMIF(Shift_allowance_Entries!$B:$B,CPY!$B288,Shift_allowance_Entries!$H:$H)) &gt; (SUMIF(Shift_allowance_Entries!$B:$B,CPY!$B288,Shift_allowance_Entries!$G:$G)),0,((SUMIF(Shift_allowance_Entries!$B:$B,CPY!$B288,Shift_allowance_Entries!$G:$G))-(SUMIF(Shift_allowance_Entries!$B:$B,CPY!$B288,Shift_allowance_Entries!$H:$H))))</f>
        <v>0</v>
      </c>
      <c r="AF288" s="63">
        <f>AE288*MD!$S$4</f>
        <v>0</v>
      </c>
    </row>
    <row r="289" spans="1:32" x14ac:dyDescent="0.25">
      <c r="A289" s="62">
        <v>287</v>
      </c>
      <c r="B289" s="62"/>
      <c r="C289" s="50" t="str">
        <f>IF(ISNA(VLOOKUP($B289,Summary!$B:$D,2,FALSE))=TRUE," ",VLOOKUP($B289,Summary!$B:$D,2,FALSE))</f>
        <v> </v>
      </c>
      <c r="D289" s="50" t="str">
        <f>IF(ISNA(VLOOKUP($B289,Summary!$B:$D,3,FALSE))=TRUE," ",VLOOKUP($B289,Summary!$B:$D,3,FALSE))</f>
        <v> </v>
      </c>
      <c r="E289" s="62"/>
      <c r="F289" s="62"/>
      <c r="G289" s="62"/>
      <c r="I289" s="63">
        <f t="shared" si="4"/>
        <v>0</v>
      </c>
      <c r="K289" s="64">
        <f>IF(E289="Support(L1_L2)",IF(NOT(ISBLANK(B289)),IF(NOT(ISBLANK(D289)),NETWORKDAYS('CPY TOC'!$F$5,'CPY TOC'!$G$5))))-L289</f>
        <v>0</v>
      </c>
      <c r="L289" s="64">
        <f>IF(E289="Support(L1_L2)",SUMIFS(Support_allowance_Entries!$G:$G,Support_allowance_Entries!$B:$B,CPY!B289),0)</f>
        <v>0</v>
      </c>
      <c r="M289" s="63" t="b">
        <f>IF($D289="D0",MD!$C$4*(K289),IF($D289="D1",MD!$C$5*(K289),IF($D289="D2",MD!$C$6*(K289),IF($D289="D3",MD!$C$7*(K289),IF($D289="D4",MD!$C$8*(K289),IF($D289="D5",MD!$C$9*(K289),IF($D289="M1",MD!$C$10*(K289),IF($D289="T1",MD!$C$11*(K289)))))))))</f>
        <v>0</v>
      </c>
      <c r="O289" s="65">
        <f>SUMIFS(Shift_allowance_Entries!$G:$G,Shift_allowance_Entries!$F:$F,"6:30AM-03:30PM",Shift_allowance_Entries!$B:$B,CPY!$B289)</f>
        <v>0</v>
      </c>
      <c r="P289" s="65">
        <f>SUMIFS(Shift_allowance_Entries!$G:$G,Shift_allowance_Entries!$F:$F,"1-9PM/2:30PM-11:30PM",Shift_allowance_Entries!$B:$B,CPY!$B289)</f>
        <v>0</v>
      </c>
      <c r="Q289" s="65">
        <f>SUMIFS(Shift_allowance_Entries!$G:$G,Shift_allowance_Entries!$F:$F,"11PM-7AM",Shift_allowance_Entries!$B:$B,CPY!$B289)</f>
        <v>0</v>
      </c>
      <c r="R289" s="63">
        <f>(CPY!O289*MD!$F$4)+(CPY!P289*MD!$F$5)+(CPY!Q289*MD!$F$6)</f>
        <v>0</v>
      </c>
      <c r="T289" s="64">
        <f>ROUNDUP((SUMIFS('OOH Activities'!$K:$K,'OOH Activities'!$F:$F,"Non_workdays",'OOH Activities'!$B:$B,CPY!B289)) *24,1)</f>
        <v>0</v>
      </c>
      <c r="U289" s="64">
        <f>ROUNDUP((SUMIFS('OOH Activities'!$K:$K,'OOH Activities'!$F:$F,"Workdays",'OOH Activities'!$B:$B,CPY!B289)) *24,1)</f>
        <v>0</v>
      </c>
      <c r="V289" s="63">
        <f>ROUNDUP((SUMIFS('OOH Activities'!$L:$L,'OOH Activities'!$B:$B,CPY!B289)),1)</f>
        <v>0</v>
      </c>
      <c r="X289" s="65">
        <f>ROUNDUP((SUMIFS('ON Call_Call Out Activities'!$L:$L,'ON Call_Call Out Activities'!$F:$F,"Workdays",'ON Call_Call Out Activities'!$B:$B,CPY!B289))*24,1)</f>
        <v>0</v>
      </c>
      <c r="Y289" s="64">
        <f>ROUNDUP((SUMIFS('ON Call_Call Out Activities'!$L:$L,'ON Call_Call Out Activities'!$F:$F,"Non_workdays",'ON Call_Call Out Activities'!$B:$B,CPY!B289)) *24,1)</f>
        <v>0</v>
      </c>
      <c r="Z289" s="63">
        <f>ROUNDUP((SUMIFS('ON Call_Call Out Activities'!$M:$M,'ON Call_Call Out Activities'!$F:$F,"Non_workdays",'ON Call_Call Out Activities'!$B:$B,CPY!B289)),1) + ROUNDUP((SUMIFS('ON Call_Call Out Activities'!$M:$M,'ON Call_Call Out Activities'!$F:$F,"Workdays",'ON Call_Call Out Activities'!$B:$B,CPY!B289)),1)</f>
        <v>0</v>
      </c>
      <c r="AA289" s="66"/>
      <c r="AB289" s="64">
        <f>ROUNDUP((SUMIFS('ON Call_Call Out Activities'!$L:$L,'ON Call_Call Out Activities'!$F:$F,"Call_Out",'ON Call_Call Out Activities'!$B:$B,CPY!B289)) *24,1)</f>
        <v>0</v>
      </c>
      <c r="AC289" s="63">
        <f>ROUNDUP((SUMIFS('ON Call_Call Out Activities'!$M:$M,'ON Call_Call Out Activities'!$F:$F,"Call_Out",'ON Call_Call Out Activities'!$B:$B,CPY!B289)),1)</f>
        <v>0</v>
      </c>
      <c r="AE289" s="65">
        <f>IF((SUMIF(Shift_allowance_Entries!$B:$B,CPY!$B289,Shift_allowance_Entries!$H:$H)) &gt; (SUMIF(Shift_allowance_Entries!$B:$B,CPY!$B289,Shift_allowance_Entries!$G:$G)),0,((SUMIF(Shift_allowance_Entries!$B:$B,CPY!$B289,Shift_allowance_Entries!$G:$G))-(SUMIF(Shift_allowance_Entries!$B:$B,CPY!$B289,Shift_allowance_Entries!$H:$H))))</f>
        <v>0</v>
      </c>
      <c r="AF289" s="63">
        <f>AE289*MD!$S$4</f>
        <v>0</v>
      </c>
    </row>
    <row r="290" spans="1:32" x14ac:dyDescent="0.25">
      <c r="A290" s="62">
        <v>288</v>
      </c>
      <c r="B290" s="62"/>
      <c r="C290" s="50" t="str">
        <f>IF(ISNA(VLOOKUP($B290,Summary!$B:$D,2,FALSE))=TRUE," ",VLOOKUP($B290,Summary!$B:$D,2,FALSE))</f>
        <v> </v>
      </c>
      <c r="D290" s="50" t="str">
        <f>IF(ISNA(VLOOKUP($B290,Summary!$B:$D,3,FALSE))=TRUE," ",VLOOKUP($B290,Summary!$B:$D,3,FALSE))</f>
        <v> </v>
      </c>
      <c r="E290" s="62"/>
      <c r="F290" s="62"/>
      <c r="G290" s="62"/>
      <c r="I290" s="63">
        <f t="shared" si="4"/>
        <v>0</v>
      </c>
      <c r="K290" s="64">
        <f>IF(E290="Support(L1_L2)",IF(NOT(ISBLANK(B290)),IF(NOT(ISBLANK(D290)),NETWORKDAYS('CPY TOC'!$F$5,'CPY TOC'!$G$5))))-L290</f>
        <v>0</v>
      </c>
      <c r="L290" s="64">
        <f>IF(E290="Support(L1_L2)",SUMIFS(Support_allowance_Entries!$G:$G,Support_allowance_Entries!$B:$B,CPY!B290),0)</f>
        <v>0</v>
      </c>
      <c r="M290" s="63" t="b">
        <f>IF($D290="D0",MD!$C$4*(K290),IF($D290="D1",MD!$C$5*(K290),IF($D290="D2",MD!$C$6*(K290),IF($D290="D3",MD!$C$7*(K290),IF($D290="D4",MD!$C$8*(K290),IF($D290="D5",MD!$C$9*(K290),IF($D290="M1",MD!$C$10*(K290),IF($D290="T1",MD!$C$11*(K290)))))))))</f>
        <v>0</v>
      </c>
      <c r="O290" s="65">
        <f>SUMIFS(Shift_allowance_Entries!$G:$G,Shift_allowance_Entries!$F:$F,"6:30AM-03:30PM",Shift_allowance_Entries!$B:$B,CPY!$B290)</f>
        <v>0</v>
      </c>
      <c r="P290" s="65">
        <f>SUMIFS(Shift_allowance_Entries!$G:$G,Shift_allowance_Entries!$F:$F,"1-9PM/2:30PM-11:30PM",Shift_allowance_Entries!$B:$B,CPY!$B290)</f>
        <v>0</v>
      </c>
      <c r="Q290" s="65">
        <f>SUMIFS(Shift_allowance_Entries!$G:$G,Shift_allowance_Entries!$F:$F,"11PM-7AM",Shift_allowance_Entries!$B:$B,CPY!$B290)</f>
        <v>0</v>
      </c>
      <c r="R290" s="63">
        <f>(CPY!O290*MD!$F$4)+(CPY!P290*MD!$F$5)+(CPY!Q290*MD!$F$6)</f>
        <v>0</v>
      </c>
      <c r="T290" s="64">
        <f>ROUNDUP((SUMIFS('OOH Activities'!$K:$K,'OOH Activities'!$F:$F,"Non_workdays",'OOH Activities'!$B:$B,CPY!B290)) *24,1)</f>
        <v>0</v>
      </c>
      <c r="U290" s="64">
        <f>ROUNDUP((SUMIFS('OOH Activities'!$K:$K,'OOH Activities'!$F:$F,"Workdays",'OOH Activities'!$B:$B,CPY!B290)) *24,1)</f>
        <v>0</v>
      </c>
      <c r="V290" s="63">
        <f>ROUNDUP((SUMIFS('OOH Activities'!$L:$L,'OOH Activities'!$B:$B,CPY!B290)),1)</f>
        <v>0</v>
      </c>
      <c r="X290" s="65">
        <f>ROUNDUP((SUMIFS('ON Call_Call Out Activities'!$L:$L,'ON Call_Call Out Activities'!$F:$F,"Workdays",'ON Call_Call Out Activities'!$B:$B,CPY!B290))*24,1)</f>
        <v>0</v>
      </c>
      <c r="Y290" s="64">
        <f>ROUNDUP((SUMIFS('ON Call_Call Out Activities'!$L:$L,'ON Call_Call Out Activities'!$F:$F,"Non_workdays",'ON Call_Call Out Activities'!$B:$B,CPY!B290)) *24,1)</f>
        <v>0</v>
      </c>
      <c r="Z290" s="63">
        <f>ROUNDUP((SUMIFS('ON Call_Call Out Activities'!$M:$M,'ON Call_Call Out Activities'!$F:$F,"Non_workdays",'ON Call_Call Out Activities'!$B:$B,CPY!B290)),1) + ROUNDUP((SUMIFS('ON Call_Call Out Activities'!$M:$M,'ON Call_Call Out Activities'!$F:$F,"Workdays",'ON Call_Call Out Activities'!$B:$B,CPY!B290)),1)</f>
        <v>0</v>
      </c>
      <c r="AA290" s="66"/>
      <c r="AB290" s="64">
        <f>ROUNDUP((SUMIFS('ON Call_Call Out Activities'!$L:$L,'ON Call_Call Out Activities'!$F:$F,"Call_Out",'ON Call_Call Out Activities'!$B:$B,CPY!B290)) *24,1)</f>
        <v>0</v>
      </c>
      <c r="AC290" s="63">
        <f>ROUNDUP((SUMIFS('ON Call_Call Out Activities'!$M:$M,'ON Call_Call Out Activities'!$F:$F,"Call_Out",'ON Call_Call Out Activities'!$B:$B,CPY!B290)),1)</f>
        <v>0</v>
      </c>
      <c r="AE290" s="65">
        <f>IF((SUMIF(Shift_allowance_Entries!$B:$B,CPY!$B290,Shift_allowance_Entries!$H:$H)) &gt; (SUMIF(Shift_allowance_Entries!$B:$B,CPY!$B290,Shift_allowance_Entries!$G:$G)),0,((SUMIF(Shift_allowance_Entries!$B:$B,CPY!$B290,Shift_allowance_Entries!$G:$G))-(SUMIF(Shift_allowance_Entries!$B:$B,CPY!$B290,Shift_allowance_Entries!$H:$H))))</f>
        <v>0</v>
      </c>
      <c r="AF290" s="63">
        <f>AE290*MD!$S$4</f>
        <v>0</v>
      </c>
    </row>
    <row r="291" spans="1:32" x14ac:dyDescent="0.25">
      <c r="A291" s="62">
        <v>289</v>
      </c>
      <c r="B291" s="62"/>
      <c r="C291" s="50" t="str">
        <f>IF(ISNA(VLOOKUP($B291,Summary!$B:$D,2,FALSE))=TRUE," ",VLOOKUP($B291,Summary!$B:$D,2,FALSE))</f>
        <v> </v>
      </c>
      <c r="D291" s="50" t="str">
        <f>IF(ISNA(VLOOKUP($B291,Summary!$B:$D,3,FALSE))=TRUE," ",VLOOKUP($B291,Summary!$B:$D,3,FALSE))</f>
        <v> </v>
      </c>
      <c r="E291" s="62"/>
      <c r="F291" s="62"/>
      <c r="G291" s="62"/>
      <c r="I291" s="63">
        <f t="shared" si="4"/>
        <v>0</v>
      </c>
      <c r="K291" s="64">
        <f>IF(E291="Support(L1_L2)",IF(NOT(ISBLANK(B291)),IF(NOT(ISBLANK(D291)),NETWORKDAYS('CPY TOC'!$F$5,'CPY TOC'!$G$5))))-L291</f>
        <v>0</v>
      </c>
      <c r="L291" s="64">
        <f>IF(E291="Support(L1_L2)",SUMIFS(Support_allowance_Entries!$G:$G,Support_allowance_Entries!$B:$B,CPY!B291),0)</f>
        <v>0</v>
      </c>
      <c r="M291" s="63" t="b">
        <f>IF($D291="D0",MD!$C$4*(K291),IF($D291="D1",MD!$C$5*(K291),IF($D291="D2",MD!$C$6*(K291),IF($D291="D3",MD!$C$7*(K291),IF($D291="D4",MD!$C$8*(K291),IF($D291="D5",MD!$C$9*(K291),IF($D291="M1",MD!$C$10*(K291),IF($D291="T1",MD!$C$11*(K291)))))))))</f>
        <v>0</v>
      </c>
      <c r="O291" s="65">
        <f>SUMIFS(Shift_allowance_Entries!$G:$G,Shift_allowance_Entries!$F:$F,"6:30AM-03:30PM",Shift_allowance_Entries!$B:$B,CPY!$B291)</f>
        <v>0</v>
      </c>
      <c r="P291" s="65">
        <f>SUMIFS(Shift_allowance_Entries!$G:$G,Shift_allowance_Entries!$F:$F,"1-9PM/2:30PM-11:30PM",Shift_allowance_Entries!$B:$B,CPY!$B291)</f>
        <v>0</v>
      </c>
      <c r="Q291" s="65">
        <f>SUMIFS(Shift_allowance_Entries!$G:$G,Shift_allowance_Entries!$F:$F,"11PM-7AM",Shift_allowance_Entries!$B:$B,CPY!$B291)</f>
        <v>0</v>
      </c>
      <c r="R291" s="63">
        <f>(CPY!O291*MD!$F$4)+(CPY!P291*MD!$F$5)+(CPY!Q291*MD!$F$6)</f>
        <v>0</v>
      </c>
      <c r="T291" s="64">
        <f>ROUNDUP((SUMIFS('OOH Activities'!$K:$K,'OOH Activities'!$F:$F,"Non_workdays",'OOH Activities'!$B:$B,CPY!B291)) *24,1)</f>
        <v>0</v>
      </c>
      <c r="U291" s="64">
        <f>ROUNDUP((SUMIFS('OOH Activities'!$K:$K,'OOH Activities'!$F:$F,"Workdays",'OOH Activities'!$B:$B,CPY!B291)) *24,1)</f>
        <v>0</v>
      </c>
      <c r="V291" s="63">
        <f>ROUNDUP((SUMIFS('OOH Activities'!$L:$L,'OOH Activities'!$B:$B,CPY!B291)),1)</f>
        <v>0</v>
      </c>
      <c r="X291" s="65">
        <f>ROUNDUP((SUMIFS('ON Call_Call Out Activities'!$L:$L,'ON Call_Call Out Activities'!$F:$F,"Workdays",'ON Call_Call Out Activities'!$B:$B,CPY!B291))*24,1)</f>
        <v>0</v>
      </c>
      <c r="Y291" s="64">
        <f>ROUNDUP((SUMIFS('ON Call_Call Out Activities'!$L:$L,'ON Call_Call Out Activities'!$F:$F,"Non_workdays",'ON Call_Call Out Activities'!$B:$B,CPY!B291)) *24,1)</f>
        <v>0</v>
      </c>
      <c r="Z291" s="63">
        <f>ROUNDUP((SUMIFS('ON Call_Call Out Activities'!$M:$M,'ON Call_Call Out Activities'!$F:$F,"Non_workdays",'ON Call_Call Out Activities'!$B:$B,CPY!B291)),1) + ROUNDUP((SUMIFS('ON Call_Call Out Activities'!$M:$M,'ON Call_Call Out Activities'!$F:$F,"Workdays",'ON Call_Call Out Activities'!$B:$B,CPY!B291)),1)</f>
        <v>0</v>
      </c>
      <c r="AA291" s="66"/>
      <c r="AB291" s="64">
        <f>ROUNDUP((SUMIFS('ON Call_Call Out Activities'!$L:$L,'ON Call_Call Out Activities'!$F:$F,"Call_Out",'ON Call_Call Out Activities'!$B:$B,CPY!B291)) *24,1)</f>
        <v>0</v>
      </c>
      <c r="AC291" s="63">
        <f>ROUNDUP((SUMIFS('ON Call_Call Out Activities'!$M:$M,'ON Call_Call Out Activities'!$F:$F,"Call_Out",'ON Call_Call Out Activities'!$B:$B,CPY!B291)),1)</f>
        <v>0</v>
      </c>
      <c r="AE291" s="65">
        <f>IF((SUMIF(Shift_allowance_Entries!$B:$B,CPY!$B291,Shift_allowance_Entries!$H:$H)) &gt; (SUMIF(Shift_allowance_Entries!$B:$B,CPY!$B291,Shift_allowance_Entries!$G:$G)),0,((SUMIF(Shift_allowance_Entries!$B:$B,CPY!$B291,Shift_allowance_Entries!$G:$G))-(SUMIF(Shift_allowance_Entries!$B:$B,CPY!$B291,Shift_allowance_Entries!$H:$H))))</f>
        <v>0</v>
      </c>
      <c r="AF291" s="63">
        <f>AE291*MD!$S$4</f>
        <v>0</v>
      </c>
    </row>
    <row r="292" spans="1:32" x14ac:dyDescent="0.25">
      <c r="A292" s="62">
        <v>290</v>
      </c>
      <c r="B292" s="62"/>
      <c r="C292" s="50" t="str">
        <f>IF(ISNA(VLOOKUP($B292,Summary!$B:$D,2,FALSE))=TRUE," ",VLOOKUP($B292,Summary!$B:$D,2,FALSE))</f>
        <v> </v>
      </c>
      <c r="D292" s="50" t="str">
        <f>IF(ISNA(VLOOKUP($B292,Summary!$B:$D,3,FALSE))=TRUE," ",VLOOKUP($B292,Summary!$B:$D,3,FALSE))</f>
        <v> </v>
      </c>
      <c r="E292" s="62"/>
      <c r="F292" s="62"/>
      <c r="G292" s="62"/>
      <c r="I292" s="63">
        <f t="shared" si="4"/>
        <v>0</v>
      </c>
      <c r="K292" s="64">
        <f>IF(E292="Support(L1_L2)",IF(NOT(ISBLANK(B292)),IF(NOT(ISBLANK(D292)),NETWORKDAYS('CPY TOC'!$F$5,'CPY TOC'!$G$5))))-L292</f>
        <v>0</v>
      </c>
      <c r="L292" s="64">
        <f>IF(E292="Support(L1_L2)",SUMIFS(Support_allowance_Entries!$G:$G,Support_allowance_Entries!$B:$B,CPY!B292),0)</f>
        <v>0</v>
      </c>
      <c r="M292" s="63" t="b">
        <f>IF($D292="D0",MD!$C$4*(K292),IF($D292="D1",MD!$C$5*(K292),IF($D292="D2",MD!$C$6*(K292),IF($D292="D3",MD!$C$7*(K292),IF($D292="D4",MD!$C$8*(K292),IF($D292="D5",MD!$C$9*(K292),IF($D292="M1",MD!$C$10*(K292),IF($D292="T1",MD!$C$11*(K292)))))))))</f>
        <v>0</v>
      </c>
      <c r="O292" s="65">
        <f>SUMIFS(Shift_allowance_Entries!$G:$G,Shift_allowance_Entries!$F:$F,"6:30AM-03:30PM",Shift_allowance_Entries!$B:$B,CPY!$B292)</f>
        <v>0</v>
      </c>
      <c r="P292" s="65">
        <f>SUMIFS(Shift_allowance_Entries!$G:$G,Shift_allowance_Entries!$F:$F,"1-9PM/2:30PM-11:30PM",Shift_allowance_Entries!$B:$B,CPY!$B292)</f>
        <v>0</v>
      </c>
      <c r="Q292" s="65">
        <f>SUMIFS(Shift_allowance_Entries!$G:$G,Shift_allowance_Entries!$F:$F,"11PM-7AM",Shift_allowance_Entries!$B:$B,CPY!$B292)</f>
        <v>0</v>
      </c>
      <c r="R292" s="63">
        <f>(CPY!O292*MD!$F$4)+(CPY!P292*MD!$F$5)+(CPY!Q292*MD!$F$6)</f>
        <v>0</v>
      </c>
      <c r="T292" s="64">
        <f>ROUNDUP((SUMIFS('OOH Activities'!$K:$K,'OOH Activities'!$F:$F,"Non_workdays",'OOH Activities'!$B:$B,CPY!B292)) *24,1)</f>
        <v>0</v>
      </c>
      <c r="U292" s="64">
        <f>ROUNDUP((SUMIFS('OOH Activities'!$K:$K,'OOH Activities'!$F:$F,"Workdays",'OOH Activities'!$B:$B,CPY!B292)) *24,1)</f>
        <v>0</v>
      </c>
      <c r="V292" s="63">
        <f>ROUNDUP((SUMIFS('OOH Activities'!$L:$L,'OOH Activities'!$B:$B,CPY!B292)),1)</f>
        <v>0</v>
      </c>
      <c r="X292" s="65">
        <f>ROUNDUP((SUMIFS('ON Call_Call Out Activities'!$L:$L,'ON Call_Call Out Activities'!$F:$F,"Workdays",'ON Call_Call Out Activities'!$B:$B,CPY!B292))*24,1)</f>
        <v>0</v>
      </c>
      <c r="Y292" s="64">
        <f>ROUNDUP((SUMIFS('ON Call_Call Out Activities'!$L:$L,'ON Call_Call Out Activities'!$F:$F,"Non_workdays",'ON Call_Call Out Activities'!$B:$B,CPY!B292)) *24,1)</f>
        <v>0</v>
      </c>
      <c r="Z292" s="63">
        <f>ROUNDUP((SUMIFS('ON Call_Call Out Activities'!$M:$M,'ON Call_Call Out Activities'!$F:$F,"Non_workdays",'ON Call_Call Out Activities'!$B:$B,CPY!B292)),1) + ROUNDUP((SUMIFS('ON Call_Call Out Activities'!$M:$M,'ON Call_Call Out Activities'!$F:$F,"Workdays",'ON Call_Call Out Activities'!$B:$B,CPY!B292)),1)</f>
        <v>0</v>
      </c>
      <c r="AA292" s="66"/>
      <c r="AB292" s="64">
        <f>ROUNDUP((SUMIFS('ON Call_Call Out Activities'!$L:$L,'ON Call_Call Out Activities'!$F:$F,"Call_Out",'ON Call_Call Out Activities'!$B:$B,CPY!B292)) *24,1)</f>
        <v>0</v>
      </c>
      <c r="AC292" s="63">
        <f>ROUNDUP((SUMIFS('ON Call_Call Out Activities'!$M:$M,'ON Call_Call Out Activities'!$F:$F,"Call_Out",'ON Call_Call Out Activities'!$B:$B,CPY!B292)),1)</f>
        <v>0</v>
      </c>
      <c r="AE292" s="65">
        <f>IF((SUMIF(Shift_allowance_Entries!$B:$B,CPY!$B292,Shift_allowance_Entries!$H:$H)) &gt; (SUMIF(Shift_allowance_Entries!$B:$B,CPY!$B292,Shift_allowance_Entries!$G:$G)),0,((SUMIF(Shift_allowance_Entries!$B:$B,CPY!$B292,Shift_allowance_Entries!$G:$G))-(SUMIF(Shift_allowance_Entries!$B:$B,CPY!$B292,Shift_allowance_Entries!$H:$H))))</f>
        <v>0</v>
      </c>
      <c r="AF292" s="63">
        <f>AE292*MD!$S$4</f>
        <v>0</v>
      </c>
    </row>
    <row r="293" spans="1:32" x14ac:dyDescent="0.25">
      <c r="A293" s="62">
        <v>291</v>
      </c>
      <c r="B293" s="62"/>
      <c r="C293" s="50" t="str">
        <f>IF(ISNA(VLOOKUP($B293,Summary!$B:$D,2,FALSE))=TRUE," ",VLOOKUP($B293,Summary!$B:$D,2,FALSE))</f>
        <v> </v>
      </c>
      <c r="D293" s="50" t="str">
        <f>IF(ISNA(VLOOKUP($B293,Summary!$B:$D,3,FALSE))=TRUE," ",VLOOKUP($B293,Summary!$B:$D,3,FALSE))</f>
        <v> </v>
      </c>
      <c r="E293" s="62"/>
      <c r="F293" s="62"/>
      <c r="G293" s="62"/>
      <c r="I293" s="63">
        <f t="shared" si="4"/>
        <v>0</v>
      </c>
      <c r="K293" s="64">
        <f>IF(E293="Support(L1_L2)",IF(NOT(ISBLANK(B293)),IF(NOT(ISBLANK(D293)),NETWORKDAYS('CPY TOC'!$F$5,'CPY TOC'!$G$5))))-L293</f>
        <v>0</v>
      </c>
      <c r="L293" s="64">
        <f>IF(E293="Support(L1_L2)",SUMIFS(Support_allowance_Entries!$G:$G,Support_allowance_Entries!$B:$B,CPY!B293),0)</f>
        <v>0</v>
      </c>
      <c r="M293" s="63" t="b">
        <f>IF($D293="D0",MD!$C$4*(K293),IF($D293="D1",MD!$C$5*(K293),IF($D293="D2",MD!$C$6*(K293),IF($D293="D3",MD!$C$7*(K293),IF($D293="D4",MD!$C$8*(K293),IF($D293="D5",MD!$C$9*(K293),IF($D293="M1",MD!$C$10*(K293),IF($D293="T1",MD!$C$11*(K293)))))))))</f>
        <v>0</v>
      </c>
      <c r="O293" s="65">
        <f>SUMIFS(Shift_allowance_Entries!$G:$G,Shift_allowance_Entries!$F:$F,"6:30AM-03:30PM",Shift_allowance_Entries!$B:$B,CPY!$B293)</f>
        <v>0</v>
      </c>
      <c r="P293" s="65">
        <f>SUMIFS(Shift_allowance_Entries!$G:$G,Shift_allowance_Entries!$F:$F,"1-9PM/2:30PM-11:30PM",Shift_allowance_Entries!$B:$B,CPY!$B293)</f>
        <v>0</v>
      </c>
      <c r="Q293" s="65">
        <f>SUMIFS(Shift_allowance_Entries!$G:$G,Shift_allowance_Entries!$F:$F,"11PM-7AM",Shift_allowance_Entries!$B:$B,CPY!$B293)</f>
        <v>0</v>
      </c>
      <c r="R293" s="63">
        <f>(CPY!O293*MD!$F$4)+(CPY!P293*MD!$F$5)+(CPY!Q293*MD!$F$6)</f>
        <v>0</v>
      </c>
      <c r="T293" s="64">
        <f>ROUNDUP((SUMIFS('OOH Activities'!$K:$K,'OOH Activities'!$F:$F,"Non_workdays",'OOH Activities'!$B:$B,CPY!B293)) *24,1)</f>
        <v>0</v>
      </c>
      <c r="U293" s="64">
        <f>ROUNDUP((SUMIFS('OOH Activities'!$K:$K,'OOH Activities'!$F:$F,"Workdays",'OOH Activities'!$B:$B,CPY!B293)) *24,1)</f>
        <v>0</v>
      </c>
      <c r="V293" s="63">
        <f>ROUNDUP((SUMIFS('OOH Activities'!$L:$L,'OOH Activities'!$B:$B,CPY!B293)),1)</f>
        <v>0</v>
      </c>
      <c r="X293" s="65">
        <f>ROUNDUP((SUMIFS('ON Call_Call Out Activities'!$L:$L,'ON Call_Call Out Activities'!$F:$F,"Workdays",'ON Call_Call Out Activities'!$B:$B,CPY!B293))*24,1)</f>
        <v>0</v>
      </c>
      <c r="Y293" s="64">
        <f>ROUNDUP((SUMIFS('ON Call_Call Out Activities'!$L:$L,'ON Call_Call Out Activities'!$F:$F,"Non_workdays",'ON Call_Call Out Activities'!$B:$B,CPY!B293)) *24,1)</f>
        <v>0</v>
      </c>
      <c r="Z293" s="63">
        <f>ROUNDUP((SUMIFS('ON Call_Call Out Activities'!$M:$M,'ON Call_Call Out Activities'!$F:$F,"Non_workdays",'ON Call_Call Out Activities'!$B:$B,CPY!B293)),1) + ROUNDUP((SUMIFS('ON Call_Call Out Activities'!$M:$M,'ON Call_Call Out Activities'!$F:$F,"Workdays",'ON Call_Call Out Activities'!$B:$B,CPY!B293)),1)</f>
        <v>0</v>
      </c>
      <c r="AA293" s="66"/>
      <c r="AB293" s="64">
        <f>ROUNDUP((SUMIFS('ON Call_Call Out Activities'!$L:$L,'ON Call_Call Out Activities'!$F:$F,"Call_Out",'ON Call_Call Out Activities'!$B:$B,CPY!B293)) *24,1)</f>
        <v>0</v>
      </c>
      <c r="AC293" s="63">
        <f>ROUNDUP((SUMIFS('ON Call_Call Out Activities'!$M:$M,'ON Call_Call Out Activities'!$F:$F,"Call_Out",'ON Call_Call Out Activities'!$B:$B,CPY!B293)),1)</f>
        <v>0</v>
      </c>
      <c r="AE293" s="65">
        <f>IF((SUMIF(Shift_allowance_Entries!$B:$B,CPY!$B293,Shift_allowance_Entries!$H:$H)) &gt; (SUMIF(Shift_allowance_Entries!$B:$B,CPY!$B293,Shift_allowance_Entries!$G:$G)),0,((SUMIF(Shift_allowance_Entries!$B:$B,CPY!$B293,Shift_allowance_Entries!$G:$G))-(SUMIF(Shift_allowance_Entries!$B:$B,CPY!$B293,Shift_allowance_Entries!$H:$H))))</f>
        <v>0</v>
      </c>
      <c r="AF293" s="63">
        <f>AE293*MD!$S$4</f>
        <v>0</v>
      </c>
    </row>
    <row r="294" spans="1:32" x14ac:dyDescent="0.25">
      <c r="A294" s="62">
        <v>292</v>
      </c>
      <c r="B294" s="62"/>
      <c r="C294" s="50" t="str">
        <f>IF(ISNA(VLOOKUP($B294,Summary!$B:$D,2,FALSE))=TRUE," ",VLOOKUP($B294,Summary!$B:$D,2,FALSE))</f>
        <v> </v>
      </c>
      <c r="D294" s="50" t="str">
        <f>IF(ISNA(VLOOKUP($B294,Summary!$B:$D,3,FALSE))=TRUE," ",VLOOKUP($B294,Summary!$B:$D,3,FALSE))</f>
        <v> </v>
      </c>
      <c r="E294" s="62"/>
      <c r="F294" s="62"/>
      <c r="G294" s="62"/>
      <c r="I294" s="63">
        <f t="shared" si="4"/>
        <v>0</v>
      </c>
      <c r="K294" s="64">
        <f>IF(E294="Support(L1_L2)",IF(NOT(ISBLANK(B294)),IF(NOT(ISBLANK(D294)),NETWORKDAYS('CPY TOC'!$F$5,'CPY TOC'!$G$5))))-L294</f>
        <v>0</v>
      </c>
      <c r="L294" s="64">
        <f>IF(E294="Support(L1_L2)",SUMIFS(Support_allowance_Entries!$G:$G,Support_allowance_Entries!$B:$B,CPY!B294),0)</f>
        <v>0</v>
      </c>
      <c r="M294" s="63" t="b">
        <f>IF($D294="D0",MD!$C$4*(K294),IF($D294="D1",MD!$C$5*(K294),IF($D294="D2",MD!$C$6*(K294),IF($D294="D3",MD!$C$7*(K294),IF($D294="D4",MD!$C$8*(K294),IF($D294="D5",MD!$C$9*(K294),IF($D294="M1",MD!$C$10*(K294),IF($D294="T1",MD!$C$11*(K294)))))))))</f>
        <v>0</v>
      </c>
      <c r="O294" s="65">
        <f>SUMIFS(Shift_allowance_Entries!$G:$G,Shift_allowance_Entries!$F:$F,"6:30AM-03:30PM",Shift_allowance_Entries!$B:$B,CPY!$B294)</f>
        <v>0</v>
      </c>
      <c r="P294" s="65">
        <f>SUMIFS(Shift_allowance_Entries!$G:$G,Shift_allowance_Entries!$F:$F,"1-9PM/2:30PM-11:30PM",Shift_allowance_Entries!$B:$B,CPY!$B294)</f>
        <v>0</v>
      </c>
      <c r="Q294" s="65">
        <f>SUMIFS(Shift_allowance_Entries!$G:$G,Shift_allowance_Entries!$F:$F,"11PM-7AM",Shift_allowance_Entries!$B:$B,CPY!$B294)</f>
        <v>0</v>
      </c>
      <c r="R294" s="63">
        <f>(CPY!O294*MD!$F$4)+(CPY!P294*MD!$F$5)+(CPY!Q294*MD!$F$6)</f>
        <v>0</v>
      </c>
      <c r="T294" s="64">
        <f>ROUNDUP((SUMIFS('OOH Activities'!$K:$K,'OOH Activities'!$F:$F,"Non_workdays",'OOH Activities'!$B:$B,CPY!B294)) *24,1)</f>
        <v>0</v>
      </c>
      <c r="U294" s="64">
        <f>ROUNDUP((SUMIFS('OOH Activities'!$K:$K,'OOH Activities'!$F:$F,"Workdays",'OOH Activities'!$B:$B,CPY!B294)) *24,1)</f>
        <v>0</v>
      </c>
      <c r="V294" s="63">
        <f>ROUNDUP((SUMIFS('OOH Activities'!$L:$L,'OOH Activities'!$B:$B,CPY!B294)),1)</f>
        <v>0</v>
      </c>
      <c r="X294" s="65">
        <f>ROUNDUP((SUMIFS('ON Call_Call Out Activities'!$L:$L,'ON Call_Call Out Activities'!$F:$F,"Workdays",'ON Call_Call Out Activities'!$B:$B,CPY!B294))*24,1)</f>
        <v>0</v>
      </c>
      <c r="Y294" s="64">
        <f>ROUNDUP((SUMIFS('ON Call_Call Out Activities'!$L:$L,'ON Call_Call Out Activities'!$F:$F,"Non_workdays",'ON Call_Call Out Activities'!$B:$B,CPY!B294)) *24,1)</f>
        <v>0</v>
      </c>
      <c r="Z294" s="63">
        <f>ROUNDUP((SUMIFS('ON Call_Call Out Activities'!$M:$M,'ON Call_Call Out Activities'!$F:$F,"Non_workdays",'ON Call_Call Out Activities'!$B:$B,CPY!B294)),1) + ROUNDUP((SUMIFS('ON Call_Call Out Activities'!$M:$M,'ON Call_Call Out Activities'!$F:$F,"Workdays",'ON Call_Call Out Activities'!$B:$B,CPY!B294)),1)</f>
        <v>0</v>
      </c>
      <c r="AA294" s="66"/>
      <c r="AB294" s="64">
        <f>ROUNDUP((SUMIFS('ON Call_Call Out Activities'!$L:$L,'ON Call_Call Out Activities'!$F:$F,"Call_Out",'ON Call_Call Out Activities'!$B:$B,CPY!B294)) *24,1)</f>
        <v>0</v>
      </c>
      <c r="AC294" s="63">
        <f>ROUNDUP((SUMIFS('ON Call_Call Out Activities'!$M:$M,'ON Call_Call Out Activities'!$F:$F,"Call_Out",'ON Call_Call Out Activities'!$B:$B,CPY!B294)),1)</f>
        <v>0</v>
      </c>
      <c r="AE294" s="65">
        <f>IF((SUMIF(Shift_allowance_Entries!$B:$B,CPY!$B294,Shift_allowance_Entries!$H:$H)) &gt; (SUMIF(Shift_allowance_Entries!$B:$B,CPY!$B294,Shift_allowance_Entries!$G:$G)),0,((SUMIF(Shift_allowance_Entries!$B:$B,CPY!$B294,Shift_allowance_Entries!$G:$G))-(SUMIF(Shift_allowance_Entries!$B:$B,CPY!$B294,Shift_allowance_Entries!$H:$H))))</f>
        <v>0</v>
      </c>
      <c r="AF294" s="63">
        <f>AE294*MD!$S$4</f>
        <v>0</v>
      </c>
    </row>
    <row r="295" spans="1:32" x14ac:dyDescent="0.25">
      <c r="A295" s="62">
        <v>293</v>
      </c>
      <c r="B295" s="62"/>
      <c r="C295" s="50" t="str">
        <f>IF(ISNA(VLOOKUP($B295,Summary!$B:$D,2,FALSE))=TRUE," ",VLOOKUP($B295,Summary!$B:$D,2,FALSE))</f>
        <v> </v>
      </c>
      <c r="D295" s="50" t="str">
        <f>IF(ISNA(VLOOKUP($B295,Summary!$B:$D,3,FALSE))=TRUE," ",VLOOKUP($B295,Summary!$B:$D,3,FALSE))</f>
        <v> </v>
      </c>
      <c r="E295" s="62"/>
      <c r="F295" s="62"/>
      <c r="G295" s="62"/>
      <c r="I295" s="63">
        <f t="shared" si="4"/>
        <v>0</v>
      </c>
      <c r="K295" s="64">
        <f>IF(E295="Support(L1_L2)",IF(NOT(ISBLANK(B295)),IF(NOT(ISBLANK(D295)),NETWORKDAYS('CPY TOC'!$F$5,'CPY TOC'!$G$5))))-L295</f>
        <v>0</v>
      </c>
      <c r="L295" s="64">
        <f>IF(E295="Support(L1_L2)",SUMIFS(Support_allowance_Entries!$G:$G,Support_allowance_Entries!$B:$B,CPY!B295),0)</f>
        <v>0</v>
      </c>
      <c r="M295" s="63" t="b">
        <f>IF($D295="D0",MD!$C$4*(K295),IF($D295="D1",MD!$C$5*(K295),IF($D295="D2",MD!$C$6*(K295),IF($D295="D3",MD!$C$7*(K295),IF($D295="D4",MD!$C$8*(K295),IF($D295="D5",MD!$C$9*(K295),IF($D295="M1",MD!$C$10*(K295),IF($D295="T1",MD!$C$11*(K295)))))))))</f>
        <v>0</v>
      </c>
      <c r="O295" s="65">
        <f>SUMIFS(Shift_allowance_Entries!$G:$G,Shift_allowance_Entries!$F:$F,"6:30AM-03:30PM",Shift_allowance_Entries!$B:$B,CPY!$B295)</f>
        <v>0</v>
      </c>
      <c r="P295" s="65">
        <f>SUMIFS(Shift_allowance_Entries!$G:$G,Shift_allowance_Entries!$F:$F,"1-9PM/2:30PM-11:30PM",Shift_allowance_Entries!$B:$B,CPY!$B295)</f>
        <v>0</v>
      </c>
      <c r="Q295" s="65">
        <f>SUMIFS(Shift_allowance_Entries!$G:$G,Shift_allowance_Entries!$F:$F,"11PM-7AM",Shift_allowance_Entries!$B:$B,CPY!$B295)</f>
        <v>0</v>
      </c>
      <c r="R295" s="63">
        <f>(CPY!O295*MD!$F$4)+(CPY!P295*MD!$F$5)+(CPY!Q295*MD!$F$6)</f>
        <v>0</v>
      </c>
      <c r="T295" s="64">
        <f>ROUNDUP((SUMIFS('OOH Activities'!$K:$K,'OOH Activities'!$F:$F,"Non_workdays",'OOH Activities'!$B:$B,CPY!B295)) *24,1)</f>
        <v>0</v>
      </c>
      <c r="U295" s="64">
        <f>ROUNDUP((SUMIFS('OOH Activities'!$K:$K,'OOH Activities'!$F:$F,"Workdays",'OOH Activities'!$B:$B,CPY!B295)) *24,1)</f>
        <v>0</v>
      </c>
      <c r="V295" s="63">
        <f>ROUNDUP((SUMIFS('OOH Activities'!$L:$L,'OOH Activities'!$B:$B,CPY!B295)),1)</f>
        <v>0</v>
      </c>
      <c r="X295" s="65">
        <f>ROUNDUP((SUMIFS('ON Call_Call Out Activities'!$L:$L,'ON Call_Call Out Activities'!$F:$F,"Workdays",'ON Call_Call Out Activities'!$B:$B,CPY!B295))*24,1)</f>
        <v>0</v>
      </c>
      <c r="Y295" s="64">
        <f>ROUNDUP((SUMIFS('ON Call_Call Out Activities'!$L:$L,'ON Call_Call Out Activities'!$F:$F,"Non_workdays",'ON Call_Call Out Activities'!$B:$B,CPY!B295)) *24,1)</f>
        <v>0</v>
      </c>
      <c r="Z295" s="63">
        <f>ROUNDUP((SUMIFS('ON Call_Call Out Activities'!$M:$M,'ON Call_Call Out Activities'!$F:$F,"Non_workdays",'ON Call_Call Out Activities'!$B:$B,CPY!B295)),1) + ROUNDUP((SUMIFS('ON Call_Call Out Activities'!$M:$M,'ON Call_Call Out Activities'!$F:$F,"Workdays",'ON Call_Call Out Activities'!$B:$B,CPY!B295)),1)</f>
        <v>0</v>
      </c>
      <c r="AA295" s="66"/>
      <c r="AB295" s="64">
        <f>ROUNDUP((SUMIFS('ON Call_Call Out Activities'!$L:$L,'ON Call_Call Out Activities'!$F:$F,"Call_Out",'ON Call_Call Out Activities'!$B:$B,CPY!B295)) *24,1)</f>
        <v>0</v>
      </c>
      <c r="AC295" s="63">
        <f>ROUNDUP((SUMIFS('ON Call_Call Out Activities'!$M:$M,'ON Call_Call Out Activities'!$F:$F,"Call_Out",'ON Call_Call Out Activities'!$B:$B,CPY!B295)),1)</f>
        <v>0</v>
      </c>
      <c r="AE295" s="65">
        <f>IF((SUMIF(Shift_allowance_Entries!$B:$B,CPY!$B295,Shift_allowance_Entries!$H:$H)) &gt; (SUMIF(Shift_allowance_Entries!$B:$B,CPY!$B295,Shift_allowance_Entries!$G:$G)),0,((SUMIF(Shift_allowance_Entries!$B:$B,CPY!$B295,Shift_allowance_Entries!$G:$G))-(SUMIF(Shift_allowance_Entries!$B:$B,CPY!$B295,Shift_allowance_Entries!$H:$H))))</f>
        <v>0</v>
      </c>
      <c r="AF295" s="63">
        <f>AE295*MD!$S$4</f>
        <v>0</v>
      </c>
    </row>
    <row r="296" spans="1:32" x14ac:dyDescent="0.25">
      <c r="A296" s="62">
        <v>294</v>
      </c>
      <c r="B296" s="62"/>
      <c r="C296" s="50" t="str">
        <f>IF(ISNA(VLOOKUP($B296,Summary!$B:$D,2,FALSE))=TRUE," ",VLOOKUP($B296,Summary!$B:$D,2,FALSE))</f>
        <v> </v>
      </c>
      <c r="D296" s="50" t="str">
        <f>IF(ISNA(VLOOKUP($B296,Summary!$B:$D,3,FALSE))=TRUE," ",VLOOKUP($B296,Summary!$B:$D,3,FALSE))</f>
        <v> </v>
      </c>
      <c r="E296" s="62"/>
      <c r="F296" s="62"/>
      <c r="G296" s="62"/>
      <c r="I296" s="63">
        <f t="shared" si="4"/>
        <v>0</v>
      </c>
      <c r="K296" s="64">
        <f>IF(E296="Support(L1_L2)",IF(NOT(ISBLANK(B296)),IF(NOT(ISBLANK(D296)),NETWORKDAYS('CPY TOC'!$F$5,'CPY TOC'!$G$5))))-L296</f>
        <v>0</v>
      </c>
      <c r="L296" s="64">
        <f>IF(E296="Support(L1_L2)",SUMIFS(Support_allowance_Entries!$G:$G,Support_allowance_Entries!$B:$B,CPY!B296),0)</f>
        <v>0</v>
      </c>
      <c r="M296" s="63" t="b">
        <f>IF($D296="D0",MD!$C$4*(K296),IF($D296="D1",MD!$C$5*(K296),IF($D296="D2",MD!$C$6*(K296),IF($D296="D3",MD!$C$7*(K296),IF($D296="D4",MD!$C$8*(K296),IF($D296="D5",MD!$C$9*(K296),IF($D296="M1",MD!$C$10*(K296),IF($D296="T1",MD!$C$11*(K296)))))))))</f>
        <v>0</v>
      </c>
      <c r="O296" s="65">
        <f>SUMIFS(Shift_allowance_Entries!$G:$G,Shift_allowance_Entries!$F:$F,"6:30AM-03:30PM",Shift_allowance_Entries!$B:$B,CPY!$B296)</f>
        <v>0</v>
      </c>
      <c r="P296" s="65">
        <f>SUMIFS(Shift_allowance_Entries!$G:$G,Shift_allowance_Entries!$F:$F,"1-9PM/2:30PM-11:30PM",Shift_allowance_Entries!$B:$B,CPY!$B296)</f>
        <v>0</v>
      </c>
      <c r="Q296" s="65">
        <f>SUMIFS(Shift_allowance_Entries!$G:$G,Shift_allowance_Entries!$F:$F,"11PM-7AM",Shift_allowance_Entries!$B:$B,CPY!$B296)</f>
        <v>0</v>
      </c>
      <c r="R296" s="63">
        <f>(CPY!O296*MD!$F$4)+(CPY!P296*MD!$F$5)+(CPY!Q296*MD!$F$6)</f>
        <v>0</v>
      </c>
      <c r="T296" s="64">
        <f>ROUNDUP((SUMIFS('OOH Activities'!$K:$K,'OOH Activities'!$F:$F,"Non_workdays",'OOH Activities'!$B:$B,CPY!B296)) *24,1)</f>
        <v>0</v>
      </c>
      <c r="U296" s="64">
        <f>ROUNDUP((SUMIFS('OOH Activities'!$K:$K,'OOH Activities'!$F:$F,"Workdays",'OOH Activities'!$B:$B,CPY!B296)) *24,1)</f>
        <v>0</v>
      </c>
      <c r="V296" s="63">
        <f>ROUNDUP((SUMIFS('OOH Activities'!$L:$L,'OOH Activities'!$B:$B,CPY!B296)),1)</f>
        <v>0</v>
      </c>
      <c r="X296" s="65">
        <f>ROUNDUP((SUMIFS('ON Call_Call Out Activities'!$L:$L,'ON Call_Call Out Activities'!$F:$F,"Workdays",'ON Call_Call Out Activities'!$B:$B,CPY!B296))*24,1)</f>
        <v>0</v>
      </c>
      <c r="Y296" s="64">
        <f>ROUNDUP((SUMIFS('ON Call_Call Out Activities'!$L:$L,'ON Call_Call Out Activities'!$F:$F,"Non_workdays",'ON Call_Call Out Activities'!$B:$B,CPY!B296)) *24,1)</f>
        <v>0</v>
      </c>
      <c r="Z296" s="63">
        <f>ROUNDUP((SUMIFS('ON Call_Call Out Activities'!$M:$M,'ON Call_Call Out Activities'!$F:$F,"Non_workdays",'ON Call_Call Out Activities'!$B:$B,CPY!B296)),1) + ROUNDUP((SUMIFS('ON Call_Call Out Activities'!$M:$M,'ON Call_Call Out Activities'!$F:$F,"Workdays",'ON Call_Call Out Activities'!$B:$B,CPY!B296)),1)</f>
        <v>0</v>
      </c>
      <c r="AA296" s="66"/>
      <c r="AB296" s="64">
        <f>ROUNDUP((SUMIFS('ON Call_Call Out Activities'!$L:$L,'ON Call_Call Out Activities'!$F:$F,"Call_Out",'ON Call_Call Out Activities'!$B:$B,CPY!B296)) *24,1)</f>
        <v>0</v>
      </c>
      <c r="AC296" s="63">
        <f>ROUNDUP((SUMIFS('ON Call_Call Out Activities'!$M:$M,'ON Call_Call Out Activities'!$F:$F,"Call_Out",'ON Call_Call Out Activities'!$B:$B,CPY!B296)),1)</f>
        <v>0</v>
      </c>
      <c r="AE296" s="65">
        <f>IF((SUMIF(Shift_allowance_Entries!$B:$B,CPY!$B296,Shift_allowance_Entries!$H:$H)) &gt; (SUMIF(Shift_allowance_Entries!$B:$B,CPY!$B296,Shift_allowance_Entries!$G:$G)),0,((SUMIF(Shift_allowance_Entries!$B:$B,CPY!$B296,Shift_allowance_Entries!$G:$G))-(SUMIF(Shift_allowance_Entries!$B:$B,CPY!$B296,Shift_allowance_Entries!$H:$H))))</f>
        <v>0</v>
      </c>
      <c r="AF296" s="63">
        <f>AE296*MD!$S$4</f>
        <v>0</v>
      </c>
    </row>
    <row r="297" spans="1:32" x14ac:dyDescent="0.25">
      <c r="A297" s="62">
        <v>295</v>
      </c>
      <c r="B297" s="62"/>
      <c r="C297" s="50" t="str">
        <f>IF(ISNA(VLOOKUP($B297,Summary!$B:$D,2,FALSE))=TRUE," ",VLOOKUP($B297,Summary!$B:$D,2,FALSE))</f>
        <v> </v>
      </c>
      <c r="D297" s="50" t="str">
        <f>IF(ISNA(VLOOKUP($B297,Summary!$B:$D,3,FALSE))=TRUE," ",VLOOKUP($B297,Summary!$B:$D,3,FALSE))</f>
        <v> </v>
      </c>
      <c r="E297" s="62"/>
      <c r="F297" s="62"/>
      <c r="G297" s="62"/>
      <c r="I297" s="63">
        <f t="shared" si="4"/>
        <v>0</v>
      </c>
      <c r="K297" s="64">
        <f>IF(E297="Support(L1_L2)",IF(NOT(ISBLANK(B297)),IF(NOT(ISBLANK(D297)),NETWORKDAYS('CPY TOC'!$F$5,'CPY TOC'!$G$5))))-L297</f>
        <v>0</v>
      </c>
      <c r="L297" s="64">
        <f>IF(E297="Support(L1_L2)",SUMIFS(Support_allowance_Entries!$G:$G,Support_allowance_Entries!$B:$B,CPY!B297),0)</f>
        <v>0</v>
      </c>
      <c r="M297" s="63" t="b">
        <f>IF($D297="D0",MD!$C$4*(K297),IF($D297="D1",MD!$C$5*(K297),IF($D297="D2",MD!$C$6*(K297),IF($D297="D3",MD!$C$7*(K297),IF($D297="D4",MD!$C$8*(K297),IF($D297="D5",MD!$C$9*(K297),IF($D297="M1",MD!$C$10*(K297),IF($D297="T1",MD!$C$11*(K297)))))))))</f>
        <v>0</v>
      </c>
      <c r="O297" s="65">
        <f>SUMIFS(Shift_allowance_Entries!$G:$G,Shift_allowance_Entries!$F:$F,"6:30AM-03:30PM",Shift_allowance_Entries!$B:$B,CPY!$B297)</f>
        <v>0</v>
      </c>
      <c r="P297" s="65">
        <f>SUMIFS(Shift_allowance_Entries!$G:$G,Shift_allowance_Entries!$F:$F,"1-9PM/2:30PM-11:30PM",Shift_allowance_Entries!$B:$B,CPY!$B297)</f>
        <v>0</v>
      </c>
      <c r="Q297" s="65">
        <f>SUMIFS(Shift_allowance_Entries!$G:$G,Shift_allowance_Entries!$F:$F,"11PM-7AM",Shift_allowance_Entries!$B:$B,CPY!$B297)</f>
        <v>0</v>
      </c>
      <c r="R297" s="63">
        <f>(CPY!O297*MD!$F$4)+(CPY!P297*MD!$F$5)+(CPY!Q297*MD!$F$6)</f>
        <v>0</v>
      </c>
      <c r="T297" s="64">
        <f>ROUNDUP((SUMIFS('OOH Activities'!$K:$K,'OOH Activities'!$F:$F,"Non_workdays",'OOH Activities'!$B:$B,CPY!B297)) *24,1)</f>
        <v>0</v>
      </c>
      <c r="U297" s="64">
        <f>ROUNDUP((SUMIFS('OOH Activities'!$K:$K,'OOH Activities'!$F:$F,"Workdays",'OOH Activities'!$B:$B,CPY!B297)) *24,1)</f>
        <v>0</v>
      </c>
      <c r="V297" s="63">
        <f>ROUNDUP((SUMIFS('OOH Activities'!$L:$L,'OOH Activities'!$B:$B,CPY!B297)),1)</f>
        <v>0</v>
      </c>
      <c r="X297" s="65">
        <f>ROUNDUP((SUMIFS('ON Call_Call Out Activities'!$L:$L,'ON Call_Call Out Activities'!$F:$F,"Workdays",'ON Call_Call Out Activities'!$B:$B,CPY!B297))*24,1)</f>
        <v>0</v>
      </c>
      <c r="Y297" s="64">
        <f>ROUNDUP((SUMIFS('ON Call_Call Out Activities'!$L:$L,'ON Call_Call Out Activities'!$F:$F,"Non_workdays",'ON Call_Call Out Activities'!$B:$B,CPY!B297)) *24,1)</f>
        <v>0</v>
      </c>
      <c r="Z297" s="63">
        <f>ROUNDUP((SUMIFS('ON Call_Call Out Activities'!$M:$M,'ON Call_Call Out Activities'!$F:$F,"Non_workdays",'ON Call_Call Out Activities'!$B:$B,CPY!B297)),1) + ROUNDUP((SUMIFS('ON Call_Call Out Activities'!$M:$M,'ON Call_Call Out Activities'!$F:$F,"Workdays",'ON Call_Call Out Activities'!$B:$B,CPY!B297)),1)</f>
        <v>0</v>
      </c>
      <c r="AA297" s="66"/>
      <c r="AB297" s="64">
        <f>ROUNDUP((SUMIFS('ON Call_Call Out Activities'!$L:$L,'ON Call_Call Out Activities'!$F:$F,"Call_Out",'ON Call_Call Out Activities'!$B:$B,CPY!B297)) *24,1)</f>
        <v>0</v>
      </c>
      <c r="AC297" s="63">
        <f>ROUNDUP((SUMIFS('ON Call_Call Out Activities'!$M:$M,'ON Call_Call Out Activities'!$F:$F,"Call_Out",'ON Call_Call Out Activities'!$B:$B,CPY!B297)),1)</f>
        <v>0</v>
      </c>
      <c r="AE297" s="65">
        <f>IF((SUMIF(Shift_allowance_Entries!$B:$B,CPY!$B297,Shift_allowance_Entries!$H:$H)) &gt; (SUMIF(Shift_allowance_Entries!$B:$B,CPY!$B297,Shift_allowance_Entries!$G:$G)),0,((SUMIF(Shift_allowance_Entries!$B:$B,CPY!$B297,Shift_allowance_Entries!$G:$G))-(SUMIF(Shift_allowance_Entries!$B:$B,CPY!$B297,Shift_allowance_Entries!$H:$H))))</f>
        <v>0</v>
      </c>
      <c r="AF297" s="63">
        <f>AE297*MD!$S$4</f>
        <v>0</v>
      </c>
    </row>
    <row r="298" spans="1:32" x14ac:dyDescent="0.25">
      <c r="A298" s="62">
        <v>296</v>
      </c>
      <c r="B298" s="62"/>
      <c r="C298" s="50" t="str">
        <f>IF(ISNA(VLOOKUP($B298,Summary!$B:$D,2,FALSE))=TRUE," ",VLOOKUP($B298,Summary!$B:$D,2,FALSE))</f>
        <v> </v>
      </c>
      <c r="D298" s="50" t="str">
        <f>IF(ISNA(VLOOKUP($B298,Summary!$B:$D,3,FALSE))=TRUE," ",VLOOKUP($B298,Summary!$B:$D,3,FALSE))</f>
        <v> </v>
      </c>
      <c r="E298" s="62"/>
      <c r="F298" s="62"/>
      <c r="G298" s="62"/>
      <c r="I298" s="63">
        <f t="shared" si="4"/>
        <v>0</v>
      </c>
      <c r="K298" s="64">
        <f>IF(E298="Support(L1_L2)",IF(NOT(ISBLANK(B298)),IF(NOT(ISBLANK(D298)),NETWORKDAYS('CPY TOC'!$F$5,'CPY TOC'!$G$5))))-L298</f>
        <v>0</v>
      </c>
      <c r="L298" s="64">
        <f>IF(E298="Support(L1_L2)",SUMIFS(Support_allowance_Entries!$G:$G,Support_allowance_Entries!$B:$B,CPY!B298),0)</f>
        <v>0</v>
      </c>
      <c r="M298" s="63" t="b">
        <f>IF($D298="D0",MD!$C$4*(K298),IF($D298="D1",MD!$C$5*(K298),IF($D298="D2",MD!$C$6*(K298),IF($D298="D3",MD!$C$7*(K298),IF($D298="D4",MD!$C$8*(K298),IF($D298="D5",MD!$C$9*(K298),IF($D298="M1",MD!$C$10*(K298),IF($D298="T1",MD!$C$11*(K298)))))))))</f>
        <v>0</v>
      </c>
      <c r="O298" s="65">
        <f>SUMIFS(Shift_allowance_Entries!$G:$G,Shift_allowance_Entries!$F:$F,"6:30AM-03:30PM",Shift_allowance_Entries!$B:$B,CPY!$B298)</f>
        <v>0</v>
      </c>
      <c r="P298" s="65">
        <f>SUMIFS(Shift_allowance_Entries!$G:$G,Shift_allowance_Entries!$F:$F,"1-9PM/2:30PM-11:30PM",Shift_allowance_Entries!$B:$B,CPY!$B298)</f>
        <v>0</v>
      </c>
      <c r="Q298" s="65">
        <f>SUMIFS(Shift_allowance_Entries!$G:$G,Shift_allowance_Entries!$F:$F,"11PM-7AM",Shift_allowance_Entries!$B:$B,CPY!$B298)</f>
        <v>0</v>
      </c>
      <c r="R298" s="63">
        <f>(CPY!O298*MD!$F$4)+(CPY!P298*MD!$F$5)+(CPY!Q298*MD!$F$6)</f>
        <v>0</v>
      </c>
      <c r="T298" s="64">
        <f>ROUNDUP((SUMIFS('OOH Activities'!$K:$K,'OOH Activities'!$F:$F,"Non_workdays",'OOH Activities'!$B:$B,CPY!B298)) *24,1)</f>
        <v>0</v>
      </c>
      <c r="U298" s="64">
        <f>ROUNDUP((SUMIFS('OOH Activities'!$K:$K,'OOH Activities'!$F:$F,"Workdays",'OOH Activities'!$B:$B,CPY!B298)) *24,1)</f>
        <v>0</v>
      </c>
      <c r="V298" s="63">
        <f>ROUNDUP((SUMIFS('OOH Activities'!$L:$L,'OOH Activities'!$B:$B,CPY!B298)),1)</f>
        <v>0</v>
      </c>
      <c r="X298" s="65">
        <f>ROUNDUP((SUMIFS('ON Call_Call Out Activities'!$L:$L,'ON Call_Call Out Activities'!$F:$F,"Workdays",'ON Call_Call Out Activities'!$B:$B,CPY!B298))*24,1)</f>
        <v>0</v>
      </c>
      <c r="Y298" s="64">
        <f>ROUNDUP((SUMIFS('ON Call_Call Out Activities'!$L:$L,'ON Call_Call Out Activities'!$F:$F,"Non_workdays",'ON Call_Call Out Activities'!$B:$B,CPY!B298)) *24,1)</f>
        <v>0</v>
      </c>
      <c r="Z298" s="63">
        <f>ROUNDUP((SUMIFS('ON Call_Call Out Activities'!$M:$M,'ON Call_Call Out Activities'!$F:$F,"Non_workdays",'ON Call_Call Out Activities'!$B:$B,CPY!B298)),1) + ROUNDUP((SUMIFS('ON Call_Call Out Activities'!$M:$M,'ON Call_Call Out Activities'!$F:$F,"Workdays",'ON Call_Call Out Activities'!$B:$B,CPY!B298)),1)</f>
        <v>0</v>
      </c>
      <c r="AA298" s="66"/>
      <c r="AB298" s="64">
        <f>ROUNDUP((SUMIFS('ON Call_Call Out Activities'!$L:$L,'ON Call_Call Out Activities'!$F:$F,"Call_Out",'ON Call_Call Out Activities'!$B:$B,CPY!B298)) *24,1)</f>
        <v>0</v>
      </c>
      <c r="AC298" s="63">
        <f>ROUNDUP((SUMIFS('ON Call_Call Out Activities'!$M:$M,'ON Call_Call Out Activities'!$F:$F,"Call_Out",'ON Call_Call Out Activities'!$B:$B,CPY!B298)),1)</f>
        <v>0</v>
      </c>
      <c r="AE298" s="65">
        <f>IF((SUMIF(Shift_allowance_Entries!$B:$B,CPY!$B298,Shift_allowance_Entries!$H:$H)) &gt; (SUMIF(Shift_allowance_Entries!$B:$B,CPY!$B298,Shift_allowance_Entries!$G:$G)),0,((SUMIF(Shift_allowance_Entries!$B:$B,CPY!$B298,Shift_allowance_Entries!$G:$G))-(SUMIF(Shift_allowance_Entries!$B:$B,CPY!$B298,Shift_allowance_Entries!$H:$H))))</f>
        <v>0</v>
      </c>
      <c r="AF298" s="63">
        <f>AE298*MD!$S$4</f>
        <v>0</v>
      </c>
    </row>
    <row r="299" spans="1:32" x14ac:dyDescent="0.25">
      <c r="A299" s="62">
        <v>297</v>
      </c>
      <c r="B299" s="62"/>
      <c r="C299" s="50" t="str">
        <f>IF(ISNA(VLOOKUP($B299,Summary!$B:$D,2,FALSE))=TRUE," ",VLOOKUP($B299,Summary!$B:$D,2,FALSE))</f>
        <v> </v>
      </c>
      <c r="D299" s="50" t="str">
        <f>IF(ISNA(VLOOKUP($B299,Summary!$B:$D,3,FALSE))=TRUE," ",VLOOKUP($B299,Summary!$B:$D,3,FALSE))</f>
        <v> </v>
      </c>
      <c r="E299" s="62"/>
      <c r="F299" s="62"/>
      <c r="G299" s="62"/>
      <c r="I299" s="63">
        <f t="shared" si="4"/>
        <v>0</v>
      </c>
      <c r="K299" s="64">
        <f>IF(E299="Support(L1_L2)",IF(NOT(ISBLANK(B299)),IF(NOT(ISBLANK(D299)),NETWORKDAYS('CPY TOC'!$F$5,'CPY TOC'!$G$5))))-L299</f>
        <v>0</v>
      </c>
      <c r="L299" s="64">
        <f>IF(E299="Support(L1_L2)",SUMIFS(Support_allowance_Entries!$G:$G,Support_allowance_Entries!$B:$B,CPY!B299),0)</f>
        <v>0</v>
      </c>
      <c r="M299" s="63" t="b">
        <f>IF($D299="D0",MD!$C$4*(K299),IF($D299="D1",MD!$C$5*(K299),IF($D299="D2",MD!$C$6*(K299),IF($D299="D3",MD!$C$7*(K299),IF($D299="D4",MD!$C$8*(K299),IF($D299="D5",MD!$C$9*(K299),IF($D299="M1",MD!$C$10*(K299),IF($D299="T1",MD!$C$11*(K299)))))))))</f>
        <v>0</v>
      </c>
      <c r="O299" s="65">
        <f>SUMIFS(Shift_allowance_Entries!$G:$G,Shift_allowance_Entries!$F:$F,"6:30AM-03:30PM",Shift_allowance_Entries!$B:$B,CPY!$B299)</f>
        <v>0</v>
      </c>
      <c r="P299" s="65">
        <f>SUMIFS(Shift_allowance_Entries!$G:$G,Shift_allowance_Entries!$F:$F,"1-9PM/2:30PM-11:30PM",Shift_allowance_Entries!$B:$B,CPY!$B299)</f>
        <v>0</v>
      </c>
      <c r="Q299" s="65">
        <f>SUMIFS(Shift_allowance_Entries!$G:$G,Shift_allowance_Entries!$F:$F,"11PM-7AM",Shift_allowance_Entries!$B:$B,CPY!$B299)</f>
        <v>0</v>
      </c>
      <c r="R299" s="63">
        <f>(CPY!O299*MD!$F$4)+(CPY!P299*MD!$F$5)+(CPY!Q299*MD!$F$6)</f>
        <v>0</v>
      </c>
      <c r="T299" s="64">
        <f>ROUNDUP((SUMIFS('OOH Activities'!$K:$K,'OOH Activities'!$F:$F,"Non_workdays",'OOH Activities'!$B:$B,CPY!B299)) *24,1)</f>
        <v>0</v>
      </c>
      <c r="U299" s="64">
        <f>ROUNDUP((SUMIFS('OOH Activities'!$K:$K,'OOH Activities'!$F:$F,"Workdays",'OOH Activities'!$B:$B,CPY!B299)) *24,1)</f>
        <v>0</v>
      </c>
      <c r="V299" s="63">
        <f>ROUNDUP((SUMIFS('OOH Activities'!$L:$L,'OOH Activities'!$B:$B,CPY!B299)),1)</f>
        <v>0</v>
      </c>
      <c r="X299" s="65">
        <f>ROUNDUP((SUMIFS('ON Call_Call Out Activities'!$L:$L,'ON Call_Call Out Activities'!$F:$F,"Workdays",'ON Call_Call Out Activities'!$B:$B,CPY!B299))*24,1)</f>
        <v>0</v>
      </c>
      <c r="Y299" s="64">
        <f>ROUNDUP((SUMIFS('ON Call_Call Out Activities'!$L:$L,'ON Call_Call Out Activities'!$F:$F,"Non_workdays",'ON Call_Call Out Activities'!$B:$B,CPY!B299)) *24,1)</f>
        <v>0</v>
      </c>
      <c r="Z299" s="63">
        <f>ROUNDUP((SUMIFS('ON Call_Call Out Activities'!$M:$M,'ON Call_Call Out Activities'!$F:$F,"Non_workdays",'ON Call_Call Out Activities'!$B:$B,CPY!B299)),1) + ROUNDUP((SUMIFS('ON Call_Call Out Activities'!$M:$M,'ON Call_Call Out Activities'!$F:$F,"Workdays",'ON Call_Call Out Activities'!$B:$B,CPY!B299)),1)</f>
        <v>0</v>
      </c>
      <c r="AA299" s="66"/>
      <c r="AB299" s="64">
        <f>ROUNDUP((SUMIFS('ON Call_Call Out Activities'!$L:$L,'ON Call_Call Out Activities'!$F:$F,"Call_Out",'ON Call_Call Out Activities'!$B:$B,CPY!B299)) *24,1)</f>
        <v>0</v>
      </c>
      <c r="AC299" s="63">
        <f>ROUNDUP((SUMIFS('ON Call_Call Out Activities'!$M:$M,'ON Call_Call Out Activities'!$F:$F,"Call_Out",'ON Call_Call Out Activities'!$B:$B,CPY!B299)),1)</f>
        <v>0</v>
      </c>
      <c r="AE299" s="65">
        <f>IF((SUMIF(Shift_allowance_Entries!$B:$B,CPY!$B299,Shift_allowance_Entries!$H:$H)) &gt; (SUMIF(Shift_allowance_Entries!$B:$B,CPY!$B299,Shift_allowance_Entries!$G:$G)),0,((SUMIF(Shift_allowance_Entries!$B:$B,CPY!$B299,Shift_allowance_Entries!$G:$G))-(SUMIF(Shift_allowance_Entries!$B:$B,CPY!$B299,Shift_allowance_Entries!$H:$H))))</f>
        <v>0</v>
      </c>
      <c r="AF299" s="63">
        <f>AE299*MD!$S$4</f>
        <v>0</v>
      </c>
    </row>
    <row r="300" spans="1:32" x14ac:dyDescent="0.25">
      <c r="A300" s="62">
        <v>298</v>
      </c>
      <c r="B300" s="62"/>
      <c r="C300" s="50" t="str">
        <f>IF(ISNA(VLOOKUP($B300,Summary!$B:$D,2,FALSE))=TRUE," ",VLOOKUP($B300,Summary!$B:$D,2,FALSE))</f>
        <v> </v>
      </c>
      <c r="D300" s="50" t="str">
        <f>IF(ISNA(VLOOKUP($B300,Summary!$B:$D,3,FALSE))=TRUE," ",VLOOKUP($B300,Summary!$B:$D,3,FALSE))</f>
        <v> </v>
      </c>
      <c r="E300" s="62"/>
      <c r="F300" s="62"/>
      <c r="G300" s="62"/>
      <c r="I300" s="63">
        <f t="shared" si="4"/>
        <v>0</v>
      </c>
      <c r="K300" s="64">
        <f>IF(E300="Support(L1_L2)",IF(NOT(ISBLANK(B300)),IF(NOT(ISBLANK(D300)),NETWORKDAYS('CPY TOC'!$F$5,'CPY TOC'!$G$5))))-L300</f>
        <v>0</v>
      </c>
      <c r="L300" s="64">
        <f>IF(E300="Support(L1_L2)",SUMIFS(Support_allowance_Entries!$G:$G,Support_allowance_Entries!$B:$B,CPY!B300),0)</f>
        <v>0</v>
      </c>
      <c r="M300" s="63" t="b">
        <f>IF($D300="D0",MD!$C$4*(K300),IF($D300="D1",MD!$C$5*(K300),IF($D300="D2",MD!$C$6*(K300),IF($D300="D3",MD!$C$7*(K300),IF($D300="D4",MD!$C$8*(K300),IF($D300="D5",MD!$C$9*(K300),IF($D300="M1",MD!$C$10*(K300),IF($D300="T1",MD!$C$11*(K300)))))))))</f>
        <v>0</v>
      </c>
      <c r="O300" s="65">
        <f>SUMIFS(Shift_allowance_Entries!$G:$G,Shift_allowance_Entries!$F:$F,"6:30AM-03:30PM",Shift_allowance_Entries!$B:$B,CPY!$B300)</f>
        <v>0</v>
      </c>
      <c r="P300" s="65">
        <f>SUMIFS(Shift_allowance_Entries!$G:$G,Shift_allowance_Entries!$F:$F,"1-9PM/2:30PM-11:30PM",Shift_allowance_Entries!$B:$B,CPY!$B300)</f>
        <v>0</v>
      </c>
      <c r="Q300" s="65">
        <f>SUMIFS(Shift_allowance_Entries!$G:$G,Shift_allowance_Entries!$F:$F,"11PM-7AM",Shift_allowance_Entries!$B:$B,CPY!$B300)</f>
        <v>0</v>
      </c>
      <c r="R300" s="63">
        <f>(CPY!O300*MD!$F$4)+(CPY!P300*MD!$F$5)+(CPY!Q300*MD!$F$6)</f>
        <v>0</v>
      </c>
      <c r="T300" s="64">
        <f>ROUNDUP((SUMIFS('OOH Activities'!$K:$K,'OOH Activities'!$F:$F,"Non_workdays",'OOH Activities'!$B:$B,CPY!B300)) *24,1)</f>
        <v>0</v>
      </c>
      <c r="U300" s="64">
        <f>ROUNDUP((SUMIFS('OOH Activities'!$K:$K,'OOH Activities'!$F:$F,"Workdays",'OOH Activities'!$B:$B,CPY!B300)) *24,1)</f>
        <v>0</v>
      </c>
      <c r="V300" s="63">
        <f>ROUNDUP((SUMIFS('OOH Activities'!$L:$L,'OOH Activities'!$B:$B,CPY!B300)),1)</f>
        <v>0</v>
      </c>
      <c r="X300" s="65">
        <f>ROUNDUP((SUMIFS('ON Call_Call Out Activities'!$L:$L,'ON Call_Call Out Activities'!$F:$F,"Workdays",'ON Call_Call Out Activities'!$B:$B,CPY!B300))*24,1)</f>
        <v>0</v>
      </c>
      <c r="Y300" s="64">
        <f>ROUNDUP((SUMIFS('ON Call_Call Out Activities'!$L:$L,'ON Call_Call Out Activities'!$F:$F,"Non_workdays",'ON Call_Call Out Activities'!$B:$B,CPY!B300)) *24,1)</f>
        <v>0</v>
      </c>
      <c r="Z300" s="63">
        <f>ROUNDUP((SUMIFS('ON Call_Call Out Activities'!$M:$M,'ON Call_Call Out Activities'!$F:$F,"Non_workdays",'ON Call_Call Out Activities'!$B:$B,CPY!B300)),1) + ROUNDUP((SUMIFS('ON Call_Call Out Activities'!$M:$M,'ON Call_Call Out Activities'!$F:$F,"Workdays",'ON Call_Call Out Activities'!$B:$B,CPY!B300)),1)</f>
        <v>0</v>
      </c>
      <c r="AA300" s="66"/>
      <c r="AB300" s="64">
        <f>ROUNDUP((SUMIFS('ON Call_Call Out Activities'!$L:$L,'ON Call_Call Out Activities'!$F:$F,"Call_Out",'ON Call_Call Out Activities'!$B:$B,CPY!B300)) *24,1)</f>
        <v>0</v>
      </c>
      <c r="AC300" s="63">
        <f>ROUNDUP((SUMIFS('ON Call_Call Out Activities'!$M:$M,'ON Call_Call Out Activities'!$F:$F,"Call_Out",'ON Call_Call Out Activities'!$B:$B,CPY!B300)),1)</f>
        <v>0</v>
      </c>
      <c r="AE300" s="65">
        <f>IF((SUMIF(Shift_allowance_Entries!$B:$B,CPY!$B300,Shift_allowance_Entries!$H:$H)) &gt; (SUMIF(Shift_allowance_Entries!$B:$B,CPY!$B300,Shift_allowance_Entries!$G:$G)),0,((SUMIF(Shift_allowance_Entries!$B:$B,CPY!$B300,Shift_allowance_Entries!$G:$G))-(SUMIF(Shift_allowance_Entries!$B:$B,CPY!$B300,Shift_allowance_Entries!$H:$H))))</f>
        <v>0</v>
      </c>
      <c r="AF300" s="63">
        <f>AE300*MD!$S$4</f>
        <v>0</v>
      </c>
    </row>
    <row r="301" spans="1:32" x14ac:dyDescent="0.25">
      <c r="A301" s="62">
        <v>299</v>
      </c>
      <c r="B301" s="62"/>
      <c r="C301" s="50" t="str">
        <f>IF(ISNA(VLOOKUP($B301,Summary!$B:$D,2,FALSE))=TRUE," ",VLOOKUP($B301,Summary!$B:$D,2,FALSE))</f>
        <v> </v>
      </c>
      <c r="D301" s="50" t="str">
        <f>IF(ISNA(VLOOKUP($B301,Summary!$B:$D,3,FALSE))=TRUE," ",VLOOKUP($B301,Summary!$B:$D,3,FALSE))</f>
        <v> </v>
      </c>
      <c r="E301" s="62"/>
      <c r="F301" s="62"/>
      <c r="G301" s="62"/>
      <c r="I301" s="63">
        <f t="shared" si="4"/>
        <v>0</v>
      </c>
      <c r="K301" s="64">
        <f>IF(E301="Support(L1_L2)",IF(NOT(ISBLANK(B301)),IF(NOT(ISBLANK(D301)),NETWORKDAYS('CPY TOC'!$F$5,'CPY TOC'!$G$5))))-L301</f>
        <v>0</v>
      </c>
      <c r="L301" s="64">
        <f>IF(E301="Support(L1_L2)",SUMIFS(Support_allowance_Entries!$G:$G,Support_allowance_Entries!$B:$B,CPY!B301),0)</f>
        <v>0</v>
      </c>
      <c r="M301" s="63" t="b">
        <f>IF($D301="D0",MD!$C$4*(K301),IF($D301="D1",MD!$C$5*(K301),IF($D301="D2",MD!$C$6*(K301),IF($D301="D3",MD!$C$7*(K301),IF($D301="D4",MD!$C$8*(K301),IF($D301="D5",MD!$C$9*(K301),IF($D301="M1",MD!$C$10*(K301),IF($D301="T1",MD!$C$11*(K301)))))))))</f>
        <v>0</v>
      </c>
      <c r="O301" s="65">
        <f>SUMIFS(Shift_allowance_Entries!$G:$G,Shift_allowance_Entries!$F:$F,"6:30AM-03:30PM",Shift_allowance_Entries!$B:$B,CPY!$B301)</f>
        <v>0</v>
      </c>
      <c r="P301" s="65">
        <f>SUMIFS(Shift_allowance_Entries!$G:$G,Shift_allowance_Entries!$F:$F,"1-9PM/2:30PM-11:30PM",Shift_allowance_Entries!$B:$B,CPY!$B301)</f>
        <v>0</v>
      </c>
      <c r="Q301" s="65">
        <f>SUMIFS(Shift_allowance_Entries!$G:$G,Shift_allowance_Entries!$F:$F,"11PM-7AM",Shift_allowance_Entries!$B:$B,CPY!$B301)</f>
        <v>0</v>
      </c>
      <c r="R301" s="63">
        <f>(CPY!O301*MD!$F$4)+(CPY!P301*MD!$F$5)+(CPY!Q301*MD!$F$6)</f>
        <v>0</v>
      </c>
      <c r="T301" s="64">
        <f>ROUNDUP((SUMIFS('OOH Activities'!$K:$K,'OOH Activities'!$F:$F,"Non_workdays",'OOH Activities'!$B:$B,CPY!B301)) *24,1)</f>
        <v>0</v>
      </c>
      <c r="U301" s="64">
        <f>ROUNDUP((SUMIFS('OOH Activities'!$K:$K,'OOH Activities'!$F:$F,"Workdays",'OOH Activities'!$B:$B,CPY!B301)) *24,1)</f>
        <v>0</v>
      </c>
      <c r="V301" s="63">
        <f>ROUNDUP((SUMIFS('OOH Activities'!$L:$L,'OOH Activities'!$B:$B,CPY!B301)),1)</f>
        <v>0</v>
      </c>
      <c r="X301" s="65">
        <f>ROUNDUP((SUMIFS('ON Call_Call Out Activities'!$L:$L,'ON Call_Call Out Activities'!$F:$F,"Workdays",'ON Call_Call Out Activities'!$B:$B,CPY!B301))*24,1)</f>
        <v>0</v>
      </c>
      <c r="Y301" s="64">
        <f>ROUNDUP((SUMIFS('ON Call_Call Out Activities'!$L:$L,'ON Call_Call Out Activities'!$F:$F,"Non_workdays",'ON Call_Call Out Activities'!$B:$B,CPY!B301)) *24,1)</f>
        <v>0</v>
      </c>
      <c r="Z301" s="63">
        <f>ROUNDUP((SUMIFS('ON Call_Call Out Activities'!$M:$M,'ON Call_Call Out Activities'!$F:$F,"Non_workdays",'ON Call_Call Out Activities'!$B:$B,CPY!B301)),1) + ROUNDUP((SUMIFS('ON Call_Call Out Activities'!$M:$M,'ON Call_Call Out Activities'!$F:$F,"Workdays",'ON Call_Call Out Activities'!$B:$B,CPY!B301)),1)</f>
        <v>0</v>
      </c>
      <c r="AA301" s="66"/>
      <c r="AB301" s="64">
        <f>ROUNDUP((SUMIFS('ON Call_Call Out Activities'!$L:$L,'ON Call_Call Out Activities'!$F:$F,"Call_Out",'ON Call_Call Out Activities'!$B:$B,CPY!B301)) *24,1)</f>
        <v>0</v>
      </c>
      <c r="AC301" s="63">
        <f>ROUNDUP((SUMIFS('ON Call_Call Out Activities'!$M:$M,'ON Call_Call Out Activities'!$F:$F,"Call_Out",'ON Call_Call Out Activities'!$B:$B,CPY!B301)),1)</f>
        <v>0</v>
      </c>
      <c r="AE301" s="65">
        <f>IF((SUMIF(Shift_allowance_Entries!$B:$B,CPY!$B301,Shift_allowance_Entries!$H:$H)) &gt; (SUMIF(Shift_allowance_Entries!$B:$B,CPY!$B301,Shift_allowance_Entries!$G:$G)),0,((SUMIF(Shift_allowance_Entries!$B:$B,CPY!$B301,Shift_allowance_Entries!$G:$G))-(SUMIF(Shift_allowance_Entries!$B:$B,CPY!$B301,Shift_allowance_Entries!$H:$H))))</f>
        <v>0</v>
      </c>
      <c r="AF301" s="63">
        <f>AE301*MD!$S$4</f>
        <v>0</v>
      </c>
    </row>
    <row r="302" spans="1:32" x14ac:dyDescent="0.25">
      <c r="A302" s="62">
        <v>300</v>
      </c>
      <c r="B302" s="62"/>
      <c r="C302" s="50" t="str">
        <f>IF(ISNA(VLOOKUP($B302,Summary!$B:$D,2,FALSE))=TRUE," ",VLOOKUP($B302,Summary!$B:$D,2,FALSE))</f>
        <v> </v>
      </c>
      <c r="D302" s="50" t="str">
        <f>IF(ISNA(VLOOKUP($B302,Summary!$B:$D,3,FALSE))=TRUE," ",VLOOKUP($B302,Summary!$B:$D,3,FALSE))</f>
        <v> </v>
      </c>
      <c r="E302" s="62"/>
      <c r="F302" s="62"/>
      <c r="G302" s="62"/>
      <c r="I302" s="63">
        <f t="shared" si="4"/>
        <v>0</v>
      </c>
      <c r="K302" s="64">
        <f>IF(E302="Support(L1_L2)",IF(NOT(ISBLANK(B302)),IF(NOT(ISBLANK(D302)),NETWORKDAYS('CPY TOC'!$F$5,'CPY TOC'!$G$5))))-L302</f>
        <v>0</v>
      </c>
      <c r="L302" s="64">
        <f>IF(E302="Support(L1_L2)",SUMIFS(Support_allowance_Entries!$G:$G,Support_allowance_Entries!$B:$B,CPY!B302),0)</f>
        <v>0</v>
      </c>
      <c r="M302" s="63" t="b">
        <f>IF($D302="D0",MD!$C$4*(K302),IF($D302="D1",MD!$C$5*(K302),IF($D302="D2",MD!$C$6*(K302),IF($D302="D3",MD!$C$7*(K302),IF($D302="D4",MD!$C$8*(K302),IF($D302="D5",MD!$C$9*(K302),IF($D302="M1",MD!$C$10*(K302),IF($D302="T1",MD!$C$11*(K302)))))))))</f>
        <v>0</v>
      </c>
      <c r="O302" s="65">
        <f>SUMIFS(Shift_allowance_Entries!$G:$G,Shift_allowance_Entries!$F:$F,"6:30AM-03:30PM",Shift_allowance_Entries!$B:$B,CPY!$B302)</f>
        <v>0</v>
      </c>
      <c r="P302" s="65">
        <f>SUMIFS(Shift_allowance_Entries!$G:$G,Shift_allowance_Entries!$F:$F,"1-9PM/2:30PM-11:30PM",Shift_allowance_Entries!$B:$B,CPY!$B302)</f>
        <v>0</v>
      </c>
      <c r="Q302" s="65">
        <f>SUMIFS(Shift_allowance_Entries!$G:$G,Shift_allowance_Entries!$F:$F,"11PM-7AM",Shift_allowance_Entries!$B:$B,CPY!$B302)</f>
        <v>0</v>
      </c>
      <c r="R302" s="63">
        <f>(CPY!O302*MD!$F$4)+(CPY!P302*MD!$F$5)+(CPY!Q302*MD!$F$6)</f>
        <v>0</v>
      </c>
      <c r="T302" s="64">
        <f>ROUNDUP((SUMIFS('OOH Activities'!$K:$K,'OOH Activities'!$F:$F,"Non_workdays",'OOH Activities'!$B:$B,CPY!B302)) *24,1)</f>
        <v>0</v>
      </c>
      <c r="U302" s="64">
        <f>ROUNDUP((SUMIFS('OOH Activities'!$K:$K,'OOH Activities'!$F:$F,"Workdays",'OOH Activities'!$B:$B,CPY!B302)) *24,1)</f>
        <v>0</v>
      </c>
      <c r="V302" s="63">
        <f>ROUNDUP((SUMIFS('OOH Activities'!$L:$L,'OOH Activities'!$B:$B,CPY!B302)),1)</f>
        <v>0</v>
      </c>
      <c r="X302" s="65">
        <f>ROUNDUP((SUMIFS('ON Call_Call Out Activities'!$L:$L,'ON Call_Call Out Activities'!$F:$F,"Workdays",'ON Call_Call Out Activities'!$B:$B,CPY!B302))*24,1)</f>
        <v>0</v>
      </c>
      <c r="Y302" s="64">
        <f>ROUNDUP((SUMIFS('ON Call_Call Out Activities'!$L:$L,'ON Call_Call Out Activities'!$F:$F,"Non_workdays",'ON Call_Call Out Activities'!$B:$B,CPY!B302)) *24,1)</f>
        <v>0</v>
      </c>
      <c r="Z302" s="63">
        <f>ROUNDUP((SUMIFS('ON Call_Call Out Activities'!$M:$M,'ON Call_Call Out Activities'!$F:$F,"Non_workdays",'ON Call_Call Out Activities'!$B:$B,CPY!B302)),1) + ROUNDUP((SUMIFS('ON Call_Call Out Activities'!$M:$M,'ON Call_Call Out Activities'!$F:$F,"Workdays",'ON Call_Call Out Activities'!$B:$B,CPY!B302)),1)</f>
        <v>0</v>
      </c>
      <c r="AA302" s="66"/>
      <c r="AB302" s="64">
        <f>ROUNDUP((SUMIFS('ON Call_Call Out Activities'!$L:$L,'ON Call_Call Out Activities'!$F:$F,"Call_Out",'ON Call_Call Out Activities'!$B:$B,CPY!B302)) *24,1)</f>
        <v>0</v>
      </c>
      <c r="AC302" s="63">
        <f>ROUNDUP((SUMIFS('ON Call_Call Out Activities'!$M:$M,'ON Call_Call Out Activities'!$F:$F,"Call_Out",'ON Call_Call Out Activities'!$B:$B,CPY!B302)),1)</f>
        <v>0</v>
      </c>
      <c r="AE302" s="65">
        <f>IF((SUMIF(Shift_allowance_Entries!$B:$B,CPY!$B302,Shift_allowance_Entries!$H:$H)) &gt; (SUMIF(Shift_allowance_Entries!$B:$B,CPY!$B302,Shift_allowance_Entries!$G:$G)),0,((SUMIF(Shift_allowance_Entries!$B:$B,CPY!$B302,Shift_allowance_Entries!$G:$G))-(SUMIF(Shift_allowance_Entries!$B:$B,CPY!$B302,Shift_allowance_Entries!$H:$H))))</f>
        <v>0</v>
      </c>
      <c r="AF302" s="63">
        <f>AE302*MD!$S$4</f>
        <v>0</v>
      </c>
    </row>
    <row r="303" spans="1:32" x14ac:dyDescent="0.25">
      <c r="A303" s="62">
        <v>301</v>
      </c>
      <c r="B303" s="62"/>
      <c r="C303" s="50" t="str">
        <f>IF(ISNA(VLOOKUP($B303,Summary!$B:$D,2,FALSE))=TRUE," ",VLOOKUP($B303,Summary!$B:$D,2,FALSE))</f>
        <v> </v>
      </c>
      <c r="D303" s="50" t="str">
        <f>IF(ISNA(VLOOKUP($B303,Summary!$B:$D,3,FALSE))=TRUE," ",VLOOKUP($B303,Summary!$B:$D,3,FALSE))</f>
        <v> </v>
      </c>
      <c r="E303" s="62"/>
      <c r="F303" s="62"/>
      <c r="G303" s="62"/>
      <c r="I303" s="63">
        <f t="shared" si="4"/>
        <v>0</v>
      </c>
      <c r="K303" s="64">
        <f>IF(E303="Support(L1_L2)",IF(NOT(ISBLANK(B303)),IF(NOT(ISBLANK(D303)),NETWORKDAYS('CPY TOC'!$F$5,'CPY TOC'!$G$5))))-L303</f>
        <v>0</v>
      </c>
      <c r="L303" s="64">
        <f>IF(E303="Support(L1_L2)",SUMIFS(Support_allowance_Entries!$G:$G,Support_allowance_Entries!$B:$B,CPY!B303),0)</f>
        <v>0</v>
      </c>
      <c r="M303" s="63" t="b">
        <f>IF($D303="D0",MD!$C$4*(K303),IF($D303="D1",MD!$C$5*(K303),IF($D303="D2",MD!$C$6*(K303),IF($D303="D3",MD!$C$7*(K303),IF($D303="D4",MD!$C$8*(K303),IF($D303="D5",MD!$C$9*(K303),IF($D303="M1",MD!$C$10*(K303),IF($D303="T1",MD!$C$11*(K303)))))))))</f>
        <v>0</v>
      </c>
      <c r="O303" s="65">
        <f>SUMIFS(Shift_allowance_Entries!$G:$G,Shift_allowance_Entries!$F:$F,"6:30AM-03:30PM",Shift_allowance_Entries!$B:$B,CPY!$B303)</f>
        <v>0</v>
      </c>
      <c r="P303" s="65">
        <f>SUMIFS(Shift_allowance_Entries!$G:$G,Shift_allowance_Entries!$F:$F,"1-9PM/2:30PM-11:30PM",Shift_allowance_Entries!$B:$B,CPY!$B303)</f>
        <v>0</v>
      </c>
      <c r="Q303" s="65">
        <f>SUMIFS(Shift_allowance_Entries!$G:$G,Shift_allowance_Entries!$F:$F,"11PM-7AM",Shift_allowance_Entries!$B:$B,CPY!$B303)</f>
        <v>0</v>
      </c>
      <c r="R303" s="63">
        <f>(CPY!O303*MD!$F$4)+(CPY!P303*MD!$F$5)+(CPY!Q303*MD!$F$6)</f>
        <v>0</v>
      </c>
      <c r="T303" s="64">
        <f>ROUNDUP((SUMIFS('OOH Activities'!$K:$K,'OOH Activities'!$F:$F,"Non_workdays",'OOH Activities'!$B:$B,CPY!B303)) *24,1)</f>
        <v>0</v>
      </c>
      <c r="U303" s="64">
        <f>ROUNDUP((SUMIFS('OOH Activities'!$K:$K,'OOH Activities'!$F:$F,"Workdays",'OOH Activities'!$B:$B,CPY!B303)) *24,1)</f>
        <v>0</v>
      </c>
      <c r="V303" s="63">
        <f>ROUNDUP((SUMIFS('OOH Activities'!$L:$L,'OOH Activities'!$B:$B,CPY!B303)),1)</f>
        <v>0</v>
      </c>
      <c r="X303" s="65">
        <f>ROUNDUP((SUMIFS('ON Call_Call Out Activities'!$L:$L,'ON Call_Call Out Activities'!$F:$F,"Workdays",'ON Call_Call Out Activities'!$B:$B,CPY!B303))*24,1)</f>
        <v>0</v>
      </c>
      <c r="Y303" s="64">
        <f>ROUNDUP((SUMIFS('ON Call_Call Out Activities'!$L:$L,'ON Call_Call Out Activities'!$F:$F,"Non_workdays",'ON Call_Call Out Activities'!$B:$B,CPY!B303)) *24,1)</f>
        <v>0</v>
      </c>
      <c r="Z303" s="63">
        <f>ROUNDUP((SUMIFS('ON Call_Call Out Activities'!$M:$M,'ON Call_Call Out Activities'!$F:$F,"Non_workdays",'ON Call_Call Out Activities'!$B:$B,CPY!B303)),1) + ROUNDUP((SUMIFS('ON Call_Call Out Activities'!$M:$M,'ON Call_Call Out Activities'!$F:$F,"Workdays",'ON Call_Call Out Activities'!$B:$B,CPY!B303)),1)</f>
        <v>0</v>
      </c>
      <c r="AA303" s="66"/>
      <c r="AB303" s="64">
        <f>ROUNDUP((SUMIFS('ON Call_Call Out Activities'!$L:$L,'ON Call_Call Out Activities'!$F:$F,"Call_Out",'ON Call_Call Out Activities'!$B:$B,CPY!B303)) *24,1)</f>
        <v>0</v>
      </c>
      <c r="AC303" s="63">
        <f>ROUNDUP((SUMIFS('ON Call_Call Out Activities'!$M:$M,'ON Call_Call Out Activities'!$F:$F,"Call_Out",'ON Call_Call Out Activities'!$B:$B,CPY!B303)),1)</f>
        <v>0</v>
      </c>
      <c r="AE303" s="65">
        <f>IF((SUMIF(Shift_allowance_Entries!$B:$B,CPY!$B303,Shift_allowance_Entries!$H:$H)) &gt; (SUMIF(Shift_allowance_Entries!$B:$B,CPY!$B303,Shift_allowance_Entries!$G:$G)),0,((SUMIF(Shift_allowance_Entries!$B:$B,CPY!$B303,Shift_allowance_Entries!$G:$G))-(SUMIF(Shift_allowance_Entries!$B:$B,CPY!$B303,Shift_allowance_Entries!$H:$H))))</f>
        <v>0</v>
      </c>
      <c r="AF303" s="63">
        <f>AE303*MD!$S$4</f>
        <v>0</v>
      </c>
    </row>
    <row r="304" spans="1:32" x14ac:dyDescent="0.25">
      <c r="A304" s="62">
        <v>302</v>
      </c>
      <c r="B304" s="62"/>
      <c r="C304" s="50" t="str">
        <f>IF(ISNA(VLOOKUP($B304,Summary!$B:$D,2,FALSE))=TRUE," ",VLOOKUP($B304,Summary!$B:$D,2,FALSE))</f>
        <v> </v>
      </c>
      <c r="D304" s="50" t="str">
        <f>IF(ISNA(VLOOKUP($B304,Summary!$B:$D,3,FALSE))=TRUE," ",VLOOKUP($B304,Summary!$B:$D,3,FALSE))</f>
        <v> </v>
      </c>
      <c r="E304" s="62"/>
      <c r="F304" s="62"/>
      <c r="G304" s="62"/>
      <c r="I304" s="63">
        <f t="shared" si="4"/>
        <v>0</v>
      </c>
      <c r="K304" s="64">
        <f>IF(E304="Support(L1_L2)",IF(NOT(ISBLANK(B304)),IF(NOT(ISBLANK(D304)),NETWORKDAYS('CPY TOC'!$F$5,'CPY TOC'!$G$5))))-L304</f>
        <v>0</v>
      </c>
      <c r="L304" s="64">
        <f>IF(E304="Support(L1_L2)",SUMIFS(Support_allowance_Entries!$G:$G,Support_allowance_Entries!$B:$B,CPY!B304),0)</f>
        <v>0</v>
      </c>
      <c r="M304" s="63" t="b">
        <f>IF($D304="D0",MD!$C$4*(K304),IF($D304="D1",MD!$C$5*(K304),IF($D304="D2",MD!$C$6*(K304),IF($D304="D3",MD!$C$7*(K304),IF($D304="D4",MD!$C$8*(K304),IF($D304="D5",MD!$C$9*(K304),IF($D304="M1",MD!$C$10*(K304),IF($D304="T1",MD!$C$11*(K304)))))))))</f>
        <v>0</v>
      </c>
      <c r="O304" s="65">
        <f>SUMIFS(Shift_allowance_Entries!$G:$G,Shift_allowance_Entries!$F:$F,"6:30AM-03:30PM",Shift_allowance_Entries!$B:$B,CPY!$B304)</f>
        <v>0</v>
      </c>
      <c r="P304" s="65">
        <f>SUMIFS(Shift_allowance_Entries!$G:$G,Shift_allowance_Entries!$F:$F,"1-9PM/2:30PM-11:30PM",Shift_allowance_Entries!$B:$B,CPY!$B304)</f>
        <v>0</v>
      </c>
      <c r="Q304" s="65">
        <f>SUMIFS(Shift_allowance_Entries!$G:$G,Shift_allowance_Entries!$F:$F,"11PM-7AM",Shift_allowance_Entries!$B:$B,CPY!$B304)</f>
        <v>0</v>
      </c>
      <c r="R304" s="63">
        <f>(CPY!O304*MD!$F$4)+(CPY!P304*MD!$F$5)+(CPY!Q304*MD!$F$6)</f>
        <v>0</v>
      </c>
      <c r="T304" s="64">
        <f>ROUNDUP((SUMIFS('OOH Activities'!$K:$K,'OOH Activities'!$F:$F,"Non_workdays",'OOH Activities'!$B:$B,CPY!B304)) *24,1)</f>
        <v>0</v>
      </c>
      <c r="U304" s="64">
        <f>ROUNDUP((SUMIFS('OOH Activities'!$K:$K,'OOH Activities'!$F:$F,"Workdays",'OOH Activities'!$B:$B,CPY!B304)) *24,1)</f>
        <v>0</v>
      </c>
      <c r="V304" s="63">
        <f>ROUNDUP((SUMIFS('OOH Activities'!$L:$L,'OOH Activities'!$B:$B,CPY!B304)),1)</f>
        <v>0</v>
      </c>
      <c r="X304" s="65">
        <f>ROUNDUP((SUMIFS('ON Call_Call Out Activities'!$L:$L,'ON Call_Call Out Activities'!$F:$F,"Workdays",'ON Call_Call Out Activities'!$B:$B,CPY!B304))*24,1)</f>
        <v>0</v>
      </c>
      <c r="Y304" s="64">
        <f>ROUNDUP((SUMIFS('ON Call_Call Out Activities'!$L:$L,'ON Call_Call Out Activities'!$F:$F,"Non_workdays",'ON Call_Call Out Activities'!$B:$B,CPY!B304)) *24,1)</f>
        <v>0</v>
      </c>
      <c r="Z304" s="63">
        <f>ROUNDUP((SUMIFS('ON Call_Call Out Activities'!$M:$M,'ON Call_Call Out Activities'!$F:$F,"Non_workdays",'ON Call_Call Out Activities'!$B:$B,CPY!B304)),1) + ROUNDUP((SUMIFS('ON Call_Call Out Activities'!$M:$M,'ON Call_Call Out Activities'!$F:$F,"Workdays",'ON Call_Call Out Activities'!$B:$B,CPY!B304)),1)</f>
        <v>0</v>
      </c>
      <c r="AA304" s="66"/>
      <c r="AB304" s="64">
        <f>ROUNDUP((SUMIFS('ON Call_Call Out Activities'!$L:$L,'ON Call_Call Out Activities'!$F:$F,"Call_Out",'ON Call_Call Out Activities'!$B:$B,CPY!B304)) *24,1)</f>
        <v>0</v>
      </c>
      <c r="AC304" s="63">
        <f>ROUNDUP((SUMIFS('ON Call_Call Out Activities'!$M:$M,'ON Call_Call Out Activities'!$F:$F,"Call_Out",'ON Call_Call Out Activities'!$B:$B,CPY!B304)),1)</f>
        <v>0</v>
      </c>
      <c r="AE304" s="65">
        <f>IF((SUMIF(Shift_allowance_Entries!$B:$B,CPY!$B304,Shift_allowance_Entries!$H:$H)) &gt; (SUMIF(Shift_allowance_Entries!$B:$B,CPY!$B304,Shift_allowance_Entries!$G:$G)),0,((SUMIF(Shift_allowance_Entries!$B:$B,CPY!$B304,Shift_allowance_Entries!$G:$G))-(SUMIF(Shift_allowance_Entries!$B:$B,CPY!$B304,Shift_allowance_Entries!$H:$H))))</f>
        <v>0</v>
      </c>
      <c r="AF304" s="63">
        <f>AE304*MD!$S$4</f>
        <v>0</v>
      </c>
    </row>
    <row r="305" spans="1:32" x14ac:dyDescent="0.25">
      <c r="A305" s="62">
        <v>303</v>
      </c>
      <c r="B305" s="62"/>
      <c r="C305" s="50" t="str">
        <f>IF(ISNA(VLOOKUP($B305,Summary!$B:$D,2,FALSE))=TRUE," ",VLOOKUP($B305,Summary!$B:$D,2,FALSE))</f>
        <v> </v>
      </c>
      <c r="D305" s="50" t="str">
        <f>IF(ISNA(VLOOKUP($B305,Summary!$B:$D,3,FALSE))=TRUE," ",VLOOKUP($B305,Summary!$B:$D,3,FALSE))</f>
        <v> </v>
      </c>
      <c r="E305" s="62"/>
      <c r="F305" s="62"/>
      <c r="G305" s="62"/>
      <c r="I305" s="63">
        <f t="shared" si="4"/>
        <v>0</v>
      </c>
      <c r="K305" s="64">
        <f>IF(E305="Support(L1_L2)",IF(NOT(ISBLANK(B305)),IF(NOT(ISBLANK(D305)),NETWORKDAYS('CPY TOC'!$F$5,'CPY TOC'!$G$5))))-L305</f>
        <v>0</v>
      </c>
      <c r="L305" s="64">
        <f>IF(E305="Support(L1_L2)",SUMIFS(Support_allowance_Entries!$G:$G,Support_allowance_Entries!$B:$B,CPY!B305),0)</f>
        <v>0</v>
      </c>
      <c r="M305" s="63" t="b">
        <f>IF($D305="D0",MD!$C$4*(K305),IF($D305="D1",MD!$C$5*(K305),IF($D305="D2",MD!$C$6*(K305),IF($D305="D3",MD!$C$7*(K305),IF($D305="D4",MD!$C$8*(K305),IF($D305="D5",MD!$C$9*(K305),IF($D305="M1",MD!$C$10*(K305),IF($D305="T1",MD!$C$11*(K305)))))))))</f>
        <v>0</v>
      </c>
      <c r="O305" s="65">
        <f>SUMIFS(Shift_allowance_Entries!$G:$G,Shift_allowance_Entries!$F:$F,"6:30AM-03:30PM",Shift_allowance_Entries!$B:$B,CPY!$B305)</f>
        <v>0</v>
      </c>
      <c r="P305" s="65">
        <f>SUMIFS(Shift_allowance_Entries!$G:$G,Shift_allowance_Entries!$F:$F,"1-9PM/2:30PM-11:30PM",Shift_allowance_Entries!$B:$B,CPY!$B305)</f>
        <v>0</v>
      </c>
      <c r="Q305" s="65">
        <f>SUMIFS(Shift_allowance_Entries!$G:$G,Shift_allowance_Entries!$F:$F,"11PM-7AM",Shift_allowance_Entries!$B:$B,CPY!$B305)</f>
        <v>0</v>
      </c>
      <c r="R305" s="63">
        <f>(CPY!O305*MD!$F$4)+(CPY!P305*MD!$F$5)+(CPY!Q305*MD!$F$6)</f>
        <v>0</v>
      </c>
      <c r="T305" s="64">
        <f>ROUNDUP((SUMIFS('OOH Activities'!$K:$K,'OOH Activities'!$F:$F,"Non_workdays",'OOH Activities'!$B:$B,CPY!B305)) *24,1)</f>
        <v>0</v>
      </c>
      <c r="U305" s="64">
        <f>ROUNDUP((SUMIFS('OOH Activities'!$K:$K,'OOH Activities'!$F:$F,"Workdays",'OOH Activities'!$B:$B,CPY!B305)) *24,1)</f>
        <v>0</v>
      </c>
      <c r="V305" s="63">
        <f>ROUNDUP((SUMIFS('OOH Activities'!$L:$L,'OOH Activities'!$B:$B,CPY!B305)),1)</f>
        <v>0</v>
      </c>
      <c r="X305" s="65">
        <f>ROUNDUP((SUMIFS('ON Call_Call Out Activities'!$L:$L,'ON Call_Call Out Activities'!$F:$F,"Workdays",'ON Call_Call Out Activities'!$B:$B,CPY!B305))*24,1)</f>
        <v>0</v>
      </c>
      <c r="Y305" s="64">
        <f>ROUNDUP((SUMIFS('ON Call_Call Out Activities'!$L:$L,'ON Call_Call Out Activities'!$F:$F,"Non_workdays",'ON Call_Call Out Activities'!$B:$B,CPY!B305)) *24,1)</f>
        <v>0</v>
      </c>
      <c r="Z305" s="63">
        <f>ROUNDUP((SUMIFS('ON Call_Call Out Activities'!$M:$M,'ON Call_Call Out Activities'!$F:$F,"Non_workdays",'ON Call_Call Out Activities'!$B:$B,CPY!B305)),1) + ROUNDUP((SUMIFS('ON Call_Call Out Activities'!$M:$M,'ON Call_Call Out Activities'!$F:$F,"Workdays",'ON Call_Call Out Activities'!$B:$B,CPY!B305)),1)</f>
        <v>0</v>
      </c>
      <c r="AA305" s="66"/>
      <c r="AB305" s="64">
        <f>ROUNDUP((SUMIFS('ON Call_Call Out Activities'!$L:$L,'ON Call_Call Out Activities'!$F:$F,"Call_Out",'ON Call_Call Out Activities'!$B:$B,CPY!B305)) *24,1)</f>
        <v>0</v>
      </c>
      <c r="AC305" s="63">
        <f>ROUNDUP((SUMIFS('ON Call_Call Out Activities'!$M:$M,'ON Call_Call Out Activities'!$F:$F,"Call_Out",'ON Call_Call Out Activities'!$B:$B,CPY!B305)),1)</f>
        <v>0</v>
      </c>
      <c r="AE305" s="65">
        <f>IF((SUMIF(Shift_allowance_Entries!$B:$B,CPY!$B305,Shift_allowance_Entries!$H:$H)) &gt; (SUMIF(Shift_allowance_Entries!$B:$B,CPY!$B305,Shift_allowance_Entries!$G:$G)),0,((SUMIF(Shift_allowance_Entries!$B:$B,CPY!$B305,Shift_allowance_Entries!$G:$G))-(SUMIF(Shift_allowance_Entries!$B:$B,CPY!$B305,Shift_allowance_Entries!$H:$H))))</f>
        <v>0</v>
      </c>
      <c r="AF305" s="63">
        <f>AE305*MD!$S$4</f>
        <v>0</v>
      </c>
    </row>
    <row r="306" spans="1:32" x14ac:dyDescent="0.25">
      <c r="A306" s="62">
        <v>304</v>
      </c>
      <c r="B306" s="62"/>
      <c r="C306" s="50" t="str">
        <f>IF(ISNA(VLOOKUP($B306,Summary!$B:$D,2,FALSE))=TRUE," ",VLOOKUP($B306,Summary!$B:$D,2,FALSE))</f>
        <v> </v>
      </c>
      <c r="D306" s="50" t="str">
        <f>IF(ISNA(VLOOKUP($B306,Summary!$B:$D,3,FALSE))=TRUE," ",VLOOKUP($B306,Summary!$B:$D,3,FALSE))</f>
        <v> </v>
      </c>
      <c r="E306" s="62"/>
      <c r="F306" s="62"/>
      <c r="G306" s="62"/>
      <c r="I306" s="63">
        <f t="shared" si="4"/>
        <v>0</v>
      </c>
      <c r="K306" s="64">
        <f>IF(E306="Support(L1_L2)",IF(NOT(ISBLANK(B306)),IF(NOT(ISBLANK(D306)),NETWORKDAYS('CPY TOC'!$F$5,'CPY TOC'!$G$5))))-L306</f>
        <v>0</v>
      </c>
      <c r="L306" s="64">
        <f>IF(E306="Support(L1_L2)",SUMIFS(Support_allowance_Entries!$G:$G,Support_allowance_Entries!$B:$B,CPY!B306),0)</f>
        <v>0</v>
      </c>
      <c r="M306" s="63" t="b">
        <f>IF($D306="D0",MD!$C$4*(K306),IF($D306="D1",MD!$C$5*(K306),IF($D306="D2",MD!$C$6*(K306),IF($D306="D3",MD!$C$7*(K306),IF($D306="D4",MD!$C$8*(K306),IF($D306="D5",MD!$C$9*(K306),IF($D306="M1",MD!$C$10*(K306),IF($D306="T1",MD!$C$11*(K306)))))))))</f>
        <v>0</v>
      </c>
      <c r="O306" s="65">
        <f>SUMIFS(Shift_allowance_Entries!$G:$G,Shift_allowance_Entries!$F:$F,"6:30AM-03:30PM",Shift_allowance_Entries!$B:$B,CPY!$B306)</f>
        <v>0</v>
      </c>
      <c r="P306" s="65">
        <f>SUMIFS(Shift_allowance_Entries!$G:$G,Shift_allowance_Entries!$F:$F,"1-9PM/2:30PM-11:30PM",Shift_allowance_Entries!$B:$B,CPY!$B306)</f>
        <v>0</v>
      </c>
      <c r="Q306" s="65">
        <f>SUMIFS(Shift_allowance_Entries!$G:$G,Shift_allowance_Entries!$F:$F,"11PM-7AM",Shift_allowance_Entries!$B:$B,CPY!$B306)</f>
        <v>0</v>
      </c>
      <c r="R306" s="63">
        <f>(CPY!O306*MD!$F$4)+(CPY!P306*MD!$F$5)+(CPY!Q306*MD!$F$6)</f>
        <v>0</v>
      </c>
      <c r="T306" s="64">
        <f>ROUNDUP((SUMIFS('OOH Activities'!$K:$K,'OOH Activities'!$F:$F,"Non_workdays",'OOH Activities'!$B:$B,CPY!B306)) *24,1)</f>
        <v>0</v>
      </c>
      <c r="U306" s="64">
        <f>ROUNDUP((SUMIFS('OOH Activities'!$K:$K,'OOH Activities'!$F:$F,"Workdays",'OOH Activities'!$B:$B,CPY!B306)) *24,1)</f>
        <v>0</v>
      </c>
      <c r="V306" s="63">
        <f>ROUNDUP((SUMIFS('OOH Activities'!$L:$L,'OOH Activities'!$B:$B,CPY!B306)),1)</f>
        <v>0</v>
      </c>
      <c r="X306" s="65">
        <f>ROUNDUP((SUMIFS('ON Call_Call Out Activities'!$L:$L,'ON Call_Call Out Activities'!$F:$F,"Workdays",'ON Call_Call Out Activities'!$B:$B,CPY!B306))*24,1)</f>
        <v>0</v>
      </c>
      <c r="Y306" s="64">
        <f>ROUNDUP((SUMIFS('ON Call_Call Out Activities'!$L:$L,'ON Call_Call Out Activities'!$F:$F,"Non_workdays",'ON Call_Call Out Activities'!$B:$B,CPY!B306)) *24,1)</f>
        <v>0</v>
      </c>
      <c r="Z306" s="63">
        <f>ROUNDUP((SUMIFS('ON Call_Call Out Activities'!$M:$M,'ON Call_Call Out Activities'!$F:$F,"Non_workdays",'ON Call_Call Out Activities'!$B:$B,CPY!B306)),1) + ROUNDUP((SUMIFS('ON Call_Call Out Activities'!$M:$M,'ON Call_Call Out Activities'!$F:$F,"Workdays",'ON Call_Call Out Activities'!$B:$B,CPY!B306)),1)</f>
        <v>0</v>
      </c>
      <c r="AA306" s="66"/>
      <c r="AB306" s="64">
        <f>ROUNDUP((SUMIFS('ON Call_Call Out Activities'!$L:$L,'ON Call_Call Out Activities'!$F:$F,"Call_Out",'ON Call_Call Out Activities'!$B:$B,CPY!B306)) *24,1)</f>
        <v>0</v>
      </c>
      <c r="AC306" s="63">
        <f>ROUNDUP((SUMIFS('ON Call_Call Out Activities'!$M:$M,'ON Call_Call Out Activities'!$F:$F,"Call_Out",'ON Call_Call Out Activities'!$B:$B,CPY!B306)),1)</f>
        <v>0</v>
      </c>
      <c r="AE306" s="65">
        <f>IF((SUMIF(Shift_allowance_Entries!$B:$B,CPY!$B306,Shift_allowance_Entries!$H:$H)) &gt; (SUMIF(Shift_allowance_Entries!$B:$B,CPY!$B306,Shift_allowance_Entries!$G:$G)),0,((SUMIF(Shift_allowance_Entries!$B:$B,CPY!$B306,Shift_allowance_Entries!$G:$G))-(SUMIF(Shift_allowance_Entries!$B:$B,CPY!$B306,Shift_allowance_Entries!$H:$H))))</f>
        <v>0</v>
      </c>
      <c r="AF306" s="63">
        <f>AE306*MD!$S$4</f>
        <v>0</v>
      </c>
    </row>
    <row r="307" spans="1:32" x14ac:dyDescent="0.25">
      <c r="A307" s="62">
        <v>305</v>
      </c>
      <c r="B307" s="62"/>
      <c r="C307" s="50" t="str">
        <f>IF(ISNA(VLOOKUP($B307,Summary!$B:$D,2,FALSE))=TRUE," ",VLOOKUP($B307,Summary!$B:$D,2,FALSE))</f>
        <v> </v>
      </c>
      <c r="D307" s="50" t="str">
        <f>IF(ISNA(VLOOKUP($B307,Summary!$B:$D,3,FALSE))=TRUE," ",VLOOKUP($B307,Summary!$B:$D,3,FALSE))</f>
        <v> </v>
      </c>
      <c r="E307" s="62"/>
      <c r="F307" s="62"/>
      <c r="G307" s="62"/>
      <c r="I307" s="63">
        <f t="shared" si="4"/>
        <v>0</v>
      </c>
      <c r="K307" s="64">
        <f>IF(E307="Support(L1_L2)",IF(NOT(ISBLANK(B307)),IF(NOT(ISBLANK(D307)),NETWORKDAYS('CPY TOC'!$F$5,'CPY TOC'!$G$5))))-L307</f>
        <v>0</v>
      </c>
      <c r="L307" s="64">
        <f>IF(E307="Support(L1_L2)",SUMIFS(Support_allowance_Entries!$G:$G,Support_allowance_Entries!$B:$B,CPY!B307),0)</f>
        <v>0</v>
      </c>
      <c r="M307" s="63" t="b">
        <f>IF($D307="D0",MD!$C$4*(K307),IF($D307="D1",MD!$C$5*(K307),IF($D307="D2",MD!$C$6*(K307),IF($D307="D3",MD!$C$7*(K307),IF($D307="D4",MD!$C$8*(K307),IF($D307="D5",MD!$C$9*(K307),IF($D307="M1",MD!$C$10*(K307),IF($D307="T1",MD!$C$11*(K307)))))))))</f>
        <v>0</v>
      </c>
      <c r="O307" s="65">
        <f>SUMIFS(Shift_allowance_Entries!$G:$G,Shift_allowance_Entries!$F:$F,"6:30AM-03:30PM",Shift_allowance_Entries!$B:$B,CPY!$B307)</f>
        <v>0</v>
      </c>
      <c r="P307" s="65">
        <f>SUMIFS(Shift_allowance_Entries!$G:$G,Shift_allowance_Entries!$F:$F,"1-9PM/2:30PM-11:30PM",Shift_allowance_Entries!$B:$B,CPY!$B307)</f>
        <v>0</v>
      </c>
      <c r="Q307" s="65">
        <f>SUMIFS(Shift_allowance_Entries!$G:$G,Shift_allowance_Entries!$F:$F,"11PM-7AM",Shift_allowance_Entries!$B:$B,CPY!$B307)</f>
        <v>0</v>
      </c>
      <c r="R307" s="63">
        <f>(CPY!O307*MD!$F$4)+(CPY!P307*MD!$F$5)+(CPY!Q307*MD!$F$6)</f>
        <v>0</v>
      </c>
      <c r="T307" s="64">
        <f>ROUNDUP((SUMIFS('OOH Activities'!$K:$K,'OOH Activities'!$F:$F,"Non_workdays",'OOH Activities'!$B:$B,CPY!B307)) *24,1)</f>
        <v>0</v>
      </c>
      <c r="U307" s="64">
        <f>ROUNDUP((SUMIFS('OOH Activities'!$K:$K,'OOH Activities'!$F:$F,"Workdays",'OOH Activities'!$B:$B,CPY!B307)) *24,1)</f>
        <v>0</v>
      </c>
      <c r="V307" s="63">
        <f>ROUNDUP((SUMIFS('OOH Activities'!$L:$L,'OOH Activities'!$B:$B,CPY!B307)),1)</f>
        <v>0</v>
      </c>
      <c r="X307" s="65">
        <f>ROUNDUP((SUMIFS('ON Call_Call Out Activities'!$L:$L,'ON Call_Call Out Activities'!$F:$F,"Workdays",'ON Call_Call Out Activities'!$B:$B,CPY!B307))*24,1)</f>
        <v>0</v>
      </c>
      <c r="Y307" s="64">
        <f>ROUNDUP((SUMIFS('ON Call_Call Out Activities'!$L:$L,'ON Call_Call Out Activities'!$F:$F,"Non_workdays",'ON Call_Call Out Activities'!$B:$B,CPY!B307)) *24,1)</f>
        <v>0</v>
      </c>
      <c r="Z307" s="63">
        <f>ROUNDUP((SUMIFS('ON Call_Call Out Activities'!$M:$M,'ON Call_Call Out Activities'!$F:$F,"Non_workdays",'ON Call_Call Out Activities'!$B:$B,CPY!B307)),1) + ROUNDUP((SUMIFS('ON Call_Call Out Activities'!$M:$M,'ON Call_Call Out Activities'!$F:$F,"Workdays",'ON Call_Call Out Activities'!$B:$B,CPY!B307)),1)</f>
        <v>0</v>
      </c>
      <c r="AA307" s="66"/>
      <c r="AB307" s="64">
        <f>ROUNDUP((SUMIFS('ON Call_Call Out Activities'!$L:$L,'ON Call_Call Out Activities'!$F:$F,"Call_Out",'ON Call_Call Out Activities'!$B:$B,CPY!B307)) *24,1)</f>
        <v>0</v>
      </c>
      <c r="AC307" s="63">
        <f>ROUNDUP((SUMIFS('ON Call_Call Out Activities'!$M:$M,'ON Call_Call Out Activities'!$F:$F,"Call_Out",'ON Call_Call Out Activities'!$B:$B,CPY!B307)),1)</f>
        <v>0</v>
      </c>
      <c r="AE307" s="65">
        <f>IF((SUMIF(Shift_allowance_Entries!$B:$B,CPY!$B307,Shift_allowance_Entries!$H:$H)) &gt; (SUMIF(Shift_allowance_Entries!$B:$B,CPY!$B307,Shift_allowance_Entries!$G:$G)),0,((SUMIF(Shift_allowance_Entries!$B:$B,CPY!$B307,Shift_allowance_Entries!$G:$G))-(SUMIF(Shift_allowance_Entries!$B:$B,CPY!$B307,Shift_allowance_Entries!$H:$H))))</f>
        <v>0</v>
      </c>
      <c r="AF307" s="63">
        <f>AE307*MD!$S$4</f>
        <v>0</v>
      </c>
    </row>
    <row r="308" spans="1:32" x14ac:dyDescent="0.25">
      <c r="A308" s="62">
        <v>306</v>
      </c>
      <c r="B308" s="62"/>
      <c r="C308" s="50" t="str">
        <f>IF(ISNA(VLOOKUP($B308,Summary!$B:$D,2,FALSE))=TRUE," ",VLOOKUP($B308,Summary!$B:$D,2,FALSE))</f>
        <v> </v>
      </c>
      <c r="D308" s="50" t="str">
        <f>IF(ISNA(VLOOKUP($B308,Summary!$B:$D,3,FALSE))=TRUE," ",VLOOKUP($B308,Summary!$B:$D,3,FALSE))</f>
        <v> </v>
      </c>
      <c r="E308" s="62"/>
      <c r="F308" s="62"/>
      <c r="G308" s="62"/>
      <c r="I308" s="63">
        <f t="shared" si="4"/>
        <v>0</v>
      </c>
      <c r="K308" s="64">
        <f>IF(E308="Support(L1_L2)",IF(NOT(ISBLANK(B308)),IF(NOT(ISBLANK(D308)),NETWORKDAYS('CPY TOC'!$F$5,'CPY TOC'!$G$5))))-L308</f>
        <v>0</v>
      </c>
      <c r="L308" s="64">
        <f>IF(E308="Support(L1_L2)",SUMIFS(Support_allowance_Entries!$G:$G,Support_allowance_Entries!$B:$B,CPY!B308),0)</f>
        <v>0</v>
      </c>
      <c r="M308" s="63" t="b">
        <f>IF($D308="D0",MD!$C$4*(K308),IF($D308="D1",MD!$C$5*(K308),IF($D308="D2",MD!$C$6*(K308),IF($D308="D3",MD!$C$7*(K308),IF($D308="D4",MD!$C$8*(K308),IF($D308="D5",MD!$C$9*(K308),IF($D308="M1",MD!$C$10*(K308),IF($D308="T1",MD!$C$11*(K308)))))))))</f>
        <v>0</v>
      </c>
      <c r="O308" s="65">
        <f>SUMIFS(Shift_allowance_Entries!$G:$G,Shift_allowance_Entries!$F:$F,"6:30AM-03:30PM",Shift_allowance_Entries!$B:$B,CPY!$B308)</f>
        <v>0</v>
      </c>
      <c r="P308" s="65">
        <f>SUMIFS(Shift_allowance_Entries!$G:$G,Shift_allowance_Entries!$F:$F,"1-9PM/2:30PM-11:30PM",Shift_allowance_Entries!$B:$B,CPY!$B308)</f>
        <v>0</v>
      </c>
      <c r="Q308" s="65">
        <f>SUMIFS(Shift_allowance_Entries!$G:$G,Shift_allowance_Entries!$F:$F,"11PM-7AM",Shift_allowance_Entries!$B:$B,CPY!$B308)</f>
        <v>0</v>
      </c>
      <c r="R308" s="63">
        <f>(CPY!O308*MD!$F$4)+(CPY!P308*MD!$F$5)+(CPY!Q308*MD!$F$6)</f>
        <v>0</v>
      </c>
      <c r="T308" s="64">
        <f>ROUNDUP((SUMIFS('OOH Activities'!$K:$K,'OOH Activities'!$F:$F,"Non_workdays",'OOH Activities'!$B:$B,CPY!B308)) *24,1)</f>
        <v>0</v>
      </c>
      <c r="U308" s="64">
        <f>ROUNDUP((SUMIFS('OOH Activities'!$K:$K,'OOH Activities'!$F:$F,"Workdays",'OOH Activities'!$B:$B,CPY!B308)) *24,1)</f>
        <v>0</v>
      </c>
      <c r="V308" s="63">
        <f>ROUNDUP((SUMIFS('OOH Activities'!$L:$L,'OOH Activities'!$B:$B,CPY!B308)),1)</f>
        <v>0</v>
      </c>
      <c r="X308" s="65">
        <f>ROUNDUP((SUMIFS('ON Call_Call Out Activities'!$L:$L,'ON Call_Call Out Activities'!$F:$F,"Workdays",'ON Call_Call Out Activities'!$B:$B,CPY!B308))*24,1)</f>
        <v>0</v>
      </c>
      <c r="Y308" s="64">
        <f>ROUNDUP((SUMIFS('ON Call_Call Out Activities'!$L:$L,'ON Call_Call Out Activities'!$F:$F,"Non_workdays",'ON Call_Call Out Activities'!$B:$B,CPY!B308)) *24,1)</f>
        <v>0</v>
      </c>
      <c r="Z308" s="63">
        <f>ROUNDUP((SUMIFS('ON Call_Call Out Activities'!$M:$M,'ON Call_Call Out Activities'!$F:$F,"Non_workdays",'ON Call_Call Out Activities'!$B:$B,CPY!B308)),1) + ROUNDUP((SUMIFS('ON Call_Call Out Activities'!$M:$M,'ON Call_Call Out Activities'!$F:$F,"Workdays",'ON Call_Call Out Activities'!$B:$B,CPY!B308)),1)</f>
        <v>0</v>
      </c>
      <c r="AA308" s="66"/>
      <c r="AB308" s="64">
        <f>ROUNDUP((SUMIFS('ON Call_Call Out Activities'!$L:$L,'ON Call_Call Out Activities'!$F:$F,"Call_Out",'ON Call_Call Out Activities'!$B:$B,CPY!B308)) *24,1)</f>
        <v>0</v>
      </c>
      <c r="AC308" s="63">
        <f>ROUNDUP((SUMIFS('ON Call_Call Out Activities'!$M:$M,'ON Call_Call Out Activities'!$F:$F,"Call_Out",'ON Call_Call Out Activities'!$B:$B,CPY!B308)),1)</f>
        <v>0</v>
      </c>
      <c r="AE308" s="65">
        <f>IF((SUMIF(Shift_allowance_Entries!$B:$B,CPY!$B308,Shift_allowance_Entries!$H:$H)) &gt; (SUMIF(Shift_allowance_Entries!$B:$B,CPY!$B308,Shift_allowance_Entries!$G:$G)),0,((SUMIF(Shift_allowance_Entries!$B:$B,CPY!$B308,Shift_allowance_Entries!$G:$G))-(SUMIF(Shift_allowance_Entries!$B:$B,CPY!$B308,Shift_allowance_Entries!$H:$H))))</f>
        <v>0</v>
      </c>
      <c r="AF308" s="63">
        <f>AE308*MD!$S$4</f>
        <v>0</v>
      </c>
    </row>
    <row r="309" spans="1:32" x14ac:dyDescent="0.25">
      <c r="A309" s="62">
        <v>307</v>
      </c>
      <c r="B309" s="62"/>
      <c r="C309" s="50" t="str">
        <f>IF(ISNA(VLOOKUP($B309,Summary!$B:$D,2,FALSE))=TRUE," ",VLOOKUP($B309,Summary!$B:$D,2,FALSE))</f>
        <v> </v>
      </c>
      <c r="D309" s="50" t="str">
        <f>IF(ISNA(VLOOKUP($B309,Summary!$B:$D,3,FALSE))=TRUE," ",VLOOKUP($B309,Summary!$B:$D,3,FALSE))</f>
        <v> </v>
      </c>
      <c r="E309" s="62"/>
      <c r="F309" s="62"/>
      <c r="G309" s="62"/>
      <c r="I309" s="63">
        <f t="shared" si="4"/>
        <v>0</v>
      </c>
      <c r="K309" s="64">
        <f>IF(E309="Support(L1_L2)",IF(NOT(ISBLANK(B309)),IF(NOT(ISBLANK(D309)),NETWORKDAYS('CPY TOC'!$F$5,'CPY TOC'!$G$5))))-L309</f>
        <v>0</v>
      </c>
      <c r="L309" s="64">
        <f>IF(E309="Support(L1_L2)",SUMIFS(Support_allowance_Entries!$G:$G,Support_allowance_Entries!$B:$B,CPY!B309),0)</f>
        <v>0</v>
      </c>
      <c r="M309" s="63" t="b">
        <f>IF($D309="D0",MD!$C$4*(K309),IF($D309="D1",MD!$C$5*(K309),IF($D309="D2",MD!$C$6*(K309),IF($D309="D3",MD!$C$7*(K309),IF($D309="D4",MD!$C$8*(K309),IF($D309="D5",MD!$C$9*(K309),IF($D309="M1",MD!$C$10*(K309),IF($D309="T1",MD!$C$11*(K309)))))))))</f>
        <v>0</v>
      </c>
      <c r="O309" s="65">
        <f>SUMIFS(Shift_allowance_Entries!$G:$G,Shift_allowance_Entries!$F:$F,"6:30AM-03:30PM",Shift_allowance_Entries!$B:$B,CPY!$B309)</f>
        <v>0</v>
      </c>
      <c r="P309" s="65">
        <f>SUMIFS(Shift_allowance_Entries!$G:$G,Shift_allowance_Entries!$F:$F,"1-9PM/2:30PM-11:30PM",Shift_allowance_Entries!$B:$B,CPY!$B309)</f>
        <v>0</v>
      </c>
      <c r="Q309" s="65">
        <f>SUMIFS(Shift_allowance_Entries!$G:$G,Shift_allowance_Entries!$F:$F,"11PM-7AM",Shift_allowance_Entries!$B:$B,CPY!$B309)</f>
        <v>0</v>
      </c>
      <c r="R309" s="63">
        <f>(CPY!O309*MD!$F$4)+(CPY!P309*MD!$F$5)+(CPY!Q309*MD!$F$6)</f>
        <v>0</v>
      </c>
      <c r="T309" s="64">
        <f>ROUNDUP((SUMIFS('OOH Activities'!$K:$K,'OOH Activities'!$F:$F,"Non_workdays",'OOH Activities'!$B:$B,CPY!B309)) *24,1)</f>
        <v>0</v>
      </c>
      <c r="U309" s="64">
        <f>ROUNDUP((SUMIFS('OOH Activities'!$K:$K,'OOH Activities'!$F:$F,"Workdays",'OOH Activities'!$B:$B,CPY!B309)) *24,1)</f>
        <v>0</v>
      </c>
      <c r="V309" s="63">
        <f>ROUNDUP((SUMIFS('OOH Activities'!$L:$L,'OOH Activities'!$B:$B,CPY!B309)),1)</f>
        <v>0</v>
      </c>
      <c r="X309" s="65">
        <f>ROUNDUP((SUMIFS('ON Call_Call Out Activities'!$L:$L,'ON Call_Call Out Activities'!$F:$F,"Workdays",'ON Call_Call Out Activities'!$B:$B,CPY!B309))*24,1)</f>
        <v>0</v>
      </c>
      <c r="Y309" s="64">
        <f>ROUNDUP((SUMIFS('ON Call_Call Out Activities'!$L:$L,'ON Call_Call Out Activities'!$F:$F,"Non_workdays",'ON Call_Call Out Activities'!$B:$B,CPY!B309)) *24,1)</f>
        <v>0</v>
      </c>
      <c r="Z309" s="63">
        <f>ROUNDUP((SUMIFS('ON Call_Call Out Activities'!$M:$M,'ON Call_Call Out Activities'!$F:$F,"Non_workdays",'ON Call_Call Out Activities'!$B:$B,CPY!B309)),1) + ROUNDUP((SUMIFS('ON Call_Call Out Activities'!$M:$M,'ON Call_Call Out Activities'!$F:$F,"Workdays",'ON Call_Call Out Activities'!$B:$B,CPY!B309)),1)</f>
        <v>0</v>
      </c>
      <c r="AA309" s="66"/>
      <c r="AB309" s="64">
        <f>ROUNDUP((SUMIFS('ON Call_Call Out Activities'!$L:$L,'ON Call_Call Out Activities'!$F:$F,"Call_Out",'ON Call_Call Out Activities'!$B:$B,CPY!B309)) *24,1)</f>
        <v>0</v>
      </c>
      <c r="AC309" s="63">
        <f>ROUNDUP((SUMIFS('ON Call_Call Out Activities'!$M:$M,'ON Call_Call Out Activities'!$F:$F,"Call_Out",'ON Call_Call Out Activities'!$B:$B,CPY!B309)),1)</f>
        <v>0</v>
      </c>
      <c r="AE309" s="65">
        <f>IF((SUMIF(Shift_allowance_Entries!$B:$B,CPY!$B309,Shift_allowance_Entries!$H:$H)) &gt; (SUMIF(Shift_allowance_Entries!$B:$B,CPY!$B309,Shift_allowance_Entries!$G:$G)),0,((SUMIF(Shift_allowance_Entries!$B:$B,CPY!$B309,Shift_allowance_Entries!$G:$G))-(SUMIF(Shift_allowance_Entries!$B:$B,CPY!$B309,Shift_allowance_Entries!$H:$H))))</f>
        <v>0</v>
      </c>
      <c r="AF309" s="63">
        <f>AE309*MD!$S$4</f>
        <v>0</v>
      </c>
    </row>
    <row r="310" spans="1:32" x14ac:dyDescent="0.25">
      <c r="A310" s="62">
        <v>308</v>
      </c>
      <c r="B310" s="62"/>
      <c r="C310" s="50" t="str">
        <f>IF(ISNA(VLOOKUP($B310,Summary!$B:$D,2,FALSE))=TRUE," ",VLOOKUP($B310,Summary!$B:$D,2,FALSE))</f>
        <v> </v>
      </c>
      <c r="D310" s="50" t="str">
        <f>IF(ISNA(VLOOKUP($B310,Summary!$B:$D,3,FALSE))=TRUE," ",VLOOKUP($B310,Summary!$B:$D,3,FALSE))</f>
        <v> </v>
      </c>
      <c r="E310" s="62"/>
      <c r="F310" s="62"/>
      <c r="G310" s="62"/>
      <c r="I310" s="63">
        <f t="shared" si="4"/>
        <v>0</v>
      </c>
      <c r="K310" s="64">
        <f>IF(E310="Support(L1_L2)",IF(NOT(ISBLANK(B310)),IF(NOT(ISBLANK(D310)),NETWORKDAYS('CPY TOC'!$F$5,'CPY TOC'!$G$5))))-L310</f>
        <v>0</v>
      </c>
      <c r="L310" s="64">
        <f>IF(E310="Support(L1_L2)",SUMIFS(Support_allowance_Entries!$G:$G,Support_allowance_Entries!$B:$B,CPY!B310),0)</f>
        <v>0</v>
      </c>
      <c r="M310" s="63" t="b">
        <f>IF($D310="D0",MD!$C$4*(K310),IF($D310="D1",MD!$C$5*(K310),IF($D310="D2",MD!$C$6*(K310),IF($D310="D3",MD!$C$7*(K310),IF($D310="D4",MD!$C$8*(K310),IF($D310="D5",MD!$C$9*(K310),IF($D310="M1",MD!$C$10*(K310),IF($D310="T1",MD!$C$11*(K310)))))))))</f>
        <v>0</v>
      </c>
      <c r="O310" s="65">
        <f>SUMIFS(Shift_allowance_Entries!$G:$G,Shift_allowance_Entries!$F:$F,"6:30AM-03:30PM",Shift_allowance_Entries!$B:$B,CPY!$B310)</f>
        <v>0</v>
      </c>
      <c r="P310" s="65">
        <f>SUMIFS(Shift_allowance_Entries!$G:$G,Shift_allowance_Entries!$F:$F,"1-9PM/2:30PM-11:30PM",Shift_allowance_Entries!$B:$B,CPY!$B310)</f>
        <v>0</v>
      </c>
      <c r="Q310" s="65">
        <f>SUMIFS(Shift_allowance_Entries!$G:$G,Shift_allowance_Entries!$F:$F,"11PM-7AM",Shift_allowance_Entries!$B:$B,CPY!$B310)</f>
        <v>0</v>
      </c>
      <c r="R310" s="63">
        <f>(CPY!O310*MD!$F$4)+(CPY!P310*MD!$F$5)+(CPY!Q310*MD!$F$6)</f>
        <v>0</v>
      </c>
      <c r="T310" s="64">
        <f>ROUNDUP((SUMIFS('OOH Activities'!$K:$K,'OOH Activities'!$F:$F,"Non_workdays",'OOH Activities'!$B:$B,CPY!B310)) *24,1)</f>
        <v>0</v>
      </c>
      <c r="U310" s="64">
        <f>ROUNDUP((SUMIFS('OOH Activities'!$K:$K,'OOH Activities'!$F:$F,"Workdays",'OOH Activities'!$B:$B,CPY!B310)) *24,1)</f>
        <v>0</v>
      </c>
      <c r="V310" s="63">
        <f>ROUNDUP((SUMIFS('OOH Activities'!$L:$L,'OOH Activities'!$B:$B,CPY!B310)),1)</f>
        <v>0</v>
      </c>
      <c r="X310" s="65">
        <f>ROUNDUP((SUMIFS('ON Call_Call Out Activities'!$L:$L,'ON Call_Call Out Activities'!$F:$F,"Workdays",'ON Call_Call Out Activities'!$B:$B,CPY!B310))*24,1)</f>
        <v>0</v>
      </c>
      <c r="Y310" s="64">
        <f>ROUNDUP((SUMIFS('ON Call_Call Out Activities'!$L:$L,'ON Call_Call Out Activities'!$F:$F,"Non_workdays",'ON Call_Call Out Activities'!$B:$B,CPY!B310)) *24,1)</f>
        <v>0</v>
      </c>
      <c r="Z310" s="63">
        <f>ROUNDUP((SUMIFS('ON Call_Call Out Activities'!$M:$M,'ON Call_Call Out Activities'!$F:$F,"Non_workdays",'ON Call_Call Out Activities'!$B:$B,CPY!B310)),1) + ROUNDUP((SUMIFS('ON Call_Call Out Activities'!$M:$M,'ON Call_Call Out Activities'!$F:$F,"Workdays",'ON Call_Call Out Activities'!$B:$B,CPY!B310)),1)</f>
        <v>0</v>
      </c>
      <c r="AA310" s="66"/>
      <c r="AB310" s="64">
        <f>ROUNDUP((SUMIFS('ON Call_Call Out Activities'!$L:$L,'ON Call_Call Out Activities'!$F:$F,"Call_Out",'ON Call_Call Out Activities'!$B:$B,CPY!B310)) *24,1)</f>
        <v>0</v>
      </c>
      <c r="AC310" s="63">
        <f>ROUNDUP((SUMIFS('ON Call_Call Out Activities'!$M:$M,'ON Call_Call Out Activities'!$F:$F,"Call_Out",'ON Call_Call Out Activities'!$B:$B,CPY!B310)),1)</f>
        <v>0</v>
      </c>
      <c r="AE310" s="65">
        <f>IF((SUMIF(Shift_allowance_Entries!$B:$B,CPY!$B310,Shift_allowance_Entries!$H:$H)) &gt; (SUMIF(Shift_allowance_Entries!$B:$B,CPY!$B310,Shift_allowance_Entries!$G:$G)),0,((SUMIF(Shift_allowance_Entries!$B:$B,CPY!$B310,Shift_allowance_Entries!$G:$G))-(SUMIF(Shift_allowance_Entries!$B:$B,CPY!$B310,Shift_allowance_Entries!$H:$H))))</f>
        <v>0</v>
      </c>
      <c r="AF310" s="63">
        <f>AE310*MD!$S$4</f>
        <v>0</v>
      </c>
    </row>
    <row r="311" spans="1:32" x14ac:dyDescent="0.25">
      <c r="A311" s="62">
        <v>309</v>
      </c>
      <c r="B311" s="62"/>
      <c r="C311" s="50" t="str">
        <f>IF(ISNA(VLOOKUP($B311,Summary!$B:$D,2,FALSE))=TRUE," ",VLOOKUP($B311,Summary!$B:$D,2,FALSE))</f>
        <v> </v>
      </c>
      <c r="D311" s="50" t="str">
        <f>IF(ISNA(VLOOKUP($B311,Summary!$B:$D,3,FALSE))=TRUE," ",VLOOKUP($B311,Summary!$B:$D,3,FALSE))</f>
        <v> </v>
      </c>
      <c r="E311" s="62"/>
      <c r="F311" s="62"/>
      <c r="G311" s="62"/>
      <c r="I311" s="63">
        <f t="shared" si="4"/>
        <v>0</v>
      </c>
      <c r="K311" s="64">
        <f>IF(E311="Support(L1_L2)",IF(NOT(ISBLANK(B311)),IF(NOT(ISBLANK(D311)),NETWORKDAYS('CPY TOC'!$F$5,'CPY TOC'!$G$5))))-L311</f>
        <v>0</v>
      </c>
      <c r="L311" s="64">
        <f>IF(E311="Support(L1_L2)",SUMIFS(Support_allowance_Entries!$G:$G,Support_allowance_Entries!$B:$B,CPY!B311),0)</f>
        <v>0</v>
      </c>
      <c r="M311" s="63" t="b">
        <f>IF($D311="D0",MD!$C$4*(K311),IF($D311="D1",MD!$C$5*(K311),IF($D311="D2",MD!$C$6*(K311),IF($D311="D3",MD!$C$7*(K311),IF($D311="D4",MD!$C$8*(K311),IF($D311="D5",MD!$C$9*(K311),IF($D311="M1",MD!$C$10*(K311),IF($D311="T1",MD!$C$11*(K311)))))))))</f>
        <v>0</v>
      </c>
      <c r="O311" s="65">
        <f>SUMIFS(Shift_allowance_Entries!$G:$G,Shift_allowance_Entries!$F:$F,"6:30AM-03:30PM",Shift_allowance_Entries!$B:$B,CPY!$B311)</f>
        <v>0</v>
      </c>
      <c r="P311" s="65">
        <f>SUMIFS(Shift_allowance_Entries!$G:$G,Shift_allowance_Entries!$F:$F,"1-9PM/2:30PM-11:30PM",Shift_allowance_Entries!$B:$B,CPY!$B311)</f>
        <v>0</v>
      </c>
      <c r="Q311" s="65">
        <f>SUMIFS(Shift_allowance_Entries!$G:$G,Shift_allowance_Entries!$F:$F,"11PM-7AM",Shift_allowance_Entries!$B:$B,CPY!$B311)</f>
        <v>0</v>
      </c>
      <c r="R311" s="63">
        <f>(CPY!O311*MD!$F$4)+(CPY!P311*MD!$F$5)+(CPY!Q311*MD!$F$6)</f>
        <v>0</v>
      </c>
      <c r="T311" s="64">
        <f>ROUNDUP((SUMIFS('OOH Activities'!$K:$K,'OOH Activities'!$F:$F,"Non_workdays",'OOH Activities'!$B:$B,CPY!B311)) *24,1)</f>
        <v>0</v>
      </c>
      <c r="U311" s="64">
        <f>ROUNDUP((SUMIFS('OOH Activities'!$K:$K,'OOH Activities'!$F:$F,"Workdays",'OOH Activities'!$B:$B,CPY!B311)) *24,1)</f>
        <v>0</v>
      </c>
      <c r="V311" s="63">
        <f>ROUNDUP((SUMIFS('OOH Activities'!$L:$L,'OOH Activities'!$B:$B,CPY!B311)),1)</f>
        <v>0</v>
      </c>
      <c r="X311" s="65">
        <f>ROUNDUP((SUMIFS('ON Call_Call Out Activities'!$L:$L,'ON Call_Call Out Activities'!$F:$F,"Workdays",'ON Call_Call Out Activities'!$B:$B,CPY!B311))*24,1)</f>
        <v>0</v>
      </c>
      <c r="Y311" s="64">
        <f>ROUNDUP((SUMIFS('ON Call_Call Out Activities'!$L:$L,'ON Call_Call Out Activities'!$F:$F,"Non_workdays",'ON Call_Call Out Activities'!$B:$B,CPY!B311)) *24,1)</f>
        <v>0</v>
      </c>
      <c r="Z311" s="63">
        <f>ROUNDUP((SUMIFS('ON Call_Call Out Activities'!$M:$M,'ON Call_Call Out Activities'!$F:$F,"Non_workdays",'ON Call_Call Out Activities'!$B:$B,CPY!B311)),1) + ROUNDUP((SUMIFS('ON Call_Call Out Activities'!$M:$M,'ON Call_Call Out Activities'!$F:$F,"Workdays",'ON Call_Call Out Activities'!$B:$B,CPY!B311)),1)</f>
        <v>0</v>
      </c>
      <c r="AA311" s="66"/>
      <c r="AB311" s="64">
        <f>ROUNDUP((SUMIFS('ON Call_Call Out Activities'!$L:$L,'ON Call_Call Out Activities'!$F:$F,"Call_Out",'ON Call_Call Out Activities'!$B:$B,CPY!B311)) *24,1)</f>
        <v>0</v>
      </c>
      <c r="AC311" s="63">
        <f>ROUNDUP((SUMIFS('ON Call_Call Out Activities'!$M:$M,'ON Call_Call Out Activities'!$F:$F,"Call_Out",'ON Call_Call Out Activities'!$B:$B,CPY!B311)),1)</f>
        <v>0</v>
      </c>
      <c r="AE311" s="65">
        <f>IF((SUMIF(Shift_allowance_Entries!$B:$B,CPY!$B311,Shift_allowance_Entries!$H:$H)) &gt; (SUMIF(Shift_allowance_Entries!$B:$B,CPY!$B311,Shift_allowance_Entries!$G:$G)),0,((SUMIF(Shift_allowance_Entries!$B:$B,CPY!$B311,Shift_allowance_Entries!$G:$G))-(SUMIF(Shift_allowance_Entries!$B:$B,CPY!$B311,Shift_allowance_Entries!$H:$H))))</f>
        <v>0</v>
      </c>
      <c r="AF311" s="63">
        <f>AE311*MD!$S$4</f>
        <v>0</v>
      </c>
    </row>
    <row r="312" spans="1:32" x14ac:dyDescent="0.25">
      <c r="A312" s="62">
        <v>310</v>
      </c>
      <c r="B312" s="62"/>
      <c r="C312" s="50" t="str">
        <f>IF(ISNA(VLOOKUP($B312,Summary!$B:$D,2,FALSE))=TRUE," ",VLOOKUP($B312,Summary!$B:$D,2,FALSE))</f>
        <v> </v>
      </c>
      <c r="D312" s="50" t="str">
        <f>IF(ISNA(VLOOKUP($B312,Summary!$B:$D,3,FALSE))=TRUE," ",VLOOKUP($B312,Summary!$B:$D,3,FALSE))</f>
        <v> </v>
      </c>
      <c r="E312" s="62"/>
      <c r="F312" s="62"/>
      <c r="G312" s="62"/>
      <c r="I312" s="63">
        <f t="shared" si="4"/>
        <v>0</v>
      </c>
      <c r="K312" s="64">
        <f>IF(E312="Support(L1_L2)",IF(NOT(ISBLANK(B312)),IF(NOT(ISBLANK(D312)),NETWORKDAYS('CPY TOC'!$F$5,'CPY TOC'!$G$5))))-L312</f>
        <v>0</v>
      </c>
      <c r="L312" s="64">
        <f>IF(E312="Support(L1_L2)",SUMIFS(Support_allowance_Entries!$G:$G,Support_allowance_Entries!$B:$B,CPY!B312),0)</f>
        <v>0</v>
      </c>
      <c r="M312" s="63" t="b">
        <f>IF($D312="D0",MD!$C$4*(K312),IF($D312="D1",MD!$C$5*(K312),IF($D312="D2",MD!$C$6*(K312),IF($D312="D3",MD!$C$7*(K312),IF($D312="D4",MD!$C$8*(K312),IF($D312="D5",MD!$C$9*(K312),IF($D312="M1",MD!$C$10*(K312),IF($D312="T1",MD!$C$11*(K312)))))))))</f>
        <v>0</v>
      </c>
      <c r="O312" s="65">
        <f>SUMIFS(Shift_allowance_Entries!$G:$G,Shift_allowance_Entries!$F:$F,"6:30AM-03:30PM",Shift_allowance_Entries!$B:$B,CPY!$B312)</f>
        <v>0</v>
      </c>
      <c r="P312" s="65">
        <f>SUMIFS(Shift_allowance_Entries!$G:$G,Shift_allowance_Entries!$F:$F,"1-9PM/2:30PM-11:30PM",Shift_allowance_Entries!$B:$B,CPY!$B312)</f>
        <v>0</v>
      </c>
      <c r="Q312" s="65">
        <f>SUMIFS(Shift_allowance_Entries!$G:$G,Shift_allowance_Entries!$F:$F,"11PM-7AM",Shift_allowance_Entries!$B:$B,CPY!$B312)</f>
        <v>0</v>
      </c>
      <c r="R312" s="63">
        <f>(CPY!O312*MD!$F$4)+(CPY!P312*MD!$F$5)+(CPY!Q312*MD!$F$6)</f>
        <v>0</v>
      </c>
      <c r="T312" s="64">
        <f>ROUNDUP((SUMIFS('OOH Activities'!$K:$K,'OOH Activities'!$F:$F,"Non_workdays",'OOH Activities'!$B:$B,CPY!B312)) *24,1)</f>
        <v>0</v>
      </c>
      <c r="U312" s="64">
        <f>ROUNDUP((SUMIFS('OOH Activities'!$K:$K,'OOH Activities'!$F:$F,"Workdays",'OOH Activities'!$B:$B,CPY!B312)) *24,1)</f>
        <v>0</v>
      </c>
      <c r="V312" s="63">
        <f>ROUNDUP((SUMIFS('OOH Activities'!$L:$L,'OOH Activities'!$B:$B,CPY!B312)),1)</f>
        <v>0</v>
      </c>
      <c r="X312" s="65">
        <f>ROUNDUP((SUMIFS('ON Call_Call Out Activities'!$L:$L,'ON Call_Call Out Activities'!$F:$F,"Workdays",'ON Call_Call Out Activities'!$B:$B,CPY!B312))*24,1)</f>
        <v>0</v>
      </c>
      <c r="Y312" s="64">
        <f>ROUNDUP((SUMIFS('ON Call_Call Out Activities'!$L:$L,'ON Call_Call Out Activities'!$F:$F,"Non_workdays",'ON Call_Call Out Activities'!$B:$B,CPY!B312)) *24,1)</f>
        <v>0</v>
      </c>
      <c r="Z312" s="63">
        <f>ROUNDUP((SUMIFS('ON Call_Call Out Activities'!$M:$M,'ON Call_Call Out Activities'!$F:$F,"Non_workdays",'ON Call_Call Out Activities'!$B:$B,CPY!B312)),1) + ROUNDUP((SUMIFS('ON Call_Call Out Activities'!$M:$M,'ON Call_Call Out Activities'!$F:$F,"Workdays",'ON Call_Call Out Activities'!$B:$B,CPY!B312)),1)</f>
        <v>0</v>
      </c>
      <c r="AA312" s="66"/>
      <c r="AB312" s="64">
        <f>ROUNDUP((SUMIFS('ON Call_Call Out Activities'!$L:$L,'ON Call_Call Out Activities'!$F:$F,"Call_Out",'ON Call_Call Out Activities'!$B:$B,CPY!B312)) *24,1)</f>
        <v>0</v>
      </c>
      <c r="AC312" s="63">
        <f>ROUNDUP((SUMIFS('ON Call_Call Out Activities'!$M:$M,'ON Call_Call Out Activities'!$F:$F,"Call_Out",'ON Call_Call Out Activities'!$B:$B,CPY!B312)),1)</f>
        <v>0</v>
      </c>
      <c r="AE312" s="65">
        <f>IF((SUMIF(Shift_allowance_Entries!$B:$B,CPY!$B312,Shift_allowance_Entries!$H:$H)) &gt; (SUMIF(Shift_allowance_Entries!$B:$B,CPY!$B312,Shift_allowance_Entries!$G:$G)),0,((SUMIF(Shift_allowance_Entries!$B:$B,CPY!$B312,Shift_allowance_Entries!$G:$G))-(SUMIF(Shift_allowance_Entries!$B:$B,CPY!$B312,Shift_allowance_Entries!$H:$H))))</f>
        <v>0</v>
      </c>
      <c r="AF312" s="63">
        <f>AE312*MD!$S$4</f>
        <v>0</v>
      </c>
    </row>
    <row r="313" spans="1:32" x14ac:dyDescent="0.25">
      <c r="A313" s="62">
        <v>311</v>
      </c>
      <c r="B313" s="62"/>
      <c r="C313" s="50" t="str">
        <f>IF(ISNA(VLOOKUP($B313,Summary!$B:$D,2,FALSE))=TRUE," ",VLOOKUP($B313,Summary!$B:$D,2,FALSE))</f>
        <v> </v>
      </c>
      <c r="D313" s="50" t="str">
        <f>IF(ISNA(VLOOKUP($B313,Summary!$B:$D,3,FALSE))=TRUE," ",VLOOKUP($B313,Summary!$B:$D,3,FALSE))</f>
        <v> </v>
      </c>
      <c r="E313" s="62"/>
      <c r="F313" s="62"/>
      <c r="G313" s="62"/>
      <c r="I313" s="63">
        <f t="shared" si="4"/>
        <v>0</v>
      </c>
      <c r="K313" s="64">
        <f>IF(E313="Support(L1_L2)",IF(NOT(ISBLANK(B313)),IF(NOT(ISBLANK(D313)),NETWORKDAYS('CPY TOC'!$F$5,'CPY TOC'!$G$5))))-L313</f>
        <v>0</v>
      </c>
      <c r="L313" s="64">
        <f>IF(E313="Support(L1_L2)",SUMIFS(Support_allowance_Entries!$G:$G,Support_allowance_Entries!$B:$B,CPY!B313),0)</f>
        <v>0</v>
      </c>
      <c r="M313" s="63" t="b">
        <f>IF($D313="D0",MD!$C$4*(K313),IF($D313="D1",MD!$C$5*(K313),IF($D313="D2",MD!$C$6*(K313),IF($D313="D3",MD!$C$7*(K313),IF($D313="D4",MD!$C$8*(K313),IF($D313="D5",MD!$C$9*(K313),IF($D313="M1",MD!$C$10*(K313),IF($D313="T1",MD!$C$11*(K313)))))))))</f>
        <v>0</v>
      </c>
      <c r="O313" s="65">
        <f>SUMIFS(Shift_allowance_Entries!$G:$G,Shift_allowance_Entries!$F:$F,"6:30AM-03:30PM",Shift_allowance_Entries!$B:$B,CPY!$B313)</f>
        <v>0</v>
      </c>
      <c r="P313" s="65">
        <f>SUMIFS(Shift_allowance_Entries!$G:$G,Shift_allowance_Entries!$F:$F,"1-9PM/2:30PM-11:30PM",Shift_allowance_Entries!$B:$B,CPY!$B313)</f>
        <v>0</v>
      </c>
      <c r="Q313" s="65">
        <f>SUMIFS(Shift_allowance_Entries!$G:$G,Shift_allowance_Entries!$F:$F,"11PM-7AM",Shift_allowance_Entries!$B:$B,CPY!$B313)</f>
        <v>0</v>
      </c>
      <c r="R313" s="63">
        <f>(CPY!O313*MD!$F$4)+(CPY!P313*MD!$F$5)+(CPY!Q313*MD!$F$6)</f>
        <v>0</v>
      </c>
      <c r="T313" s="64">
        <f>ROUNDUP((SUMIFS('OOH Activities'!$K:$K,'OOH Activities'!$F:$F,"Non_workdays",'OOH Activities'!$B:$B,CPY!B313)) *24,1)</f>
        <v>0</v>
      </c>
      <c r="U313" s="64">
        <f>ROUNDUP((SUMIFS('OOH Activities'!$K:$K,'OOH Activities'!$F:$F,"Workdays",'OOH Activities'!$B:$B,CPY!B313)) *24,1)</f>
        <v>0</v>
      </c>
      <c r="V313" s="63">
        <f>ROUNDUP((SUMIFS('OOH Activities'!$L:$L,'OOH Activities'!$B:$B,CPY!B313)),1)</f>
        <v>0</v>
      </c>
      <c r="X313" s="65">
        <f>ROUNDUP((SUMIFS('ON Call_Call Out Activities'!$L:$L,'ON Call_Call Out Activities'!$F:$F,"Workdays",'ON Call_Call Out Activities'!$B:$B,CPY!B313))*24,1)</f>
        <v>0</v>
      </c>
      <c r="Y313" s="64">
        <f>ROUNDUP((SUMIFS('ON Call_Call Out Activities'!$L:$L,'ON Call_Call Out Activities'!$F:$F,"Non_workdays",'ON Call_Call Out Activities'!$B:$B,CPY!B313)) *24,1)</f>
        <v>0</v>
      </c>
      <c r="Z313" s="63">
        <f>ROUNDUP((SUMIFS('ON Call_Call Out Activities'!$M:$M,'ON Call_Call Out Activities'!$F:$F,"Non_workdays",'ON Call_Call Out Activities'!$B:$B,CPY!B313)),1) + ROUNDUP((SUMIFS('ON Call_Call Out Activities'!$M:$M,'ON Call_Call Out Activities'!$F:$F,"Workdays",'ON Call_Call Out Activities'!$B:$B,CPY!B313)),1)</f>
        <v>0</v>
      </c>
      <c r="AA313" s="66"/>
      <c r="AB313" s="64">
        <f>ROUNDUP((SUMIFS('ON Call_Call Out Activities'!$L:$L,'ON Call_Call Out Activities'!$F:$F,"Call_Out",'ON Call_Call Out Activities'!$B:$B,CPY!B313)) *24,1)</f>
        <v>0</v>
      </c>
      <c r="AC313" s="63">
        <f>ROUNDUP((SUMIFS('ON Call_Call Out Activities'!$M:$M,'ON Call_Call Out Activities'!$F:$F,"Call_Out",'ON Call_Call Out Activities'!$B:$B,CPY!B313)),1)</f>
        <v>0</v>
      </c>
      <c r="AE313" s="65">
        <f>IF((SUMIF(Shift_allowance_Entries!$B:$B,CPY!$B313,Shift_allowance_Entries!$H:$H)) &gt; (SUMIF(Shift_allowance_Entries!$B:$B,CPY!$B313,Shift_allowance_Entries!$G:$G)),0,((SUMIF(Shift_allowance_Entries!$B:$B,CPY!$B313,Shift_allowance_Entries!$G:$G))-(SUMIF(Shift_allowance_Entries!$B:$B,CPY!$B313,Shift_allowance_Entries!$H:$H))))</f>
        <v>0</v>
      </c>
      <c r="AF313" s="63">
        <f>AE313*MD!$S$4</f>
        <v>0</v>
      </c>
    </row>
    <row r="314" spans="1:32" x14ac:dyDescent="0.25">
      <c r="A314" s="62">
        <v>312</v>
      </c>
      <c r="B314" s="62"/>
      <c r="C314" s="50" t="str">
        <f>IF(ISNA(VLOOKUP($B314,Summary!$B:$D,2,FALSE))=TRUE," ",VLOOKUP($B314,Summary!$B:$D,2,FALSE))</f>
        <v> </v>
      </c>
      <c r="D314" s="50" t="str">
        <f>IF(ISNA(VLOOKUP($B314,Summary!$B:$D,3,FALSE))=TRUE," ",VLOOKUP($B314,Summary!$B:$D,3,FALSE))</f>
        <v> </v>
      </c>
      <c r="E314" s="62"/>
      <c r="F314" s="62"/>
      <c r="G314" s="62"/>
      <c r="I314" s="63">
        <f t="shared" si="4"/>
        <v>0</v>
      </c>
      <c r="K314" s="64">
        <f>IF(E314="Support(L1_L2)",IF(NOT(ISBLANK(B314)),IF(NOT(ISBLANK(D314)),NETWORKDAYS('CPY TOC'!$F$5,'CPY TOC'!$G$5))))-L314</f>
        <v>0</v>
      </c>
      <c r="L314" s="64">
        <f>IF(E314="Support(L1_L2)",SUMIFS(Support_allowance_Entries!$G:$G,Support_allowance_Entries!$B:$B,CPY!B314),0)</f>
        <v>0</v>
      </c>
      <c r="M314" s="63" t="b">
        <f>IF($D314="D0",MD!$C$4*(K314),IF($D314="D1",MD!$C$5*(K314),IF($D314="D2",MD!$C$6*(K314),IF($D314="D3",MD!$C$7*(K314),IF($D314="D4",MD!$C$8*(K314),IF($D314="D5",MD!$C$9*(K314),IF($D314="M1",MD!$C$10*(K314),IF($D314="T1",MD!$C$11*(K314)))))))))</f>
        <v>0</v>
      </c>
      <c r="O314" s="65">
        <f>SUMIFS(Shift_allowance_Entries!$G:$G,Shift_allowance_Entries!$F:$F,"6:30AM-03:30PM",Shift_allowance_Entries!$B:$B,CPY!$B314)</f>
        <v>0</v>
      </c>
      <c r="P314" s="65">
        <f>SUMIFS(Shift_allowance_Entries!$G:$G,Shift_allowance_Entries!$F:$F,"1-9PM/2:30PM-11:30PM",Shift_allowance_Entries!$B:$B,CPY!$B314)</f>
        <v>0</v>
      </c>
      <c r="Q314" s="65">
        <f>SUMIFS(Shift_allowance_Entries!$G:$G,Shift_allowance_Entries!$F:$F,"11PM-7AM",Shift_allowance_Entries!$B:$B,CPY!$B314)</f>
        <v>0</v>
      </c>
      <c r="R314" s="63">
        <f>(CPY!O314*MD!$F$4)+(CPY!P314*MD!$F$5)+(CPY!Q314*MD!$F$6)</f>
        <v>0</v>
      </c>
      <c r="T314" s="64">
        <f>ROUNDUP((SUMIFS('OOH Activities'!$K:$K,'OOH Activities'!$F:$F,"Non_workdays",'OOH Activities'!$B:$B,CPY!B314)) *24,1)</f>
        <v>0</v>
      </c>
      <c r="U314" s="64">
        <f>ROUNDUP((SUMIFS('OOH Activities'!$K:$K,'OOH Activities'!$F:$F,"Workdays",'OOH Activities'!$B:$B,CPY!B314)) *24,1)</f>
        <v>0</v>
      </c>
      <c r="V314" s="63">
        <f>ROUNDUP((SUMIFS('OOH Activities'!$L:$L,'OOH Activities'!$B:$B,CPY!B314)),1)</f>
        <v>0</v>
      </c>
      <c r="X314" s="65">
        <f>ROUNDUP((SUMIFS('ON Call_Call Out Activities'!$L:$L,'ON Call_Call Out Activities'!$F:$F,"Workdays",'ON Call_Call Out Activities'!$B:$B,CPY!B314))*24,1)</f>
        <v>0</v>
      </c>
      <c r="Y314" s="64">
        <f>ROUNDUP((SUMIFS('ON Call_Call Out Activities'!$L:$L,'ON Call_Call Out Activities'!$F:$F,"Non_workdays",'ON Call_Call Out Activities'!$B:$B,CPY!B314)) *24,1)</f>
        <v>0</v>
      </c>
      <c r="Z314" s="63">
        <f>ROUNDUP((SUMIFS('ON Call_Call Out Activities'!$M:$M,'ON Call_Call Out Activities'!$F:$F,"Non_workdays",'ON Call_Call Out Activities'!$B:$B,CPY!B314)),1) + ROUNDUP((SUMIFS('ON Call_Call Out Activities'!$M:$M,'ON Call_Call Out Activities'!$F:$F,"Workdays",'ON Call_Call Out Activities'!$B:$B,CPY!B314)),1)</f>
        <v>0</v>
      </c>
      <c r="AA314" s="66"/>
      <c r="AB314" s="64">
        <f>ROUNDUP((SUMIFS('ON Call_Call Out Activities'!$L:$L,'ON Call_Call Out Activities'!$F:$F,"Call_Out",'ON Call_Call Out Activities'!$B:$B,CPY!B314)) *24,1)</f>
        <v>0</v>
      </c>
      <c r="AC314" s="63">
        <f>ROUNDUP((SUMIFS('ON Call_Call Out Activities'!$M:$M,'ON Call_Call Out Activities'!$F:$F,"Call_Out",'ON Call_Call Out Activities'!$B:$B,CPY!B314)),1)</f>
        <v>0</v>
      </c>
      <c r="AE314" s="65">
        <f>IF((SUMIF(Shift_allowance_Entries!$B:$B,CPY!$B314,Shift_allowance_Entries!$H:$H)) &gt; (SUMIF(Shift_allowance_Entries!$B:$B,CPY!$B314,Shift_allowance_Entries!$G:$G)),0,((SUMIF(Shift_allowance_Entries!$B:$B,CPY!$B314,Shift_allowance_Entries!$G:$G))-(SUMIF(Shift_allowance_Entries!$B:$B,CPY!$B314,Shift_allowance_Entries!$H:$H))))</f>
        <v>0</v>
      </c>
      <c r="AF314" s="63">
        <f>AE314*MD!$S$4</f>
        <v>0</v>
      </c>
    </row>
    <row r="315" spans="1:32" x14ac:dyDescent="0.25">
      <c r="A315" s="62">
        <v>313</v>
      </c>
      <c r="B315" s="62"/>
      <c r="C315" s="50" t="str">
        <f>IF(ISNA(VLOOKUP($B315,Summary!$B:$D,2,FALSE))=TRUE," ",VLOOKUP($B315,Summary!$B:$D,2,FALSE))</f>
        <v> </v>
      </c>
      <c r="D315" s="50" t="str">
        <f>IF(ISNA(VLOOKUP($B315,Summary!$B:$D,3,FALSE))=TRUE," ",VLOOKUP($B315,Summary!$B:$D,3,FALSE))</f>
        <v> </v>
      </c>
      <c r="E315" s="62"/>
      <c r="F315" s="62"/>
      <c r="G315" s="62"/>
      <c r="I315" s="63">
        <f t="shared" si="4"/>
        <v>0</v>
      </c>
      <c r="K315" s="64">
        <f>IF(E315="Support(L1_L2)",IF(NOT(ISBLANK(B315)),IF(NOT(ISBLANK(D315)),NETWORKDAYS('CPY TOC'!$F$5,'CPY TOC'!$G$5))))-L315</f>
        <v>0</v>
      </c>
      <c r="L315" s="64">
        <f>IF(E315="Support(L1_L2)",SUMIFS(Support_allowance_Entries!$G:$G,Support_allowance_Entries!$B:$B,CPY!B315),0)</f>
        <v>0</v>
      </c>
      <c r="M315" s="63" t="b">
        <f>IF($D315="D0",MD!$C$4*(K315),IF($D315="D1",MD!$C$5*(K315),IF($D315="D2",MD!$C$6*(K315),IF($D315="D3",MD!$C$7*(K315),IF($D315="D4",MD!$C$8*(K315),IF($D315="D5",MD!$C$9*(K315),IF($D315="M1",MD!$C$10*(K315),IF($D315="T1",MD!$C$11*(K315)))))))))</f>
        <v>0</v>
      </c>
      <c r="O315" s="65">
        <f>SUMIFS(Shift_allowance_Entries!$G:$G,Shift_allowance_Entries!$F:$F,"6:30AM-03:30PM",Shift_allowance_Entries!$B:$B,CPY!$B315)</f>
        <v>0</v>
      </c>
      <c r="P315" s="65">
        <f>SUMIFS(Shift_allowance_Entries!$G:$G,Shift_allowance_Entries!$F:$F,"1-9PM/2:30PM-11:30PM",Shift_allowance_Entries!$B:$B,CPY!$B315)</f>
        <v>0</v>
      </c>
      <c r="Q315" s="65">
        <f>SUMIFS(Shift_allowance_Entries!$G:$G,Shift_allowance_Entries!$F:$F,"11PM-7AM",Shift_allowance_Entries!$B:$B,CPY!$B315)</f>
        <v>0</v>
      </c>
      <c r="R315" s="63">
        <f>(CPY!O315*MD!$F$4)+(CPY!P315*MD!$F$5)+(CPY!Q315*MD!$F$6)</f>
        <v>0</v>
      </c>
      <c r="T315" s="64">
        <f>ROUNDUP((SUMIFS('OOH Activities'!$K:$K,'OOH Activities'!$F:$F,"Non_workdays",'OOH Activities'!$B:$B,CPY!B315)) *24,1)</f>
        <v>0</v>
      </c>
      <c r="U315" s="64">
        <f>ROUNDUP((SUMIFS('OOH Activities'!$K:$K,'OOH Activities'!$F:$F,"Workdays",'OOH Activities'!$B:$B,CPY!B315)) *24,1)</f>
        <v>0</v>
      </c>
      <c r="V315" s="63">
        <f>ROUNDUP((SUMIFS('OOH Activities'!$L:$L,'OOH Activities'!$B:$B,CPY!B315)),1)</f>
        <v>0</v>
      </c>
      <c r="X315" s="65">
        <f>ROUNDUP((SUMIFS('ON Call_Call Out Activities'!$L:$L,'ON Call_Call Out Activities'!$F:$F,"Workdays",'ON Call_Call Out Activities'!$B:$B,CPY!B315))*24,1)</f>
        <v>0</v>
      </c>
      <c r="Y315" s="64">
        <f>ROUNDUP((SUMIFS('ON Call_Call Out Activities'!$L:$L,'ON Call_Call Out Activities'!$F:$F,"Non_workdays",'ON Call_Call Out Activities'!$B:$B,CPY!B315)) *24,1)</f>
        <v>0</v>
      </c>
      <c r="Z315" s="63">
        <f>ROUNDUP((SUMIFS('ON Call_Call Out Activities'!$M:$M,'ON Call_Call Out Activities'!$F:$F,"Non_workdays",'ON Call_Call Out Activities'!$B:$B,CPY!B315)),1) + ROUNDUP((SUMIFS('ON Call_Call Out Activities'!$M:$M,'ON Call_Call Out Activities'!$F:$F,"Workdays",'ON Call_Call Out Activities'!$B:$B,CPY!B315)),1)</f>
        <v>0</v>
      </c>
      <c r="AA315" s="66"/>
      <c r="AB315" s="64">
        <f>ROUNDUP((SUMIFS('ON Call_Call Out Activities'!$L:$L,'ON Call_Call Out Activities'!$F:$F,"Call_Out",'ON Call_Call Out Activities'!$B:$B,CPY!B315)) *24,1)</f>
        <v>0</v>
      </c>
      <c r="AC315" s="63">
        <f>ROUNDUP((SUMIFS('ON Call_Call Out Activities'!$M:$M,'ON Call_Call Out Activities'!$F:$F,"Call_Out",'ON Call_Call Out Activities'!$B:$B,CPY!B315)),1)</f>
        <v>0</v>
      </c>
      <c r="AE315" s="65">
        <f>IF((SUMIF(Shift_allowance_Entries!$B:$B,CPY!$B315,Shift_allowance_Entries!$H:$H)) &gt; (SUMIF(Shift_allowance_Entries!$B:$B,CPY!$B315,Shift_allowance_Entries!$G:$G)),0,((SUMIF(Shift_allowance_Entries!$B:$B,CPY!$B315,Shift_allowance_Entries!$G:$G))-(SUMIF(Shift_allowance_Entries!$B:$B,CPY!$B315,Shift_allowance_Entries!$H:$H))))</f>
        <v>0</v>
      </c>
      <c r="AF315" s="63">
        <f>AE315*MD!$S$4</f>
        <v>0</v>
      </c>
    </row>
    <row r="316" spans="1:32" x14ac:dyDescent="0.25">
      <c r="A316" s="62">
        <v>314</v>
      </c>
      <c r="B316" s="62"/>
      <c r="C316" s="50" t="str">
        <f>IF(ISNA(VLOOKUP($B316,Summary!$B:$D,2,FALSE))=TRUE," ",VLOOKUP($B316,Summary!$B:$D,2,FALSE))</f>
        <v> </v>
      </c>
      <c r="D316" s="50" t="str">
        <f>IF(ISNA(VLOOKUP($B316,Summary!$B:$D,3,FALSE))=TRUE," ",VLOOKUP($B316,Summary!$B:$D,3,FALSE))</f>
        <v> </v>
      </c>
      <c r="E316" s="62"/>
      <c r="F316" s="62"/>
      <c r="G316" s="62"/>
      <c r="I316" s="63">
        <f t="shared" si="4"/>
        <v>0</v>
      </c>
      <c r="K316" s="64">
        <f>IF(E316="Support(L1_L2)",IF(NOT(ISBLANK(B316)),IF(NOT(ISBLANK(D316)),NETWORKDAYS('CPY TOC'!$F$5,'CPY TOC'!$G$5))))-L316</f>
        <v>0</v>
      </c>
      <c r="L316" s="64">
        <f>IF(E316="Support(L1_L2)",SUMIFS(Support_allowance_Entries!$G:$G,Support_allowance_Entries!$B:$B,CPY!B316),0)</f>
        <v>0</v>
      </c>
      <c r="M316" s="63" t="b">
        <f>IF($D316="D0",MD!$C$4*(K316),IF($D316="D1",MD!$C$5*(K316),IF($D316="D2",MD!$C$6*(K316),IF($D316="D3",MD!$C$7*(K316),IF($D316="D4",MD!$C$8*(K316),IF($D316="D5",MD!$C$9*(K316),IF($D316="M1",MD!$C$10*(K316),IF($D316="T1",MD!$C$11*(K316)))))))))</f>
        <v>0</v>
      </c>
      <c r="O316" s="65">
        <f>SUMIFS(Shift_allowance_Entries!$G:$G,Shift_allowance_Entries!$F:$F,"6:30AM-03:30PM",Shift_allowance_Entries!$B:$B,CPY!$B316)</f>
        <v>0</v>
      </c>
      <c r="P316" s="65">
        <f>SUMIFS(Shift_allowance_Entries!$G:$G,Shift_allowance_Entries!$F:$F,"1-9PM/2:30PM-11:30PM",Shift_allowance_Entries!$B:$B,CPY!$B316)</f>
        <v>0</v>
      </c>
      <c r="Q316" s="65">
        <f>SUMIFS(Shift_allowance_Entries!$G:$G,Shift_allowance_Entries!$F:$F,"11PM-7AM",Shift_allowance_Entries!$B:$B,CPY!$B316)</f>
        <v>0</v>
      </c>
      <c r="R316" s="63">
        <f>(CPY!O316*MD!$F$4)+(CPY!P316*MD!$F$5)+(CPY!Q316*MD!$F$6)</f>
        <v>0</v>
      </c>
      <c r="T316" s="64">
        <f>ROUNDUP((SUMIFS('OOH Activities'!$K:$K,'OOH Activities'!$F:$F,"Non_workdays",'OOH Activities'!$B:$B,CPY!B316)) *24,1)</f>
        <v>0</v>
      </c>
      <c r="U316" s="64">
        <f>ROUNDUP((SUMIFS('OOH Activities'!$K:$K,'OOH Activities'!$F:$F,"Workdays",'OOH Activities'!$B:$B,CPY!B316)) *24,1)</f>
        <v>0</v>
      </c>
      <c r="V316" s="63">
        <f>ROUNDUP((SUMIFS('OOH Activities'!$L:$L,'OOH Activities'!$B:$B,CPY!B316)),1)</f>
        <v>0</v>
      </c>
      <c r="X316" s="65">
        <f>ROUNDUP((SUMIFS('ON Call_Call Out Activities'!$L:$L,'ON Call_Call Out Activities'!$F:$F,"Workdays",'ON Call_Call Out Activities'!$B:$B,CPY!B316))*24,1)</f>
        <v>0</v>
      </c>
      <c r="Y316" s="64">
        <f>ROUNDUP((SUMIFS('ON Call_Call Out Activities'!$L:$L,'ON Call_Call Out Activities'!$F:$F,"Non_workdays",'ON Call_Call Out Activities'!$B:$B,CPY!B316)) *24,1)</f>
        <v>0</v>
      </c>
      <c r="Z316" s="63">
        <f>ROUNDUP((SUMIFS('ON Call_Call Out Activities'!$M:$M,'ON Call_Call Out Activities'!$F:$F,"Non_workdays",'ON Call_Call Out Activities'!$B:$B,CPY!B316)),1) + ROUNDUP((SUMIFS('ON Call_Call Out Activities'!$M:$M,'ON Call_Call Out Activities'!$F:$F,"Workdays",'ON Call_Call Out Activities'!$B:$B,CPY!B316)),1)</f>
        <v>0</v>
      </c>
      <c r="AA316" s="66"/>
      <c r="AB316" s="64">
        <f>ROUNDUP((SUMIFS('ON Call_Call Out Activities'!$L:$L,'ON Call_Call Out Activities'!$F:$F,"Call_Out",'ON Call_Call Out Activities'!$B:$B,CPY!B316)) *24,1)</f>
        <v>0</v>
      </c>
      <c r="AC316" s="63">
        <f>ROUNDUP((SUMIFS('ON Call_Call Out Activities'!$M:$M,'ON Call_Call Out Activities'!$F:$F,"Call_Out",'ON Call_Call Out Activities'!$B:$B,CPY!B316)),1)</f>
        <v>0</v>
      </c>
      <c r="AE316" s="65">
        <f>IF((SUMIF(Shift_allowance_Entries!$B:$B,CPY!$B316,Shift_allowance_Entries!$H:$H)) &gt; (SUMIF(Shift_allowance_Entries!$B:$B,CPY!$B316,Shift_allowance_Entries!$G:$G)),0,((SUMIF(Shift_allowance_Entries!$B:$B,CPY!$B316,Shift_allowance_Entries!$G:$G))-(SUMIF(Shift_allowance_Entries!$B:$B,CPY!$B316,Shift_allowance_Entries!$H:$H))))</f>
        <v>0</v>
      </c>
      <c r="AF316" s="63">
        <f>AE316*MD!$S$4</f>
        <v>0</v>
      </c>
    </row>
    <row r="317" spans="1:32" x14ac:dyDescent="0.25">
      <c r="A317" s="62">
        <v>315</v>
      </c>
      <c r="B317" s="62"/>
      <c r="C317" s="50" t="str">
        <f>IF(ISNA(VLOOKUP($B317,Summary!$B:$D,2,FALSE))=TRUE," ",VLOOKUP($B317,Summary!$B:$D,2,FALSE))</f>
        <v> </v>
      </c>
      <c r="D317" s="50" t="str">
        <f>IF(ISNA(VLOOKUP($B317,Summary!$B:$D,3,FALSE))=TRUE," ",VLOOKUP($B317,Summary!$B:$D,3,FALSE))</f>
        <v> </v>
      </c>
      <c r="E317" s="62"/>
      <c r="F317" s="62"/>
      <c r="G317" s="62"/>
      <c r="I317" s="63">
        <f t="shared" si="4"/>
        <v>0</v>
      </c>
      <c r="K317" s="64">
        <f>IF(E317="Support(L1_L2)",IF(NOT(ISBLANK(B317)),IF(NOT(ISBLANK(D317)),NETWORKDAYS('CPY TOC'!$F$5,'CPY TOC'!$G$5))))-L317</f>
        <v>0</v>
      </c>
      <c r="L317" s="64">
        <f>IF(E317="Support(L1_L2)",SUMIFS(Support_allowance_Entries!$G:$G,Support_allowance_Entries!$B:$B,CPY!B317),0)</f>
        <v>0</v>
      </c>
      <c r="M317" s="63" t="b">
        <f>IF($D317="D0",MD!$C$4*(K317),IF($D317="D1",MD!$C$5*(K317),IF($D317="D2",MD!$C$6*(K317),IF($D317="D3",MD!$C$7*(K317),IF($D317="D4",MD!$C$8*(K317),IF($D317="D5",MD!$C$9*(K317),IF($D317="M1",MD!$C$10*(K317),IF($D317="T1",MD!$C$11*(K317)))))))))</f>
        <v>0</v>
      </c>
      <c r="O317" s="65">
        <f>SUMIFS(Shift_allowance_Entries!$G:$G,Shift_allowance_Entries!$F:$F,"6:30AM-03:30PM",Shift_allowance_Entries!$B:$B,CPY!$B317)</f>
        <v>0</v>
      </c>
      <c r="P317" s="65">
        <f>SUMIFS(Shift_allowance_Entries!$G:$G,Shift_allowance_Entries!$F:$F,"1-9PM/2:30PM-11:30PM",Shift_allowance_Entries!$B:$B,CPY!$B317)</f>
        <v>0</v>
      </c>
      <c r="Q317" s="65">
        <f>SUMIFS(Shift_allowance_Entries!$G:$G,Shift_allowance_Entries!$F:$F,"11PM-7AM",Shift_allowance_Entries!$B:$B,CPY!$B317)</f>
        <v>0</v>
      </c>
      <c r="R317" s="63">
        <f>(CPY!O317*MD!$F$4)+(CPY!P317*MD!$F$5)+(CPY!Q317*MD!$F$6)</f>
        <v>0</v>
      </c>
      <c r="T317" s="64">
        <f>ROUNDUP((SUMIFS('OOH Activities'!$K:$K,'OOH Activities'!$F:$F,"Non_workdays",'OOH Activities'!$B:$B,CPY!B317)) *24,1)</f>
        <v>0</v>
      </c>
      <c r="U317" s="64">
        <f>ROUNDUP((SUMIFS('OOH Activities'!$K:$K,'OOH Activities'!$F:$F,"Workdays",'OOH Activities'!$B:$B,CPY!B317)) *24,1)</f>
        <v>0</v>
      </c>
      <c r="V317" s="63">
        <f>ROUNDUP((SUMIFS('OOH Activities'!$L:$L,'OOH Activities'!$B:$B,CPY!B317)),1)</f>
        <v>0</v>
      </c>
      <c r="X317" s="65">
        <f>ROUNDUP((SUMIFS('ON Call_Call Out Activities'!$L:$L,'ON Call_Call Out Activities'!$F:$F,"Workdays",'ON Call_Call Out Activities'!$B:$B,CPY!B317))*24,1)</f>
        <v>0</v>
      </c>
      <c r="Y317" s="64">
        <f>ROUNDUP((SUMIFS('ON Call_Call Out Activities'!$L:$L,'ON Call_Call Out Activities'!$F:$F,"Non_workdays",'ON Call_Call Out Activities'!$B:$B,CPY!B317)) *24,1)</f>
        <v>0</v>
      </c>
      <c r="Z317" s="63">
        <f>ROUNDUP((SUMIFS('ON Call_Call Out Activities'!$M:$M,'ON Call_Call Out Activities'!$F:$F,"Non_workdays",'ON Call_Call Out Activities'!$B:$B,CPY!B317)),1) + ROUNDUP((SUMIFS('ON Call_Call Out Activities'!$M:$M,'ON Call_Call Out Activities'!$F:$F,"Workdays",'ON Call_Call Out Activities'!$B:$B,CPY!B317)),1)</f>
        <v>0</v>
      </c>
      <c r="AA317" s="66"/>
      <c r="AB317" s="64">
        <f>ROUNDUP((SUMIFS('ON Call_Call Out Activities'!$L:$L,'ON Call_Call Out Activities'!$F:$F,"Call_Out",'ON Call_Call Out Activities'!$B:$B,CPY!B317)) *24,1)</f>
        <v>0</v>
      </c>
      <c r="AC317" s="63">
        <f>ROUNDUP((SUMIFS('ON Call_Call Out Activities'!$M:$M,'ON Call_Call Out Activities'!$F:$F,"Call_Out",'ON Call_Call Out Activities'!$B:$B,CPY!B317)),1)</f>
        <v>0</v>
      </c>
      <c r="AE317" s="65">
        <f>IF((SUMIF(Shift_allowance_Entries!$B:$B,CPY!$B317,Shift_allowance_Entries!$H:$H)) &gt; (SUMIF(Shift_allowance_Entries!$B:$B,CPY!$B317,Shift_allowance_Entries!$G:$G)),0,((SUMIF(Shift_allowance_Entries!$B:$B,CPY!$B317,Shift_allowance_Entries!$G:$G))-(SUMIF(Shift_allowance_Entries!$B:$B,CPY!$B317,Shift_allowance_Entries!$H:$H))))</f>
        <v>0</v>
      </c>
      <c r="AF317" s="63">
        <f>AE317*MD!$S$4</f>
        <v>0</v>
      </c>
    </row>
    <row r="318" spans="1:32" x14ac:dyDescent="0.25">
      <c r="A318" s="62">
        <v>316</v>
      </c>
      <c r="B318" s="62"/>
      <c r="C318" s="50" t="str">
        <f>IF(ISNA(VLOOKUP($B318,Summary!$B:$D,2,FALSE))=TRUE," ",VLOOKUP($B318,Summary!$B:$D,2,FALSE))</f>
        <v> </v>
      </c>
      <c r="D318" s="50" t="str">
        <f>IF(ISNA(VLOOKUP($B318,Summary!$B:$D,3,FALSE))=TRUE," ",VLOOKUP($B318,Summary!$B:$D,3,FALSE))</f>
        <v> </v>
      </c>
      <c r="E318" s="62"/>
      <c r="F318" s="62"/>
      <c r="G318" s="62"/>
      <c r="I318" s="63">
        <f t="shared" si="4"/>
        <v>0</v>
      </c>
      <c r="K318" s="64">
        <f>IF(E318="Support(L1_L2)",IF(NOT(ISBLANK(B318)),IF(NOT(ISBLANK(D318)),NETWORKDAYS('CPY TOC'!$F$5,'CPY TOC'!$G$5))))-L318</f>
        <v>0</v>
      </c>
      <c r="L318" s="64">
        <f>IF(E318="Support(L1_L2)",SUMIFS(Support_allowance_Entries!$G:$G,Support_allowance_Entries!$B:$B,CPY!B318),0)</f>
        <v>0</v>
      </c>
      <c r="M318" s="63" t="b">
        <f>IF($D318="D0",MD!$C$4*(K318),IF($D318="D1",MD!$C$5*(K318),IF($D318="D2",MD!$C$6*(K318),IF($D318="D3",MD!$C$7*(K318),IF($D318="D4",MD!$C$8*(K318),IF($D318="D5",MD!$C$9*(K318),IF($D318="M1",MD!$C$10*(K318),IF($D318="T1",MD!$C$11*(K318)))))))))</f>
        <v>0</v>
      </c>
      <c r="O318" s="65">
        <f>SUMIFS(Shift_allowance_Entries!$G:$G,Shift_allowance_Entries!$F:$F,"6:30AM-03:30PM",Shift_allowance_Entries!$B:$B,CPY!$B318)</f>
        <v>0</v>
      </c>
      <c r="P318" s="65">
        <f>SUMIFS(Shift_allowance_Entries!$G:$G,Shift_allowance_Entries!$F:$F,"1-9PM/2:30PM-11:30PM",Shift_allowance_Entries!$B:$B,CPY!$B318)</f>
        <v>0</v>
      </c>
      <c r="Q318" s="65">
        <f>SUMIFS(Shift_allowance_Entries!$G:$G,Shift_allowance_Entries!$F:$F,"11PM-7AM",Shift_allowance_Entries!$B:$B,CPY!$B318)</f>
        <v>0</v>
      </c>
      <c r="R318" s="63">
        <f>(CPY!O318*MD!$F$4)+(CPY!P318*MD!$F$5)+(CPY!Q318*MD!$F$6)</f>
        <v>0</v>
      </c>
      <c r="T318" s="64">
        <f>ROUNDUP((SUMIFS('OOH Activities'!$K:$K,'OOH Activities'!$F:$F,"Non_workdays",'OOH Activities'!$B:$B,CPY!B318)) *24,1)</f>
        <v>0</v>
      </c>
      <c r="U318" s="64">
        <f>ROUNDUP((SUMIFS('OOH Activities'!$K:$K,'OOH Activities'!$F:$F,"Workdays",'OOH Activities'!$B:$B,CPY!B318)) *24,1)</f>
        <v>0</v>
      </c>
      <c r="V318" s="63">
        <f>ROUNDUP((SUMIFS('OOH Activities'!$L:$L,'OOH Activities'!$B:$B,CPY!B318)),1)</f>
        <v>0</v>
      </c>
      <c r="X318" s="65">
        <f>ROUNDUP((SUMIFS('ON Call_Call Out Activities'!$L:$L,'ON Call_Call Out Activities'!$F:$F,"Workdays",'ON Call_Call Out Activities'!$B:$B,CPY!B318))*24,1)</f>
        <v>0</v>
      </c>
      <c r="Y318" s="64">
        <f>ROUNDUP((SUMIFS('ON Call_Call Out Activities'!$L:$L,'ON Call_Call Out Activities'!$F:$F,"Non_workdays",'ON Call_Call Out Activities'!$B:$B,CPY!B318)) *24,1)</f>
        <v>0</v>
      </c>
      <c r="Z318" s="63">
        <f>ROUNDUP((SUMIFS('ON Call_Call Out Activities'!$M:$M,'ON Call_Call Out Activities'!$F:$F,"Non_workdays",'ON Call_Call Out Activities'!$B:$B,CPY!B318)),1) + ROUNDUP((SUMIFS('ON Call_Call Out Activities'!$M:$M,'ON Call_Call Out Activities'!$F:$F,"Workdays",'ON Call_Call Out Activities'!$B:$B,CPY!B318)),1)</f>
        <v>0</v>
      </c>
      <c r="AA318" s="66"/>
      <c r="AB318" s="64">
        <f>ROUNDUP((SUMIFS('ON Call_Call Out Activities'!$L:$L,'ON Call_Call Out Activities'!$F:$F,"Call_Out",'ON Call_Call Out Activities'!$B:$B,CPY!B318)) *24,1)</f>
        <v>0</v>
      </c>
      <c r="AC318" s="63">
        <f>ROUNDUP((SUMIFS('ON Call_Call Out Activities'!$M:$M,'ON Call_Call Out Activities'!$F:$F,"Call_Out",'ON Call_Call Out Activities'!$B:$B,CPY!B318)),1)</f>
        <v>0</v>
      </c>
      <c r="AE318" s="65">
        <f>IF((SUMIF(Shift_allowance_Entries!$B:$B,CPY!$B318,Shift_allowance_Entries!$H:$H)) &gt; (SUMIF(Shift_allowance_Entries!$B:$B,CPY!$B318,Shift_allowance_Entries!$G:$G)),0,((SUMIF(Shift_allowance_Entries!$B:$B,CPY!$B318,Shift_allowance_Entries!$G:$G))-(SUMIF(Shift_allowance_Entries!$B:$B,CPY!$B318,Shift_allowance_Entries!$H:$H))))</f>
        <v>0</v>
      </c>
      <c r="AF318" s="63">
        <f>AE318*MD!$S$4</f>
        <v>0</v>
      </c>
    </row>
    <row r="319" spans="1:32" x14ac:dyDescent="0.25">
      <c r="A319" s="62">
        <v>317</v>
      </c>
      <c r="B319" s="62"/>
      <c r="C319" s="50" t="str">
        <f>IF(ISNA(VLOOKUP($B319,Summary!$B:$D,2,FALSE))=TRUE," ",VLOOKUP($B319,Summary!$B:$D,2,FALSE))</f>
        <v> </v>
      </c>
      <c r="D319" s="50" t="str">
        <f>IF(ISNA(VLOOKUP($B319,Summary!$B:$D,3,FALSE))=TRUE," ",VLOOKUP($B319,Summary!$B:$D,3,FALSE))</f>
        <v> </v>
      </c>
      <c r="E319" s="62"/>
      <c r="F319" s="62"/>
      <c r="G319" s="62"/>
      <c r="I319" s="63">
        <f t="shared" si="4"/>
        <v>0</v>
      </c>
      <c r="K319" s="64">
        <f>IF(E319="Support(L1_L2)",IF(NOT(ISBLANK(B319)),IF(NOT(ISBLANK(D319)),NETWORKDAYS('CPY TOC'!$F$5,'CPY TOC'!$G$5))))-L319</f>
        <v>0</v>
      </c>
      <c r="L319" s="64">
        <f>IF(E319="Support(L1_L2)",SUMIFS(Support_allowance_Entries!$G:$G,Support_allowance_Entries!$B:$B,CPY!B319),0)</f>
        <v>0</v>
      </c>
      <c r="M319" s="63" t="b">
        <f>IF($D319="D0",MD!$C$4*(K319),IF($D319="D1",MD!$C$5*(K319),IF($D319="D2",MD!$C$6*(K319),IF($D319="D3",MD!$C$7*(K319),IF($D319="D4",MD!$C$8*(K319),IF($D319="D5",MD!$C$9*(K319),IF($D319="M1",MD!$C$10*(K319),IF($D319="T1",MD!$C$11*(K319)))))))))</f>
        <v>0</v>
      </c>
      <c r="O319" s="65">
        <f>SUMIFS(Shift_allowance_Entries!$G:$G,Shift_allowance_Entries!$F:$F,"6:30AM-03:30PM",Shift_allowance_Entries!$B:$B,CPY!$B319)</f>
        <v>0</v>
      </c>
      <c r="P319" s="65">
        <f>SUMIFS(Shift_allowance_Entries!$G:$G,Shift_allowance_Entries!$F:$F,"1-9PM/2:30PM-11:30PM",Shift_allowance_Entries!$B:$B,CPY!$B319)</f>
        <v>0</v>
      </c>
      <c r="Q319" s="65">
        <f>SUMIFS(Shift_allowance_Entries!$G:$G,Shift_allowance_Entries!$F:$F,"11PM-7AM",Shift_allowance_Entries!$B:$B,CPY!$B319)</f>
        <v>0</v>
      </c>
      <c r="R319" s="63">
        <f>(CPY!O319*MD!$F$4)+(CPY!P319*MD!$F$5)+(CPY!Q319*MD!$F$6)</f>
        <v>0</v>
      </c>
      <c r="T319" s="64">
        <f>ROUNDUP((SUMIFS('OOH Activities'!$K:$K,'OOH Activities'!$F:$F,"Non_workdays",'OOH Activities'!$B:$B,CPY!B319)) *24,1)</f>
        <v>0</v>
      </c>
      <c r="U319" s="64">
        <f>ROUNDUP((SUMIFS('OOH Activities'!$K:$K,'OOH Activities'!$F:$F,"Workdays",'OOH Activities'!$B:$B,CPY!B319)) *24,1)</f>
        <v>0</v>
      </c>
      <c r="V319" s="63">
        <f>ROUNDUP((SUMIFS('OOH Activities'!$L:$L,'OOH Activities'!$B:$B,CPY!B319)),1)</f>
        <v>0</v>
      </c>
      <c r="X319" s="65">
        <f>ROUNDUP((SUMIFS('ON Call_Call Out Activities'!$L:$L,'ON Call_Call Out Activities'!$F:$F,"Workdays",'ON Call_Call Out Activities'!$B:$B,CPY!B319))*24,1)</f>
        <v>0</v>
      </c>
      <c r="Y319" s="64">
        <f>ROUNDUP((SUMIFS('ON Call_Call Out Activities'!$L:$L,'ON Call_Call Out Activities'!$F:$F,"Non_workdays",'ON Call_Call Out Activities'!$B:$B,CPY!B319)) *24,1)</f>
        <v>0</v>
      </c>
      <c r="Z319" s="63">
        <f>ROUNDUP((SUMIFS('ON Call_Call Out Activities'!$M:$M,'ON Call_Call Out Activities'!$F:$F,"Non_workdays",'ON Call_Call Out Activities'!$B:$B,CPY!B319)),1) + ROUNDUP((SUMIFS('ON Call_Call Out Activities'!$M:$M,'ON Call_Call Out Activities'!$F:$F,"Workdays",'ON Call_Call Out Activities'!$B:$B,CPY!B319)),1)</f>
        <v>0</v>
      </c>
      <c r="AA319" s="66"/>
      <c r="AB319" s="64">
        <f>ROUNDUP((SUMIFS('ON Call_Call Out Activities'!$L:$L,'ON Call_Call Out Activities'!$F:$F,"Call_Out",'ON Call_Call Out Activities'!$B:$B,CPY!B319)) *24,1)</f>
        <v>0</v>
      </c>
      <c r="AC319" s="63">
        <f>ROUNDUP((SUMIFS('ON Call_Call Out Activities'!$M:$M,'ON Call_Call Out Activities'!$F:$F,"Call_Out",'ON Call_Call Out Activities'!$B:$B,CPY!B319)),1)</f>
        <v>0</v>
      </c>
      <c r="AE319" s="65">
        <f>IF((SUMIF(Shift_allowance_Entries!$B:$B,CPY!$B319,Shift_allowance_Entries!$H:$H)) &gt; (SUMIF(Shift_allowance_Entries!$B:$B,CPY!$B319,Shift_allowance_Entries!$G:$G)),0,((SUMIF(Shift_allowance_Entries!$B:$B,CPY!$B319,Shift_allowance_Entries!$G:$G))-(SUMIF(Shift_allowance_Entries!$B:$B,CPY!$B319,Shift_allowance_Entries!$H:$H))))</f>
        <v>0</v>
      </c>
      <c r="AF319" s="63">
        <f>AE319*MD!$S$4</f>
        <v>0</v>
      </c>
    </row>
    <row r="320" spans="1:32" x14ac:dyDescent="0.25">
      <c r="A320" s="62">
        <v>318</v>
      </c>
      <c r="B320" s="62"/>
      <c r="C320" s="50" t="str">
        <f>IF(ISNA(VLOOKUP($B320,Summary!$B:$D,2,FALSE))=TRUE," ",VLOOKUP($B320,Summary!$B:$D,2,FALSE))</f>
        <v> </v>
      </c>
      <c r="D320" s="50" t="str">
        <f>IF(ISNA(VLOOKUP($B320,Summary!$B:$D,3,FALSE))=TRUE," ",VLOOKUP($B320,Summary!$B:$D,3,FALSE))</f>
        <v> </v>
      </c>
      <c r="E320" s="62"/>
      <c r="F320" s="62"/>
      <c r="G320" s="62"/>
      <c r="I320" s="63">
        <f t="shared" si="4"/>
        <v>0</v>
      </c>
      <c r="K320" s="64">
        <f>IF(E320="Support(L1_L2)",IF(NOT(ISBLANK(B320)),IF(NOT(ISBLANK(D320)),NETWORKDAYS('CPY TOC'!$F$5,'CPY TOC'!$G$5))))-L320</f>
        <v>0</v>
      </c>
      <c r="L320" s="64">
        <f>IF(E320="Support(L1_L2)",SUMIFS(Support_allowance_Entries!$G:$G,Support_allowance_Entries!$B:$B,CPY!B320),0)</f>
        <v>0</v>
      </c>
      <c r="M320" s="63" t="b">
        <f>IF($D320="D0",MD!$C$4*(K320),IF($D320="D1",MD!$C$5*(K320),IF($D320="D2",MD!$C$6*(K320),IF($D320="D3",MD!$C$7*(K320),IF($D320="D4",MD!$C$8*(K320),IF($D320="D5",MD!$C$9*(K320),IF($D320="M1",MD!$C$10*(K320),IF($D320="T1",MD!$C$11*(K320)))))))))</f>
        <v>0</v>
      </c>
      <c r="O320" s="65">
        <f>SUMIFS(Shift_allowance_Entries!$G:$G,Shift_allowance_Entries!$F:$F,"6:30AM-03:30PM",Shift_allowance_Entries!$B:$B,CPY!$B320)</f>
        <v>0</v>
      </c>
      <c r="P320" s="65">
        <f>SUMIFS(Shift_allowance_Entries!$G:$G,Shift_allowance_Entries!$F:$F,"1-9PM/2:30PM-11:30PM",Shift_allowance_Entries!$B:$B,CPY!$B320)</f>
        <v>0</v>
      </c>
      <c r="Q320" s="65">
        <f>SUMIFS(Shift_allowance_Entries!$G:$G,Shift_allowance_Entries!$F:$F,"11PM-7AM",Shift_allowance_Entries!$B:$B,CPY!$B320)</f>
        <v>0</v>
      </c>
      <c r="R320" s="63">
        <f>(CPY!O320*MD!$F$4)+(CPY!P320*MD!$F$5)+(CPY!Q320*MD!$F$6)</f>
        <v>0</v>
      </c>
      <c r="T320" s="64">
        <f>ROUNDUP((SUMIFS('OOH Activities'!$K:$K,'OOH Activities'!$F:$F,"Non_workdays",'OOH Activities'!$B:$B,CPY!B320)) *24,1)</f>
        <v>0</v>
      </c>
      <c r="U320" s="64">
        <f>ROUNDUP((SUMIFS('OOH Activities'!$K:$K,'OOH Activities'!$F:$F,"Workdays",'OOH Activities'!$B:$B,CPY!B320)) *24,1)</f>
        <v>0</v>
      </c>
      <c r="V320" s="63">
        <f>ROUNDUP((SUMIFS('OOH Activities'!$L:$L,'OOH Activities'!$B:$B,CPY!B320)),1)</f>
        <v>0</v>
      </c>
      <c r="X320" s="65">
        <f>ROUNDUP((SUMIFS('ON Call_Call Out Activities'!$L:$L,'ON Call_Call Out Activities'!$F:$F,"Workdays",'ON Call_Call Out Activities'!$B:$B,CPY!B320))*24,1)</f>
        <v>0</v>
      </c>
      <c r="Y320" s="64">
        <f>ROUNDUP((SUMIFS('ON Call_Call Out Activities'!$L:$L,'ON Call_Call Out Activities'!$F:$F,"Non_workdays",'ON Call_Call Out Activities'!$B:$B,CPY!B320)) *24,1)</f>
        <v>0</v>
      </c>
      <c r="Z320" s="63">
        <f>ROUNDUP((SUMIFS('ON Call_Call Out Activities'!$M:$M,'ON Call_Call Out Activities'!$F:$F,"Non_workdays",'ON Call_Call Out Activities'!$B:$B,CPY!B320)),1) + ROUNDUP((SUMIFS('ON Call_Call Out Activities'!$M:$M,'ON Call_Call Out Activities'!$F:$F,"Workdays",'ON Call_Call Out Activities'!$B:$B,CPY!B320)),1)</f>
        <v>0</v>
      </c>
      <c r="AA320" s="66"/>
      <c r="AB320" s="64">
        <f>ROUNDUP((SUMIFS('ON Call_Call Out Activities'!$L:$L,'ON Call_Call Out Activities'!$F:$F,"Call_Out",'ON Call_Call Out Activities'!$B:$B,CPY!B320)) *24,1)</f>
        <v>0</v>
      </c>
      <c r="AC320" s="63">
        <f>ROUNDUP((SUMIFS('ON Call_Call Out Activities'!$M:$M,'ON Call_Call Out Activities'!$F:$F,"Call_Out",'ON Call_Call Out Activities'!$B:$B,CPY!B320)),1)</f>
        <v>0</v>
      </c>
      <c r="AE320" s="65">
        <f>IF((SUMIF(Shift_allowance_Entries!$B:$B,CPY!$B320,Shift_allowance_Entries!$H:$H)) &gt; (SUMIF(Shift_allowance_Entries!$B:$B,CPY!$B320,Shift_allowance_Entries!$G:$G)),0,((SUMIF(Shift_allowance_Entries!$B:$B,CPY!$B320,Shift_allowance_Entries!$G:$G))-(SUMIF(Shift_allowance_Entries!$B:$B,CPY!$B320,Shift_allowance_Entries!$H:$H))))</f>
        <v>0</v>
      </c>
      <c r="AF320" s="63">
        <f>AE320*MD!$S$4</f>
        <v>0</v>
      </c>
    </row>
    <row r="321" spans="1:32" x14ac:dyDescent="0.25">
      <c r="A321" s="62">
        <v>319</v>
      </c>
      <c r="B321" s="62"/>
      <c r="C321" s="50" t="str">
        <f>IF(ISNA(VLOOKUP($B321,Summary!$B:$D,2,FALSE))=TRUE," ",VLOOKUP($B321,Summary!$B:$D,2,FALSE))</f>
        <v> </v>
      </c>
      <c r="D321" s="50" t="str">
        <f>IF(ISNA(VLOOKUP($B321,Summary!$B:$D,3,FALSE))=TRUE," ",VLOOKUP($B321,Summary!$B:$D,3,FALSE))</f>
        <v> </v>
      </c>
      <c r="E321" s="62"/>
      <c r="F321" s="62"/>
      <c r="G321" s="62"/>
      <c r="I321" s="63">
        <f t="shared" si="4"/>
        <v>0</v>
      </c>
      <c r="K321" s="64">
        <f>IF(E321="Support(L1_L2)",IF(NOT(ISBLANK(B321)),IF(NOT(ISBLANK(D321)),NETWORKDAYS('CPY TOC'!$F$5,'CPY TOC'!$G$5))))-L321</f>
        <v>0</v>
      </c>
      <c r="L321" s="64">
        <f>IF(E321="Support(L1_L2)",SUMIFS(Support_allowance_Entries!$G:$G,Support_allowance_Entries!$B:$B,CPY!B321),0)</f>
        <v>0</v>
      </c>
      <c r="M321" s="63" t="b">
        <f>IF($D321="D0",MD!$C$4*(K321),IF($D321="D1",MD!$C$5*(K321),IF($D321="D2",MD!$C$6*(K321),IF($D321="D3",MD!$C$7*(K321),IF($D321="D4",MD!$C$8*(K321),IF($D321="D5",MD!$C$9*(K321),IF($D321="M1",MD!$C$10*(K321),IF($D321="T1",MD!$C$11*(K321)))))))))</f>
        <v>0</v>
      </c>
      <c r="O321" s="65">
        <f>SUMIFS(Shift_allowance_Entries!$G:$G,Shift_allowance_Entries!$F:$F,"6:30AM-03:30PM",Shift_allowance_Entries!$B:$B,CPY!$B321)</f>
        <v>0</v>
      </c>
      <c r="P321" s="65">
        <f>SUMIFS(Shift_allowance_Entries!$G:$G,Shift_allowance_Entries!$F:$F,"1-9PM/2:30PM-11:30PM",Shift_allowance_Entries!$B:$B,CPY!$B321)</f>
        <v>0</v>
      </c>
      <c r="Q321" s="65">
        <f>SUMIFS(Shift_allowance_Entries!$G:$G,Shift_allowance_Entries!$F:$F,"11PM-7AM",Shift_allowance_Entries!$B:$B,CPY!$B321)</f>
        <v>0</v>
      </c>
      <c r="R321" s="63">
        <f>(CPY!O321*MD!$F$4)+(CPY!P321*MD!$F$5)+(CPY!Q321*MD!$F$6)</f>
        <v>0</v>
      </c>
      <c r="T321" s="64">
        <f>ROUNDUP((SUMIFS('OOH Activities'!$K:$K,'OOH Activities'!$F:$F,"Non_workdays",'OOH Activities'!$B:$B,CPY!B321)) *24,1)</f>
        <v>0</v>
      </c>
      <c r="U321" s="64">
        <f>ROUNDUP((SUMIFS('OOH Activities'!$K:$K,'OOH Activities'!$F:$F,"Workdays",'OOH Activities'!$B:$B,CPY!B321)) *24,1)</f>
        <v>0</v>
      </c>
      <c r="V321" s="63">
        <f>ROUNDUP((SUMIFS('OOH Activities'!$L:$L,'OOH Activities'!$B:$B,CPY!B321)),1)</f>
        <v>0</v>
      </c>
      <c r="X321" s="65">
        <f>ROUNDUP((SUMIFS('ON Call_Call Out Activities'!$L:$L,'ON Call_Call Out Activities'!$F:$F,"Workdays",'ON Call_Call Out Activities'!$B:$B,CPY!B321))*24,1)</f>
        <v>0</v>
      </c>
      <c r="Y321" s="64">
        <f>ROUNDUP((SUMIFS('ON Call_Call Out Activities'!$L:$L,'ON Call_Call Out Activities'!$F:$F,"Non_workdays",'ON Call_Call Out Activities'!$B:$B,CPY!B321)) *24,1)</f>
        <v>0</v>
      </c>
      <c r="Z321" s="63">
        <f>ROUNDUP((SUMIFS('ON Call_Call Out Activities'!$M:$M,'ON Call_Call Out Activities'!$F:$F,"Non_workdays",'ON Call_Call Out Activities'!$B:$B,CPY!B321)),1) + ROUNDUP((SUMIFS('ON Call_Call Out Activities'!$M:$M,'ON Call_Call Out Activities'!$F:$F,"Workdays",'ON Call_Call Out Activities'!$B:$B,CPY!B321)),1)</f>
        <v>0</v>
      </c>
      <c r="AA321" s="66"/>
      <c r="AB321" s="64">
        <f>ROUNDUP((SUMIFS('ON Call_Call Out Activities'!$L:$L,'ON Call_Call Out Activities'!$F:$F,"Call_Out",'ON Call_Call Out Activities'!$B:$B,CPY!B321)) *24,1)</f>
        <v>0</v>
      </c>
      <c r="AC321" s="63">
        <f>ROUNDUP((SUMIFS('ON Call_Call Out Activities'!$M:$M,'ON Call_Call Out Activities'!$F:$F,"Call_Out",'ON Call_Call Out Activities'!$B:$B,CPY!B321)),1)</f>
        <v>0</v>
      </c>
      <c r="AE321" s="65">
        <f>IF((SUMIF(Shift_allowance_Entries!$B:$B,CPY!$B321,Shift_allowance_Entries!$H:$H)) &gt; (SUMIF(Shift_allowance_Entries!$B:$B,CPY!$B321,Shift_allowance_Entries!$G:$G)),0,((SUMIF(Shift_allowance_Entries!$B:$B,CPY!$B321,Shift_allowance_Entries!$G:$G))-(SUMIF(Shift_allowance_Entries!$B:$B,CPY!$B321,Shift_allowance_Entries!$H:$H))))</f>
        <v>0</v>
      </c>
      <c r="AF321" s="63">
        <f>AE321*MD!$S$4</f>
        <v>0</v>
      </c>
    </row>
    <row r="322" spans="1:32" x14ac:dyDescent="0.25">
      <c r="A322" s="62">
        <v>320</v>
      </c>
      <c r="B322" s="62"/>
      <c r="C322" s="50" t="str">
        <f>IF(ISNA(VLOOKUP($B322,Summary!$B:$D,2,FALSE))=TRUE," ",VLOOKUP($B322,Summary!$B:$D,2,FALSE))</f>
        <v> </v>
      </c>
      <c r="D322" s="50" t="str">
        <f>IF(ISNA(VLOOKUP($B322,Summary!$B:$D,3,FALSE))=TRUE," ",VLOOKUP($B322,Summary!$B:$D,3,FALSE))</f>
        <v> </v>
      </c>
      <c r="E322" s="62"/>
      <c r="F322" s="62"/>
      <c r="G322" s="62"/>
      <c r="I322" s="63">
        <f t="shared" si="4"/>
        <v>0</v>
      </c>
      <c r="K322" s="64">
        <f>IF(E322="Support(L1_L2)",IF(NOT(ISBLANK(B322)),IF(NOT(ISBLANK(D322)),NETWORKDAYS('CPY TOC'!$F$5,'CPY TOC'!$G$5))))-L322</f>
        <v>0</v>
      </c>
      <c r="L322" s="64">
        <f>IF(E322="Support(L1_L2)",SUMIFS(Support_allowance_Entries!$G:$G,Support_allowance_Entries!$B:$B,CPY!B322),0)</f>
        <v>0</v>
      </c>
      <c r="M322" s="63" t="b">
        <f>IF($D322="D0",MD!$C$4*(K322),IF($D322="D1",MD!$C$5*(K322),IF($D322="D2",MD!$C$6*(K322),IF($D322="D3",MD!$C$7*(K322),IF($D322="D4",MD!$C$8*(K322),IF($D322="D5",MD!$C$9*(K322),IF($D322="M1",MD!$C$10*(K322),IF($D322="T1",MD!$C$11*(K322)))))))))</f>
        <v>0</v>
      </c>
      <c r="O322" s="65">
        <f>SUMIFS(Shift_allowance_Entries!$G:$G,Shift_allowance_Entries!$F:$F,"6:30AM-03:30PM",Shift_allowance_Entries!$B:$B,CPY!$B322)</f>
        <v>0</v>
      </c>
      <c r="P322" s="65">
        <f>SUMIFS(Shift_allowance_Entries!$G:$G,Shift_allowance_Entries!$F:$F,"1-9PM/2:30PM-11:30PM",Shift_allowance_Entries!$B:$B,CPY!$B322)</f>
        <v>0</v>
      </c>
      <c r="Q322" s="65">
        <f>SUMIFS(Shift_allowance_Entries!$G:$G,Shift_allowance_Entries!$F:$F,"11PM-7AM",Shift_allowance_Entries!$B:$B,CPY!$B322)</f>
        <v>0</v>
      </c>
      <c r="R322" s="63">
        <f>(CPY!O322*MD!$F$4)+(CPY!P322*MD!$F$5)+(CPY!Q322*MD!$F$6)</f>
        <v>0</v>
      </c>
      <c r="T322" s="64">
        <f>ROUNDUP((SUMIFS('OOH Activities'!$K:$K,'OOH Activities'!$F:$F,"Non_workdays",'OOH Activities'!$B:$B,CPY!B322)) *24,1)</f>
        <v>0</v>
      </c>
      <c r="U322" s="64">
        <f>ROUNDUP((SUMIFS('OOH Activities'!$K:$K,'OOH Activities'!$F:$F,"Workdays",'OOH Activities'!$B:$B,CPY!B322)) *24,1)</f>
        <v>0</v>
      </c>
      <c r="V322" s="63">
        <f>ROUNDUP((SUMIFS('OOH Activities'!$L:$L,'OOH Activities'!$B:$B,CPY!B322)),1)</f>
        <v>0</v>
      </c>
      <c r="X322" s="65">
        <f>ROUNDUP((SUMIFS('ON Call_Call Out Activities'!$L:$L,'ON Call_Call Out Activities'!$F:$F,"Workdays",'ON Call_Call Out Activities'!$B:$B,CPY!B322))*24,1)</f>
        <v>0</v>
      </c>
      <c r="Y322" s="64">
        <f>ROUNDUP((SUMIFS('ON Call_Call Out Activities'!$L:$L,'ON Call_Call Out Activities'!$F:$F,"Non_workdays",'ON Call_Call Out Activities'!$B:$B,CPY!B322)) *24,1)</f>
        <v>0</v>
      </c>
      <c r="Z322" s="63">
        <f>ROUNDUP((SUMIFS('ON Call_Call Out Activities'!$M:$M,'ON Call_Call Out Activities'!$F:$F,"Non_workdays",'ON Call_Call Out Activities'!$B:$B,CPY!B322)),1) + ROUNDUP((SUMIFS('ON Call_Call Out Activities'!$M:$M,'ON Call_Call Out Activities'!$F:$F,"Workdays",'ON Call_Call Out Activities'!$B:$B,CPY!B322)),1)</f>
        <v>0</v>
      </c>
      <c r="AA322" s="66"/>
      <c r="AB322" s="64">
        <f>ROUNDUP((SUMIFS('ON Call_Call Out Activities'!$L:$L,'ON Call_Call Out Activities'!$F:$F,"Call_Out",'ON Call_Call Out Activities'!$B:$B,CPY!B322)) *24,1)</f>
        <v>0</v>
      </c>
      <c r="AC322" s="63">
        <f>ROUNDUP((SUMIFS('ON Call_Call Out Activities'!$M:$M,'ON Call_Call Out Activities'!$F:$F,"Call_Out",'ON Call_Call Out Activities'!$B:$B,CPY!B322)),1)</f>
        <v>0</v>
      </c>
      <c r="AE322" s="65">
        <f>IF((SUMIF(Shift_allowance_Entries!$B:$B,CPY!$B322,Shift_allowance_Entries!$H:$H)) &gt; (SUMIF(Shift_allowance_Entries!$B:$B,CPY!$B322,Shift_allowance_Entries!$G:$G)),0,((SUMIF(Shift_allowance_Entries!$B:$B,CPY!$B322,Shift_allowance_Entries!$G:$G))-(SUMIF(Shift_allowance_Entries!$B:$B,CPY!$B322,Shift_allowance_Entries!$H:$H))))</f>
        <v>0</v>
      </c>
      <c r="AF322" s="63">
        <f>AE322*MD!$S$4</f>
        <v>0</v>
      </c>
    </row>
    <row r="323" spans="1:32" x14ac:dyDescent="0.25">
      <c r="A323" s="62">
        <v>321</v>
      </c>
      <c r="B323" s="62"/>
      <c r="C323" s="50" t="str">
        <f>IF(ISNA(VLOOKUP($B323,Summary!$B:$D,2,FALSE))=TRUE," ",VLOOKUP($B323,Summary!$B:$D,2,FALSE))</f>
        <v> </v>
      </c>
      <c r="D323" s="50" t="str">
        <f>IF(ISNA(VLOOKUP($B323,Summary!$B:$D,3,FALSE))=TRUE," ",VLOOKUP($B323,Summary!$B:$D,3,FALSE))</f>
        <v> </v>
      </c>
      <c r="E323" s="62"/>
      <c r="F323" s="62"/>
      <c r="G323" s="62"/>
      <c r="I323" s="63">
        <f t="shared" ref="I323:I386" si="5">M323+R323+V323+Z323+AC323+AF323</f>
        <v>0</v>
      </c>
      <c r="K323" s="64">
        <f>IF(E323="Support(L1_L2)",IF(NOT(ISBLANK(B323)),IF(NOT(ISBLANK(D323)),NETWORKDAYS('CPY TOC'!$F$5,'CPY TOC'!$G$5))))-L323</f>
        <v>0</v>
      </c>
      <c r="L323" s="64">
        <f>IF(E323="Support(L1_L2)",SUMIFS(Support_allowance_Entries!$G:$G,Support_allowance_Entries!$B:$B,CPY!B323),0)</f>
        <v>0</v>
      </c>
      <c r="M323" s="63" t="b">
        <f>IF($D323="D0",MD!$C$4*(K323),IF($D323="D1",MD!$C$5*(K323),IF($D323="D2",MD!$C$6*(K323),IF($D323="D3",MD!$C$7*(K323),IF($D323="D4",MD!$C$8*(K323),IF($D323="D5",MD!$C$9*(K323),IF($D323="M1",MD!$C$10*(K323),IF($D323="T1",MD!$C$11*(K323)))))))))</f>
        <v>0</v>
      </c>
      <c r="O323" s="65">
        <f>SUMIFS(Shift_allowance_Entries!$G:$G,Shift_allowance_Entries!$F:$F,"6:30AM-03:30PM",Shift_allowance_Entries!$B:$B,CPY!$B323)</f>
        <v>0</v>
      </c>
      <c r="P323" s="65">
        <f>SUMIFS(Shift_allowance_Entries!$G:$G,Shift_allowance_Entries!$F:$F,"1-9PM/2:30PM-11:30PM",Shift_allowance_Entries!$B:$B,CPY!$B323)</f>
        <v>0</v>
      </c>
      <c r="Q323" s="65">
        <f>SUMIFS(Shift_allowance_Entries!$G:$G,Shift_allowance_Entries!$F:$F,"11PM-7AM",Shift_allowance_Entries!$B:$B,CPY!$B323)</f>
        <v>0</v>
      </c>
      <c r="R323" s="63">
        <f>(CPY!O323*MD!$F$4)+(CPY!P323*MD!$F$5)+(CPY!Q323*MD!$F$6)</f>
        <v>0</v>
      </c>
      <c r="T323" s="64">
        <f>ROUNDUP((SUMIFS('OOH Activities'!$K:$K,'OOH Activities'!$F:$F,"Non_workdays",'OOH Activities'!$B:$B,CPY!B323)) *24,1)</f>
        <v>0</v>
      </c>
      <c r="U323" s="64">
        <f>ROUNDUP((SUMIFS('OOH Activities'!$K:$K,'OOH Activities'!$F:$F,"Workdays",'OOH Activities'!$B:$B,CPY!B323)) *24,1)</f>
        <v>0</v>
      </c>
      <c r="V323" s="63">
        <f>ROUNDUP((SUMIFS('OOH Activities'!$L:$L,'OOH Activities'!$B:$B,CPY!B323)),1)</f>
        <v>0</v>
      </c>
      <c r="X323" s="65">
        <f>ROUNDUP((SUMIFS('ON Call_Call Out Activities'!$L:$L,'ON Call_Call Out Activities'!$F:$F,"Workdays",'ON Call_Call Out Activities'!$B:$B,CPY!B323))*24,1)</f>
        <v>0</v>
      </c>
      <c r="Y323" s="64">
        <f>ROUNDUP((SUMIFS('ON Call_Call Out Activities'!$L:$L,'ON Call_Call Out Activities'!$F:$F,"Non_workdays",'ON Call_Call Out Activities'!$B:$B,CPY!B323)) *24,1)</f>
        <v>0</v>
      </c>
      <c r="Z323" s="63">
        <f>ROUNDUP((SUMIFS('ON Call_Call Out Activities'!$M:$M,'ON Call_Call Out Activities'!$F:$F,"Non_workdays",'ON Call_Call Out Activities'!$B:$B,CPY!B323)),1) + ROUNDUP((SUMIFS('ON Call_Call Out Activities'!$M:$M,'ON Call_Call Out Activities'!$F:$F,"Workdays",'ON Call_Call Out Activities'!$B:$B,CPY!B323)),1)</f>
        <v>0</v>
      </c>
      <c r="AA323" s="66"/>
      <c r="AB323" s="64">
        <f>ROUNDUP((SUMIFS('ON Call_Call Out Activities'!$L:$L,'ON Call_Call Out Activities'!$F:$F,"Call_Out",'ON Call_Call Out Activities'!$B:$B,CPY!B323)) *24,1)</f>
        <v>0</v>
      </c>
      <c r="AC323" s="63">
        <f>ROUNDUP((SUMIFS('ON Call_Call Out Activities'!$M:$M,'ON Call_Call Out Activities'!$F:$F,"Call_Out",'ON Call_Call Out Activities'!$B:$B,CPY!B323)),1)</f>
        <v>0</v>
      </c>
      <c r="AE323" s="65">
        <f>IF((SUMIF(Shift_allowance_Entries!$B:$B,CPY!$B323,Shift_allowance_Entries!$H:$H)) &gt; (SUMIF(Shift_allowance_Entries!$B:$B,CPY!$B323,Shift_allowance_Entries!$G:$G)),0,((SUMIF(Shift_allowance_Entries!$B:$B,CPY!$B323,Shift_allowance_Entries!$G:$G))-(SUMIF(Shift_allowance_Entries!$B:$B,CPY!$B323,Shift_allowance_Entries!$H:$H))))</f>
        <v>0</v>
      </c>
      <c r="AF323" s="63">
        <f>AE323*MD!$S$4</f>
        <v>0</v>
      </c>
    </row>
    <row r="324" spans="1:32" x14ac:dyDescent="0.25">
      <c r="A324" s="62">
        <v>322</v>
      </c>
      <c r="B324" s="62"/>
      <c r="C324" s="50" t="str">
        <f>IF(ISNA(VLOOKUP($B324,Summary!$B:$D,2,FALSE))=TRUE," ",VLOOKUP($B324,Summary!$B:$D,2,FALSE))</f>
        <v> </v>
      </c>
      <c r="D324" s="50" t="str">
        <f>IF(ISNA(VLOOKUP($B324,Summary!$B:$D,3,FALSE))=TRUE," ",VLOOKUP($B324,Summary!$B:$D,3,FALSE))</f>
        <v> </v>
      </c>
      <c r="E324" s="62"/>
      <c r="F324" s="62"/>
      <c r="G324" s="62"/>
      <c r="I324" s="63">
        <f t="shared" si="5"/>
        <v>0</v>
      </c>
      <c r="K324" s="64">
        <f>IF(E324="Support(L1_L2)",IF(NOT(ISBLANK(B324)),IF(NOT(ISBLANK(D324)),NETWORKDAYS('CPY TOC'!$F$5,'CPY TOC'!$G$5))))-L324</f>
        <v>0</v>
      </c>
      <c r="L324" s="64">
        <f>IF(E324="Support(L1_L2)",SUMIFS(Support_allowance_Entries!$G:$G,Support_allowance_Entries!$B:$B,CPY!B324),0)</f>
        <v>0</v>
      </c>
      <c r="M324" s="63" t="b">
        <f>IF($D324="D0",MD!$C$4*(K324),IF($D324="D1",MD!$C$5*(K324),IF($D324="D2",MD!$C$6*(K324),IF($D324="D3",MD!$C$7*(K324),IF($D324="D4",MD!$C$8*(K324),IF($D324="D5",MD!$C$9*(K324),IF($D324="M1",MD!$C$10*(K324),IF($D324="T1",MD!$C$11*(K324)))))))))</f>
        <v>0</v>
      </c>
      <c r="O324" s="65">
        <f>SUMIFS(Shift_allowance_Entries!$G:$G,Shift_allowance_Entries!$F:$F,"6:30AM-03:30PM",Shift_allowance_Entries!$B:$B,CPY!$B324)</f>
        <v>0</v>
      </c>
      <c r="P324" s="65">
        <f>SUMIFS(Shift_allowance_Entries!$G:$G,Shift_allowance_Entries!$F:$F,"1-9PM/2:30PM-11:30PM",Shift_allowance_Entries!$B:$B,CPY!$B324)</f>
        <v>0</v>
      </c>
      <c r="Q324" s="65">
        <f>SUMIFS(Shift_allowance_Entries!$G:$G,Shift_allowance_Entries!$F:$F,"11PM-7AM",Shift_allowance_Entries!$B:$B,CPY!$B324)</f>
        <v>0</v>
      </c>
      <c r="R324" s="63">
        <f>(CPY!O324*MD!$F$4)+(CPY!P324*MD!$F$5)+(CPY!Q324*MD!$F$6)</f>
        <v>0</v>
      </c>
      <c r="T324" s="64">
        <f>ROUNDUP((SUMIFS('OOH Activities'!$K:$K,'OOH Activities'!$F:$F,"Non_workdays",'OOH Activities'!$B:$B,CPY!B324)) *24,1)</f>
        <v>0</v>
      </c>
      <c r="U324" s="64">
        <f>ROUNDUP((SUMIFS('OOH Activities'!$K:$K,'OOH Activities'!$F:$F,"Workdays",'OOH Activities'!$B:$B,CPY!B324)) *24,1)</f>
        <v>0</v>
      </c>
      <c r="V324" s="63">
        <f>ROUNDUP((SUMIFS('OOH Activities'!$L:$L,'OOH Activities'!$B:$B,CPY!B324)),1)</f>
        <v>0</v>
      </c>
      <c r="X324" s="65">
        <f>ROUNDUP((SUMIFS('ON Call_Call Out Activities'!$L:$L,'ON Call_Call Out Activities'!$F:$F,"Workdays",'ON Call_Call Out Activities'!$B:$B,CPY!B324))*24,1)</f>
        <v>0</v>
      </c>
      <c r="Y324" s="64">
        <f>ROUNDUP((SUMIFS('ON Call_Call Out Activities'!$L:$L,'ON Call_Call Out Activities'!$F:$F,"Non_workdays",'ON Call_Call Out Activities'!$B:$B,CPY!B324)) *24,1)</f>
        <v>0</v>
      </c>
      <c r="Z324" s="63">
        <f>ROUNDUP((SUMIFS('ON Call_Call Out Activities'!$M:$M,'ON Call_Call Out Activities'!$F:$F,"Non_workdays",'ON Call_Call Out Activities'!$B:$B,CPY!B324)),1) + ROUNDUP((SUMIFS('ON Call_Call Out Activities'!$M:$M,'ON Call_Call Out Activities'!$F:$F,"Workdays",'ON Call_Call Out Activities'!$B:$B,CPY!B324)),1)</f>
        <v>0</v>
      </c>
      <c r="AA324" s="66"/>
      <c r="AB324" s="64">
        <f>ROUNDUP((SUMIFS('ON Call_Call Out Activities'!$L:$L,'ON Call_Call Out Activities'!$F:$F,"Call_Out",'ON Call_Call Out Activities'!$B:$B,CPY!B324)) *24,1)</f>
        <v>0</v>
      </c>
      <c r="AC324" s="63">
        <f>ROUNDUP((SUMIFS('ON Call_Call Out Activities'!$M:$M,'ON Call_Call Out Activities'!$F:$F,"Call_Out",'ON Call_Call Out Activities'!$B:$B,CPY!B324)),1)</f>
        <v>0</v>
      </c>
      <c r="AE324" s="65">
        <f>IF((SUMIF(Shift_allowance_Entries!$B:$B,CPY!$B324,Shift_allowance_Entries!$H:$H)) &gt; (SUMIF(Shift_allowance_Entries!$B:$B,CPY!$B324,Shift_allowance_Entries!$G:$G)),0,((SUMIF(Shift_allowance_Entries!$B:$B,CPY!$B324,Shift_allowance_Entries!$G:$G))-(SUMIF(Shift_allowance_Entries!$B:$B,CPY!$B324,Shift_allowance_Entries!$H:$H))))</f>
        <v>0</v>
      </c>
      <c r="AF324" s="63">
        <f>AE324*MD!$S$4</f>
        <v>0</v>
      </c>
    </row>
    <row r="325" spans="1:32" x14ac:dyDescent="0.25">
      <c r="A325" s="62">
        <v>323</v>
      </c>
      <c r="B325" s="62"/>
      <c r="C325" s="50" t="str">
        <f>IF(ISNA(VLOOKUP($B325,Summary!$B:$D,2,FALSE))=TRUE," ",VLOOKUP($B325,Summary!$B:$D,2,FALSE))</f>
        <v> </v>
      </c>
      <c r="D325" s="50" t="str">
        <f>IF(ISNA(VLOOKUP($B325,Summary!$B:$D,3,FALSE))=TRUE," ",VLOOKUP($B325,Summary!$B:$D,3,FALSE))</f>
        <v> </v>
      </c>
      <c r="E325" s="62"/>
      <c r="F325" s="62"/>
      <c r="G325" s="62"/>
      <c r="I325" s="63">
        <f t="shared" si="5"/>
        <v>0</v>
      </c>
      <c r="K325" s="64">
        <f>IF(E325="Support(L1_L2)",IF(NOT(ISBLANK(B325)),IF(NOT(ISBLANK(D325)),NETWORKDAYS('CPY TOC'!$F$5,'CPY TOC'!$G$5))))-L325</f>
        <v>0</v>
      </c>
      <c r="L325" s="64">
        <f>IF(E325="Support(L1_L2)",SUMIFS(Support_allowance_Entries!$G:$G,Support_allowance_Entries!$B:$B,CPY!B325),0)</f>
        <v>0</v>
      </c>
      <c r="M325" s="63" t="b">
        <f>IF($D325="D0",MD!$C$4*(K325),IF($D325="D1",MD!$C$5*(K325),IF($D325="D2",MD!$C$6*(K325),IF($D325="D3",MD!$C$7*(K325),IF($D325="D4",MD!$C$8*(K325),IF($D325="D5",MD!$C$9*(K325),IF($D325="M1",MD!$C$10*(K325),IF($D325="T1",MD!$C$11*(K325)))))))))</f>
        <v>0</v>
      </c>
      <c r="O325" s="65">
        <f>SUMIFS(Shift_allowance_Entries!$G:$G,Shift_allowance_Entries!$F:$F,"6:30AM-03:30PM",Shift_allowance_Entries!$B:$B,CPY!$B325)</f>
        <v>0</v>
      </c>
      <c r="P325" s="65">
        <f>SUMIFS(Shift_allowance_Entries!$G:$G,Shift_allowance_Entries!$F:$F,"1-9PM/2:30PM-11:30PM",Shift_allowance_Entries!$B:$B,CPY!$B325)</f>
        <v>0</v>
      </c>
      <c r="Q325" s="65">
        <f>SUMIFS(Shift_allowance_Entries!$G:$G,Shift_allowance_Entries!$F:$F,"11PM-7AM",Shift_allowance_Entries!$B:$B,CPY!$B325)</f>
        <v>0</v>
      </c>
      <c r="R325" s="63">
        <f>(CPY!O325*MD!$F$4)+(CPY!P325*MD!$F$5)+(CPY!Q325*MD!$F$6)</f>
        <v>0</v>
      </c>
      <c r="T325" s="64">
        <f>ROUNDUP((SUMIFS('OOH Activities'!$K:$K,'OOH Activities'!$F:$F,"Non_workdays",'OOH Activities'!$B:$B,CPY!B325)) *24,1)</f>
        <v>0</v>
      </c>
      <c r="U325" s="64">
        <f>ROUNDUP((SUMIFS('OOH Activities'!$K:$K,'OOH Activities'!$F:$F,"Workdays",'OOH Activities'!$B:$B,CPY!B325)) *24,1)</f>
        <v>0</v>
      </c>
      <c r="V325" s="63">
        <f>ROUNDUP((SUMIFS('OOH Activities'!$L:$L,'OOH Activities'!$B:$B,CPY!B325)),1)</f>
        <v>0</v>
      </c>
      <c r="X325" s="65">
        <f>ROUNDUP((SUMIFS('ON Call_Call Out Activities'!$L:$L,'ON Call_Call Out Activities'!$F:$F,"Workdays",'ON Call_Call Out Activities'!$B:$B,CPY!B325))*24,1)</f>
        <v>0</v>
      </c>
      <c r="Y325" s="64">
        <f>ROUNDUP((SUMIFS('ON Call_Call Out Activities'!$L:$L,'ON Call_Call Out Activities'!$F:$F,"Non_workdays",'ON Call_Call Out Activities'!$B:$B,CPY!B325)) *24,1)</f>
        <v>0</v>
      </c>
      <c r="Z325" s="63">
        <f>ROUNDUP((SUMIFS('ON Call_Call Out Activities'!$M:$M,'ON Call_Call Out Activities'!$F:$F,"Non_workdays",'ON Call_Call Out Activities'!$B:$B,CPY!B325)),1) + ROUNDUP((SUMIFS('ON Call_Call Out Activities'!$M:$M,'ON Call_Call Out Activities'!$F:$F,"Workdays",'ON Call_Call Out Activities'!$B:$B,CPY!B325)),1)</f>
        <v>0</v>
      </c>
      <c r="AA325" s="66"/>
      <c r="AB325" s="64">
        <f>ROUNDUP((SUMIFS('ON Call_Call Out Activities'!$L:$L,'ON Call_Call Out Activities'!$F:$F,"Call_Out",'ON Call_Call Out Activities'!$B:$B,CPY!B325)) *24,1)</f>
        <v>0</v>
      </c>
      <c r="AC325" s="63">
        <f>ROUNDUP((SUMIFS('ON Call_Call Out Activities'!$M:$M,'ON Call_Call Out Activities'!$F:$F,"Call_Out",'ON Call_Call Out Activities'!$B:$B,CPY!B325)),1)</f>
        <v>0</v>
      </c>
      <c r="AE325" s="65">
        <f>IF((SUMIF(Shift_allowance_Entries!$B:$B,CPY!$B325,Shift_allowance_Entries!$H:$H)) &gt; (SUMIF(Shift_allowance_Entries!$B:$B,CPY!$B325,Shift_allowance_Entries!$G:$G)),0,((SUMIF(Shift_allowance_Entries!$B:$B,CPY!$B325,Shift_allowance_Entries!$G:$G))-(SUMIF(Shift_allowance_Entries!$B:$B,CPY!$B325,Shift_allowance_Entries!$H:$H))))</f>
        <v>0</v>
      </c>
      <c r="AF325" s="63">
        <f>AE325*MD!$S$4</f>
        <v>0</v>
      </c>
    </row>
    <row r="326" spans="1:32" x14ac:dyDescent="0.25">
      <c r="A326" s="62">
        <v>324</v>
      </c>
      <c r="B326" s="62"/>
      <c r="C326" s="50" t="str">
        <f>IF(ISNA(VLOOKUP($B326,Summary!$B:$D,2,FALSE))=TRUE," ",VLOOKUP($B326,Summary!$B:$D,2,FALSE))</f>
        <v> </v>
      </c>
      <c r="D326" s="50" t="str">
        <f>IF(ISNA(VLOOKUP($B326,Summary!$B:$D,3,FALSE))=TRUE," ",VLOOKUP($B326,Summary!$B:$D,3,FALSE))</f>
        <v> </v>
      </c>
      <c r="E326" s="62"/>
      <c r="F326" s="62"/>
      <c r="G326" s="62"/>
      <c r="I326" s="63">
        <f t="shared" si="5"/>
        <v>0</v>
      </c>
      <c r="K326" s="64">
        <f>IF(E326="Support(L1_L2)",IF(NOT(ISBLANK(B326)),IF(NOT(ISBLANK(D326)),NETWORKDAYS('CPY TOC'!$F$5,'CPY TOC'!$G$5))))-L326</f>
        <v>0</v>
      </c>
      <c r="L326" s="64">
        <f>IF(E326="Support(L1_L2)",SUMIFS(Support_allowance_Entries!$G:$G,Support_allowance_Entries!$B:$B,CPY!B326),0)</f>
        <v>0</v>
      </c>
      <c r="M326" s="63" t="b">
        <f>IF($D326="D0",MD!$C$4*(K326),IF($D326="D1",MD!$C$5*(K326),IF($D326="D2",MD!$C$6*(K326),IF($D326="D3",MD!$C$7*(K326),IF($D326="D4",MD!$C$8*(K326),IF($D326="D5",MD!$C$9*(K326),IF($D326="M1",MD!$C$10*(K326),IF($D326="T1",MD!$C$11*(K326)))))))))</f>
        <v>0</v>
      </c>
      <c r="O326" s="65">
        <f>SUMIFS(Shift_allowance_Entries!$G:$G,Shift_allowance_Entries!$F:$F,"6:30AM-03:30PM",Shift_allowance_Entries!$B:$B,CPY!$B326)</f>
        <v>0</v>
      </c>
      <c r="P326" s="65">
        <f>SUMIFS(Shift_allowance_Entries!$G:$G,Shift_allowance_Entries!$F:$F,"1-9PM/2:30PM-11:30PM",Shift_allowance_Entries!$B:$B,CPY!$B326)</f>
        <v>0</v>
      </c>
      <c r="Q326" s="65">
        <f>SUMIFS(Shift_allowance_Entries!$G:$G,Shift_allowance_Entries!$F:$F,"11PM-7AM",Shift_allowance_Entries!$B:$B,CPY!$B326)</f>
        <v>0</v>
      </c>
      <c r="R326" s="63">
        <f>(CPY!O326*MD!$F$4)+(CPY!P326*MD!$F$5)+(CPY!Q326*MD!$F$6)</f>
        <v>0</v>
      </c>
      <c r="T326" s="64">
        <f>ROUNDUP((SUMIFS('OOH Activities'!$K:$K,'OOH Activities'!$F:$F,"Non_workdays",'OOH Activities'!$B:$B,CPY!B326)) *24,1)</f>
        <v>0</v>
      </c>
      <c r="U326" s="64">
        <f>ROUNDUP((SUMIFS('OOH Activities'!$K:$K,'OOH Activities'!$F:$F,"Workdays",'OOH Activities'!$B:$B,CPY!B326)) *24,1)</f>
        <v>0</v>
      </c>
      <c r="V326" s="63">
        <f>ROUNDUP((SUMIFS('OOH Activities'!$L:$L,'OOH Activities'!$B:$B,CPY!B326)),1)</f>
        <v>0</v>
      </c>
      <c r="X326" s="65">
        <f>ROUNDUP((SUMIFS('ON Call_Call Out Activities'!$L:$L,'ON Call_Call Out Activities'!$F:$F,"Workdays",'ON Call_Call Out Activities'!$B:$B,CPY!B326))*24,1)</f>
        <v>0</v>
      </c>
      <c r="Y326" s="64">
        <f>ROUNDUP((SUMIFS('ON Call_Call Out Activities'!$L:$L,'ON Call_Call Out Activities'!$F:$F,"Non_workdays",'ON Call_Call Out Activities'!$B:$B,CPY!B326)) *24,1)</f>
        <v>0</v>
      </c>
      <c r="Z326" s="63">
        <f>ROUNDUP((SUMIFS('ON Call_Call Out Activities'!$M:$M,'ON Call_Call Out Activities'!$F:$F,"Non_workdays",'ON Call_Call Out Activities'!$B:$B,CPY!B326)),1) + ROUNDUP((SUMIFS('ON Call_Call Out Activities'!$M:$M,'ON Call_Call Out Activities'!$F:$F,"Workdays",'ON Call_Call Out Activities'!$B:$B,CPY!B326)),1)</f>
        <v>0</v>
      </c>
      <c r="AA326" s="66"/>
      <c r="AB326" s="64">
        <f>ROUNDUP((SUMIFS('ON Call_Call Out Activities'!$L:$L,'ON Call_Call Out Activities'!$F:$F,"Call_Out",'ON Call_Call Out Activities'!$B:$B,CPY!B326)) *24,1)</f>
        <v>0</v>
      </c>
      <c r="AC326" s="63">
        <f>ROUNDUP((SUMIFS('ON Call_Call Out Activities'!$M:$M,'ON Call_Call Out Activities'!$F:$F,"Call_Out",'ON Call_Call Out Activities'!$B:$B,CPY!B326)),1)</f>
        <v>0</v>
      </c>
      <c r="AE326" s="65">
        <f>IF((SUMIF(Shift_allowance_Entries!$B:$B,CPY!$B326,Shift_allowance_Entries!$H:$H)) &gt; (SUMIF(Shift_allowance_Entries!$B:$B,CPY!$B326,Shift_allowance_Entries!$G:$G)),0,((SUMIF(Shift_allowance_Entries!$B:$B,CPY!$B326,Shift_allowance_Entries!$G:$G))-(SUMIF(Shift_allowance_Entries!$B:$B,CPY!$B326,Shift_allowance_Entries!$H:$H))))</f>
        <v>0</v>
      </c>
      <c r="AF326" s="63">
        <f>AE326*MD!$S$4</f>
        <v>0</v>
      </c>
    </row>
    <row r="327" spans="1:32" x14ac:dyDescent="0.25">
      <c r="A327" s="62">
        <v>325</v>
      </c>
      <c r="B327" s="62"/>
      <c r="C327" s="50" t="str">
        <f>IF(ISNA(VLOOKUP($B327,Summary!$B:$D,2,FALSE))=TRUE," ",VLOOKUP($B327,Summary!$B:$D,2,FALSE))</f>
        <v> </v>
      </c>
      <c r="D327" s="50" t="str">
        <f>IF(ISNA(VLOOKUP($B327,Summary!$B:$D,3,FALSE))=TRUE," ",VLOOKUP($B327,Summary!$B:$D,3,FALSE))</f>
        <v> </v>
      </c>
      <c r="E327" s="62"/>
      <c r="F327" s="62"/>
      <c r="G327" s="62"/>
      <c r="I327" s="63">
        <f t="shared" si="5"/>
        <v>0</v>
      </c>
      <c r="K327" s="64">
        <f>IF(E327="Support(L1_L2)",IF(NOT(ISBLANK(B327)),IF(NOT(ISBLANK(D327)),NETWORKDAYS('CPY TOC'!$F$5,'CPY TOC'!$G$5))))-L327</f>
        <v>0</v>
      </c>
      <c r="L327" s="64">
        <f>IF(E327="Support(L1_L2)",SUMIFS(Support_allowance_Entries!$G:$G,Support_allowance_Entries!$B:$B,CPY!B327),0)</f>
        <v>0</v>
      </c>
      <c r="M327" s="63" t="b">
        <f>IF($D327="D0",MD!$C$4*(K327),IF($D327="D1",MD!$C$5*(K327),IF($D327="D2",MD!$C$6*(K327),IF($D327="D3",MD!$C$7*(K327),IF($D327="D4",MD!$C$8*(K327),IF($D327="D5",MD!$C$9*(K327),IF($D327="M1",MD!$C$10*(K327),IF($D327="T1",MD!$C$11*(K327)))))))))</f>
        <v>0</v>
      </c>
      <c r="O327" s="65">
        <f>SUMIFS(Shift_allowance_Entries!$G:$G,Shift_allowance_Entries!$F:$F,"6:30AM-03:30PM",Shift_allowance_Entries!$B:$B,CPY!$B327)</f>
        <v>0</v>
      </c>
      <c r="P327" s="65">
        <f>SUMIFS(Shift_allowance_Entries!$G:$G,Shift_allowance_Entries!$F:$F,"1-9PM/2:30PM-11:30PM",Shift_allowance_Entries!$B:$B,CPY!$B327)</f>
        <v>0</v>
      </c>
      <c r="Q327" s="65">
        <f>SUMIFS(Shift_allowance_Entries!$G:$G,Shift_allowance_Entries!$F:$F,"11PM-7AM",Shift_allowance_Entries!$B:$B,CPY!$B327)</f>
        <v>0</v>
      </c>
      <c r="R327" s="63">
        <f>(CPY!O327*MD!$F$4)+(CPY!P327*MD!$F$5)+(CPY!Q327*MD!$F$6)</f>
        <v>0</v>
      </c>
      <c r="T327" s="64">
        <f>ROUNDUP((SUMIFS('OOH Activities'!$K:$K,'OOH Activities'!$F:$F,"Non_workdays",'OOH Activities'!$B:$B,CPY!B327)) *24,1)</f>
        <v>0</v>
      </c>
      <c r="U327" s="64">
        <f>ROUNDUP((SUMIFS('OOH Activities'!$K:$K,'OOH Activities'!$F:$F,"Workdays",'OOH Activities'!$B:$B,CPY!B327)) *24,1)</f>
        <v>0</v>
      </c>
      <c r="V327" s="63">
        <f>ROUNDUP((SUMIFS('OOH Activities'!$L:$L,'OOH Activities'!$B:$B,CPY!B327)),1)</f>
        <v>0</v>
      </c>
      <c r="X327" s="65">
        <f>ROUNDUP((SUMIFS('ON Call_Call Out Activities'!$L:$L,'ON Call_Call Out Activities'!$F:$F,"Workdays",'ON Call_Call Out Activities'!$B:$B,CPY!B327))*24,1)</f>
        <v>0</v>
      </c>
      <c r="Y327" s="64">
        <f>ROUNDUP((SUMIFS('ON Call_Call Out Activities'!$L:$L,'ON Call_Call Out Activities'!$F:$F,"Non_workdays",'ON Call_Call Out Activities'!$B:$B,CPY!B327)) *24,1)</f>
        <v>0</v>
      </c>
      <c r="Z327" s="63">
        <f>ROUNDUP((SUMIFS('ON Call_Call Out Activities'!$M:$M,'ON Call_Call Out Activities'!$F:$F,"Non_workdays",'ON Call_Call Out Activities'!$B:$B,CPY!B327)),1) + ROUNDUP((SUMIFS('ON Call_Call Out Activities'!$M:$M,'ON Call_Call Out Activities'!$F:$F,"Workdays",'ON Call_Call Out Activities'!$B:$B,CPY!B327)),1)</f>
        <v>0</v>
      </c>
      <c r="AA327" s="66"/>
      <c r="AB327" s="64">
        <f>ROUNDUP((SUMIFS('ON Call_Call Out Activities'!$L:$L,'ON Call_Call Out Activities'!$F:$F,"Call_Out",'ON Call_Call Out Activities'!$B:$B,CPY!B327)) *24,1)</f>
        <v>0</v>
      </c>
      <c r="AC327" s="63">
        <f>ROUNDUP((SUMIFS('ON Call_Call Out Activities'!$M:$M,'ON Call_Call Out Activities'!$F:$F,"Call_Out",'ON Call_Call Out Activities'!$B:$B,CPY!B327)),1)</f>
        <v>0</v>
      </c>
      <c r="AE327" s="65">
        <f>IF((SUMIF(Shift_allowance_Entries!$B:$B,CPY!$B327,Shift_allowance_Entries!$H:$H)) &gt; (SUMIF(Shift_allowance_Entries!$B:$B,CPY!$B327,Shift_allowance_Entries!$G:$G)),0,((SUMIF(Shift_allowance_Entries!$B:$B,CPY!$B327,Shift_allowance_Entries!$G:$G))-(SUMIF(Shift_allowance_Entries!$B:$B,CPY!$B327,Shift_allowance_Entries!$H:$H))))</f>
        <v>0</v>
      </c>
      <c r="AF327" s="63">
        <f>AE327*MD!$S$4</f>
        <v>0</v>
      </c>
    </row>
    <row r="328" spans="1:32" x14ac:dyDescent="0.25">
      <c r="A328" s="62">
        <v>326</v>
      </c>
      <c r="B328" s="62"/>
      <c r="C328" s="50" t="str">
        <f>IF(ISNA(VLOOKUP($B328,Summary!$B:$D,2,FALSE))=TRUE," ",VLOOKUP($B328,Summary!$B:$D,2,FALSE))</f>
        <v> </v>
      </c>
      <c r="D328" s="50" t="str">
        <f>IF(ISNA(VLOOKUP($B328,Summary!$B:$D,3,FALSE))=TRUE," ",VLOOKUP($B328,Summary!$B:$D,3,FALSE))</f>
        <v> </v>
      </c>
      <c r="E328" s="62"/>
      <c r="F328" s="62"/>
      <c r="G328" s="62"/>
      <c r="I328" s="63">
        <f t="shared" si="5"/>
        <v>0</v>
      </c>
      <c r="K328" s="64">
        <f>IF(E328="Support(L1_L2)",IF(NOT(ISBLANK(B328)),IF(NOT(ISBLANK(D328)),NETWORKDAYS('CPY TOC'!$F$5,'CPY TOC'!$G$5))))-L328</f>
        <v>0</v>
      </c>
      <c r="L328" s="64">
        <f>IF(E328="Support(L1_L2)",SUMIFS(Support_allowance_Entries!$G:$G,Support_allowance_Entries!$B:$B,CPY!B328),0)</f>
        <v>0</v>
      </c>
      <c r="M328" s="63" t="b">
        <f>IF($D328="D0",MD!$C$4*(K328),IF($D328="D1",MD!$C$5*(K328),IF($D328="D2",MD!$C$6*(K328),IF($D328="D3",MD!$C$7*(K328),IF($D328="D4",MD!$C$8*(K328),IF($D328="D5",MD!$C$9*(K328),IF($D328="M1",MD!$C$10*(K328),IF($D328="T1",MD!$C$11*(K328)))))))))</f>
        <v>0</v>
      </c>
      <c r="O328" s="65">
        <f>SUMIFS(Shift_allowance_Entries!$G:$G,Shift_allowance_Entries!$F:$F,"6:30AM-03:30PM",Shift_allowance_Entries!$B:$B,CPY!$B328)</f>
        <v>0</v>
      </c>
      <c r="P328" s="65">
        <f>SUMIFS(Shift_allowance_Entries!$G:$G,Shift_allowance_Entries!$F:$F,"1-9PM/2:30PM-11:30PM",Shift_allowance_Entries!$B:$B,CPY!$B328)</f>
        <v>0</v>
      </c>
      <c r="Q328" s="65">
        <f>SUMIFS(Shift_allowance_Entries!$G:$G,Shift_allowance_Entries!$F:$F,"11PM-7AM",Shift_allowance_Entries!$B:$B,CPY!$B328)</f>
        <v>0</v>
      </c>
      <c r="R328" s="63">
        <f>(CPY!O328*MD!$F$4)+(CPY!P328*MD!$F$5)+(CPY!Q328*MD!$F$6)</f>
        <v>0</v>
      </c>
      <c r="T328" s="64">
        <f>ROUNDUP((SUMIFS('OOH Activities'!$K:$K,'OOH Activities'!$F:$F,"Non_workdays",'OOH Activities'!$B:$B,CPY!B328)) *24,1)</f>
        <v>0</v>
      </c>
      <c r="U328" s="64">
        <f>ROUNDUP((SUMIFS('OOH Activities'!$K:$K,'OOH Activities'!$F:$F,"Workdays",'OOH Activities'!$B:$B,CPY!B328)) *24,1)</f>
        <v>0</v>
      </c>
      <c r="V328" s="63">
        <f>ROUNDUP((SUMIFS('OOH Activities'!$L:$L,'OOH Activities'!$B:$B,CPY!B328)),1)</f>
        <v>0</v>
      </c>
      <c r="X328" s="65">
        <f>ROUNDUP((SUMIFS('ON Call_Call Out Activities'!$L:$L,'ON Call_Call Out Activities'!$F:$F,"Workdays",'ON Call_Call Out Activities'!$B:$B,CPY!B328))*24,1)</f>
        <v>0</v>
      </c>
      <c r="Y328" s="64">
        <f>ROUNDUP((SUMIFS('ON Call_Call Out Activities'!$L:$L,'ON Call_Call Out Activities'!$F:$F,"Non_workdays",'ON Call_Call Out Activities'!$B:$B,CPY!B328)) *24,1)</f>
        <v>0</v>
      </c>
      <c r="Z328" s="63">
        <f>ROUNDUP((SUMIFS('ON Call_Call Out Activities'!$M:$M,'ON Call_Call Out Activities'!$F:$F,"Non_workdays",'ON Call_Call Out Activities'!$B:$B,CPY!B328)),1) + ROUNDUP((SUMIFS('ON Call_Call Out Activities'!$M:$M,'ON Call_Call Out Activities'!$F:$F,"Workdays",'ON Call_Call Out Activities'!$B:$B,CPY!B328)),1)</f>
        <v>0</v>
      </c>
      <c r="AA328" s="66"/>
      <c r="AB328" s="64">
        <f>ROUNDUP((SUMIFS('ON Call_Call Out Activities'!$L:$L,'ON Call_Call Out Activities'!$F:$F,"Call_Out",'ON Call_Call Out Activities'!$B:$B,CPY!B328)) *24,1)</f>
        <v>0</v>
      </c>
      <c r="AC328" s="63">
        <f>ROUNDUP((SUMIFS('ON Call_Call Out Activities'!$M:$M,'ON Call_Call Out Activities'!$F:$F,"Call_Out",'ON Call_Call Out Activities'!$B:$B,CPY!B328)),1)</f>
        <v>0</v>
      </c>
      <c r="AE328" s="65">
        <f>IF((SUMIF(Shift_allowance_Entries!$B:$B,CPY!$B328,Shift_allowance_Entries!$H:$H)) &gt; (SUMIF(Shift_allowance_Entries!$B:$B,CPY!$B328,Shift_allowance_Entries!$G:$G)),0,((SUMIF(Shift_allowance_Entries!$B:$B,CPY!$B328,Shift_allowance_Entries!$G:$G))-(SUMIF(Shift_allowance_Entries!$B:$B,CPY!$B328,Shift_allowance_Entries!$H:$H))))</f>
        <v>0</v>
      </c>
      <c r="AF328" s="63">
        <f>AE328*MD!$S$4</f>
        <v>0</v>
      </c>
    </row>
    <row r="329" spans="1:32" x14ac:dyDescent="0.25">
      <c r="A329" s="62">
        <v>327</v>
      </c>
      <c r="B329" s="62"/>
      <c r="C329" s="50" t="str">
        <f>IF(ISNA(VLOOKUP($B329,Summary!$B:$D,2,FALSE))=TRUE," ",VLOOKUP($B329,Summary!$B:$D,2,FALSE))</f>
        <v> </v>
      </c>
      <c r="D329" s="50" t="str">
        <f>IF(ISNA(VLOOKUP($B329,Summary!$B:$D,3,FALSE))=TRUE," ",VLOOKUP($B329,Summary!$B:$D,3,FALSE))</f>
        <v> </v>
      </c>
      <c r="E329" s="62"/>
      <c r="F329" s="62"/>
      <c r="G329" s="62"/>
      <c r="I329" s="63">
        <f t="shared" si="5"/>
        <v>0</v>
      </c>
      <c r="K329" s="64">
        <f>IF(E329="Support(L1_L2)",IF(NOT(ISBLANK(B329)),IF(NOT(ISBLANK(D329)),NETWORKDAYS('CPY TOC'!$F$5,'CPY TOC'!$G$5))))-L329</f>
        <v>0</v>
      </c>
      <c r="L329" s="64">
        <f>IF(E329="Support(L1_L2)",SUMIFS(Support_allowance_Entries!$G:$G,Support_allowance_Entries!$B:$B,CPY!B329),0)</f>
        <v>0</v>
      </c>
      <c r="M329" s="63" t="b">
        <f>IF($D329="D0",MD!$C$4*(K329),IF($D329="D1",MD!$C$5*(K329),IF($D329="D2",MD!$C$6*(K329),IF($D329="D3",MD!$C$7*(K329),IF($D329="D4",MD!$C$8*(K329),IF($D329="D5",MD!$C$9*(K329),IF($D329="M1",MD!$C$10*(K329),IF($D329="T1",MD!$C$11*(K329)))))))))</f>
        <v>0</v>
      </c>
      <c r="O329" s="65">
        <f>SUMIFS(Shift_allowance_Entries!$G:$G,Shift_allowance_Entries!$F:$F,"6:30AM-03:30PM",Shift_allowance_Entries!$B:$B,CPY!$B329)</f>
        <v>0</v>
      </c>
      <c r="P329" s="65">
        <f>SUMIFS(Shift_allowance_Entries!$G:$G,Shift_allowance_Entries!$F:$F,"1-9PM/2:30PM-11:30PM",Shift_allowance_Entries!$B:$B,CPY!$B329)</f>
        <v>0</v>
      </c>
      <c r="Q329" s="65">
        <f>SUMIFS(Shift_allowance_Entries!$G:$G,Shift_allowance_Entries!$F:$F,"11PM-7AM",Shift_allowance_Entries!$B:$B,CPY!$B329)</f>
        <v>0</v>
      </c>
      <c r="R329" s="63">
        <f>(CPY!O329*MD!$F$4)+(CPY!P329*MD!$F$5)+(CPY!Q329*MD!$F$6)</f>
        <v>0</v>
      </c>
      <c r="T329" s="64">
        <f>ROUNDUP((SUMIFS('OOH Activities'!$K:$K,'OOH Activities'!$F:$F,"Non_workdays",'OOH Activities'!$B:$B,CPY!B329)) *24,1)</f>
        <v>0</v>
      </c>
      <c r="U329" s="64">
        <f>ROUNDUP((SUMIFS('OOH Activities'!$K:$K,'OOH Activities'!$F:$F,"Workdays",'OOH Activities'!$B:$B,CPY!B329)) *24,1)</f>
        <v>0</v>
      </c>
      <c r="V329" s="63">
        <f>ROUNDUP((SUMIFS('OOH Activities'!$L:$L,'OOH Activities'!$B:$B,CPY!B329)),1)</f>
        <v>0</v>
      </c>
      <c r="X329" s="65">
        <f>ROUNDUP((SUMIFS('ON Call_Call Out Activities'!$L:$L,'ON Call_Call Out Activities'!$F:$F,"Workdays",'ON Call_Call Out Activities'!$B:$B,CPY!B329))*24,1)</f>
        <v>0</v>
      </c>
      <c r="Y329" s="64">
        <f>ROUNDUP((SUMIFS('ON Call_Call Out Activities'!$L:$L,'ON Call_Call Out Activities'!$F:$F,"Non_workdays",'ON Call_Call Out Activities'!$B:$B,CPY!B329)) *24,1)</f>
        <v>0</v>
      </c>
      <c r="Z329" s="63">
        <f>ROUNDUP((SUMIFS('ON Call_Call Out Activities'!$M:$M,'ON Call_Call Out Activities'!$F:$F,"Non_workdays",'ON Call_Call Out Activities'!$B:$B,CPY!B329)),1) + ROUNDUP((SUMIFS('ON Call_Call Out Activities'!$M:$M,'ON Call_Call Out Activities'!$F:$F,"Workdays",'ON Call_Call Out Activities'!$B:$B,CPY!B329)),1)</f>
        <v>0</v>
      </c>
      <c r="AA329" s="66"/>
      <c r="AB329" s="64">
        <f>ROUNDUP((SUMIFS('ON Call_Call Out Activities'!$L:$L,'ON Call_Call Out Activities'!$F:$F,"Call_Out",'ON Call_Call Out Activities'!$B:$B,CPY!B329)) *24,1)</f>
        <v>0</v>
      </c>
      <c r="AC329" s="63">
        <f>ROUNDUP((SUMIFS('ON Call_Call Out Activities'!$M:$M,'ON Call_Call Out Activities'!$F:$F,"Call_Out",'ON Call_Call Out Activities'!$B:$B,CPY!B329)),1)</f>
        <v>0</v>
      </c>
      <c r="AE329" s="65">
        <f>IF((SUMIF(Shift_allowance_Entries!$B:$B,CPY!$B329,Shift_allowance_Entries!$H:$H)) &gt; (SUMIF(Shift_allowance_Entries!$B:$B,CPY!$B329,Shift_allowance_Entries!$G:$G)),0,((SUMIF(Shift_allowance_Entries!$B:$B,CPY!$B329,Shift_allowance_Entries!$G:$G))-(SUMIF(Shift_allowance_Entries!$B:$B,CPY!$B329,Shift_allowance_Entries!$H:$H))))</f>
        <v>0</v>
      </c>
      <c r="AF329" s="63">
        <f>AE329*MD!$S$4</f>
        <v>0</v>
      </c>
    </row>
    <row r="330" spans="1:32" x14ac:dyDescent="0.25">
      <c r="A330" s="62">
        <v>328</v>
      </c>
      <c r="B330" s="62"/>
      <c r="C330" s="50" t="str">
        <f>IF(ISNA(VLOOKUP($B330,Summary!$B:$D,2,FALSE))=TRUE," ",VLOOKUP($B330,Summary!$B:$D,2,FALSE))</f>
        <v> </v>
      </c>
      <c r="D330" s="50" t="str">
        <f>IF(ISNA(VLOOKUP($B330,Summary!$B:$D,3,FALSE))=TRUE," ",VLOOKUP($B330,Summary!$B:$D,3,FALSE))</f>
        <v> </v>
      </c>
      <c r="E330" s="62"/>
      <c r="F330" s="62"/>
      <c r="G330" s="62"/>
      <c r="I330" s="63">
        <f t="shared" si="5"/>
        <v>0</v>
      </c>
      <c r="K330" s="64">
        <f>IF(E330="Support(L1_L2)",IF(NOT(ISBLANK(B330)),IF(NOT(ISBLANK(D330)),NETWORKDAYS('CPY TOC'!$F$5,'CPY TOC'!$G$5))))-L330</f>
        <v>0</v>
      </c>
      <c r="L330" s="64">
        <f>IF(E330="Support(L1_L2)",SUMIFS(Support_allowance_Entries!$G:$G,Support_allowance_Entries!$B:$B,CPY!B330),0)</f>
        <v>0</v>
      </c>
      <c r="M330" s="63" t="b">
        <f>IF($D330="D0",MD!$C$4*(K330),IF($D330="D1",MD!$C$5*(K330),IF($D330="D2",MD!$C$6*(K330),IF($D330="D3",MD!$C$7*(K330),IF($D330="D4",MD!$C$8*(K330),IF($D330="D5",MD!$C$9*(K330),IF($D330="M1",MD!$C$10*(K330),IF($D330="T1",MD!$C$11*(K330)))))))))</f>
        <v>0</v>
      </c>
      <c r="O330" s="65">
        <f>SUMIFS(Shift_allowance_Entries!$G:$G,Shift_allowance_Entries!$F:$F,"6:30AM-03:30PM",Shift_allowance_Entries!$B:$B,CPY!$B330)</f>
        <v>0</v>
      </c>
      <c r="P330" s="65">
        <f>SUMIFS(Shift_allowance_Entries!$G:$G,Shift_allowance_Entries!$F:$F,"1-9PM/2:30PM-11:30PM",Shift_allowance_Entries!$B:$B,CPY!$B330)</f>
        <v>0</v>
      </c>
      <c r="Q330" s="65">
        <f>SUMIFS(Shift_allowance_Entries!$G:$G,Shift_allowance_Entries!$F:$F,"11PM-7AM",Shift_allowance_Entries!$B:$B,CPY!$B330)</f>
        <v>0</v>
      </c>
      <c r="R330" s="63">
        <f>(CPY!O330*MD!$F$4)+(CPY!P330*MD!$F$5)+(CPY!Q330*MD!$F$6)</f>
        <v>0</v>
      </c>
      <c r="T330" s="64">
        <f>ROUNDUP((SUMIFS('OOH Activities'!$K:$K,'OOH Activities'!$F:$F,"Non_workdays",'OOH Activities'!$B:$B,CPY!B330)) *24,1)</f>
        <v>0</v>
      </c>
      <c r="U330" s="64">
        <f>ROUNDUP((SUMIFS('OOH Activities'!$K:$K,'OOH Activities'!$F:$F,"Workdays",'OOH Activities'!$B:$B,CPY!B330)) *24,1)</f>
        <v>0</v>
      </c>
      <c r="V330" s="63">
        <f>ROUNDUP((SUMIFS('OOH Activities'!$L:$L,'OOH Activities'!$B:$B,CPY!B330)),1)</f>
        <v>0</v>
      </c>
      <c r="X330" s="65">
        <f>ROUNDUP((SUMIFS('ON Call_Call Out Activities'!$L:$L,'ON Call_Call Out Activities'!$F:$F,"Workdays",'ON Call_Call Out Activities'!$B:$B,CPY!B330))*24,1)</f>
        <v>0</v>
      </c>
      <c r="Y330" s="64">
        <f>ROUNDUP((SUMIFS('ON Call_Call Out Activities'!$L:$L,'ON Call_Call Out Activities'!$F:$F,"Non_workdays",'ON Call_Call Out Activities'!$B:$B,CPY!B330)) *24,1)</f>
        <v>0</v>
      </c>
      <c r="Z330" s="63">
        <f>ROUNDUP((SUMIFS('ON Call_Call Out Activities'!$M:$M,'ON Call_Call Out Activities'!$F:$F,"Non_workdays",'ON Call_Call Out Activities'!$B:$B,CPY!B330)),1) + ROUNDUP((SUMIFS('ON Call_Call Out Activities'!$M:$M,'ON Call_Call Out Activities'!$F:$F,"Workdays",'ON Call_Call Out Activities'!$B:$B,CPY!B330)),1)</f>
        <v>0</v>
      </c>
      <c r="AA330" s="66"/>
      <c r="AB330" s="64">
        <f>ROUNDUP((SUMIFS('ON Call_Call Out Activities'!$L:$L,'ON Call_Call Out Activities'!$F:$F,"Call_Out",'ON Call_Call Out Activities'!$B:$B,CPY!B330)) *24,1)</f>
        <v>0</v>
      </c>
      <c r="AC330" s="63">
        <f>ROUNDUP((SUMIFS('ON Call_Call Out Activities'!$M:$M,'ON Call_Call Out Activities'!$F:$F,"Call_Out",'ON Call_Call Out Activities'!$B:$B,CPY!B330)),1)</f>
        <v>0</v>
      </c>
      <c r="AE330" s="65">
        <f>IF((SUMIF(Shift_allowance_Entries!$B:$B,CPY!$B330,Shift_allowance_Entries!$H:$H)) &gt; (SUMIF(Shift_allowance_Entries!$B:$B,CPY!$B330,Shift_allowance_Entries!$G:$G)),0,((SUMIF(Shift_allowance_Entries!$B:$B,CPY!$B330,Shift_allowance_Entries!$G:$G))-(SUMIF(Shift_allowance_Entries!$B:$B,CPY!$B330,Shift_allowance_Entries!$H:$H))))</f>
        <v>0</v>
      </c>
      <c r="AF330" s="63">
        <f>AE330*MD!$S$4</f>
        <v>0</v>
      </c>
    </row>
    <row r="331" spans="1:32" x14ac:dyDescent="0.25">
      <c r="A331" s="62">
        <v>329</v>
      </c>
      <c r="B331" s="62"/>
      <c r="C331" s="50" t="str">
        <f>IF(ISNA(VLOOKUP($B331,Summary!$B:$D,2,FALSE))=TRUE," ",VLOOKUP($B331,Summary!$B:$D,2,FALSE))</f>
        <v> </v>
      </c>
      <c r="D331" s="50" t="str">
        <f>IF(ISNA(VLOOKUP($B331,Summary!$B:$D,3,FALSE))=TRUE," ",VLOOKUP($B331,Summary!$B:$D,3,FALSE))</f>
        <v> </v>
      </c>
      <c r="E331" s="62"/>
      <c r="F331" s="62"/>
      <c r="G331" s="62"/>
      <c r="I331" s="63">
        <f t="shared" si="5"/>
        <v>0</v>
      </c>
      <c r="K331" s="64">
        <f>IF(E331="Support(L1_L2)",IF(NOT(ISBLANK(B331)),IF(NOT(ISBLANK(D331)),NETWORKDAYS('CPY TOC'!$F$5,'CPY TOC'!$G$5))))-L331</f>
        <v>0</v>
      </c>
      <c r="L331" s="64">
        <f>IF(E331="Support(L1_L2)",SUMIFS(Support_allowance_Entries!$G:$G,Support_allowance_Entries!$B:$B,CPY!B331),0)</f>
        <v>0</v>
      </c>
      <c r="M331" s="63" t="b">
        <f>IF($D331="D0",MD!$C$4*(K331),IF($D331="D1",MD!$C$5*(K331),IF($D331="D2",MD!$C$6*(K331),IF($D331="D3",MD!$C$7*(K331),IF($D331="D4",MD!$C$8*(K331),IF($D331="D5",MD!$C$9*(K331),IF($D331="M1",MD!$C$10*(K331),IF($D331="T1",MD!$C$11*(K331)))))))))</f>
        <v>0</v>
      </c>
      <c r="O331" s="65">
        <f>SUMIFS(Shift_allowance_Entries!$G:$G,Shift_allowance_Entries!$F:$F,"6:30AM-03:30PM",Shift_allowance_Entries!$B:$B,CPY!$B331)</f>
        <v>0</v>
      </c>
      <c r="P331" s="65">
        <f>SUMIFS(Shift_allowance_Entries!$G:$G,Shift_allowance_Entries!$F:$F,"1-9PM/2:30PM-11:30PM",Shift_allowance_Entries!$B:$B,CPY!$B331)</f>
        <v>0</v>
      </c>
      <c r="Q331" s="65">
        <f>SUMIFS(Shift_allowance_Entries!$G:$G,Shift_allowance_Entries!$F:$F,"11PM-7AM",Shift_allowance_Entries!$B:$B,CPY!$B331)</f>
        <v>0</v>
      </c>
      <c r="R331" s="63">
        <f>(CPY!O331*MD!$F$4)+(CPY!P331*MD!$F$5)+(CPY!Q331*MD!$F$6)</f>
        <v>0</v>
      </c>
      <c r="T331" s="64">
        <f>ROUNDUP((SUMIFS('OOH Activities'!$K:$K,'OOH Activities'!$F:$F,"Non_workdays",'OOH Activities'!$B:$B,CPY!B331)) *24,1)</f>
        <v>0</v>
      </c>
      <c r="U331" s="64">
        <f>ROUNDUP((SUMIFS('OOH Activities'!$K:$K,'OOH Activities'!$F:$F,"Workdays",'OOH Activities'!$B:$B,CPY!B331)) *24,1)</f>
        <v>0</v>
      </c>
      <c r="V331" s="63">
        <f>ROUNDUP((SUMIFS('OOH Activities'!$L:$L,'OOH Activities'!$B:$B,CPY!B331)),1)</f>
        <v>0</v>
      </c>
      <c r="X331" s="65">
        <f>ROUNDUP((SUMIFS('ON Call_Call Out Activities'!$L:$L,'ON Call_Call Out Activities'!$F:$F,"Workdays",'ON Call_Call Out Activities'!$B:$B,CPY!B331))*24,1)</f>
        <v>0</v>
      </c>
      <c r="Y331" s="64">
        <f>ROUNDUP((SUMIFS('ON Call_Call Out Activities'!$L:$L,'ON Call_Call Out Activities'!$F:$F,"Non_workdays",'ON Call_Call Out Activities'!$B:$B,CPY!B331)) *24,1)</f>
        <v>0</v>
      </c>
      <c r="Z331" s="63">
        <f>ROUNDUP((SUMIFS('ON Call_Call Out Activities'!$M:$M,'ON Call_Call Out Activities'!$F:$F,"Non_workdays",'ON Call_Call Out Activities'!$B:$B,CPY!B331)),1) + ROUNDUP((SUMIFS('ON Call_Call Out Activities'!$M:$M,'ON Call_Call Out Activities'!$F:$F,"Workdays",'ON Call_Call Out Activities'!$B:$B,CPY!B331)),1)</f>
        <v>0</v>
      </c>
      <c r="AA331" s="66"/>
      <c r="AB331" s="64">
        <f>ROUNDUP((SUMIFS('ON Call_Call Out Activities'!$L:$L,'ON Call_Call Out Activities'!$F:$F,"Call_Out",'ON Call_Call Out Activities'!$B:$B,CPY!B331)) *24,1)</f>
        <v>0</v>
      </c>
      <c r="AC331" s="63">
        <f>ROUNDUP((SUMIFS('ON Call_Call Out Activities'!$M:$M,'ON Call_Call Out Activities'!$F:$F,"Call_Out",'ON Call_Call Out Activities'!$B:$B,CPY!B331)),1)</f>
        <v>0</v>
      </c>
      <c r="AE331" s="65">
        <f>IF((SUMIF(Shift_allowance_Entries!$B:$B,CPY!$B331,Shift_allowance_Entries!$H:$H)) &gt; (SUMIF(Shift_allowance_Entries!$B:$B,CPY!$B331,Shift_allowance_Entries!$G:$G)),0,((SUMIF(Shift_allowance_Entries!$B:$B,CPY!$B331,Shift_allowance_Entries!$G:$G))-(SUMIF(Shift_allowance_Entries!$B:$B,CPY!$B331,Shift_allowance_Entries!$H:$H))))</f>
        <v>0</v>
      </c>
      <c r="AF331" s="63">
        <f>AE331*MD!$S$4</f>
        <v>0</v>
      </c>
    </row>
    <row r="332" spans="1:32" x14ac:dyDescent="0.25">
      <c r="A332" s="62">
        <v>330</v>
      </c>
      <c r="B332" s="62"/>
      <c r="C332" s="50" t="str">
        <f>IF(ISNA(VLOOKUP($B332,Summary!$B:$D,2,FALSE))=TRUE," ",VLOOKUP($B332,Summary!$B:$D,2,FALSE))</f>
        <v> </v>
      </c>
      <c r="D332" s="50" t="str">
        <f>IF(ISNA(VLOOKUP($B332,Summary!$B:$D,3,FALSE))=TRUE," ",VLOOKUP($B332,Summary!$B:$D,3,FALSE))</f>
        <v> </v>
      </c>
      <c r="E332" s="62"/>
      <c r="F332" s="62"/>
      <c r="G332" s="62"/>
      <c r="I332" s="63">
        <f t="shared" si="5"/>
        <v>0</v>
      </c>
      <c r="K332" s="64">
        <f>IF(E332="Support(L1_L2)",IF(NOT(ISBLANK(B332)),IF(NOT(ISBLANK(D332)),NETWORKDAYS('CPY TOC'!$F$5,'CPY TOC'!$G$5))))-L332</f>
        <v>0</v>
      </c>
      <c r="L332" s="64">
        <f>IF(E332="Support(L1_L2)",SUMIFS(Support_allowance_Entries!$G:$G,Support_allowance_Entries!$B:$B,CPY!B332),0)</f>
        <v>0</v>
      </c>
      <c r="M332" s="63" t="b">
        <f>IF($D332="D0",MD!$C$4*(K332),IF($D332="D1",MD!$C$5*(K332),IF($D332="D2",MD!$C$6*(K332),IF($D332="D3",MD!$C$7*(K332),IF($D332="D4",MD!$C$8*(K332),IF($D332="D5",MD!$C$9*(K332),IF($D332="M1",MD!$C$10*(K332),IF($D332="T1",MD!$C$11*(K332)))))))))</f>
        <v>0</v>
      </c>
      <c r="O332" s="65">
        <f>SUMIFS(Shift_allowance_Entries!$G:$G,Shift_allowance_Entries!$F:$F,"6:30AM-03:30PM",Shift_allowance_Entries!$B:$B,CPY!$B332)</f>
        <v>0</v>
      </c>
      <c r="P332" s="65">
        <f>SUMIFS(Shift_allowance_Entries!$G:$G,Shift_allowance_Entries!$F:$F,"1-9PM/2:30PM-11:30PM",Shift_allowance_Entries!$B:$B,CPY!$B332)</f>
        <v>0</v>
      </c>
      <c r="Q332" s="65">
        <f>SUMIFS(Shift_allowance_Entries!$G:$G,Shift_allowance_Entries!$F:$F,"11PM-7AM",Shift_allowance_Entries!$B:$B,CPY!$B332)</f>
        <v>0</v>
      </c>
      <c r="R332" s="63">
        <f>(CPY!O332*MD!$F$4)+(CPY!P332*MD!$F$5)+(CPY!Q332*MD!$F$6)</f>
        <v>0</v>
      </c>
      <c r="T332" s="64">
        <f>ROUNDUP((SUMIFS('OOH Activities'!$K:$K,'OOH Activities'!$F:$F,"Non_workdays",'OOH Activities'!$B:$B,CPY!B332)) *24,1)</f>
        <v>0</v>
      </c>
      <c r="U332" s="64">
        <f>ROUNDUP((SUMIFS('OOH Activities'!$K:$K,'OOH Activities'!$F:$F,"Workdays",'OOH Activities'!$B:$B,CPY!B332)) *24,1)</f>
        <v>0</v>
      </c>
      <c r="V332" s="63">
        <f>ROUNDUP((SUMIFS('OOH Activities'!$L:$L,'OOH Activities'!$B:$B,CPY!B332)),1)</f>
        <v>0</v>
      </c>
      <c r="X332" s="65">
        <f>ROUNDUP((SUMIFS('ON Call_Call Out Activities'!$L:$L,'ON Call_Call Out Activities'!$F:$F,"Workdays",'ON Call_Call Out Activities'!$B:$B,CPY!B332))*24,1)</f>
        <v>0</v>
      </c>
      <c r="Y332" s="64">
        <f>ROUNDUP((SUMIFS('ON Call_Call Out Activities'!$L:$L,'ON Call_Call Out Activities'!$F:$F,"Non_workdays",'ON Call_Call Out Activities'!$B:$B,CPY!B332)) *24,1)</f>
        <v>0</v>
      </c>
      <c r="Z332" s="63">
        <f>ROUNDUP((SUMIFS('ON Call_Call Out Activities'!$M:$M,'ON Call_Call Out Activities'!$F:$F,"Non_workdays",'ON Call_Call Out Activities'!$B:$B,CPY!B332)),1) + ROUNDUP((SUMIFS('ON Call_Call Out Activities'!$M:$M,'ON Call_Call Out Activities'!$F:$F,"Workdays",'ON Call_Call Out Activities'!$B:$B,CPY!B332)),1)</f>
        <v>0</v>
      </c>
      <c r="AA332" s="66"/>
      <c r="AB332" s="64">
        <f>ROUNDUP((SUMIFS('ON Call_Call Out Activities'!$L:$L,'ON Call_Call Out Activities'!$F:$F,"Call_Out",'ON Call_Call Out Activities'!$B:$B,CPY!B332)) *24,1)</f>
        <v>0</v>
      </c>
      <c r="AC332" s="63">
        <f>ROUNDUP((SUMIFS('ON Call_Call Out Activities'!$M:$M,'ON Call_Call Out Activities'!$F:$F,"Call_Out",'ON Call_Call Out Activities'!$B:$B,CPY!B332)),1)</f>
        <v>0</v>
      </c>
      <c r="AE332" s="65">
        <f>IF((SUMIF(Shift_allowance_Entries!$B:$B,CPY!$B332,Shift_allowance_Entries!$H:$H)) &gt; (SUMIF(Shift_allowance_Entries!$B:$B,CPY!$B332,Shift_allowance_Entries!$G:$G)),0,((SUMIF(Shift_allowance_Entries!$B:$B,CPY!$B332,Shift_allowance_Entries!$G:$G))-(SUMIF(Shift_allowance_Entries!$B:$B,CPY!$B332,Shift_allowance_Entries!$H:$H))))</f>
        <v>0</v>
      </c>
      <c r="AF332" s="63">
        <f>AE332*MD!$S$4</f>
        <v>0</v>
      </c>
    </row>
    <row r="333" spans="1:32" x14ac:dyDescent="0.25">
      <c r="A333" s="62">
        <v>331</v>
      </c>
      <c r="B333" s="62"/>
      <c r="C333" s="50" t="str">
        <f>IF(ISNA(VLOOKUP($B333,Summary!$B:$D,2,FALSE))=TRUE," ",VLOOKUP($B333,Summary!$B:$D,2,FALSE))</f>
        <v> </v>
      </c>
      <c r="D333" s="50" t="str">
        <f>IF(ISNA(VLOOKUP($B333,Summary!$B:$D,3,FALSE))=TRUE," ",VLOOKUP($B333,Summary!$B:$D,3,FALSE))</f>
        <v> </v>
      </c>
      <c r="E333" s="62"/>
      <c r="F333" s="62"/>
      <c r="G333" s="62"/>
      <c r="I333" s="63">
        <f t="shared" si="5"/>
        <v>0</v>
      </c>
      <c r="K333" s="64">
        <f>IF(E333="Support(L1_L2)",IF(NOT(ISBLANK(B333)),IF(NOT(ISBLANK(D333)),NETWORKDAYS('CPY TOC'!$F$5,'CPY TOC'!$G$5))))-L333</f>
        <v>0</v>
      </c>
      <c r="L333" s="64">
        <f>IF(E333="Support(L1_L2)",SUMIFS(Support_allowance_Entries!$G:$G,Support_allowance_Entries!$B:$B,CPY!B333),0)</f>
        <v>0</v>
      </c>
      <c r="M333" s="63" t="b">
        <f>IF($D333="D0",MD!$C$4*(K333),IF($D333="D1",MD!$C$5*(K333),IF($D333="D2",MD!$C$6*(K333),IF($D333="D3",MD!$C$7*(K333),IF($D333="D4",MD!$C$8*(K333),IF($D333="D5",MD!$C$9*(K333),IF($D333="M1",MD!$C$10*(K333),IF($D333="T1",MD!$C$11*(K333)))))))))</f>
        <v>0</v>
      </c>
      <c r="O333" s="65">
        <f>SUMIFS(Shift_allowance_Entries!$G:$G,Shift_allowance_Entries!$F:$F,"6:30AM-03:30PM",Shift_allowance_Entries!$B:$B,CPY!$B333)</f>
        <v>0</v>
      </c>
      <c r="P333" s="65">
        <f>SUMIFS(Shift_allowance_Entries!$G:$G,Shift_allowance_Entries!$F:$F,"1-9PM/2:30PM-11:30PM",Shift_allowance_Entries!$B:$B,CPY!$B333)</f>
        <v>0</v>
      </c>
      <c r="Q333" s="65">
        <f>SUMIFS(Shift_allowance_Entries!$G:$G,Shift_allowance_Entries!$F:$F,"11PM-7AM",Shift_allowance_Entries!$B:$B,CPY!$B333)</f>
        <v>0</v>
      </c>
      <c r="R333" s="63">
        <f>(CPY!O333*MD!$F$4)+(CPY!P333*MD!$F$5)+(CPY!Q333*MD!$F$6)</f>
        <v>0</v>
      </c>
      <c r="T333" s="64">
        <f>ROUNDUP((SUMIFS('OOH Activities'!$K:$K,'OOH Activities'!$F:$F,"Non_workdays",'OOH Activities'!$B:$B,CPY!B333)) *24,1)</f>
        <v>0</v>
      </c>
      <c r="U333" s="64">
        <f>ROUNDUP((SUMIFS('OOH Activities'!$K:$K,'OOH Activities'!$F:$F,"Workdays",'OOH Activities'!$B:$B,CPY!B333)) *24,1)</f>
        <v>0</v>
      </c>
      <c r="V333" s="63">
        <f>ROUNDUP((SUMIFS('OOH Activities'!$L:$L,'OOH Activities'!$B:$B,CPY!B333)),1)</f>
        <v>0</v>
      </c>
      <c r="X333" s="65">
        <f>ROUNDUP((SUMIFS('ON Call_Call Out Activities'!$L:$L,'ON Call_Call Out Activities'!$F:$F,"Workdays",'ON Call_Call Out Activities'!$B:$B,CPY!B333))*24,1)</f>
        <v>0</v>
      </c>
      <c r="Y333" s="64">
        <f>ROUNDUP((SUMIFS('ON Call_Call Out Activities'!$L:$L,'ON Call_Call Out Activities'!$F:$F,"Non_workdays",'ON Call_Call Out Activities'!$B:$B,CPY!B333)) *24,1)</f>
        <v>0</v>
      </c>
      <c r="Z333" s="63">
        <f>ROUNDUP((SUMIFS('ON Call_Call Out Activities'!$M:$M,'ON Call_Call Out Activities'!$F:$F,"Non_workdays",'ON Call_Call Out Activities'!$B:$B,CPY!B333)),1) + ROUNDUP((SUMIFS('ON Call_Call Out Activities'!$M:$M,'ON Call_Call Out Activities'!$F:$F,"Workdays",'ON Call_Call Out Activities'!$B:$B,CPY!B333)),1)</f>
        <v>0</v>
      </c>
      <c r="AA333" s="66"/>
      <c r="AB333" s="64">
        <f>ROUNDUP((SUMIFS('ON Call_Call Out Activities'!$L:$L,'ON Call_Call Out Activities'!$F:$F,"Call_Out",'ON Call_Call Out Activities'!$B:$B,CPY!B333)) *24,1)</f>
        <v>0</v>
      </c>
      <c r="AC333" s="63">
        <f>ROUNDUP((SUMIFS('ON Call_Call Out Activities'!$M:$M,'ON Call_Call Out Activities'!$F:$F,"Call_Out",'ON Call_Call Out Activities'!$B:$B,CPY!B333)),1)</f>
        <v>0</v>
      </c>
      <c r="AE333" s="65">
        <f>IF((SUMIF(Shift_allowance_Entries!$B:$B,CPY!$B333,Shift_allowance_Entries!$H:$H)) &gt; (SUMIF(Shift_allowance_Entries!$B:$B,CPY!$B333,Shift_allowance_Entries!$G:$G)),0,((SUMIF(Shift_allowance_Entries!$B:$B,CPY!$B333,Shift_allowance_Entries!$G:$G))-(SUMIF(Shift_allowance_Entries!$B:$B,CPY!$B333,Shift_allowance_Entries!$H:$H))))</f>
        <v>0</v>
      </c>
      <c r="AF333" s="63">
        <f>AE333*MD!$S$4</f>
        <v>0</v>
      </c>
    </row>
    <row r="334" spans="1:32" x14ac:dyDescent="0.25">
      <c r="A334" s="62">
        <v>332</v>
      </c>
      <c r="B334" s="62"/>
      <c r="C334" s="50" t="str">
        <f>IF(ISNA(VLOOKUP($B334,Summary!$B:$D,2,FALSE))=TRUE," ",VLOOKUP($B334,Summary!$B:$D,2,FALSE))</f>
        <v> </v>
      </c>
      <c r="D334" s="50" t="str">
        <f>IF(ISNA(VLOOKUP($B334,Summary!$B:$D,3,FALSE))=TRUE," ",VLOOKUP($B334,Summary!$B:$D,3,FALSE))</f>
        <v> </v>
      </c>
      <c r="E334" s="62"/>
      <c r="F334" s="62"/>
      <c r="G334" s="62"/>
      <c r="I334" s="63">
        <f t="shared" si="5"/>
        <v>0</v>
      </c>
      <c r="K334" s="64">
        <f>IF(E334="Support(L1_L2)",IF(NOT(ISBLANK(B334)),IF(NOT(ISBLANK(D334)),NETWORKDAYS('CPY TOC'!$F$5,'CPY TOC'!$G$5))))-L334</f>
        <v>0</v>
      </c>
      <c r="L334" s="64">
        <f>IF(E334="Support(L1_L2)",SUMIFS(Support_allowance_Entries!$G:$G,Support_allowance_Entries!$B:$B,CPY!B334),0)</f>
        <v>0</v>
      </c>
      <c r="M334" s="63" t="b">
        <f>IF($D334="D0",MD!$C$4*(K334),IF($D334="D1",MD!$C$5*(K334),IF($D334="D2",MD!$C$6*(K334),IF($D334="D3",MD!$C$7*(K334),IF($D334="D4",MD!$C$8*(K334),IF($D334="D5",MD!$C$9*(K334),IF($D334="M1",MD!$C$10*(K334),IF($D334="T1",MD!$C$11*(K334)))))))))</f>
        <v>0</v>
      </c>
      <c r="O334" s="65">
        <f>SUMIFS(Shift_allowance_Entries!$G:$G,Shift_allowance_Entries!$F:$F,"6:30AM-03:30PM",Shift_allowance_Entries!$B:$B,CPY!$B334)</f>
        <v>0</v>
      </c>
      <c r="P334" s="65">
        <f>SUMIFS(Shift_allowance_Entries!$G:$G,Shift_allowance_Entries!$F:$F,"1-9PM/2:30PM-11:30PM",Shift_allowance_Entries!$B:$B,CPY!$B334)</f>
        <v>0</v>
      </c>
      <c r="Q334" s="65">
        <f>SUMIFS(Shift_allowance_Entries!$G:$G,Shift_allowance_Entries!$F:$F,"11PM-7AM",Shift_allowance_Entries!$B:$B,CPY!$B334)</f>
        <v>0</v>
      </c>
      <c r="R334" s="63">
        <f>(CPY!O334*MD!$F$4)+(CPY!P334*MD!$F$5)+(CPY!Q334*MD!$F$6)</f>
        <v>0</v>
      </c>
      <c r="T334" s="64">
        <f>ROUNDUP((SUMIFS('OOH Activities'!$K:$K,'OOH Activities'!$F:$F,"Non_workdays",'OOH Activities'!$B:$B,CPY!B334)) *24,1)</f>
        <v>0</v>
      </c>
      <c r="U334" s="64">
        <f>ROUNDUP((SUMIFS('OOH Activities'!$K:$K,'OOH Activities'!$F:$F,"Workdays",'OOH Activities'!$B:$B,CPY!B334)) *24,1)</f>
        <v>0</v>
      </c>
      <c r="V334" s="63">
        <f>ROUNDUP((SUMIFS('OOH Activities'!$L:$L,'OOH Activities'!$B:$B,CPY!B334)),1)</f>
        <v>0</v>
      </c>
      <c r="X334" s="65">
        <f>ROUNDUP((SUMIFS('ON Call_Call Out Activities'!$L:$L,'ON Call_Call Out Activities'!$F:$F,"Workdays",'ON Call_Call Out Activities'!$B:$B,CPY!B334))*24,1)</f>
        <v>0</v>
      </c>
      <c r="Y334" s="64">
        <f>ROUNDUP((SUMIFS('ON Call_Call Out Activities'!$L:$L,'ON Call_Call Out Activities'!$F:$F,"Non_workdays",'ON Call_Call Out Activities'!$B:$B,CPY!B334)) *24,1)</f>
        <v>0</v>
      </c>
      <c r="Z334" s="63">
        <f>ROUNDUP((SUMIFS('ON Call_Call Out Activities'!$M:$M,'ON Call_Call Out Activities'!$F:$F,"Non_workdays",'ON Call_Call Out Activities'!$B:$B,CPY!B334)),1) + ROUNDUP((SUMIFS('ON Call_Call Out Activities'!$M:$M,'ON Call_Call Out Activities'!$F:$F,"Workdays",'ON Call_Call Out Activities'!$B:$B,CPY!B334)),1)</f>
        <v>0</v>
      </c>
      <c r="AA334" s="66"/>
      <c r="AB334" s="64">
        <f>ROUNDUP((SUMIFS('ON Call_Call Out Activities'!$L:$L,'ON Call_Call Out Activities'!$F:$F,"Call_Out",'ON Call_Call Out Activities'!$B:$B,CPY!B334)) *24,1)</f>
        <v>0</v>
      </c>
      <c r="AC334" s="63">
        <f>ROUNDUP((SUMIFS('ON Call_Call Out Activities'!$M:$M,'ON Call_Call Out Activities'!$F:$F,"Call_Out",'ON Call_Call Out Activities'!$B:$B,CPY!B334)),1)</f>
        <v>0</v>
      </c>
      <c r="AE334" s="65">
        <f>IF((SUMIF(Shift_allowance_Entries!$B:$B,CPY!$B334,Shift_allowance_Entries!$H:$H)) &gt; (SUMIF(Shift_allowance_Entries!$B:$B,CPY!$B334,Shift_allowance_Entries!$G:$G)),0,((SUMIF(Shift_allowance_Entries!$B:$B,CPY!$B334,Shift_allowance_Entries!$G:$G))-(SUMIF(Shift_allowance_Entries!$B:$B,CPY!$B334,Shift_allowance_Entries!$H:$H))))</f>
        <v>0</v>
      </c>
      <c r="AF334" s="63">
        <f>AE334*MD!$S$4</f>
        <v>0</v>
      </c>
    </row>
    <row r="335" spans="1:32" x14ac:dyDescent="0.25">
      <c r="A335" s="62">
        <v>333</v>
      </c>
      <c r="B335" s="62"/>
      <c r="C335" s="50" t="str">
        <f>IF(ISNA(VLOOKUP($B335,Summary!$B:$D,2,FALSE))=TRUE," ",VLOOKUP($B335,Summary!$B:$D,2,FALSE))</f>
        <v> </v>
      </c>
      <c r="D335" s="50" t="str">
        <f>IF(ISNA(VLOOKUP($B335,Summary!$B:$D,3,FALSE))=TRUE," ",VLOOKUP($B335,Summary!$B:$D,3,FALSE))</f>
        <v> </v>
      </c>
      <c r="E335" s="62"/>
      <c r="F335" s="62"/>
      <c r="G335" s="62"/>
      <c r="I335" s="63">
        <f t="shared" si="5"/>
        <v>0</v>
      </c>
      <c r="K335" s="64">
        <f>IF(E335="Support(L1_L2)",IF(NOT(ISBLANK(B335)),IF(NOT(ISBLANK(D335)),NETWORKDAYS('CPY TOC'!$F$5,'CPY TOC'!$G$5))))-L335</f>
        <v>0</v>
      </c>
      <c r="L335" s="64">
        <f>IF(E335="Support(L1_L2)",SUMIFS(Support_allowance_Entries!$G:$G,Support_allowance_Entries!$B:$B,CPY!B335),0)</f>
        <v>0</v>
      </c>
      <c r="M335" s="63" t="b">
        <f>IF($D335="D0",MD!$C$4*(K335),IF($D335="D1",MD!$C$5*(K335),IF($D335="D2",MD!$C$6*(K335),IF($D335="D3",MD!$C$7*(K335),IF($D335="D4",MD!$C$8*(K335),IF($D335="D5",MD!$C$9*(K335),IF($D335="M1",MD!$C$10*(K335),IF($D335="T1",MD!$C$11*(K335)))))))))</f>
        <v>0</v>
      </c>
      <c r="O335" s="65">
        <f>SUMIFS(Shift_allowance_Entries!$G:$G,Shift_allowance_Entries!$F:$F,"6:30AM-03:30PM",Shift_allowance_Entries!$B:$B,CPY!$B335)</f>
        <v>0</v>
      </c>
      <c r="P335" s="65">
        <f>SUMIFS(Shift_allowance_Entries!$G:$G,Shift_allowance_Entries!$F:$F,"1-9PM/2:30PM-11:30PM",Shift_allowance_Entries!$B:$B,CPY!$B335)</f>
        <v>0</v>
      </c>
      <c r="Q335" s="65">
        <f>SUMIFS(Shift_allowance_Entries!$G:$G,Shift_allowance_Entries!$F:$F,"11PM-7AM",Shift_allowance_Entries!$B:$B,CPY!$B335)</f>
        <v>0</v>
      </c>
      <c r="R335" s="63">
        <f>(CPY!O335*MD!$F$4)+(CPY!P335*MD!$F$5)+(CPY!Q335*MD!$F$6)</f>
        <v>0</v>
      </c>
      <c r="T335" s="64">
        <f>ROUNDUP((SUMIFS('OOH Activities'!$K:$K,'OOH Activities'!$F:$F,"Non_workdays",'OOH Activities'!$B:$B,CPY!B335)) *24,1)</f>
        <v>0</v>
      </c>
      <c r="U335" s="64">
        <f>ROUNDUP((SUMIFS('OOH Activities'!$K:$K,'OOH Activities'!$F:$F,"Workdays",'OOH Activities'!$B:$B,CPY!B335)) *24,1)</f>
        <v>0</v>
      </c>
      <c r="V335" s="63">
        <f>ROUNDUP((SUMIFS('OOH Activities'!$L:$L,'OOH Activities'!$B:$B,CPY!B335)),1)</f>
        <v>0</v>
      </c>
      <c r="X335" s="65">
        <f>ROUNDUP((SUMIFS('ON Call_Call Out Activities'!$L:$L,'ON Call_Call Out Activities'!$F:$F,"Workdays",'ON Call_Call Out Activities'!$B:$B,CPY!B335))*24,1)</f>
        <v>0</v>
      </c>
      <c r="Y335" s="64">
        <f>ROUNDUP((SUMIFS('ON Call_Call Out Activities'!$L:$L,'ON Call_Call Out Activities'!$F:$F,"Non_workdays",'ON Call_Call Out Activities'!$B:$B,CPY!B335)) *24,1)</f>
        <v>0</v>
      </c>
      <c r="Z335" s="63">
        <f>ROUNDUP((SUMIFS('ON Call_Call Out Activities'!$M:$M,'ON Call_Call Out Activities'!$F:$F,"Non_workdays",'ON Call_Call Out Activities'!$B:$B,CPY!B335)),1) + ROUNDUP((SUMIFS('ON Call_Call Out Activities'!$M:$M,'ON Call_Call Out Activities'!$F:$F,"Workdays",'ON Call_Call Out Activities'!$B:$B,CPY!B335)),1)</f>
        <v>0</v>
      </c>
      <c r="AA335" s="66"/>
      <c r="AB335" s="64">
        <f>ROUNDUP((SUMIFS('ON Call_Call Out Activities'!$L:$L,'ON Call_Call Out Activities'!$F:$F,"Call_Out",'ON Call_Call Out Activities'!$B:$B,CPY!B335)) *24,1)</f>
        <v>0</v>
      </c>
      <c r="AC335" s="63">
        <f>ROUNDUP((SUMIFS('ON Call_Call Out Activities'!$M:$M,'ON Call_Call Out Activities'!$F:$F,"Call_Out",'ON Call_Call Out Activities'!$B:$B,CPY!B335)),1)</f>
        <v>0</v>
      </c>
      <c r="AE335" s="65">
        <f>IF((SUMIF(Shift_allowance_Entries!$B:$B,CPY!$B335,Shift_allowance_Entries!$H:$H)) &gt; (SUMIF(Shift_allowance_Entries!$B:$B,CPY!$B335,Shift_allowance_Entries!$G:$G)),0,((SUMIF(Shift_allowance_Entries!$B:$B,CPY!$B335,Shift_allowance_Entries!$G:$G))-(SUMIF(Shift_allowance_Entries!$B:$B,CPY!$B335,Shift_allowance_Entries!$H:$H))))</f>
        <v>0</v>
      </c>
      <c r="AF335" s="63">
        <f>AE335*MD!$S$4</f>
        <v>0</v>
      </c>
    </row>
    <row r="336" spans="1:32" x14ac:dyDescent="0.25">
      <c r="A336" s="62">
        <v>334</v>
      </c>
      <c r="B336" s="62"/>
      <c r="C336" s="50" t="str">
        <f>IF(ISNA(VLOOKUP($B336,Summary!$B:$D,2,FALSE))=TRUE," ",VLOOKUP($B336,Summary!$B:$D,2,FALSE))</f>
        <v> </v>
      </c>
      <c r="D336" s="50" t="str">
        <f>IF(ISNA(VLOOKUP($B336,Summary!$B:$D,3,FALSE))=TRUE," ",VLOOKUP($B336,Summary!$B:$D,3,FALSE))</f>
        <v> </v>
      </c>
      <c r="E336" s="62"/>
      <c r="F336" s="62"/>
      <c r="G336" s="62"/>
      <c r="I336" s="63">
        <f t="shared" si="5"/>
        <v>0</v>
      </c>
      <c r="K336" s="64">
        <f>IF(E336="Support(L1_L2)",IF(NOT(ISBLANK(B336)),IF(NOT(ISBLANK(D336)),NETWORKDAYS('CPY TOC'!$F$5,'CPY TOC'!$G$5))))-L336</f>
        <v>0</v>
      </c>
      <c r="L336" s="64">
        <f>IF(E336="Support(L1_L2)",SUMIFS(Support_allowance_Entries!$G:$G,Support_allowance_Entries!$B:$B,CPY!B336),0)</f>
        <v>0</v>
      </c>
      <c r="M336" s="63" t="b">
        <f>IF($D336="D0",MD!$C$4*(K336),IF($D336="D1",MD!$C$5*(K336),IF($D336="D2",MD!$C$6*(K336),IF($D336="D3",MD!$C$7*(K336),IF($D336="D4",MD!$C$8*(K336),IF($D336="D5",MD!$C$9*(K336),IF($D336="M1",MD!$C$10*(K336),IF($D336="T1",MD!$C$11*(K336)))))))))</f>
        <v>0</v>
      </c>
      <c r="O336" s="65">
        <f>SUMIFS(Shift_allowance_Entries!$G:$G,Shift_allowance_Entries!$F:$F,"6:30AM-03:30PM",Shift_allowance_Entries!$B:$B,CPY!$B336)</f>
        <v>0</v>
      </c>
      <c r="P336" s="65">
        <f>SUMIFS(Shift_allowance_Entries!$G:$G,Shift_allowance_Entries!$F:$F,"1-9PM/2:30PM-11:30PM",Shift_allowance_Entries!$B:$B,CPY!$B336)</f>
        <v>0</v>
      </c>
      <c r="Q336" s="65">
        <f>SUMIFS(Shift_allowance_Entries!$G:$G,Shift_allowance_Entries!$F:$F,"11PM-7AM",Shift_allowance_Entries!$B:$B,CPY!$B336)</f>
        <v>0</v>
      </c>
      <c r="R336" s="63">
        <f>(CPY!O336*MD!$F$4)+(CPY!P336*MD!$F$5)+(CPY!Q336*MD!$F$6)</f>
        <v>0</v>
      </c>
      <c r="T336" s="64">
        <f>ROUNDUP((SUMIFS('OOH Activities'!$K:$K,'OOH Activities'!$F:$F,"Non_workdays",'OOH Activities'!$B:$B,CPY!B336)) *24,1)</f>
        <v>0</v>
      </c>
      <c r="U336" s="64">
        <f>ROUNDUP((SUMIFS('OOH Activities'!$K:$K,'OOH Activities'!$F:$F,"Workdays",'OOH Activities'!$B:$B,CPY!B336)) *24,1)</f>
        <v>0</v>
      </c>
      <c r="V336" s="63">
        <f>ROUNDUP((SUMIFS('OOH Activities'!$L:$L,'OOH Activities'!$B:$B,CPY!B336)),1)</f>
        <v>0</v>
      </c>
      <c r="X336" s="65">
        <f>ROUNDUP((SUMIFS('ON Call_Call Out Activities'!$L:$L,'ON Call_Call Out Activities'!$F:$F,"Workdays",'ON Call_Call Out Activities'!$B:$B,CPY!B336))*24,1)</f>
        <v>0</v>
      </c>
      <c r="Y336" s="64">
        <f>ROUNDUP((SUMIFS('ON Call_Call Out Activities'!$L:$L,'ON Call_Call Out Activities'!$F:$F,"Non_workdays",'ON Call_Call Out Activities'!$B:$B,CPY!B336)) *24,1)</f>
        <v>0</v>
      </c>
      <c r="Z336" s="63">
        <f>ROUNDUP((SUMIFS('ON Call_Call Out Activities'!$M:$M,'ON Call_Call Out Activities'!$F:$F,"Non_workdays",'ON Call_Call Out Activities'!$B:$B,CPY!B336)),1) + ROUNDUP((SUMIFS('ON Call_Call Out Activities'!$M:$M,'ON Call_Call Out Activities'!$F:$F,"Workdays",'ON Call_Call Out Activities'!$B:$B,CPY!B336)),1)</f>
        <v>0</v>
      </c>
      <c r="AA336" s="66"/>
      <c r="AB336" s="64">
        <f>ROUNDUP((SUMIFS('ON Call_Call Out Activities'!$L:$L,'ON Call_Call Out Activities'!$F:$F,"Call_Out",'ON Call_Call Out Activities'!$B:$B,CPY!B336)) *24,1)</f>
        <v>0</v>
      </c>
      <c r="AC336" s="63">
        <f>ROUNDUP((SUMIFS('ON Call_Call Out Activities'!$M:$M,'ON Call_Call Out Activities'!$F:$F,"Call_Out",'ON Call_Call Out Activities'!$B:$B,CPY!B336)),1)</f>
        <v>0</v>
      </c>
      <c r="AE336" s="65">
        <f>IF((SUMIF(Shift_allowance_Entries!$B:$B,CPY!$B336,Shift_allowance_Entries!$H:$H)) &gt; (SUMIF(Shift_allowance_Entries!$B:$B,CPY!$B336,Shift_allowance_Entries!$G:$G)),0,((SUMIF(Shift_allowance_Entries!$B:$B,CPY!$B336,Shift_allowance_Entries!$G:$G))-(SUMIF(Shift_allowance_Entries!$B:$B,CPY!$B336,Shift_allowance_Entries!$H:$H))))</f>
        <v>0</v>
      </c>
      <c r="AF336" s="63">
        <f>AE336*MD!$S$4</f>
        <v>0</v>
      </c>
    </row>
    <row r="337" spans="1:32" x14ac:dyDescent="0.25">
      <c r="A337" s="62">
        <v>335</v>
      </c>
      <c r="B337" s="62"/>
      <c r="C337" s="50" t="str">
        <f>IF(ISNA(VLOOKUP($B337,Summary!$B:$D,2,FALSE))=TRUE," ",VLOOKUP($B337,Summary!$B:$D,2,FALSE))</f>
        <v> </v>
      </c>
      <c r="D337" s="50" t="str">
        <f>IF(ISNA(VLOOKUP($B337,Summary!$B:$D,3,FALSE))=TRUE," ",VLOOKUP($B337,Summary!$B:$D,3,FALSE))</f>
        <v> </v>
      </c>
      <c r="E337" s="62"/>
      <c r="F337" s="62"/>
      <c r="G337" s="62"/>
      <c r="I337" s="63">
        <f t="shared" si="5"/>
        <v>0</v>
      </c>
      <c r="K337" s="64">
        <f>IF(E337="Support(L1_L2)",IF(NOT(ISBLANK(B337)),IF(NOT(ISBLANK(D337)),NETWORKDAYS('CPY TOC'!$F$5,'CPY TOC'!$G$5))))-L337</f>
        <v>0</v>
      </c>
      <c r="L337" s="64">
        <f>IF(E337="Support(L1_L2)",SUMIFS(Support_allowance_Entries!$G:$G,Support_allowance_Entries!$B:$B,CPY!B337),0)</f>
        <v>0</v>
      </c>
      <c r="M337" s="63" t="b">
        <f>IF($D337="D0",MD!$C$4*(K337),IF($D337="D1",MD!$C$5*(K337),IF($D337="D2",MD!$C$6*(K337),IF($D337="D3",MD!$C$7*(K337),IF($D337="D4",MD!$C$8*(K337),IF($D337="D5",MD!$C$9*(K337),IF($D337="M1",MD!$C$10*(K337),IF($D337="T1",MD!$C$11*(K337)))))))))</f>
        <v>0</v>
      </c>
      <c r="O337" s="65">
        <f>SUMIFS(Shift_allowance_Entries!$G:$G,Shift_allowance_Entries!$F:$F,"6:30AM-03:30PM",Shift_allowance_Entries!$B:$B,CPY!$B337)</f>
        <v>0</v>
      </c>
      <c r="P337" s="65">
        <f>SUMIFS(Shift_allowance_Entries!$G:$G,Shift_allowance_Entries!$F:$F,"1-9PM/2:30PM-11:30PM",Shift_allowance_Entries!$B:$B,CPY!$B337)</f>
        <v>0</v>
      </c>
      <c r="Q337" s="65">
        <f>SUMIFS(Shift_allowance_Entries!$G:$G,Shift_allowance_Entries!$F:$F,"11PM-7AM",Shift_allowance_Entries!$B:$B,CPY!$B337)</f>
        <v>0</v>
      </c>
      <c r="R337" s="63">
        <f>(CPY!O337*MD!$F$4)+(CPY!P337*MD!$F$5)+(CPY!Q337*MD!$F$6)</f>
        <v>0</v>
      </c>
      <c r="T337" s="64">
        <f>ROUNDUP((SUMIFS('OOH Activities'!$K:$K,'OOH Activities'!$F:$F,"Non_workdays",'OOH Activities'!$B:$B,CPY!B337)) *24,1)</f>
        <v>0</v>
      </c>
      <c r="U337" s="64">
        <f>ROUNDUP((SUMIFS('OOH Activities'!$K:$K,'OOH Activities'!$F:$F,"Workdays",'OOH Activities'!$B:$B,CPY!B337)) *24,1)</f>
        <v>0</v>
      </c>
      <c r="V337" s="63">
        <f>ROUNDUP((SUMIFS('OOH Activities'!$L:$L,'OOH Activities'!$B:$B,CPY!B337)),1)</f>
        <v>0</v>
      </c>
      <c r="X337" s="65">
        <f>ROUNDUP((SUMIFS('ON Call_Call Out Activities'!$L:$L,'ON Call_Call Out Activities'!$F:$F,"Workdays",'ON Call_Call Out Activities'!$B:$B,CPY!B337))*24,1)</f>
        <v>0</v>
      </c>
      <c r="Y337" s="64">
        <f>ROUNDUP((SUMIFS('ON Call_Call Out Activities'!$L:$L,'ON Call_Call Out Activities'!$F:$F,"Non_workdays",'ON Call_Call Out Activities'!$B:$B,CPY!B337)) *24,1)</f>
        <v>0</v>
      </c>
      <c r="Z337" s="63">
        <f>ROUNDUP((SUMIFS('ON Call_Call Out Activities'!$M:$M,'ON Call_Call Out Activities'!$F:$F,"Non_workdays",'ON Call_Call Out Activities'!$B:$B,CPY!B337)),1) + ROUNDUP((SUMIFS('ON Call_Call Out Activities'!$M:$M,'ON Call_Call Out Activities'!$F:$F,"Workdays",'ON Call_Call Out Activities'!$B:$B,CPY!B337)),1)</f>
        <v>0</v>
      </c>
      <c r="AA337" s="66"/>
      <c r="AB337" s="64">
        <f>ROUNDUP((SUMIFS('ON Call_Call Out Activities'!$L:$L,'ON Call_Call Out Activities'!$F:$F,"Call_Out",'ON Call_Call Out Activities'!$B:$B,CPY!B337)) *24,1)</f>
        <v>0</v>
      </c>
      <c r="AC337" s="63">
        <f>ROUNDUP((SUMIFS('ON Call_Call Out Activities'!$M:$M,'ON Call_Call Out Activities'!$F:$F,"Call_Out",'ON Call_Call Out Activities'!$B:$B,CPY!B337)),1)</f>
        <v>0</v>
      </c>
      <c r="AE337" s="65">
        <f>IF((SUMIF(Shift_allowance_Entries!$B:$B,CPY!$B337,Shift_allowance_Entries!$H:$H)) &gt; (SUMIF(Shift_allowance_Entries!$B:$B,CPY!$B337,Shift_allowance_Entries!$G:$G)),0,((SUMIF(Shift_allowance_Entries!$B:$B,CPY!$B337,Shift_allowance_Entries!$G:$G))-(SUMIF(Shift_allowance_Entries!$B:$B,CPY!$B337,Shift_allowance_Entries!$H:$H))))</f>
        <v>0</v>
      </c>
      <c r="AF337" s="63">
        <f>AE337*MD!$S$4</f>
        <v>0</v>
      </c>
    </row>
    <row r="338" spans="1:32" x14ac:dyDescent="0.25">
      <c r="A338" s="62">
        <v>336</v>
      </c>
      <c r="B338" s="62"/>
      <c r="C338" s="50" t="str">
        <f>IF(ISNA(VLOOKUP($B338,Summary!$B:$D,2,FALSE))=TRUE," ",VLOOKUP($B338,Summary!$B:$D,2,FALSE))</f>
        <v> </v>
      </c>
      <c r="D338" s="50" t="str">
        <f>IF(ISNA(VLOOKUP($B338,Summary!$B:$D,3,FALSE))=TRUE," ",VLOOKUP($B338,Summary!$B:$D,3,FALSE))</f>
        <v> </v>
      </c>
      <c r="E338" s="62"/>
      <c r="F338" s="62"/>
      <c r="G338" s="62"/>
      <c r="I338" s="63">
        <f t="shared" si="5"/>
        <v>0</v>
      </c>
      <c r="K338" s="64">
        <f>IF(E338="Support(L1_L2)",IF(NOT(ISBLANK(B338)),IF(NOT(ISBLANK(D338)),NETWORKDAYS('CPY TOC'!$F$5,'CPY TOC'!$G$5))))-L338</f>
        <v>0</v>
      </c>
      <c r="L338" s="64">
        <f>IF(E338="Support(L1_L2)",SUMIFS(Support_allowance_Entries!$G:$G,Support_allowance_Entries!$B:$B,CPY!B338),0)</f>
        <v>0</v>
      </c>
      <c r="M338" s="63" t="b">
        <f>IF($D338="D0",MD!$C$4*(K338),IF($D338="D1",MD!$C$5*(K338),IF($D338="D2",MD!$C$6*(K338),IF($D338="D3",MD!$C$7*(K338),IF($D338="D4",MD!$C$8*(K338),IF($D338="D5",MD!$C$9*(K338),IF($D338="M1",MD!$C$10*(K338),IF($D338="T1",MD!$C$11*(K338)))))))))</f>
        <v>0</v>
      </c>
      <c r="O338" s="65">
        <f>SUMIFS(Shift_allowance_Entries!$G:$G,Shift_allowance_Entries!$F:$F,"6:30AM-03:30PM",Shift_allowance_Entries!$B:$B,CPY!$B338)</f>
        <v>0</v>
      </c>
      <c r="P338" s="65">
        <f>SUMIFS(Shift_allowance_Entries!$G:$G,Shift_allowance_Entries!$F:$F,"1-9PM/2:30PM-11:30PM",Shift_allowance_Entries!$B:$B,CPY!$B338)</f>
        <v>0</v>
      </c>
      <c r="Q338" s="65">
        <f>SUMIFS(Shift_allowance_Entries!$G:$G,Shift_allowance_Entries!$F:$F,"11PM-7AM",Shift_allowance_Entries!$B:$B,CPY!$B338)</f>
        <v>0</v>
      </c>
      <c r="R338" s="63">
        <f>(CPY!O338*MD!$F$4)+(CPY!P338*MD!$F$5)+(CPY!Q338*MD!$F$6)</f>
        <v>0</v>
      </c>
      <c r="T338" s="64">
        <f>ROUNDUP((SUMIFS('OOH Activities'!$K:$K,'OOH Activities'!$F:$F,"Non_workdays",'OOH Activities'!$B:$B,CPY!B338)) *24,1)</f>
        <v>0</v>
      </c>
      <c r="U338" s="64">
        <f>ROUNDUP((SUMIFS('OOH Activities'!$K:$K,'OOH Activities'!$F:$F,"Workdays",'OOH Activities'!$B:$B,CPY!B338)) *24,1)</f>
        <v>0</v>
      </c>
      <c r="V338" s="63">
        <f>ROUNDUP((SUMIFS('OOH Activities'!$L:$L,'OOH Activities'!$B:$B,CPY!B338)),1)</f>
        <v>0</v>
      </c>
      <c r="X338" s="65">
        <f>ROUNDUP((SUMIFS('ON Call_Call Out Activities'!$L:$L,'ON Call_Call Out Activities'!$F:$F,"Workdays",'ON Call_Call Out Activities'!$B:$B,CPY!B338))*24,1)</f>
        <v>0</v>
      </c>
      <c r="Y338" s="64">
        <f>ROUNDUP((SUMIFS('ON Call_Call Out Activities'!$L:$L,'ON Call_Call Out Activities'!$F:$F,"Non_workdays",'ON Call_Call Out Activities'!$B:$B,CPY!B338)) *24,1)</f>
        <v>0</v>
      </c>
      <c r="Z338" s="63">
        <f>ROUNDUP((SUMIFS('ON Call_Call Out Activities'!$M:$M,'ON Call_Call Out Activities'!$F:$F,"Non_workdays",'ON Call_Call Out Activities'!$B:$B,CPY!B338)),1) + ROUNDUP((SUMIFS('ON Call_Call Out Activities'!$M:$M,'ON Call_Call Out Activities'!$F:$F,"Workdays",'ON Call_Call Out Activities'!$B:$B,CPY!B338)),1)</f>
        <v>0</v>
      </c>
      <c r="AA338" s="66"/>
      <c r="AB338" s="64">
        <f>ROUNDUP((SUMIFS('ON Call_Call Out Activities'!$L:$L,'ON Call_Call Out Activities'!$F:$F,"Call_Out",'ON Call_Call Out Activities'!$B:$B,CPY!B338)) *24,1)</f>
        <v>0</v>
      </c>
      <c r="AC338" s="63">
        <f>ROUNDUP((SUMIFS('ON Call_Call Out Activities'!$M:$M,'ON Call_Call Out Activities'!$F:$F,"Call_Out",'ON Call_Call Out Activities'!$B:$B,CPY!B338)),1)</f>
        <v>0</v>
      </c>
      <c r="AE338" s="65">
        <f>IF((SUMIF(Shift_allowance_Entries!$B:$B,CPY!$B338,Shift_allowance_Entries!$H:$H)) &gt; (SUMIF(Shift_allowance_Entries!$B:$B,CPY!$B338,Shift_allowance_Entries!$G:$G)),0,((SUMIF(Shift_allowance_Entries!$B:$B,CPY!$B338,Shift_allowance_Entries!$G:$G))-(SUMIF(Shift_allowance_Entries!$B:$B,CPY!$B338,Shift_allowance_Entries!$H:$H))))</f>
        <v>0</v>
      </c>
      <c r="AF338" s="63">
        <f>AE338*MD!$S$4</f>
        <v>0</v>
      </c>
    </row>
    <row r="339" spans="1:32" x14ac:dyDescent="0.25">
      <c r="A339" s="62">
        <v>337</v>
      </c>
      <c r="B339" s="62"/>
      <c r="C339" s="50" t="str">
        <f>IF(ISNA(VLOOKUP($B339,Summary!$B:$D,2,FALSE))=TRUE," ",VLOOKUP($B339,Summary!$B:$D,2,FALSE))</f>
        <v> </v>
      </c>
      <c r="D339" s="50" t="str">
        <f>IF(ISNA(VLOOKUP($B339,Summary!$B:$D,3,FALSE))=TRUE," ",VLOOKUP($B339,Summary!$B:$D,3,FALSE))</f>
        <v> </v>
      </c>
      <c r="E339" s="62"/>
      <c r="F339" s="62"/>
      <c r="G339" s="62"/>
      <c r="I339" s="63">
        <f t="shared" si="5"/>
        <v>0</v>
      </c>
      <c r="K339" s="64">
        <f>IF(E339="Support(L1_L2)",IF(NOT(ISBLANK(B339)),IF(NOT(ISBLANK(D339)),NETWORKDAYS('CPY TOC'!$F$5,'CPY TOC'!$G$5))))-L339</f>
        <v>0</v>
      </c>
      <c r="L339" s="64">
        <f>IF(E339="Support(L1_L2)",SUMIFS(Support_allowance_Entries!$G:$G,Support_allowance_Entries!$B:$B,CPY!B339),0)</f>
        <v>0</v>
      </c>
      <c r="M339" s="63" t="b">
        <f>IF($D339="D0",MD!$C$4*(K339),IF($D339="D1",MD!$C$5*(K339),IF($D339="D2",MD!$C$6*(K339),IF($D339="D3",MD!$C$7*(K339),IF($D339="D4",MD!$C$8*(K339),IF($D339="D5",MD!$C$9*(K339),IF($D339="M1",MD!$C$10*(K339),IF($D339="T1",MD!$C$11*(K339)))))))))</f>
        <v>0</v>
      </c>
      <c r="O339" s="65">
        <f>SUMIFS(Shift_allowance_Entries!$G:$G,Shift_allowance_Entries!$F:$F,"6:30AM-03:30PM",Shift_allowance_Entries!$B:$B,CPY!$B339)</f>
        <v>0</v>
      </c>
      <c r="P339" s="65">
        <f>SUMIFS(Shift_allowance_Entries!$G:$G,Shift_allowance_Entries!$F:$F,"1-9PM/2:30PM-11:30PM",Shift_allowance_Entries!$B:$B,CPY!$B339)</f>
        <v>0</v>
      </c>
      <c r="Q339" s="65">
        <f>SUMIFS(Shift_allowance_Entries!$G:$G,Shift_allowance_Entries!$F:$F,"11PM-7AM",Shift_allowance_Entries!$B:$B,CPY!$B339)</f>
        <v>0</v>
      </c>
      <c r="R339" s="63">
        <f>(CPY!O339*MD!$F$4)+(CPY!P339*MD!$F$5)+(CPY!Q339*MD!$F$6)</f>
        <v>0</v>
      </c>
      <c r="T339" s="64">
        <f>ROUNDUP((SUMIFS('OOH Activities'!$K:$K,'OOH Activities'!$F:$F,"Non_workdays",'OOH Activities'!$B:$B,CPY!B339)) *24,1)</f>
        <v>0</v>
      </c>
      <c r="U339" s="64">
        <f>ROUNDUP((SUMIFS('OOH Activities'!$K:$K,'OOH Activities'!$F:$F,"Workdays",'OOH Activities'!$B:$B,CPY!B339)) *24,1)</f>
        <v>0</v>
      </c>
      <c r="V339" s="63">
        <f>ROUNDUP((SUMIFS('OOH Activities'!$L:$L,'OOH Activities'!$B:$B,CPY!B339)),1)</f>
        <v>0</v>
      </c>
      <c r="X339" s="65">
        <f>ROUNDUP((SUMIFS('ON Call_Call Out Activities'!$L:$L,'ON Call_Call Out Activities'!$F:$F,"Workdays",'ON Call_Call Out Activities'!$B:$B,CPY!B339))*24,1)</f>
        <v>0</v>
      </c>
      <c r="Y339" s="64">
        <f>ROUNDUP((SUMIFS('ON Call_Call Out Activities'!$L:$L,'ON Call_Call Out Activities'!$F:$F,"Non_workdays",'ON Call_Call Out Activities'!$B:$B,CPY!B339)) *24,1)</f>
        <v>0</v>
      </c>
      <c r="Z339" s="63">
        <f>ROUNDUP((SUMIFS('ON Call_Call Out Activities'!$M:$M,'ON Call_Call Out Activities'!$F:$F,"Non_workdays",'ON Call_Call Out Activities'!$B:$B,CPY!B339)),1) + ROUNDUP((SUMIFS('ON Call_Call Out Activities'!$M:$M,'ON Call_Call Out Activities'!$F:$F,"Workdays",'ON Call_Call Out Activities'!$B:$B,CPY!B339)),1)</f>
        <v>0</v>
      </c>
      <c r="AA339" s="66"/>
      <c r="AB339" s="64">
        <f>ROUNDUP((SUMIFS('ON Call_Call Out Activities'!$L:$L,'ON Call_Call Out Activities'!$F:$F,"Call_Out",'ON Call_Call Out Activities'!$B:$B,CPY!B339)) *24,1)</f>
        <v>0</v>
      </c>
      <c r="AC339" s="63">
        <f>ROUNDUP((SUMIFS('ON Call_Call Out Activities'!$M:$M,'ON Call_Call Out Activities'!$F:$F,"Call_Out",'ON Call_Call Out Activities'!$B:$B,CPY!B339)),1)</f>
        <v>0</v>
      </c>
      <c r="AE339" s="65">
        <f>IF((SUMIF(Shift_allowance_Entries!$B:$B,CPY!$B339,Shift_allowance_Entries!$H:$H)) &gt; (SUMIF(Shift_allowance_Entries!$B:$B,CPY!$B339,Shift_allowance_Entries!$G:$G)),0,((SUMIF(Shift_allowance_Entries!$B:$B,CPY!$B339,Shift_allowance_Entries!$G:$G))-(SUMIF(Shift_allowance_Entries!$B:$B,CPY!$B339,Shift_allowance_Entries!$H:$H))))</f>
        <v>0</v>
      </c>
      <c r="AF339" s="63">
        <f>AE339*MD!$S$4</f>
        <v>0</v>
      </c>
    </row>
    <row r="340" spans="1:32" x14ac:dyDescent="0.25">
      <c r="A340" s="62">
        <v>338</v>
      </c>
      <c r="B340" s="62"/>
      <c r="C340" s="50" t="str">
        <f>IF(ISNA(VLOOKUP($B340,Summary!$B:$D,2,FALSE))=TRUE," ",VLOOKUP($B340,Summary!$B:$D,2,FALSE))</f>
        <v> </v>
      </c>
      <c r="D340" s="50" t="str">
        <f>IF(ISNA(VLOOKUP($B340,Summary!$B:$D,3,FALSE))=TRUE," ",VLOOKUP($B340,Summary!$B:$D,3,FALSE))</f>
        <v> </v>
      </c>
      <c r="E340" s="62"/>
      <c r="F340" s="62"/>
      <c r="G340" s="62"/>
      <c r="I340" s="63">
        <f t="shared" si="5"/>
        <v>0</v>
      </c>
      <c r="K340" s="64">
        <f>IF(E340="Support(L1_L2)",IF(NOT(ISBLANK(B340)),IF(NOT(ISBLANK(D340)),NETWORKDAYS('CPY TOC'!$F$5,'CPY TOC'!$G$5))))-L340</f>
        <v>0</v>
      </c>
      <c r="L340" s="64">
        <f>IF(E340="Support(L1_L2)",SUMIFS(Support_allowance_Entries!$G:$G,Support_allowance_Entries!$B:$B,CPY!B340),0)</f>
        <v>0</v>
      </c>
      <c r="M340" s="63" t="b">
        <f>IF($D340="D0",MD!$C$4*(K340),IF($D340="D1",MD!$C$5*(K340),IF($D340="D2",MD!$C$6*(K340),IF($D340="D3",MD!$C$7*(K340),IF($D340="D4",MD!$C$8*(K340),IF($D340="D5",MD!$C$9*(K340),IF($D340="M1",MD!$C$10*(K340),IF($D340="T1",MD!$C$11*(K340)))))))))</f>
        <v>0</v>
      </c>
      <c r="O340" s="65">
        <f>SUMIFS(Shift_allowance_Entries!$G:$G,Shift_allowance_Entries!$F:$F,"6:30AM-03:30PM",Shift_allowance_Entries!$B:$B,CPY!$B340)</f>
        <v>0</v>
      </c>
      <c r="P340" s="65">
        <f>SUMIFS(Shift_allowance_Entries!$G:$G,Shift_allowance_Entries!$F:$F,"1-9PM/2:30PM-11:30PM",Shift_allowance_Entries!$B:$B,CPY!$B340)</f>
        <v>0</v>
      </c>
      <c r="Q340" s="65">
        <f>SUMIFS(Shift_allowance_Entries!$G:$G,Shift_allowance_Entries!$F:$F,"11PM-7AM",Shift_allowance_Entries!$B:$B,CPY!$B340)</f>
        <v>0</v>
      </c>
      <c r="R340" s="63">
        <f>(CPY!O340*MD!$F$4)+(CPY!P340*MD!$F$5)+(CPY!Q340*MD!$F$6)</f>
        <v>0</v>
      </c>
      <c r="T340" s="64">
        <f>ROUNDUP((SUMIFS('OOH Activities'!$K:$K,'OOH Activities'!$F:$F,"Non_workdays",'OOH Activities'!$B:$B,CPY!B340)) *24,1)</f>
        <v>0</v>
      </c>
      <c r="U340" s="64">
        <f>ROUNDUP((SUMIFS('OOH Activities'!$K:$K,'OOH Activities'!$F:$F,"Workdays",'OOH Activities'!$B:$B,CPY!B340)) *24,1)</f>
        <v>0</v>
      </c>
      <c r="V340" s="63">
        <f>ROUNDUP((SUMIFS('OOH Activities'!$L:$L,'OOH Activities'!$B:$B,CPY!B340)),1)</f>
        <v>0</v>
      </c>
      <c r="X340" s="65">
        <f>ROUNDUP((SUMIFS('ON Call_Call Out Activities'!$L:$L,'ON Call_Call Out Activities'!$F:$F,"Workdays",'ON Call_Call Out Activities'!$B:$B,CPY!B340))*24,1)</f>
        <v>0</v>
      </c>
      <c r="Y340" s="64">
        <f>ROUNDUP((SUMIFS('ON Call_Call Out Activities'!$L:$L,'ON Call_Call Out Activities'!$F:$F,"Non_workdays",'ON Call_Call Out Activities'!$B:$B,CPY!B340)) *24,1)</f>
        <v>0</v>
      </c>
      <c r="Z340" s="63">
        <f>ROUNDUP((SUMIFS('ON Call_Call Out Activities'!$M:$M,'ON Call_Call Out Activities'!$F:$F,"Non_workdays",'ON Call_Call Out Activities'!$B:$B,CPY!B340)),1) + ROUNDUP((SUMIFS('ON Call_Call Out Activities'!$M:$M,'ON Call_Call Out Activities'!$F:$F,"Workdays",'ON Call_Call Out Activities'!$B:$B,CPY!B340)),1)</f>
        <v>0</v>
      </c>
      <c r="AA340" s="66"/>
      <c r="AB340" s="64">
        <f>ROUNDUP((SUMIFS('ON Call_Call Out Activities'!$L:$L,'ON Call_Call Out Activities'!$F:$F,"Call_Out",'ON Call_Call Out Activities'!$B:$B,CPY!B340)) *24,1)</f>
        <v>0</v>
      </c>
      <c r="AC340" s="63">
        <f>ROUNDUP((SUMIFS('ON Call_Call Out Activities'!$M:$M,'ON Call_Call Out Activities'!$F:$F,"Call_Out",'ON Call_Call Out Activities'!$B:$B,CPY!B340)),1)</f>
        <v>0</v>
      </c>
      <c r="AE340" s="65">
        <f>IF((SUMIF(Shift_allowance_Entries!$B:$B,CPY!$B340,Shift_allowance_Entries!$H:$H)) &gt; (SUMIF(Shift_allowance_Entries!$B:$B,CPY!$B340,Shift_allowance_Entries!$G:$G)),0,((SUMIF(Shift_allowance_Entries!$B:$B,CPY!$B340,Shift_allowance_Entries!$G:$G))-(SUMIF(Shift_allowance_Entries!$B:$B,CPY!$B340,Shift_allowance_Entries!$H:$H))))</f>
        <v>0</v>
      </c>
      <c r="AF340" s="63">
        <f>AE340*MD!$S$4</f>
        <v>0</v>
      </c>
    </row>
    <row r="341" spans="1:32" x14ac:dyDescent="0.25">
      <c r="A341" s="62">
        <v>339</v>
      </c>
      <c r="B341" s="62"/>
      <c r="C341" s="50" t="str">
        <f>IF(ISNA(VLOOKUP($B341,Summary!$B:$D,2,FALSE))=TRUE," ",VLOOKUP($B341,Summary!$B:$D,2,FALSE))</f>
        <v> </v>
      </c>
      <c r="D341" s="50" t="str">
        <f>IF(ISNA(VLOOKUP($B341,Summary!$B:$D,3,FALSE))=TRUE," ",VLOOKUP($B341,Summary!$B:$D,3,FALSE))</f>
        <v> </v>
      </c>
      <c r="E341" s="62"/>
      <c r="F341" s="62"/>
      <c r="G341" s="62"/>
      <c r="I341" s="63">
        <f t="shared" si="5"/>
        <v>0</v>
      </c>
      <c r="K341" s="64">
        <f>IF(E341="Support(L1_L2)",IF(NOT(ISBLANK(B341)),IF(NOT(ISBLANK(D341)),NETWORKDAYS('CPY TOC'!$F$5,'CPY TOC'!$G$5))))-L341</f>
        <v>0</v>
      </c>
      <c r="L341" s="64">
        <f>IF(E341="Support(L1_L2)",SUMIFS(Support_allowance_Entries!$G:$G,Support_allowance_Entries!$B:$B,CPY!B341),0)</f>
        <v>0</v>
      </c>
      <c r="M341" s="63" t="b">
        <f>IF($D341="D0",MD!$C$4*(K341),IF($D341="D1",MD!$C$5*(K341),IF($D341="D2",MD!$C$6*(K341),IF($D341="D3",MD!$C$7*(K341),IF($D341="D4",MD!$C$8*(K341),IF($D341="D5",MD!$C$9*(K341),IF($D341="M1",MD!$C$10*(K341),IF($D341="T1",MD!$C$11*(K341)))))))))</f>
        <v>0</v>
      </c>
      <c r="O341" s="65">
        <f>SUMIFS(Shift_allowance_Entries!$G:$G,Shift_allowance_Entries!$F:$F,"6:30AM-03:30PM",Shift_allowance_Entries!$B:$B,CPY!$B341)</f>
        <v>0</v>
      </c>
      <c r="P341" s="65">
        <f>SUMIFS(Shift_allowance_Entries!$G:$G,Shift_allowance_Entries!$F:$F,"1-9PM/2:30PM-11:30PM",Shift_allowance_Entries!$B:$B,CPY!$B341)</f>
        <v>0</v>
      </c>
      <c r="Q341" s="65">
        <f>SUMIFS(Shift_allowance_Entries!$G:$G,Shift_allowance_Entries!$F:$F,"11PM-7AM",Shift_allowance_Entries!$B:$B,CPY!$B341)</f>
        <v>0</v>
      </c>
      <c r="R341" s="63">
        <f>(CPY!O341*MD!$F$4)+(CPY!P341*MD!$F$5)+(CPY!Q341*MD!$F$6)</f>
        <v>0</v>
      </c>
      <c r="T341" s="64">
        <f>ROUNDUP((SUMIFS('OOH Activities'!$K:$K,'OOH Activities'!$F:$F,"Non_workdays",'OOH Activities'!$B:$B,CPY!B341)) *24,1)</f>
        <v>0</v>
      </c>
      <c r="U341" s="64">
        <f>ROUNDUP((SUMIFS('OOH Activities'!$K:$K,'OOH Activities'!$F:$F,"Workdays",'OOH Activities'!$B:$B,CPY!B341)) *24,1)</f>
        <v>0</v>
      </c>
      <c r="V341" s="63">
        <f>ROUNDUP((SUMIFS('OOH Activities'!$L:$L,'OOH Activities'!$B:$B,CPY!B341)),1)</f>
        <v>0</v>
      </c>
      <c r="X341" s="65">
        <f>ROUNDUP((SUMIFS('ON Call_Call Out Activities'!$L:$L,'ON Call_Call Out Activities'!$F:$F,"Workdays",'ON Call_Call Out Activities'!$B:$B,CPY!B341))*24,1)</f>
        <v>0</v>
      </c>
      <c r="Y341" s="64">
        <f>ROUNDUP((SUMIFS('ON Call_Call Out Activities'!$L:$L,'ON Call_Call Out Activities'!$F:$F,"Non_workdays",'ON Call_Call Out Activities'!$B:$B,CPY!B341)) *24,1)</f>
        <v>0</v>
      </c>
      <c r="Z341" s="63">
        <f>ROUNDUP((SUMIFS('ON Call_Call Out Activities'!$M:$M,'ON Call_Call Out Activities'!$F:$F,"Non_workdays",'ON Call_Call Out Activities'!$B:$B,CPY!B341)),1) + ROUNDUP((SUMIFS('ON Call_Call Out Activities'!$M:$M,'ON Call_Call Out Activities'!$F:$F,"Workdays",'ON Call_Call Out Activities'!$B:$B,CPY!B341)),1)</f>
        <v>0</v>
      </c>
      <c r="AA341" s="66"/>
      <c r="AB341" s="64">
        <f>ROUNDUP((SUMIFS('ON Call_Call Out Activities'!$L:$L,'ON Call_Call Out Activities'!$F:$F,"Call_Out",'ON Call_Call Out Activities'!$B:$B,CPY!B341)) *24,1)</f>
        <v>0</v>
      </c>
      <c r="AC341" s="63">
        <f>ROUNDUP((SUMIFS('ON Call_Call Out Activities'!$M:$M,'ON Call_Call Out Activities'!$F:$F,"Call_Out",'ON Call_Call Out Activities'!$B:$B,CPY!B341)),1)</f>
        <v>0</v>
      </c>
      <c r="AE341" s="65">
        <f>IF((SUMIF(Shift_allowance_Entries!$B:$B,CPY!$B341,Shift_allowance_Entries!$H:$H)) &gt; (SUMIF(Shift_allowance_Entries!$B:$B,CPY!$B341,Shift_allowance_Entries!$G:$G)),0,((SUMIF(Shift_allowance_Entries!$B:$B,CPY!$B341,Shift_allowance_Entries!$G:$G))-(SUMIF(Shift_allowance_Entries!$B:$B,CPY!$B341,Shift_allowance_Entries!$H:$H))))</f>
        <v>0</v>
      </c>
      <c r="AF341" s="63">
        <f>AE341*MD!$S$4</f>
        <v>0</v>
      </c>
    </row>
    <row r="342" spans="1:32" x14ac:dyDescent="0.25">
      <c r="A342" s="62">
        <v>340</v>
      </c>
      <c r="B342" s="62"/>
      <c r="C342" s="50" t="str">
        <f>IF(ISNA(VLOOKUP($B342,Summary!$B:$D,2,FALSE))=TRUE," ",VLOOKUP($B342,Summary!$B:$D,2,FALSE))</f>
        <v> </v>
      </c>
      <c r="D342" s="50" t="str">
        <f>IF(ISNA(VLOOKUP($B342,Summary!$B:$D,3,FALSE))=TRUE," ",VLOOKUP($B342,Summary!$B:$D,3,FALSE))</f>
        <v> </v>
      </c>
      <c r="E342" s="62"/>
      <c r="F342" s="62"/>
      <c r="G342" s="62"/>
      <c r="I342" s="63">
        <f t="shared" si="5"/>
        <v>0</v>
      </c>
      <c r="K342" s="64">
        <f>IF(E342="Support(L1_L2)",IF(NOT(ISBLANK(B342)),IF(NOT(ISBLANK(D342)),NETWORKDAYS('CPY TOC'!$F$5,'CPY TOC'!$G$5))))-L342</f>
        <v>0</v>
      </c>
      <c r="L342" s="64">
        <f>IF(E342="Support(L1_L2)",SUMIFS(Support_allowance_Entries!$G:$G,Support_allowance_Entries!$B:$B,CPY!B342),0)</f>
        <v>0</v>
      </c>
      <c r="M342" s="63" t="b">
        <f>IF($D342="D0",MD!$C$4*(K342),IF($D342="D1",MD!$C$5*(K342),IF($D342="D2",MD!$C$6*(K342),IF($D342="D3",MD!$C$7*(K342),IF($D342="D4",MD!$C$8*(K342),IF($D342="D5",MD!$C$9*(K342),IF($D342="M1",MD!$C$10*(K342),IF($D342="T1",MD!$C$11*(K342)))))))))</f>
        <v>0</v>
      </c>
      <c r="O342" s="65">
        <f>SUMIFS(Shift_allowance_Entries!$G:$G,Shift_allowance_Entries!$F:$F,"6:30AM-03:30PM",Shift_allowance_Entries!$B:$B,CPY!$B342)</f>
        <v>0</v>
      </c>
      <c r="P342" s="65">
        <f>SUMIFS(Shift_allowance_Entries!$G:$G,Shift_allowance_Entries!$F:$F,"1-9PM/2:30PM-11:30PM",Shift_allowance_Entries!$B:$B,CPY!$B342)</f>
        <v>0</v>
      </c>
      <c r="Q342" s="65">
        <f>SUMIFS(Shift_allowance_Entries!$G:$G,Shift_allowance_Entries!$F:$F,"11PM-7AM",Shift_allowance_Entries!$B:$B,CPY!$B342)</f>
        <v>0</v>
      </c>
      <c r="R342" s="63">
        <f>(CPY!O342*MD!$F$4)+(CPY!P342*MD!$F$5)+(CPY!Q342*MD!$F$6)</f>
        <v>0</v>
      </c>
      <c r="T342" s="64">
        <f>ROUNDUP((SUMIFS('OOH Activities'!$K:$K,'OOH Activities'!$F:$F,"Non_workdays",'OOH Activities'!$B:$B,CPY!B342)) *24,1)</f>
        <v>0</v>
      </c>
      <c r="U342" s="64">
        <f>ROUNDUP((SUMIFS('OOH Activities'!$K:$K,'OOH Activities'!$F:$F,"Workdays",'OOH Activities'!$B:$B,CPY!B342)) *24,1)</f>
        <v>0</v>
      </c>
      <c r="V342" s="63">
        <f>ROUNDUP((SUMIFS('OOH Activities'!$L:$L,'OOH Activities'!$B:$B,CPY!B342)),1)</f>
        <v>0</v>
      </c>
      <c r="X342" s="65">
        <f>ROUNDUP((SUMIFS('ON Call_Call Out Activities'!$L:$L,'ON Call_Call Out Activities'!$F:$F,"Workdays",'ON Call_Call Out Activities'!$B:$B,CPY!B342))*24,1)</f>
        <v>0</v>
      </c>
      <c r="Y342" s="64">
        <f>ROUNDUP((SUMIFS('ON Call_Call Out Activities'!$L:$L,'ON Call_Call Out Activities'!$F:$F,"Non_workdays",'ON Call_Call Out Activities'!$B:$B,CPY!B342)) *24,1)</f>
        <v>0</v>
      </c>
      <c r="Z342" s="63">
        <f>ROUNDUP((SUMIFS('ON Call_Call Out Activities'!$M:$M,'ON Call_Call Out Activities'!$F:$F,"Non_workdays",'ON Call_Call Out Activities'!$B:$B,CPY!B342)),1) + ROUNDUP((SUMIFS('ON Call_Call Out Activities'!$M:$M,'ON Call_Call Out Activities'!$F:$F,"Workdays",'ON Call_Call Out Activities'!$B:$B,CPY!B342)),1)</f>
        <v>0</v>
      </c>
      <c r="AA342" s="66"/>
      <c r="AB342" s="64">
        <f>ROUNDUP((SUMIFS('ON Call_Call Out Activities'!$L:$L,'ON Call_Call Out Activities'!$F:$F,"Call_Out",'ON Call_Call Out Activities'!$B:$B,CPY!B342)) *24,1)</f>
        <v>0</v>
      </c>
      <c r="AC342" s="63">
        <f>ROUNDUP((SUMIFS('ON Call_Call Out Activities'!$M:$M,'ON Call_Call Out Activities'!$F:$F,"Call_Out",'ON Call_Call Out Activities'!$B:$B,CPY!B342)),1)</f>
        <v>0</v>
      </c>
      <c r="AE342" s="65">
        <f>IF((SUMIF(Shift_allowance_Entries!$B:$B,CPY!$B342,Shift_allowance_Entries!$H:$H)) &gt; (SUMIF(Shift_allowance_Entries!$B:$B,CPY!$B342,Shift_allowance_Entries!$G:$G)),0,((SUMIF(Shift_allowance_Entries!$B:$B,CPY!$B342,Shift_allowance_Entries!$G:$G))-(SUMIF(Shift_allowance_Entries!$B:$B,CPY!$B342,Shift_allowance_Entries!$H:$H))))</f>
        <v>0</v>
      </c>
      <c r="AF342" s="63">
        <f>AE342*MD!$S$4</f>
        <v>0</v>
      </c>
    </row>
    <row r="343" spans="1:32" x14ac:dyDescent="0.25">
      <c r="A343" s="62">
        <v>341</v>
      </c>
      <c r="B343" s="62"/>
      <c r="C343" s="50" t="str">
        <f>IF(ISNA(VLOOKUP($B343,Summary!$B:$D,2,FALSE))=TRUE," ",VLOOKUP($B343,Summary!$B:$D,2,FALSE))</f>
        <v> </v>
      </c>
      <c r="D343" s="50" t="str">
        <f>IF(ISNA(VLOOKUP($B343,Summary!$B:$D,3,FALSE))=TRUE," ",VLOOKUP($B343,Summary!$B:$D,3,FALSE))</f>
        <v> </v>
      </c>
      <c r="E343" s="62"/>
      <c r="F343" s="62"/>
      <c r="G343" s="62"/>
      <c r="I343" s="63">
        <f t="shared" si="5"/>
        <v>0</v>
      </c>
      <c r="K343" s="64">
        <f>IF(E343="Support(L1_L2)",IF(NOT(ISBLANK(B343)),IF(NOT(ISBLANK(D343)),NETWORKDAYS('CPY TOC'!$F$5,'CPY TOC'!$G$5))))-L343</f>
        <v>0</v>
      </c>
      <c r="L343" s="64">
        <f>IF(E343="Support(L1_L2)",SUMIFS(Support_allowance_Entries!$G:$G,Support_allowance_Entries!$B:$B,CPY!B343),0)</f>
        <v>0</v>
      </c>
      <c r="M343" s="63" t="b">
        <f>IF($D343="D0",MD!$C$4*(K343),IF($D343="D1",MD!$C$5*(K343),IF($D343="D2",MD!$C$6*(K343),IF($D343="D3",MD!$C$7*(K343),IF($D343="D4",MD!$C$8*(K343),IF($D343="D5",MD!$C$9*(K343),IF($D343="M1",MD!$C$10*(K343),IF($D343="T1",MD!$C$11*(K343)))))))))</f>
        <v>0</v>
      </c>
      <c r="O343" s="65">
        <f>SUMIFS(Shift_allowance_Entries!$G:$G,Shift_allowance_Entries!$F:$F,"6:30AM-03:30PM",Shift_allowance_Entries!$B:$B,CPY!$B343)</f>
        <v>0</v>
      </c>
      <c r="P343" s="65">
        <f>SUMIFS(Shift_allowance_Entries!$G:$G,Shift_allowance_Entries!$F:$F,"1-9PM/2:30PM-11:30PM",Shift_allowance_Entries!$B:$B,CPY!$B343)</f>
        <v>0</v>
      </c>
      <c r="Q343" s="65">
        <f>SUMIFS(Shift_allowance_Entries!$G:$G,Shift_allowance_Entries!$F:$F,"11PM-7AM",Shift_allowance_Entries!$B:$B,CPY!$B343)</f>
        <v>0</v>
      </c>
      <c r="R343" s="63">
        <f>(CPY!O343*MD!$F$4)+(CPY!P343*MD!$F$5)+(CPY!Q343*MD!$F$6)</f>
        <v>0</v>
      </c>
      <c r="T343" s="64">
        <f>ROUNDUP((SUMIFS('OOH Activities'!$K:$K,'OOH Activities'!$F:$F,"Non_workdays",'OOH Activities'!$B:$B,CPY!B343)) *24,1)</f>
        <v>0</v>
      </c>
      <c r="U343" s="64">
        <f>ROUNDUP((SUMIFS('OOH Activities'!$K:$K,'OOH Activities'!$F:$F,"Workdays",'OOH Activities'!$B:$B,CPY!B343)) *24,1)</f>
        <v>0</v>
      </c>
      <c r="V343" s="63">
        <f>ROUNDUP((SUMIFS('OOH Activities'!$L:$L,'OOH Activities'!$B:$B,CPY!B343)),1)</f>
        <v>0</v>
      </c>
      <c r="X343" s="65">
        <f>ROUNDUP((SUMIFS('ON Call_Call Out Activities'!$L:$L,'ON Call_Call Out Activities'!$F:$F,"Workdays",'ON Call_Call Out Activities'!$B:$B,CPY!B343))*24,1)</f>
        <v>0</v>
      </c>
      <c r="Y343" s="64">
        <f>ROUNDUP((SUMIFS('ON Call_Call Out Activities'!$L:$L,'ON Call_Call Out Activities'!$F:$F,"Non_workdays",'ON Call_Call Out Activities'!$B:$B,CPY!B343)) *24,1)</f>
        <v>0</v>
      </c>
      <c r="Z343" s="63">
        <f>ROUNDUP((SUMIFS('ON Call_Call Out Activities'!$M:$M,'ON Call_Call Out Activities'!$F:$F,"Non_workdays",'ON Call_Call Out Activities'!$B:$B,CPY!B343)),1) + ROUNDUP((SUMIFS('ON Call_Call Out Activities'!$M:$M,'ON Call_Call Out Activities'!$F:$F,"Workdays",'ON Call_Call Out Activities'!$B:$B,CPY!B343)),1)</f>
        <v>0</v>
      </c>
      <c r="AA343" s="66"/>
      <c r="AB343" s="64">
        <f>ROUNDUP((SUMIFS('ON Call_Call Out Activities'!$L:$L,'ON Call_Call Out Activities'!$F:$F,"Call_Out",'ON Call_Call Out Activities'!$B:$B,CPY!B343)) *24,1)</f>
        <v>0</v>
      </c>
      <c r="AC343" s="63">
        <f>ROUNDUP((SUMIFS('ON Call_Call Out Activities'!$M:$M,'ON Call_Call Out Activities'!$F:$F,"Call_Out",'ON Call_Call Out Activities'!$B:$B,CPY!B343)),1)</f>
        <v>0</v>
      </c>
      <c r="AE343" s="65">
        <f>IF((SUMIF(Shift_allowance_Entries!$B:$B,CPY!$B343,Shift_allowance_Entries!$H:$H)) &gt; (SUMIF(Shift_allowance_Entries!$B:$B,CPY!$B343,Shift_allowance_Entries!$G:$G)),0,((SUMIF(Shift_allowance_Entries!$B:$B,CPY!$B343,Shift_allowance_Entries!$G:$G))-(SUMIF(Shift_allowance_Entries!$B:$B,CPY!$B343,Shift_allowance_Entries!$H:$H))))</f>
        <v>0</v>
      </c>
      <c r="AF343" s="63">
        <f>AE343*MD!$S$4</f>
        <v>0</v>
      </c>
    </row>
    <row r="344" spans="1:32" x14ac:dyDescent="0.25">
      <c r="A344" s="62">
        <v>342</v>
      </c>
      <c r="B344" s="62"/>
      <c r="C344" s="50" t="str">
        <f>IF(ISNA(VLOOKUP($B344,Summary!$B:$D,2,FALSE))=TRUE," ",VLOOKUP($B344,Summary!$B:$D,2,FALSE))</f>
        <v> </v>
      </c>
      <c r="D344" s="50" t="str">
        <f>IF(ISNA(VLOOKUP($B344,Summary!$B:$D,3,FALSE))=TRUE," ",VLOOKUP($B344,Summary!$B:$D,3,FALSE))</f>
        <v> </v>
      </c>
      <c r="E344" s="62"/>
      <c r="F344" s="62"/>
      <c r="G344" s="62"/>
      <c r="I344" s="63">
        <f t="shared" si="5"/>
        <v>0</v>
      </c>
      <c r="K344" s="64">
        <f>IF(E344="Support(L1_L2)",IF(NOT(ISBLANK(B344)),IF(NOT(ISBLANK(D344)),NETWORKDAYS('CPY TOC'!$F$5,'CPY TOC'!$G$5))))-L344</f>
        <v>0</v>
      </c>
      <c r="L344" s="64">
        <f>IF(E344="Support(L1_L2)",SUMIFS(Support_allowance_Entries!$G:$G,Support_allowance_Entries!$B:$B,CPY!B344),0)</f>
        <v>0</v>
      </c>
      <c r="M344" s="63" t="b">
        <f>IF($D344="D0",MD!$C$4*(K344),IF($D344="D1",MD!$C$5*(K344),IF($D344="D2",MD!$C$6*(K344),IF($D344="D3",MD!$C$7*(K344),IF($D344="D4",MD!$C$8*(K344),IF($D344="D5",MD!$C$9*(K344),IF($D344="M1",MD!$C$10*(K344),IF($D344="T1",MD!$C$11*(K344)))))))))</f>
        <v>0</v>
      </c>
      <c r="O344" s="65">
        <f>SUMIFS(Shift_allowance_Entries!$G:$G,Shift_allowance_Entries!$F:$F,"6:30AM-03:30PM",Shift_allowance_Entries!$B:$B,CPY!$B344)</f>
        <v>0</v>
      </c>
      <c r="P344" s="65">
        <f>SUMIFS(Shift_allowance_Entries!$G:$G,Shift_allowance_Entries!$F:$F,"1-9PM/2:30PM-11:30PM",Shift_allowance_Entries!$B:$B,CPY!$B344)</f>
        <v>0</v>
      </c>
      <c r="Q344" s="65">
        <f>SUMIFS(Shift_allowance_Entries!$G:$G,Shift_allowance_Entries!$F:$F,"11PM-7AM",Shift_allowance_Entries!$B:$B,CPY!$B344)</f>
        <v>0</v>
      </c>
      <c r="R344" s="63">
        <f>(CPY!O344*MD!$F$4)+(CPY!P344*MD!$F$5)+(CPY!Q344*MD!$F$6)</f>
        <v>0</v>
      </c>
      <c r="T344" s="64">
        <f>ROUNDUP((SUMIFS('OOH Activities'!$K:$K,'OOH Activities'!$F:$F,"Non_workdays",'OOH Activities'!$B:$B,CPY!B344)) *24,1)</f>
        <v>0</v>
      </c>
      <c r="U344" s="64">
        <f>ROUNDUP((SUMIFS('OOH Activities'!$K:$K,'OOH Activities'!$F:$F,"Workdays",'OOH Activities'!$B:$B,CPY!B344)) *24,1)</f>
        <v>0</v>
      </c>
      <c r="V344" s="63">
        <f>ROUNDUP((SUMIFS('OOH Activities'!$L:$L,'OOH Activities'!$B:$B,CPY!B344)),1)</f>
        <v>0</v>
      </c>
      <c r="X344" s="65">
        <f>ROUNDUP((SUMIFS('ON Call_Call Out Activities'!$L:$L,'ON Call_Call Out Activities'!$F:$F,"Workdays",'ON Call_Call Out Activities'!$B:$B,CPY!B344))*24,1)</f>
        <v>0</v>
      </c>
      <c r="Y344" s="64">
        <f>ROUNDUP((SUMIFS('ON Call_Call Out Activities'!$L:$L,'ON Call_Call Out Activities'!$F:$F,"Non_workdays",'ON Call_Call Out Activities'!$B:$B,CPY!B344)) *24,1)</f>
        <v>0</v>
      </c>
      <c r="Z344" s="63">
        <f>ROUNDUP((SUMIFS('ON Call_Call Out Activities'!$M:$M,'ON Call_Call Out Activities'!$F:$F,"Non_workdays",'ON Call_Call Out Activities'!$B:$B,CPY!B344)),1) + ROUNDUP((SUMIFS('ON Call_Call Out Activities'!$M:$M,'ON Call_Call Out Activities'!$F:$F,"Workdays",'ON Call_Call Out Activities'!$B:$B,CPY!B344)),1)</f>
        <v>0</v>
      </c>
      <c r="AA344" s="66"/>
      <c r="AB344" s="64">
        <f>ROUNDUP((SUMIFS('ON Call_Call Out Activities'!$L:$L,'ON Call_Call Out Activities'!$F:$F,"Call_Out",'ON Call_Call Out Activities'!$B:$B,CPY!B344)) *24,1)</f>
        <v>0</v>
      </c>
      <c r="AC344" s="63">
        <f>ROUNDUP((SUMIFS('ON Call_Call Out Activities'!$M:$M,'ON Call_Call Out Activities'!$F:$F,"Call_Out",'ON Call_Call Out Activities'!$B:$B,CPY!B344)),1)</f>
        <v>0</v>
      </c>
      <c r="AE344" s="65">
        <f>IF((SUMIF(Shift_allowance_Entries!$B:$B,CPY!$B344,Shift_allowance_Entries!$H:$H)) &gt; (SUMIF(Shift_allowance_Entries!$B:$B,CPY!$B344,Shift_allowance_Entries!$G:$G)),0,((SUMIF(Shift_allowance_Entries!$B:$B,CPY!$B344,Shift_allowance_Entries!$G:$G))-(SUMIF(Shift_allowance_Entries!$B:$B,CPY!$B344,Shift_allowance_Entries!$H:$H))))</f>
        <v>0</v>
      </c>
      <c r="AF344" s="63">
        <f>AE344*MD!$S$4</f>
        <v>0</v>
      </c>
    </row>
    <row r="345" spans="1:32" x14ac:dyDescent="0.25">
      <c r="A345" s="62">
        <v>343</v>
      </c>
      <c r="B345" s="62"/>
      <c r="C345" s="50" t="str">
        <f>IF(ISNA(VLOOKUP($B345,Summary!$B:$D,2,FALSE))=TRUE," ",VLOOKUP($B345,Summary!$B:$D,2,FALSE))</f>
        <v> </v>
      </c>
      <c r="D345" s="50" t="str">
        <f>IF(ISNA(VLOOKUP($B345,Summary!$B:$D,3,FALSE))=TRUE," ",VLOOKUP($B345,Summary!$B:$D,3,FALSE))</f>
        <v> </v>
      </c>
      <c r="E345" s="62"/>
      <c r="F345" s="62"/>
      <c r="G345" s="62"/>
      <c r="I345" s="63">
        <f t="shared" si="5"/>
        <v>0</v>
      </c>
      <c r="K345" s="64">
        <f>IF(E345="Support(L1_L2)",IF(NOT(ISBLANK(B345)),IF(NOT(ISBLANK(D345)),NETWORKDAYS('CPY TOC'!$F$5,'CPY TOC'!$G$5))))-L345</f>
        <v>0</v>
      </c>
      <c r="L345" s="64">
        <f>IF(E345="Support(L1_L2)",SUMIFS(Support_allowance_Entries!$G:$G,Support_allowance_Entries!$B:$B,CPY!B345),0)</f>
        <v>0</v>
      </c>
      <c r="M345" s="63" t="b">
        <f>IF($D345="D0",MD!$C$4*(K345),IF($D345="D1",MD!$C$5*(K345),IF($D345="D2",MD!$C$6*(K345),IF($D345="D3",MD!$C$7*(K345),IF($D345="D4",MD!$C$8*(K345),IF($D345="D5",MD!$C$9*(K345),IF($D345="M1",MD!$C$10*(K345),IF($D345="T1",MD!$C$11*(K345)))))))))</f>
        <v>0</v>
      </c>
      <c r="O345" s="65">
        <f>SUMIFS(Shift_allowance_Entries!$G:$G,Shift_allowance_Entries!$F:$F,"6:30AM-03:30PM",Shift_allowance_Entries!$B:$B,CPY!$B345)</f>
        <v>0</v>
      </c>
      <c r="P345" s="65">
        <f>SUMIFS(Shift_allowance_Entries!$G:$G,Shift_allowance_Entries!$F:$F,"1-9PM/2:30PM-11:30PM",Shift_allowance_Entries!$B:$B,CPY!$B345)</f>
        <v>0</v>
      </c>
      <c r="Q345" s="65">
        <f>SUMIFS(Shift_allowance_Entries!$G:$G,Shift_allowance_Entries!$F:$F,"11PM-7AM",Shift_allowance_Entries!$B:$B,CPY!$B345)</f>
        <v>0</v>
      </c>
      <c r="R345" s="63">
        <f>(CPY!O345*MD!$F$4)+(CPY!P345*MD!$F$5)+(CPY!Q345*MD!$F$6)</f>
        <v>0</v>
      </c>
      <c r="T345" s="64">
        <f>ROUNDUP((SUMIFS('OOH Activities'!$K:$K,'OOH Activities'!$F:$F,"Non_workdays",'OOH Activities'!$B:$B,CPY!B345)) *24,1)</f>
        <v>0</v>
      </c>
      <c r="U345" s="64">
        <f>ROUNDUP((SUMIFS('OOH Activities'!$K:$K,'OOH Activities'!$F:$F,"Workdays",'OOH Activities'!$B:$B,CPY!B345)) *24,1)</f>
        <v>0</v>
      </c>
      <c r="V345" s="63">
        <f>ROUNDUP((SUMIFS('OOH Activities'!$L:$L,'OOH Activities'!$B:$B,CPY!B345)),1)</f>
        <v>0</v>
      </c>
      <c r="X345" s="65">
        <f>ROUNDUP((SUMIFS('ON Call_Call Out Activities'!$L:$L,'ON Call_Call Out Activities'!$F:$F,"Workdays",'ON Call_Call Out Activities'!$B:$B,CPY!B345))*24,1)</f>
        <v>0</v>
      </c>
      <c r="Y345" s="64">
        <f>ROUNDUP((SUMIFS('ON Call_Call Out Activities'!$L:$L,'ON Call_Call Out Activities'!$F:$F,"Non_workdays",'ON Call_Call Out Activities'!$B:$B,CPY!B345)) *24,1)</f>
        <v>0</v>
      </c>
      <c r="Z345" s="63">
        <f>ROUNDUP((SUMIFS('ON Call_Call Out Activities'!$M:$M,'ON Call_Call Out Activities'!$F:$F,"Non_workdays",'ON Call_Call Out Activities'!$B:$B,CPY!B345)),1) + ROUNDUP((SUMIFS('ON Call_Call Out Activities'!$M:$M,'ON Call_Call Out Activities'!$F:$F,"Workdays",'ON Call_Call Out Activities'!$B:$B,CPY!B345)),1)</f>
        <v>0</v>
      </c>
      <c r="AA345" s="66"/>
      <c r="AB345" s="64">
        <f>ROUNDUP((SUMIFS('ON Call_Call Out Activities'!$L:$L,'ON Call_Call Out Activities'!$F:$F,"Call_Out",'ON Call_Call Out Activities'!$B:$B,CPY!B345)) *24,1)</f>
        <v>0</v>
      </c>
      <c r="AC345" s="63">
        <f>ROUNDUP((SUMIFS('ON Call_Call Out Activities'!$M:$M,'ON Call_Call Out Activities'!$F:$F,"Call_Out",'ON Call_Call Out Activities'!$B:$B,CPY!B345)),1)</f>
        <v>0</v>
      </c>
      <c r="AE345" s="65">
        <f>IF((SUMIF(Shift_allowance_Entries!$B:$B,CPY!$B345,Shift_allowance_Entries!$H:$H)) &gt; (SUMIF(Shift_allowance_Entries!$B:$B,CPY!$B345,Shift_allowance_Entries!$G:$G)),0,((SUMIF(Shift_allowance_Entries!$B:$B,CPY!$B345,Shift_allowance_Entries!$G:$G))-(SUMIF(Shift_allowance_Entries!$B:$B,CPY!$B345,Shift_allowance_Entries!$H:$H))))</f>
        <v>0</v>
      </c>
      <c r="AF345" s="63">
        <f>AE345*MD!$S$4</f>
        <v>0</v>
      </c>
    </row>
    <row r="346" spans="1:32" x14ac:dyDescent="0.25">
      <c r="A346" s="62">
        <v>344</v>
      </c>
      <c r="B346" s="62"/>
      <c r="C346" s="50" t="str">
        <f>IF(ISNA(VLOOKUP($B346,Summary!$B:$D,2,FALSE))=TRUE," ",VLOOKUP($B346,Summary!$B:$D,2,FALSE))</f>
        <v> </v>
      </c>
      <c r="D346" s="50" t="str">
        <f>IF(ISNA(VLOOKUP($B346,Summary!$B:$D,3,FALSE))=TRUE," ",VLOOKUP($B346,Summary!$B:$D,3,FALSE))</f>
        <v> </v>
      </c>
      <c r="E346" s="62"/>
      <c r="F346" s="62"/>
      <c r="G346" s="62"/>
      <c r="I346" s="63">
        <f t="shared" si="5"/>
        <v>0</v>
      </c>
      <c r="K346" s="64">
        <f>IF(E346="Support(L1_L2)",IF(NOT(ISBLANK(B346)),IF(NOT(ISBLANK(D346)),NETWORKDAYS('CPY TOC'!$F$5,'CPY TOC'!$G$5))))-L346</f>
        <v>0</v>
      </c>
      <c r="L346" s="64">
        <f>IF(E346="Support(L1_L2)",SUMIFS(Support_allowance_Entries!$G:$G,Support_allowance_Entries!$B:$B,CPY!B346),0)</f>
        <v>0</v>
      </c>
      <c r="M346" s="63" t="b">
        <f>IF($D346="D0",MD!$C$4*(K346),IF($D346="D1",MD!$C$5*(K346),IF($D346="D2",MD!$C$6*(K346),IF($D346="D3",MD!$C$7*(K346),IF($D346="D4",MD!$C$8*(K346),IF($D346="D5",MD!$C$9*(K346),IF($D346="M1",MD!$C$10*(K346),IF($D346="T1",MD!$C$11*(K346)))))))))</f>
        <v>0</v>
      </c>
      <c r="O346" s="65">
        <f>SUMIFS(Shift_allowance_Entries!$G:$G,Shift_allowance_Entries!$F:$F,"6:30AM-03:30PM",Shift_allowance_Entries!$B:$B,CPY!$B346)</f>
        <v>0</v>
      </c>
      <c r="P346" s="65">
        <f>SUMIFS(Shift_allowance_Entries!$G:$G,Shift_allowance_Entries!$F:$F,"1-9PM/2:30PM-11:30PM",Shift_allowance_Entries!$B:$B,CPY!$B346)</f>
        <v>0</v>
      </c>
      <c r="Q346" s="65">
        <f>SUMIFS(Shift_allowance_Entries!$G:$G,Shift_allowance_Entries!$F:$F,"11PM-7AM",Shift_allowance_Entries!$B:$B,CPY!$B346)</f>
        <v>0</v>
      </c>
      <c r="R346" s="63">
        <f>(CPY!O346*MD!$F$4)+(CPY!P346*MD!$F$5)+(CPY!Q346*MD!$F$6)</f>
        <v>0</v>
      </c>
      <c r="T346" s="64">
        <f>ROUNDUP((SUMIFS('OOH Activities'!$K:$K,'OOH Activities'!$F:$F,"Non_workdays",'OOH Activities'!$B:$B,CPY!B346)) *24,1)</f>
        <v>0</v>
      </c>
      <c r="U346" s="64">
        <f>ROUNDUP((SUMIFS('OOH Activities'!$K:$K,'OOH Activities'!$F:$F,"Workdays",'OOH Activities'!$B:$B,CPY!B346)) *24,1)</f>
        <v>0</v>
      </c>
      <c r="V346" s="63">
        <f>ROUNDUP((SUMIFS('OOH Activities'!$L:$L,'OOH Activities'!$B:$B,CPY!B346)),1)</f>
        <v>0</v>
      </c>
      <c r="X346" s="65">
        <f>ROUNDUP((SUMIFS('ON Call_Call Out Activities'!$L:$L,'ON Call_Call Out Activities'!$F:$F,"Workdays",'ON Call_Call Out Activities'!$B:$B,CPY!B346))*24,1)</f>
        <v>0</v>
      </c>
      <c r="Y346" s="64">
        <f>ROUNDUP((SUMIFS('ON Call_Call Out Activities'!$L:$L,'ON Call_Call Out Activities'!$F:$F,"Non_workdays",'ON Call_Call Out Activities'!$B:$B,CPY!B346)) *24,1)</f>
        <v>0</v>
      </c>
      <c r="Z346" s="63">
        <f>ROUNDUP((SUMIFS('ON Call_Call Out Activities'!$M:$M,'ON Call_Call Out Activities'!$F:$F,"Non_workdays",'ON Call_Call Out Activities'!$B:$B,CPY!B346)),1) + ROUNDUP((SUMIFS('ON Call_Call Out Activities'!$M:$M,'ON Call_Call Out Activities'!$F:$F,"Workdays",'ON Call_Call Out Activities'!$B:$B,CPY!B346)),1)</f>
        <v>0</v>
      </c>
      <c r="AA346" s="66"/>
      <c r="AB346" s="64">
        <f>ROUNDUP((SUMIFS('ON Call_Call Out Activities'!$L:$L,'ON Call_Call Out Activities'!$F:$F,"Call_Out",'ON Call_Call Out Activities'!$B:$B,CPY!B346)) *24,1)</f>
        <v>0</v>
      </c>
      <c r="AC346" s="63">
        <f>ROUNDUP((SUMIFS('ON Call_Call Out Activities'!$M:$M,'ON Call_Call Out Activities'!$F:$F,"Call_Out",'ON Call_Call Out Activities'!$B:$B,CPY!B346)),1)</f>
        <v>0</v>
      </c>
      <c r="AE346" s="65">
        <f>IF((SUMIF(Shift_allowance_Entries!$B:$B,CPY!$B346,Shift_allowance_Entries!$H:$H)) &gt; (SUMIF(Shift_allowance_Entries!$B:$B,CPY!$B346,Shift_allowance_Entries!$G:$G)),0,((SUMIF(Shift_allowance_Entries!$B:$B,CPY!$B346,Shift_allowance_Entries!$G:$G))-(SUMIF(Shift_allowance_Entries!$B:$B,CPY!$B346,Shift_allowance_Entries!$H:$H))))</f>
        <v>0</v>
      </c>
      <c r="AF346" s="63">
        <f>AE346*MD!$S$4</f>
        <v>0</v>
      </c>
    </row>
    <row r="347" spans="1:32" x14ac:dyDescent="0.25">
      <c r="A347" s="62">
        <v>345</v>
      </c>
      <c r="B347" s="62"/>
      <c r="C347" s="50" t="str">
        <f>IF(ISNA(VLOOKUP($B347,Summary!$B:$D,2,FALSE))=TRUE," ",VLOOKUP($B347,Summary!$B:$D,2,FALSE))</f>
        <v> </v>
      </c>
      <c r="D347" s="50" t="str">
        <f>IF(ISNA(VLOOKUP($B347,Summary!$B:$D,3,FALSE))=TRUE," ",VLOOKUP($B347,Summary!$B:$D,3,FALSE))</f>
        <v> </v>
      </c>
      <c r="E347" s="62"/>
      <c r="F347" s="62"/>
      <c r="G347" s="62"/>
      <c r="I347" s="63">
        <f t="shared" si="5"/>
        <v>0</v>
      </c>
      <c r="K347" s="64">
        <f>IF(E347="Support(L1_L2)",IF(NOT(ISBLANK(B347)),IF(NOT(ISBLANK(D347)),NETWORKDAYS('CPY TOC'!$F$5,'CPY TOC'!$G$5))))-L347</f>
        <v>0</v>
      </c>
      <c r="L347" s="64">
        <f>IF(E347="Support(L1_L2)",SUMIFS(Support_allowance_Entries!$G:$G,Support_allowance_Entries!$B:$B,CPY!B347),0)</f>
        <v>0</v>
      </c>
      <c r="M347" s="63" t="b">
        <f>IF($D347="D0",MD!$C$4*(K347),IF($D347="D1",MD!$C$5*(K347),IF($D347="D2",MD!$C$6*(K347),IF($D347="D3",MD!$C$7*(K347),IF($D347="D4",MD!$C$8*(K347),IF($D347="D5",MD!$C$9*(K347),IF($D347="M1",MD!$C$10*(K347),IF($D347="T1",MD!$C$11*(K347)))))))))</f>
        <v>0</v>
      </c>
      <c r="O347" s="65">
        <f>SUMIFS(Shift_allowance_Entries!$G:$G,Shift_allowance_Entries!$F:$F,"6:30AM-03:30PM",Shift_allowance_Entries!$B:$B,CPY!$B347)</f>
        <v>0</v>
      </c>
      <c r="P347" s="65">
        <f>SUMIFS(Shift_allowance_Entries!$G:$G,Shift_allowance_Entries!$F:$F,"1-9PM/2:30PM-11:30PM",Shift_allowance_Entries!$B:$B,CPY!$B347)</f>
        <v>0</v>
      </c>
      <c r="Q347" s="65">
        <f>SUMIFS(Shift_allowance_Entries!$G:$G,Shift_allowance_Entries!$F:$F,"11PM-7AM",Shift_allowance_Entries!$B:$B,CPY!$B347)</f>
        <v>0</v>
      </c>
      <c r="R347" s="63">
        <f>(CPY!O347*MD!$F$4)+(CPY!P347*MD!$F$5)+(CPY!Q347*MD!$F$6)</f>
        <v>0</v>
      </c>
      <c r="T347" s="64">
        <f>ROUNDUP((SUMIFS('OOH Activities'!$K:$K,'OOH Activities'!$F:$F,"Non_workdays",'OOH Activities'!$B:$B,CPY!B347)) *24,1)</f>
        <v>0</v>
      </c>
      <c r="U347" s="64">
        <f>ROUNDUP((SUMIFS('OOH Activities'!$K:$K,'OOH Activities'!$F:$F,"Workdays",'OOH Activities'!$B:$B,CPY!B347)) *24,1)</f>
        <v>0</v>
      </c>
      <c r="V347" s="63">
        <f>ROUNDUP((SUMIFS('OOH Activities'!$L:$L,'OOH Activities'!$B:$B,CPY!B347)),1)</f>
        <v>0</v>
      </c>
      <c r="X347" s="65">
        <f>ROUNDUP((SUMIFS('ON Call_Call Out Activities'!$L:$L,'ON Call_Call Out Activities'!$F:$F,"Workdays",'ON Call_Call Out Activities'!$B:$B,CPY!B347))*24,1)</f>
        <v>0</v>
      </c>
      <c r="Y347" s="64">
        <f>ROUNDUP((SUMIFS('ON Call_Call Out Activities'!$L:$L,'ON Call_Call Out Activities'!$F:$F,"Non_workdays",'ON Call_Call Out Activities'!$B:$B,CPY!B347)) *24,1)</f>
        <v>0</v>
      </c>
      <c r="Z347" s="63">
        <f>ROUNDUP((SUMIFS('ON Call_Call Out Activities'!$M:$M,'ON Call_Call Out Activities'!$F:$F,"Non_workdays",'ON Call_Call Out Activities'!$B:$B,CPY!B347)),1) + ROUNDUP((SUMIFS('ON Call_Call Out Activities'!$M:$M,'ON Call_Call Out Activities'!$F:$F,"Workdays",'ON Call_Call Out Activities'!$B:$B,CPY!B347)),1)</f>
        <v>0</v>
      </c>
      <c r="AA347" s="66"/>
      <c r="AB347" s="64">
        <f>ROUNDUP((SUMIFS('ON Call_Call Out Activities'!$L:$L,'ON Call_Call Out Activities'!$F:$F,"Call_Out",'ON Call_Call Out Activities'!$B:$B,CPY!B347)) *24,1)</f>
        <v>0</v>
      </c>
      <c r="AC347" s="63">
        <f>ROUNDUP((SUMIFS('ON Call_Call Out Activities'!$M:$M,'ON Call_Call Out Activities'!$F:$F,"Call_Out",'ON Call_Call Out Activities'!$B:$B,CPY!B347)),1)</f>
        <v>0</v>
      </c>
      <c r="AE347" s="65">
        <f>IF((SUMIF(Shift_allowance_Entries!$B:$B,CPY!$B347,Shift_allowance_Entries!$H:$H)) &gt; (SUMIF(Shift_allowance_Entries!$B:$B,CPY!$B347,Shift_allowance_Entries!$G:$G)),0,((SUMIF(Shift_allowance_Entries!$B:$B,CPY!$B347,Shift_allowance_Entries!$G:$G))-(SUMIF(Shift_allowance_Entries!$B:$B,CPY!$B347,Shift_allowance_Entries!$H:$H))))</f>
        <v>0</v>
      </c>
      <c r="AF347" s="63">
        <f>AE347*MD!$S$4</f>
        <v>0</v>
      </c>
    </row>
    <row r="348" spans="1:32" x14ac:dyDescent="0.25">
      <c r="A348" s="62">
        <v>346</v>
      </c>
      <c r="B348" s="62"/>
      <c r="C348" s="50" t="str">
        <f>IF(ISNA(VLOOKUP($B348,Summary!$B:$D,2,FALSE))=TRUE," ",VLOOKUP($B348,Summary!$B:$D,2,FALSE))</f>
        <v> </v>
      </c>
      <c r="D348" s="50" t="str">
        <f>IF(ISNA(VLOOKUP($B348,Summary!$B:$D,3,FALSE))=TRUE," ",VLOOKUP($B348,Summary!$B:$D,3,FALSE))</f>
        <v> </v>
      </c>
      <c r="E348" s="62"/>
      <c r="F348" s="62"/>
      <c r="G348" s="62"/>
      <c r="I348" s="63">
        <f t="shared" si="5"/>
        <v>0</v>
      </c>
      <c r="K348" s="64">
        <f>IF(E348="Support(L1_L2)",IF(NOT(ISBLANK(B348)),IF(NOT(ISBLANK(D348)),NETWORKDAYS('CPY TOC'!$F$5,'CPY TOC'!$G$5))))-L348</f>
        <v>0</v>
      </c>
      <c r="L348" s="64">
        <f>IF(E348="Support(L1_L2)",SUMIFS(Support_allowance_Entries!$G:$G,Support_allowance_Entries!$B:$B,CPY!B348),0)</f>
        <v>0</v>
      </c>
      <c r="M348" s="63" t="b">
        <f>IF($D348="D0",MD!$C$4*(K348),IF($D348="D1",MD!$C$5*(K348),IF($D348="D2",MD!$C$6*(K348),IF($D348="D3",MD!$C$7*(K348),IF($D348="D4",MD!$C$8*(K348),IF($D348="D5",MD!$C$9*(K348),IF($D348="M1",MD!$C$10*(K348),IF($D348="T1",MD!$C$11*(K348)))))))))</f>
        <v>0</v>
      </c>
      <c r="O348" s="65">
        <f>SUMIFS(Shift_allowance_Entries!$G:$G,Shift_allowance_Entries!$F:$F,"6:30AM-03:30PM",Shift_allowance_Entries!$B:$B,CPY!$B348)</f>
        <v>0</v>
      </c>
      <c r="P348" s="65">
        <f>SUMIFS(Shift_allowance_Entries!$G:$G,Shift_allowance_Entries!$F:$F,"1-9PM/2:30PM-11:30PM",Shift_allowance_Entries!$B:$B,CPY!$B348)</f>
        <v>0</v>
      </c>
      <c r="Q348" s="65">
        <f>SUMIFS(Shift_allowance_Entries!$G:$G,Shift_allowance_Entries!$F:$F,"11PM-7AM",Shift_allowance_Entries!$B:$B,CPY!$B348)</f>
        <v>0</v>
      </c>
      <c r="R348" s="63">
        <f>(CPY!O348*MD!$F$4)+(CPY!P348*MD!$F$5)+(CPY!Q348*MD!$F$6)</f>
        <v>0</v>
      </c>
      <c r="T348" s="64">
        <f>ROUNDUP((SUMIFS('OOH Activities'!$K:$K,'OOH Activities'!$F:$F,"Non_workdays",'OOH Activities'!$B:$B,CPY!B348)) *24,1)</f>
        <v>0</v>
      </c>
      <c r="U348" s="64">
        <f>ROUNDUP((SUMIFS('OOH Activities'!$K:$K,'OOH Activities'!$F:$F,"Workdays",'OOH Activities'!$B:$B,CPY!B348)) *24,1)</f>
        <v>0</v>
      </c>
      <c r="V348" s="63">
        <f>ROUNDUP((SUMIFS('OOH Activities'!$L:$L,'OOH Activities'!$B:$B,CPY!B348)),1)</f>
        <v>0</v>
      </c>
      <c r="X348" s="65">
        <f>ROUNDUP((SUMIFS('ON Call_Call Out Activities'!$L:$L,'ON Call_Call Out Activities'!$F:$F,"Workdays",'ON Call_Call Out Activities'!$B:$B,CPY!B348))*24,1)</f>
        <v>0</v>
      </c>
      <c r="Y348" s="64">
        <f>ROUNDUP((SUMIFS('ON Call_Call Out Activities'!$L:$L,'ON Call_Call Out Activities'!$F:$F,"Non_workdays",'ON Call_Call Out Activities'!$B:$B,CPY!B348)) *24,1)</f>
        <v>0</v>
      </c>
      <c r="Z348" s="63">
        <f>ROUNDUP((SUMIFS('ON Call_Call Out Activities'!$M:$M,'ON Call_Call Out Activities'!$F:$F,"Non_workdays",'ON Call_Call Out Activities'!$B:$B,CPY!B348)),1) + ROUNDUP((SUMIFS('ON Call_Call Out Activities'!$M:$M,'ON Call_Call Out Activities'!$F:$F,"Workdays",'ON Call_Call Out Activities'!$B:$B,CPY!B348)),1)</f>
        <v>0</v>
      </c>
      <c r="AA348" s="66"/>
      <c r="AB348" s="64">
        <f>ROUNDUP((SUMIFS('ON Call_Call Out Activities'!$L:$L,'ON Call_Call Out Activities'!$F:$F,"Call_Out",'ON Call_Call Out Activities'!$B:$B,CPY!B348)) *24,1)</f>
        <v>0</v>
      </c>
      <c r="AC348" s="63">
        <f>ROUNDUP((SUMIFS('ON Call_Call Out Activities'!$M:$M,'ON Call_Call Out Activities'!$F:$F,"Call_Out",'ON Call_Call Out Activities'!$B:$B,CPY!B348)),1)</f>
        <v>0</v>
      </c>
      <c r="AE348" s="65">
        <f>IF((SUMIF(Shift_allowance_Entries!$B:$B,CPY!$B348,Shift_allowance_Entries!$H:$H)) &gt; (SUMIF(Shift_allowance_Entries!$B:$B,CPY!$B348,Shift_allowance_Entries!$G:$G)),0,((SUMIF(Shift_allowance_Entries!$B:$B,CPY!$B348,Shift_allowance_Entries!$G:$G))-(SUMIF(Shift_allowance_Entries!$B:$B,CPY!$B348,Shift_allowance_Entries!$H:$H))))</f>
        <v>0</v>
      </c>
      <c r="AF348" s="63">
        <f>AE348*MD!$S$4</f>
        <v>0</v>
      </c>
    </row>
    <row r="349" spans="1:32" x14ac:dyDescent="0.25">
      <c r="A349" s="62">
        <v>347</v>
      </c>
      <c r="B349" s="62"/>
      <c r="C349" s="50" t="str">
        <f>IF(ISNA(VLOOKUP($B349,Summary!$B:$D,2,FALSE))=TRUE," ",VLOOKUP($B349,Summary!$B:$D,2,FALSE))</f>
        <v> </v>
      </c>
      <c r="D349" s="50" t="str">
        <f>IF(ISNA(VLOOKUP($B349,Summary!$B:$D,3,FALSE))=TRUE," ",VLOOKUP($B349,Summary!$B:$D,3,FALSE))</f>
        <v> </v>
      </c>
      <c r="E349" s="62"/>
      <c r="F349" s="62"/>
      <c r="G349" s="62"/>
      <c r="I349" s="63">
        <f t="shared" si="5"/>
        <v>0</v>
      </c>
      <c r="K349" s="64">
        <f>IF(E349="Support(L1_L2)",IF(NOT(ISBLANK(B349)),IF(NOT(ISBLANK(D349)),NETWORKDAYS('CPY TOC'!$F$5,'CPY TOC'!$G$5))))-L349</f>
        <v>0</v>
      </c>
      <c r="L349" s="64">
        <f>IF(E349="Support(L1_L2)",SUMIFS(Support_allowance_Entries!$G:$G,Support_allowance_Entries!$B:$B,CPY!B349),0)</f>
        <v>0</v>
      </c>
      <c r="M349" s="63" t="b">
        <f>IF($D349="D0",MD!$C$4*(K349),IF($D349="D1",MD!$C$5*(K349),IF($D349="D2",MD!$C$6*(K349),IF($D349="D3",MD!$C$7*(K349),IF($D349="D4",MD!$C$8*(K349),IF($D349="D5",MD!$C$9*(K349),IF($D349="M1",MD!$C$10*(K349),IF($D349="T1",MD!$C$11*(K349)))))))))</f>
        <v>0</v>
      </c>
      <c r="O349" s="65">
        <f>SUMIFS(Shift_allowance_Entries!$G:$G,Shift_allowance_Entries!$F:$F,"6:30AM-03:30PM",Shift_allowance_Entries!$B:$B,CPY!$B349)</f>
        <v>0</v>
      </c>
      <c r="P349" s="65">
        <f>SUMIFS(Shift_allowance_Entries!$G:$G,Shift_allowance_Entries!$F:$F,"1-9PM/2:30PM-11:30PM",Shift_allowance_Entries!$B:$B,CPY!$B349)</f>
        <v>0</v>
      </c>
      <c r="Q349" s="65">
        <f>SUMIFS(Shift_allowance_Entries!$G:$G,Shift_allowance_Entries!$F:$F,"11PM-7AM",Shift_allowance_Entries!$B:$B,CPY!$B349)</f>
        <v>0</v>
      </c>
      <c r="R349" s="63">
        <f>(CPY!O349*MD!$F$4)+(CPY!P349*MD!$F$5)+(CPY!Q349*MD!$F$6)</f>
        <v>0</v>
      </c>
      <c r="T349" s="64">
        <f>ROUNDUP((SUMIFS('OOH Activities'!$K:$K,'OOH Activities'!$F:$F,"Non_workdays",'OOH Activities'!$B:$B,CPY!B349)) *24,1)</f>
        <v>0</v>
      </c>
      <c r="U349" s="64">
        <f>ROUNDUP((SUMIFS('OOH Activities'!$K:$K,'OOH Activities'!$F:$F,"Workdays",'OOH Activities'!$B:$B,CPY!B349)) *24,1)</f>
        <v>0</v>
      </c>
      <c r="V349" s="63">
        <f>ROUNDUP((SUMIFS('OOH Activities'!$L:$L,'OOH Activities'!$B:$B,CPY!B349)),1)</f>
        <v>0</v>
      </c>
      <c r="X349" s="65">
        <f>ROUNDUP((SUMIFS('ON Call_Call Out Activities'!$L:$L,'ON Call_Call Out Activities'!$F:$F,"Workdays",'ON Call_Call Out Activities'!$B:$B,CPY!B349))*24,1)</f>
        <v>0</v>
      </c>
      <c r="Y349" s="64">
        <f>ROUNDUP((SUMIFS('ON Call_Call Out Activities'!$L:$L,'ON Call_Call Out Activities'!$F:$F,"Non_workdays",'ON Call_Call Out Activities'!$B:$B,CPY!B349)) *24,1)</f>
        <v>0</v>
      </c>
      <c r="Z349" s="63">
        <f>ROUNDUP((SUMIFS('ON Call_Call Out Activities'!$M:$M,'ON Call_Call Out Activities'!$F:$F,"Non_workdays",'ON Call_Call Out Activities'!$B:$B,CPY!B349)),1) + ROUNDUP((SUMIFS('ON Call_Call Out Activities'!$M:$M,'ON Call_Call Out Activities'!$F:$F,"Workdays",'ON Call_Call Out Activities'!$B:$B,CPY!B349)),1)</f>
        <v>0</v>
      </c>
      <c r="AA349" s="66"/>
      <c r="AB349" s="64">
        <f>ROUNDUP((SUMIFS('ON Call_Call Out Activities'!$L:$L,'ON Call_Call Out Activities'!$F:$F,"Call_Out",'ON Call_Call Out Activities'!$B:$B,CPY!B349)) *24,1)</f>
        <v>0</v>
      </c>
      <c r="AC349" s="63">
        <f>ROUNDUP((SUMIFS('ON Call_Call Out Activities'!$M:$M,'ON Call_Call Out Activities'!$F:$F,"Call_Out",'ON Call_Call Out Activities'!$B:$B,CPY!B349)),1)</f>
        <v>0</v>
      </c>
      <c r="AE349" s="65">
        <f>IF((SUMIF(Shift_allowance_Entries!$B:$B,CPY!$B349,Shift_allowance_Entries!$H:$H)) &gt; (SUMIF(Shift_allowance_Entries!$B:$B,CPY!$B349,Shift_allowance_Entries!$G:$G)),0,((SUMIF(Shift_allowance_Entries!$B:$B,CPY!$B349,Shift_allowance_Entries!$G:$G))-(SUMIF(Shift_allowance_Entries!$B:$B,CPY!$B349,Shift_allowance_Entries!$H:$H))))</f>
        <v>0</v>
      </c>
      <c r="AF349" s="63">
        <f>AE349*MD!$S$4</f>
        <v>0</v>
      </c>
    </row>
    <row r="350" spans="1:32" x14ac:dyDescent="0.25">
      <c r="A350" s="62">
        <v>348</v>
      </c>
      <c r="B350" s="62"/>
      <c r="C350" s="50" t="str">
        <f>IF(ISNA(VLOOKUP($B350,Summary!$B:$D,2,FALSE))=TRUE," ",VLOOKUP($B350,Summary!$B:$D,2,FALSE))</f>
        <v> </v>
      </c>
      <c r="D350" s="50" t="str">
        <f>IF(ISNA(VLOOKUP($B350,Summary!$B:$D,3,FALSE))=TRUE," ",VLOOKUP($B350,Summary!$B:$D,3,FALSE))</f>
        <v> </v>
      </c>
      <c r="E350" s="62"/>
      <c r="F350" s="62"/>
      <c r="G350" s="62"/>
      <c r="I350" s="63">
        <f t="shared" si="5"/>
        <v>0</v>
      </c>
      <c r="K350" s="64">
        <f>IF(E350="Support(L1_L2)",IF(NOT(ISBLANK(B350)),IF(NOT(ISBLANK(D350)),NETWORKDAYS('CPY TOC'!$F$5,'CPY TOC'!$G$5))))-L350</f>
        <v>0</v>
      </c>
      <c r="L350" s="64">
        <f>IF(E350="Support(L1_L2)",SUMIFS(Support_allowance_Entries!$G:$G,Support_allowance_Entries!$B:$B,CPY!B350),0)</f>
        <v>0</v>
      </c>
      <c r="M350" s="63" t="b">
        <f>IF($D350="D0",MD!$C$4*(K350),IF($D350="D1",MD!$C$5*(K350),IF($D350="D2",MD!$C$6*(K350),IF($D350="D3",MD!$C$7*(K350),IF($D350="D4",MD!$C$8*(K350),IF($D350="D5",MD!$C$9*(K350),IF($D350="M1",MD!$C$10*(K350),IF($D350="T1",MD!$C$11*(K350)))))))))</f>
        <v>0</v>
      </c>
      <c r="O350" s="65">
        <f>SUMIFS(Shift_allowance_Entries!$G:$G,Shift_allowance_Entries!$F:$F,"6:30AM-03:30PM",Shift_allowance_Entries!$B:$B,CPY!$B350)</f>
        <v>0</v>
      </c>
      <c r="P350" s="65">
        <f>SUMIFS(Shift_allowance_Entries!$G:$G,Shift_allowance_Entries!$F:$F,"1-9PM/2:30PM-11:30PM",Shift_allowance_Entries!$B:$B,CPY!$B350)</f>
        <v>0</v>
      </c>
      <c r="Q350" s="65">
        <f>SUMIFS(Shift_allowance_Entries!$G:$G,Shift_allowance_Entries!$F:$F,"11PM-7AM",Shift_allowance_Entries!$B:$B,CPY!$B350)</f>
        <v>0</v>
      </c>
      <c r="R350" s="63">
        <f>(CPY!O350*MD!$F$4)+(CPY!P350*MD!$F$5)+(CPY!Q350*MD!$F$6)</f>
        <v>0</v>
      </c>
      <c r="T350" s="64">
        <f>ROUNDUP((SUMIFS('OOH Activities'!$K:$K,'OOH Activities'!$F:$F,"Non_workdays",'OOH Activities'!$B:$B,CPY!B350)) *24,1)</f>
        <v>0</v>
      </c>
      <c r="U350" s="64">
        <f>ROUNDUP((SUMIFS('OOH Activities'!$K:$K,'OOH Activities'!$F:$F,"Workdays",'OOH Activities'!$B:$B,CPY!B350)) *24,1)</f>
        <v>0</v>
      </c>
      <c r="V350" s="63">
        <f>ROUNDUP((SUMIFS('OOH Activities'!$L:$L,'OOH Activities'!$B:$B,CPY!B350)),1)</f>
        <v>0</v>
      </c>
      <c r="X350" s="65">
        <f>ROUNDUP((SUMIFS('ON Call_Call Out Activities'!$L:$L,'ON Call_Call Out Activities'!$F:$F,"Workdays",'ON Call_Call Out Activities'!$B:$B,CPY!B350))*24,1)</f>
        <v>0</v>
      </c>
      <c r="Y350" s="64">
        <f>ROUNDUP((SUMIFS('ON Call_Call Out Activities'!$L:$L,'ON Call_Call Out Activities'!$F:$F,"Non_workdays",'ON Call_Call Out Activities'!$B:$B,CPY!B350)) *24,1)</f>
        <v>0</v>
      </c>
      <c r="Z350" s="63">
        <f>ROUNDUP((SUMIFS('ON Call_Call Out Activities'!$M:$M,'ON Call_Call Out Activities'!$F:$F,"Non_workdays",'ON Call_Call Out Activities'!$B:$B,CPY!B350)),1) + ROUNDUP((SUMIFS('ON Call_Call Out Activities'!$M:$M,'ON Call_Call Out Activities'!$F:$F,"Workdays",'ON Call_Call Out Activities'!$B:$B,CPY!B350)),1)</f>
        <v>0</v>
      </c>
      <c r="AA350" s="66"/>
      <c r="AB350" s="64">
        <f>ROUNDUP((SUMIFS('ON Call_Call Out Activities'!$L:$L,'ON Call_Call Out Activities'!$F:$F,"Call_Out",'ON Call_Call Out Activities'!$B:$B,CPY!B350)) *24,1)</f>
        <v>0</v>
      </c>
      <c r="AC350" s="63">
        <f>ROUNDUP((SUMIFS('ON Call_Call Out Activities'!$M:$M,'ON Call_Call Out Activities'!$F:$F,"Call_Out",'ON Call_Call Out Activities'!$B:$B,CPY!B350)),1)</f>
        <v>0</v>
      </c>
      <c r="AE350" s="65">
        <f>IF((SUMIF(Shift_allowance_Entries!$B:$B,CPY!$B350,Shift_allowance_Entries!$H:$H)) &gt; (SUMIF(Shift_allowance_Entries!$B:$B,CPY!$B350,Shift_allowance_Entries!$G:$G)),0,((SUMIF(Shift_allowance_Entries!$B:$B,CPY!$B350,Shift_allowance_Entries!$G:$G))-(SUMIF(Shift_allowance_Entries!$B:$B,CPY!$B350,Shift_allowance_Entries!$H:$H))))</f>
        <v>0</v>
      </c>
      <c r="AF350" s="63">
        <f>AE350*MD!$S$4</f>
        <v>0</v>
      </c>
    </row>
    <row r="351" spans="1:32" x14ac:dyDescent="0.25">
      <c r="A351" s="62">
        <v>349</v>
      </c>
      <c r="B351" s="62"/>
      <c r="C351" s="50" t="str">
        <f>IF(ISNA(VLOOKUP($B351,Summary!$B:$D,2,FALSE))=TRUE," ",VLOOKUP($B351,Summary!$B:$D,2,FALSE))</f>
        <v> </v>
      </c>
      <c r="D351" s="50" t="str">
        <f>IF(ISNA(VLOOKUP($B351,Summary!$B:$D,3,FALSE))=TRUE," ",VLOOKUP($B351,Summary!$B:$D,3,FALSE))</f>
        <v> </v>
      </c>
      <c r="E351" s="62"/>
      <c r="F351" s="62"/>
      <c r="G351" s="62"/>
      <c r="I351" s="63">
        <f t="shared" si="5"/>
        <v>0</v>
      </c>
      <c r="K351" s="64">
        <f>IF(E351="Support(L1_L2)",IF(NOT(ISBLANK(B351)),IF(NOT(ISBLANK(D351)),NETWORKDAYS('CPY TOC'!$F$5,'CPY TOC'!$G$5))))-L351</f>
        <v>0</v>
      </c>
      <c r="L351" s="64">
        <f>IF(E351="Support(L1_L2)",SUMIFS(Support_allowance_Entries!$G:$G,Support_allowance_Entries!$B:$B,CPY!B351),0)</f>
        <v>0</v>
      </c>
      <c r="M351" s="63" t="b">
        <f>IF($D351="D0",MD!$C$4*(K351),IF($D351="D1",MD!$C$5*(K351),IF($D351="D2",MD!$C$6*(K351),IF($D351="D3",MD!$C$7*(K351),IF($D351="D4",MD!$C$8*(K351),IF($D351="D5",MD!$C$9*(K351),IF($D351="M1",MD!$C$10*(K351),IF($D351="T1",MD!$C$11*(K351)))))))))</f>
        <v>0</v>
      </c>
      <c r="O351" s="65">
        <f>SUMIFS(Shift_allowance_Entries!$G:$G,Shift_allowance_Entries!$F:$F,"6:30AM-03:30PM",Shift_allowance_Entries!$B:$B,CPY!$B351)</f>
        <v>0</v>
      </c>
      <c r="P351" s="65">
        <f>SUMIFS(Shift_allowance_Entries!$G:$G,Shift_allowance_Entries!$F:$F,"1-9PM/2:30PM-11:30PM",Shift_allowance_Entries!$B:$B,CPY!$B351)</f>
        <v>0</v>
      </c>
      <c r="Q351" s="65">
        <f>SUMIFS(Shift_allowance_Entries!$G:$G,Shift_allowance_Entries!$F:$F,"11PM-7AM",Shift_allowance_Entries!$B:$B,CPY!$B351)</f>
        <v>0</v>
      </c>
      <c r="R351" s="63">
        <f>(CPY!O351*MD!$F$4)+(CPY!P351*MD!$F$5)+(CPY!Q351*MD!$F$6)</f>
        <v>0</v>
      </c>
      <c r="T351" s="64">
        <f>ROUNDUP((SUMIFS('OOH Activities'!$K:$K,'OOH Activities'!$F:$F,"Non_workdays",'OOH Activities'!$B:$B,CPY!B351)) *24,1)</f>
        <v>0</v>
      </c>
      <c r="U351" s="64">
        <f>ROUNDUP((SUMIFS('OOH Activities'!$K:$K,'OOH Activities'!$F:$F,"Workdays",'OOH Activities'!$B:$B,CPY!B351)) *24,1)</f>
        <v>0</v>
      </c>
      <c r="V351" s="63">
        <f>ROUNDUP((SUMIFS('OOH Activities'!$L:$L,'OOH Activities'!$B:$B,CPY!B351)),1)</f>
        <v>0</v>
      </c>
      <c r="X351" s="65">
        <f>ROUNDUP((SUMIFS('ON Call_Call Out Activities'!$L:$L,'ON Call_Call Out Activities'!$F:$F,"Workdays",'ON Call_Call Out Activities'!$B:$B,CPY!B351))*24,1)</f>
        <v>0</v>
      </c>
      <c r="Y351" s="64">
        <f>ROUNDUP((SUMIFS('ON Call_Call Out Activities'!$L:$L,'ON Call_Call Out Activities'!$F:$F,"Non_workdays",'ON Call_Call Out Activities'!$B:$B,CPY!B351)) *24,1)</f>
        <v>0</v>
      </c>
      <c r="Z351" s="63">
        <f>ROUNDUP((SUMIFS('ON Call_Call Out Activities'!$M:$M,'ON Call_Call Out Activities'!$F:$F,"Non_workdays",'ON Call_Call Out Activities'!$B:$B,CPY!B351)),1) + ROUNDUP((SUMIFS('ON Call_Call Out Activities'!$M:$M,'ON Call_Call Out Activities'!$F:$F,"Workdays",'ON Call_Call Out Activities'!$B:$B,CPY!B351)),1)</f>
        <v>0</v>
      </c>
      <c r="AA351" s="66"/>
      <c r="AB351" s="64">
        <f>ROUNDUP((SUMIFS('ON Call_Call Out Activities'!$L:$L,'ON Call_Call Out Activities'!$F:$F,"Call_Out",'ON Call_Call Out Activities'!$B:$B,CPY!B351)) *24,1)</f>
        <v>0</v>
      </c>
      <c r="AC351" s="63">
        <f>ROUNDUP((SUMIFS('ON Call_Call Out Activities'!$M:$M,'ON Call_Call Out Activities'!$F:$F,"Call_Out",'ON Call_Call Out Activities'!$B:$B,CPY!B351)),1)</f>
        <v>0</v>
      </c>
      <c r="AE351" s="65">
        <f>IF((SUMIF(Shift_allowance_Entries!$B:$B,CPY!$B351,Shift_allowance_Entries!$H:$H)) &gt; (SUMIF(Shift_allowance_Entries!$B:$B,CPY!$B351,Shift_allowance_Entries!$G:$G)),0,((SUMIF(Shift_allowance_Entries!$B:$B,CPY!$B351,Shift_allowance_Entries!$G:$G))-(SUMIF(Shift_allowance_Entries!$B:$B,CPY!$B351,Shift_allowance_Entries!$H:$H))))</f>
        <v>0</v>
      </c>
      <c r="AF351" s="63">
        <f>AE351*MD!$S$4</f>
        <v>0</v>
      </c>
    </row>
    <row r="352" spans="1:32" x14ac:dyDescent="0.25">
      <c r="A352" s="62">
        <v>350</v>
      </c>
      <c r="B352" s="62"/>
      <c r="C352" s="50" t="str">
        <f>IF(ISNA(VLOOKUP($B352,Summary!$B:$D,2,FALSE))=TRUE," ",VLOOKUP($B352,Summary!$B:$D,2,FALSE))</f>
        <v> </v>
      </c>
      <c r="D352" s="50" t="str">
        <f>IF(ISNA(VLOOKUP($B352,Summary!$B:$D,3,FALSE))=TRUE," ",VLOOKUP($B352,Summary!$B:$D,3,FALSE))</f>
        <v> </v>
      </c>
      <c r="E352" s="62"/>
      <c r="F352" s="62"/>
      <c r="G352" s="62"/>
      <c r="I352" s="63">
        <f t="shared" si="5"/>
        <v>0</v>
      </c>
      <c r="K352" s="64">
        <f>IF(E352="Support(L1_L2)",IF(NOT(ISBLANK(B352)),IF(NOT(ISBLANK(D352)),NETWORKDAYS('CPY TOC'!$F$5,'CPY TOC'!$G$5))))-L352</f>
        <v>0</v>
      </c>
      <c r="L352" s="64">
        <f>IF(E352="Support(L1_L2)",SUMIFS(Support_allowance_Entries!$G:$G,Support_allowance_Entries!$B:$B,CPY!B352),0)</f>
        <v>0</v>
      </c>
      <c r="M352" s="63" t="b">
        <f>IF($D352="D0",MD!$C$4*(K352),IF($D352="D1",MD!$C$5*(K352),IF($D352="D2",MD!$C$6*(K352),IF($D352="D3",MD!$C$7*(K352),IF($D352="D4",MD!$C$8*(K352),IF($D352="D5",MD!$C$9*(K352),IF($D352="M1",MD!$C$10*(K352),IF($D352="T1",MD!$C$11*(K352)))))))))</f>
        <v>0</v>
      </c>
      <c r="O352" s="65">
        <f>SUMIFS(Shift_allowance_Entries!$G:$G,Shift_allowance_Entries!$F:$F,"6:30AM-03:30PM",Shift_allowance_Entries!$B:$B,CPY!$B352)</f>
        <v>0</v>
      </c>
      <c r="P352" s="65">
        <f>SUMIFS(Shift_allowance_Entries!$G:$G,Shift_allowance_Entries!$F:$F,"1-9PM/2:30PM-11:30PM",Shift_allowance_Entries!$B:$B,CPY!$B352)</f>
        <v>0</v>
      </c>
      <c r="Q352" s="65">
        <f>SUMIFS(Shift_allowance_Entries!$G:$G,Shift_allowance_Entries!$F:$F,"11PM-7AM",Shift_allowance_Entries!$B:$B,CPY!$B352)</f>
        <v>0</v>
      </c>
      <c r="R352" s="63">
        <f>(CPY!O352*MD!$F$4)+(CPY!P352*MD!$F$5)+(CPY!Q352*MD!$F$6)</f>
        <v>0</v>
      </c>
      <c r="T352" s="64">
        <f>ROUNDUP((SUMIFS('OOH Activities'!$K:$K,'OOH Activities'!$F:$F,"Non_workdays",'OOH Activities'!$B:$B,CPY!B352)) *24,1)</f>
        <v>0</v>
      </c>
      <c r="U352" s="64">
        <f>ROUNDUP((SUMIFS('OOH Activities'!$K:$K,'OOH Activities'!$F:$F,"Workdays",'OOH Activities'!$B:$B,CPY!B352)) *24,1)</f>
        <v>0</v>
      </c>
      <c r="V352" s="63">
        <f>ROUNDUP((SUMIFS('OOH Activities'!$L:$L,'OOH Activities'!$B:$B,CPY!B352)),1)</f>
        <v>0</v>
      </c>
      <c r="X352" s="65">
        <f>ROUNDUP((SUMIFS('ON Call_Call Out Activities'!$L:$L,'ON Call_Call Out Activities'!$F:$F,"Workdays",'ON Call_Call Out Activities'!$B:$B,CPY!B352))*24,1)</f>
        <v>0</v>
      </c>
      <c r="Y352" s="64">
        <f>ROUNDUP((SUMIFS('ON Call_Call Out Activities'!$L:$L,'ON Call_Call Out Activities'!$F:$F,"Non_workdays",'ON Call_Call Out Activities'!$B:$B,CPY!B352)) *24,1)</f>
        <v>0</v>
      </c>
      <c r="Z352" s="63">
        <f>ROUNDUP((SUMIFS('ON Call_Call Out Activities'!$M:$M,'ON Call_Call Out Activities'!$F:$F,"Non_workdays",'ON Call_Call Out Activities'!$B:$B,CPY!B352)),1) + ROUNDUP((SUMIFS('ON Call_Call Out Activities'!$M:$M,'ON Call_Call Out Activities'!$F:$F,"Workdays",'ON Call_Call Out Activities'!$B:$B,CPY!B352)),1)</f>
        <v>0</v>
      </c>
      <c r="AA352" s="66"/>
      <c r="AB352" s="64">
        <f>ROUNDUP((SUMIFS('ON Call_Call Out Activities'!$L:$L,'ON Call_Call Out Activities'!$F:$F,"Call_Out",'ON Call_Call Out Activities'!$B:$B,CPY!B352)) *24,1)</f>
        <v>0</v>
      </c>
      <c r="AC352" s="63">
        <f>ROUNDUP((SUMIFS('ON Call_Call Out Activities'!$M:$M,'ON Call_Call Out Activities'!$F:$F,"Call_Out",'ON Call_Call Out Activities'!$B:$B,CPY!B352)),1)</f>
        <v>0</v>
      </c>
      <c r="AE352" s="65">
        <f>IF((SUMIF(Shift_allowance_Entries!$B:$B,CPY!$B352,Shift_allowance_Entries!$H:$H)) &gt; (SUMIF(Shift_allowance_Entries!$B:$B,CPY!$B352,Shift_allowance_Entries!$G:$G)),0,((SUMIF(Shift_allowance_Entries!$B:$B,CPY!$B352,Shift_allowance_Entries!$G:$G))-(SUMIF(Shift_allowance_Entries!$B:$B,CPY!$B352,Shift_allowance_Entries!$H:$H))))</f>
        <v>0</v>
      </c>
      <c r="AF352" s="63">
        <f>AE352*MD!$S$4</f>
        <v>0</v>
      </c>
    </row>
    <row r="353" spans="1:32" x14ac:dyDescent="0.25">
      <c r="A353" s="62">
        <v>351</v>
      </c>
      <c r="B353" s="62"/>
      <c r="C353" s="50" t="str">
        <f>IF(ISNA(VLOOKUP($B353,Summary!$B:$D,2,FALSE))=TRUE," ",VLOOKUP($B353,Summary!$B:$D,2,FALSE))</f>
        <v> </v>
      </c>
      <c r="D353" s="50" t="str">
        <f>IF(ISNA(VLOOKUP($B353,Summary!$B:$D,3,FALSE))=TRUE," ",VLOOKUP($B353,Summary!$B:$D,3,FALSE))</f>
        <v> </v>
      </c>
      <c r="E353" s="62"/>
      <c r="F353" s="62"/>
      <c r="G353" s="62"/>
      <c r="I353" s="63">
        <f t="shared" si="5"/>
        <v>0</v>
      </c>
      <c r="K353" s="64">
        <f>IF(E353="Support(L1_L2)",IF(NOT(ISBLANK(B353)),IF(NOT(ISBLANK(D353)),NETWORKDAYS('CPY TOC'!$F$5,'CPY TOC'!$G$5))))-L353</f>
        <v>0</v>
      </c>
      <c r="L353" s="64">
        <f>IF(E353="Support(L1_L2)",SUMIFS(Support_allowance_Entries!$G:$G,Support_allowance_Entries!$B:$B,CPY!B353),0)</f>
        <v>0</v>
      </c>
      <c r="M353" s="63" t="b">
        <f>IF($D353="D0",MD!$C$4*(K353),IF($D353="D1",MD!$C$5*(K353),IF($D353="D2",MD!$C$6*(K353),IF($D353="D3",MD!$C$7*(K353),IF($D353="D4",MD!$C$8*(K353),IF($D353="D5",MD!$C$9*(K353),IF($D353="M1",MD!$C$10*(K353),IF($D353="T1",MD!$C$11*(K353)))))))))</f>
        <v>0</v>
      </c>
      <c r="O353" s="65">
        <f>SUMIFS(Shift_allowance_Entries!$G:$G,Shift_allowance_Entries!$F:$F,"6:30AM-03:30PM",Shift_allowance_Entries!$B:$B,CPY!$B353)</f>
        <v>0</v>
      </c>
      <c r="P353" s="65">
        <f>SUMIFS(Shift_allowance_Entries!$G:$G,Shift_allowance_Entries!$F:$F,"1-9PM/2:30PM-11:30PM",Shift_allowance_Entries!$B:$B,CPY!$B353)</f>
        <v>0</v>
      </c>
      <c r="Q353" s="65">
        <f>SUMIFS(Shift_allowance_Entries!$G:$G,Shift_allowance_Entries!$F:$F,"11PM-7AM",Shift_allowance_Entries!$B:$B,CPY!$B353)</f>
        <v>0</v>
      </c>
      <c r="R353" s="63">
        <f>(CPY!O353*MD!$F$4)+(CPY!P353*MD!$F$5)+(CPY!Q353*MD!$F$6)</f>
        <v>0</v>
      </c>
      <c r="T353" s="64">
        <f>ROUNDUP((SUMIFS('OOH Activities'!$K:$K,'OOH Activities'!$F:$F,"Non_workdays",'OOH Activities'!$B:$B,CPY!B353)) *24,1)</f>
        <v>0</v>
      </c>
      <c r="U353" s="64">
        <f>ROUNDUP((SUMIFS('OOH Activities'!$K:$K,'OOH Activities'!$F:$F,"Workdays",'OOH Activities'!$B:$B,CPY!B353)) *24,1)</f>
        <v>0</v>
      </c>
      <c r="V353" s="63">
        <f>ROUNDUP((SUMIFS('OOH Activities'!$L:$L,'OOH Activities'!$B:$B,CPY!B353)),1)</f>
        <v>0</v>
      </c>
      <c r="X353" s="65">
        <f>ROUNDUP((SUMIFS('ON Call_Call Out Activities'!$L:$L,'ON Call_Call Out Activities'!$F:$F,"Workdays",'ON Call_Call Out Activities'!$B:$B,CPY!B353))*24,1)</f>
        <v>0</v>
      </c>
      <c r="Y353" s="64">
        <f>ROUNDUP((SUMIFS('ON Call_Call Out Activities'!$L:$L,'ON Call_Call Out Activities'!$F:$F,"Non_workdays",'ON Call_Call Out Activities'!$B:$B,CPY!B353)) *24,1)</f>
        <v>0</v>
      </c>
      <c r="Z353" s="63">
        <f>ROUNDUP((SUMIFS('ON Call_Call Out Activities'!$M:$M,'ON Call_Call Out Activities'!$F:$F,"Non_workdays",'ON Call_Call Out Activities'!$B:$B,CPY!B353)),1) + ROUNDUP((SUMIFS('ON Call_Call Out Activities'!$M:$M,'ON Call_Call Out Activities'!$F:$F,"Workdays",'ON Call_Call Out Activities'!$B:$B,CPY!B353)),1)</f>
        <v>0</v>
      </c>
      <c r="AA353" s="66"/>
      <c r="AB353" s="64">
        <f>ROUNDUP((SUMIFS('ON Call_Call Out Activities'!$L:$L,'ON Call_Call Out Activities'!$F:$F,"Call_Out",'ON Call_Call Out Activities'!$B:$B,CPY!B353)) *24,1)</f>
        <v>0</v>
      </c>
      <c r="AC353" s="63">
        <f>ROUNDUP((SUMIFS('ON Call_Call Out Activities'!$M:$M,'ON Call_Call Out Activities'!$F:$F,"Call_Out",'ON Call_Call Out Activities'!$B:$B,CPY!B353)),1)</f>
        <v>0</v>
      </c>
      <c r="AE353" s="65">
        <f>IF((SUMIF(Shift_allowance_Entries!$B:$B,CPY!$B353,Shift_allowance_Entries!$H:$H)) &gt; (SUMIF(Shift_allowance_Entries!$B:$B,CPY!$B353,Shift_allowance_Entries!$G:$G)),0,((SUMIF(Shift_allowance_Entries!$B:$B,CPY!$B353,Shift_allowance_Entries!$G:$G))-(SUMIF(Shift_allowance_Entries!$B:$B,CPY!$B353,Shift_allowance_Entries!$H:$H))))</f>
        <v>0</v>
      </c>
      <c r="AF353" s="63">
        <f>AE353*MD!$S$4</f>
        <v>0</v>
      </c>
    </row>
    <row r="354" spans="1:32" x14ac:dyDescent="0.25">
      <c r="A354" s="62">
        <v>352</v>
      </c>
      <c r="B354" s="62"/>
      <c r="C354" s="50" t="str">
        <f>IF(ISNA(VLOOKUP($B354,Summary!$B:$D,2,FALSE))=TRUE," ",VLOOKUP($B354,Summary!$B:$D,2,FALSE))</f>
        <v> </v>
      </c>
      <c r="D354" s="50" t="str">
        <f>IF(ISNA(VLOOKUP($B354,Summary!$B:$D,3,FALSE))=TRUE," ",VLOOKUP($B354,Summary!$B:$D,3,FALSE))</f>
        <v> </v>
      </c>
      <c r="E354" s="62"/>
      <c r="F354" s="62"/>
      <c r="G354" s="62"/>
      <c r="I354" s="63">
        <f t="shared" si="5"/>
        <v>0</v>
      </c>
      <c r="K354" s="64">
        <f>IF(E354="Support(L1_L2)",IF(NOT(ISBLANK(B354)),IF(NOT(ISBLANK(D354)),NETWORKDAYS('CPY TOC'!$F$5,'CPY TOC'!$G$5))))-L354</f>
        <v>0</v>
      </c>
      <c r="L354" s="64">
        <f>IF(E354="Support(L1_L2)",SUMIFS(Support_allowance_Entries!$G:$G,Support_allowance_Entries!$B:$B,CPY!B354),0)</f>
        <v>0</v>
      </c>
      <c r="M354" s="63" t="b">
        <f>IF($D354="D0",MD!$C$4*(K354),IF($D354="D1",MD!$C$5*(K354),IF($D354="D2",MD!$C$6*(K354),IF($D354="D3",MD!$C$7*(K354),IF($D354="D4",MD!$C$8*(K354),IF($D354="D5",MD!$C$9*(K354),IF($D354="M1",MD!$C$10*(K354),IF($D354="T1",MD!$C$11*(K354)))))))))</f>
        <v>0</v>
      </c>
      <c r="O354" s="65">
        <f>SUMIFS(Shift_allowance_Entries!$G:$G,Shift_allowance_Entries!$F:$F,"6:30AM-03:30PM",Shift_allowance_Entries!$B:$B,CPY!$B354)</f>
        <v>0</v>
      </c>
      <c r="P354" s="65">
        <f>SUMIFS(Shift_allowance_Entries!$G:$G,Shift_allowance_Entries!$F:$F,"1-9PM/2:30PM-11:30PM",Shift_allowance_Entries!$B:$B,CPY!$B354)</f>
        <v>0</v>
      </c>
      <c r="Q354" s="65">
        <f>SUMIFS(Shift_allowance_Entries!$G:$G,Shift_allowance_Entries!$F:$F,"11PM-7AM",Shift_allowance_Entries!$B:$B,CPY!$B354)</f>
        <v>0</v>
      </c>
      <c r="R354" s="63">
        <f>(CPY!O354*MD!$F$4)+(CPY!P354*MD!$F$5)+(CPY!Q354*MD!$F$6)</f>
        <v>0</v>
      </c>
      <c r="T354" s="64">
        <f>ROUNDUP((SUMIFS('OOH Activities'!$K:$K,'OOH Activities'!$F:$F,"Non_workdays",'OOH Activities'!$B:$B,CPY!B354)) *24,1)</f>
        <v>0</v>
      </c>
      <c r="U354" s="64">
        <f>ROUNDUP((SUMIFS('OOH Activities'!$K:$K,'OOH Activities'!$F:$F,"Workdays",'OOH Activities'!$B:$B,CPY!B354)) *24,1)</f>
        <v>0</v>
      </c>
      <c r="V354" s="63">
        <f>ROUNDUP((SUMIFS('OOH Activities'!$L:$L,'OOH Activities'!$B:$B,CPY!B354)),1)</f>
        <v>0</v>
      </c>
      <c r="X354" s="65">
        <f>ROUNDUP((SUMIFS('ON Call_Call Out Activities'!$L:$L,'ON Call_Call Out Activities'!$F:$F,"Workdays",'ON Call_Call Out Activities'!$B:$B,CPY!B354))*24,1)</f>
        <v>0</v>
      </c>
      <c r="Y354" s="64">
        <f>ROUNDUP((SUMIFS('ON Call_Call Out Activities'!$L:$L,'ON Call_Call Out Activities'!$F:$F,"Non_workdays",'ON Call_Call Out Activities'!$B:$B,CPY!B354)) *24,1)</f>
        <v>0</v>
      </c>
      <c r="Z354" s="63">
        <f>ROUNDUP((SUMIFS('ON Call_Call Out Activities'!$M:$M,'ON Call_Call Out Activities'!$F:$F,"Non_workdays",'ON Call_Call Out Activities'!$B:$B,CPY!B354)),1) + ROUNDUP((SUMIFS('ON Call_Call Out Activities'!$M:$M,'ON Call_Call Out Activities'!$F:$F,"Workdays",'ON Call_Call Out Activities'!$B:$B,CPY!B354)),1)</f>
        <v>0</v>
      </c>
      <c r="AA354" s="66"/>
      <c r="AB354" s="64">
        <f>ROUNDUP((SUMIFS('ON Call_Call Out Activities'!$L:$L,'ON Call_Call Out Activities'!$F:$F,"Call_Out",'ON Call_Call Out Activities'!$B:$B,CPY!B354)) *24,1)</f>
        <v>0</v>
      </c>
      <c r="AC354" s="63">
        <f>ROUNDUP((SUMIFS('ON Call_Call Out Activities'!$M:$M,'ON Call_Call Out Activities'!$F:$F,"Call_Out",'ON Call_Call Out Activities'!$B:$B,CPY!B354)),1)</f>
        <v>0</v>
      </c>
      <c r="AE354" s="65">
        <f>IF((SUMIF(Shift_allowance_Entries!$B:$B,CPY!$B354,Shift_allowance_Entries!$H:$H)) &gt; (SUMIF(Shift_allowance_Entries!$B:$B,CPY!$B354,Shift_allowance_Entries!$G:$G)),0,((SUMIF(Shift_allowance_Entries!$B:$B,CPY!$B354,Shift_allowance_Entries!$G:$G))-(SUMIF(Shift_allowance_Entries!$B:$B,CPY!$B354,Shift_allowance_Entries!$H:$H))))</f>
        <v>0</v>
      </c>
      <c r="AF354" s="63">
        <f>AE354*MD!$S$4</f>
        <v>0</v>
      </c>
    </row>
    <row r="355" spans="1:32" x14ac:dyDescent="0.25">
      <c r="A355" s="62">
        <v>353</v>
      </c>
      <c r="B355" s="62"/>
      <c r="C355" s="50" t="str">
        <f>IF(ISNA(VLOOKUP($B355,Summary!$B:$D,2,FALSE))=TRUE," ",VLOOKUP($B355,Summary!$B:$D,2,FALSE))</f>
        <v> </v>
      </c>
      <c r="D355" s="50" t="str">
        <f>IF(ISNA(VLOOKUP($B355,Summary!$B:$D,3,FALSE))=TRUE," ",VLOOKUP($B355,Summary!$B:$D,3,FALSE))</f>
        <v> </v>
      </c>
      <c r="E355" s="62"/>
      <c r="F355" s="62"/>
      <c r="G355" s="62"/>
      <c r="I355" s="63">
        <f t="shared" si="5"/>
        <v>0</v>
      </c>
      <c r="K355" s="64">
        <f>IF(E355="Support(L1_L2)",IF(NOT(ISBLANK(B355)),IF(NOT(ISBLANK(D355)),NETWORKDAYS('CPY TOC'!$F$5,'CPY TOC'!$G$5))))-L355</f>
        <v>0</v>
      </c>
      <c r="L355" s="64">
        <f>IF(E355="Support(L1_L2)",SUMIFS(Support_allowance_Entries!$G:$G,Support_allowance_Entries!$B:$B,CPY!B355),0)</f>
        <v>0</v>
      </c>
      <c r="M355" s="63" t="b">
        <f>IF($D355="D0",MD!$C$4*(K355),IF($D355="D1",MD!$C$5*(K355),IF($D355="D2",MD!$C$6*(K355),IF($D355="D3",MD!$C$7*(K355),IF($D355="D4",MD!$C$8*(K355),IF($D355="D5",MD!$C$9*(K355),IF($D355="M1",MD!$C$10*(K355),IF($D355="T1",MD!$C$11*(K355)))))))))</f>
        <v>0</v>
      </c>
      <c r="O355" s="65">
        <f>SUMIFS(Shift_allowance_Entries!$G:$G,Shift_allowance_Entries!$F:$F,"6:30AM-03:30PM",Shift_allowance_Entries!$B:$B,CPY!$B355)</f>
        <v>0</v>
      </c>
      <c r="P355" s="65">
        <f>SUMIFS(Shift_allowance_Entries!$G:$G,Shift_allowance_Entries!$F:$F,"1-9PM/2:30PM-11:30PM",Shift_allowance_Entries!$B:$B,CPY!$B355)</f>
        <v>0</v>
      </c>
      <c r="Q355" s="65">
        <f>SUMIFS(Shift_allowance_Entries!$G:$G,Shift_allowance_Entries!$F:$F,"11PM-7AM",Shift_allowance_Entries!$B:$B,CPY!$B355)</f>
        <v>0</v>
      </c>
      <c r="R355" s="63">
        <f>(CPY!O355*MD!$F$4)+(CPY!P355*MD!$F$5)+(CPY!Q355*MD!$F$6)</f>
        <v>0</v>
      </c>
      <c r="T355" s="64">
        <f>ROUNDUP((SUMIFS('OOH Activities'!$K:$K,'OOH Activities'!$F:$F,"Non_workdays",'OOH Activities'!$B:$B,CPY!B355)) *24,1)</f>
        <v>0</v>
      </c>
      <c r="U355" s="64">
        <f>ROUNDUP((SUMIFS('OOH Activities'!$K:$K,'OOH Activities'!$F:$F,"Workdays",'OOH Activities'!$B:$B,CPY!B355)) *24,1)</f>
        <v>0</v>
      </c>
      <c r="V355" s="63">
        <f>ROUNDUP((SUMIFS('OOH Activities'!$L:$L,'OOH Activities'!$B:$B,CPY!B355)),1)</f>
        <v>0</v>
      </c>
      <c r="X355" s="65">
        <f>ROUNDUP((SUMIFS('ON Call_Call Out Activities'!$L:$L,'ON Call_Call Out Activities'!$F:$F,"Workdays",'ON Call_Call Out Activities'!$B:$B,CPY!B355))*24,1)</f>
        <v>0</v>
      </c>
      <c r="Y355" s="64">
        <f>ROUNDUP((SUMIFS('ON Call_Call Out Activities'!$L:$L,'ON Call_Call Out Activities'!$F:$F,"Non_workdays",'ON Call_Call Out Activities'!$B:$B,CPY!B355)) *24,1)</f>
        <v>0</v>
      </c>
      <c r="Z355" s="63">
        <f>ROUNDUP((SUMIFS('ON Call_Call Out Activities'!$M:$M,'ON Call_Call Out Activities'!$F:$F,"Non_workdays",'ON Call_Call Out Activities'!$B:$B,CPY!B355)),1) + ROUNDUP((SUMIFS('ON Call_Call Out Activities'!$M:$M,'ON Call_Call Out Activities'!$F:$F,"Workdays",'ON Call_Call Out Activities'!$B:$B,CPY!B355)),1)</f>
        <v>0</v>
      </c>
      <c r="AA355" s="66"/>
      <c r="AB355" s="64">
        <f>ROUNDUP((SUMIFS('ON Call_Call Out Activities'!$L:$L,'ON Call_Call Out Activities'!$F:$F,"Call_Out",'ON Call_Call Out Activities'!$B:$B,CPY!B355)) *24,1)</f>
        <v>0</v>
      </c>
      <c r="AC355" s="63">
        <f>ROUNDUP((SUMIFS('ON Call_Call Out Activities'!$M:$M,'ON Call_Call Out Activities'!$F:$F,"Call_Out",'ON Call_Call Out Activities'!$B:$B,CPY!B355)),1)</f>
        <v>0</v>
      </c>
      <c r="AE355" s="65">
        <f>IF((SUMIF(Shift_allowance_Entries!$B:$B,CPY!$B355,Shift_allowance_Entries!$H:$H)) &gt; (SUMIF(Shift_allowance_Entries!$B:$B,CPY!$B355,Shift_allowance_Entries!$G:$G)),0,((SUMIF(Shift_allowance_Entries!$B:$B,CPY!$B355,Shift_allowance_Entries!$G:$G))-(SUMIF(Shift_allowance_Entries!$B:$B,CPY!$B355,Shift_allowance_Entries!$H:$H))))</f>
        <v>0</v>
      </c>
      <c r="AF355" s="63">
        <f>AE355*MD!$S$4</f>
        <v>0</v>
      </c>
    </row>
    <row r="356" spans="1:32" x14ac:dyDescent="0.25">
      <c r="A356" s="62">
        <v>354</v>
      </c>
      <c r="B356" s="62"/>
      <c r="C356" s="50" t="str">
        <f>IF(ISNA(VLOOKUP($B356,Summary!$B:$D,2,FALSE))=TRUE," ",VLOOKUP($B356,Summary!$B:$D,2,FALSE))</f>
        <v> </v>
      </c>
      <c r="D356" s="50" t="str">
        <f>IF(ISNA(VLOOKUP($B356,Summary!$B:$D,3,FALSE))=TRUE," ",VLOOKUP($B356,Summary!$B:$D,3,FALSE))</f>
        <v> </v>
      </c>
      <c r="E356" s="62"/>
      <c r="F356" s="62"/>
      <c r="G356" s="62"/>
      <c r="I356" s="63">
        <f t="shared" si="5"/>
        <v>0</v>
      </c>
      <c r="K356" s="64">
        <f>IF(E356="Support(L1_L2)",IF(NOT(ISBLANK(B356)),IF(NOT(ISBLANK(D356)),NETWORKDAYS('CPY TOC'!$F$5,'CPY TOC'!$G$5))))-L356</f>
        <v>0</v>
      </c>
      <c r="L356" s="64">
        <f>IF(E356="Support(L1_L2)",SUMIFS(Support_allowance_Entries!$G:$G,Support_allowance_Entries!$B:$B,CPY!B356),0)</f>
        <v>0</v>
      </c>
      <c r="M356" s="63" t="b">
        <f>IF($D356="D0",MD!$C$4*(K356),IF($D356="D1",MD!$C$5*(K356),IF($D356="D2",MD!$C$6*(K356),IF($D356="D3",MD!$C$7*(K356),IF($D356="D4",MD!$C$8*(K356),IF($D356="D5",MD!$C$9*(K356),IF($D356="M1",MD!$C$10*(K356),IF($D356="T1",MD!$C$11*(K356)))))))))</f>
        <v>0</v>
      </c>
      <c r="O356" s="65">
        <f>SUMIFS(Shift_allowance_Entries!$G:$G,Shift_allowance_Entries!$F:$F,"6:30AM-03:30PM",Shift_allowance_Entries!$B:$B,CPY!$B356)</f>
        <v>0</v>
      </c>
      <c r="P356" s="65">
        <f>SUMIFS(Shift_allowance_Entries!$G:$G,Shift_allowance_Entries!$F:$F,"1-9PM/2:30PM-11:30PM",Shift_allowance_Entries!$B:$B,CPY!$B356)</f>
        <v>0</v>
      </c>
      <c r="Q356" s="65">
        <f>SUMIFS(Shift_allowance_Entries!$G:$G,Shift_allowance_Entries!$F:$F,"11PM-7AM",Shift_allowance_Entries!$B:$B,CPY!$B356)</f>
        <v>0</v>
      </c>
      <c r="R356" s="63">
        <f>(CPY!O356*MD!$F$4)+(CPY!P356*MD!$F$5)+(CPY!Q356*MD!$F$6)</f>
        <v>0</v>
      </c>
      <c r="T356" s="64">
        <f>ROUNDUP((SUMIFS('OOH Activities'!$K:$K,'OOH Activities'!$F:$F,"Non_workdays",'OOH Activities'!$B:$B,CPY!B356)) *24,1)</f>
        <v>0</v>
      </c>
      <c r="U356" s="64">
        <f>ROUNDUP((SUMIFS('OOH Activities'!$K:$K,'OOH Activities'!$F:$F,"Workdays",'OOH Activities'!$B:$B,CPY!B356)) *24,1)</f>
        <v>0</v>
      </c>
      <c r="V356" s="63">
        <f>ROUNDUP((SUMIFS('OOH Activities'!$L:$L,'OOH Activities'!$B:$B,CPY!B356)),1)</f>
        <v>0</v>
      </c>
      <c r="X356" s="65">
        <f>ROUNDUP((SUMIFS('ON Call_Call Out Activities'!$L:$L,'ON Call_Call Out Activities'!$F:$F,"Workdays",'ON Call_Call Out Activities'!$B:$B,CPY!B356))*24,1)</f>
        <v>0</v>
      </c>
      <c r="Y356" s="64">
        <f>ROUNDUP((SUMIFS('ON Call_Call Out Activities'!$L:$L,'ON Call_Call Out Activities'!$F:$F,"Non_workdays",'ON Call_Call Out Activities'!$B:$B,CPY!B356)) *24,1)</f>
        <v>0</v>
      </c>
      <c r="Z356" s="63">
        <f>ROUNDUP((SUMIFS('ON Call_Call Out Activities'!$M:$M,'ON Call_Call Out Activities'!$F:$F,"Non_workdays",'ON Call_Call Out Activities'!$B:$B,CPY!B356)),1) + ROUNDUP((SUMIFS('ON Call_Call Out Activities'!$M:$M,'ON Call_Call Out Activities'!$F:$F,"Workdays",'ON Call_Call Out Activities'!$B:$B,CPY!B356)),1)</f>
        <v>0</v>
      </c>
      <c r="AA356" s="66"/>
      <c r="AB356" s="64">
        <f>ROUNDUP((SUMIFS('ON Call_Call Out Activities'!$L:$L,'ON Call_Call Out Activities'!$F:$F,"Call_Out",'ON Call_Call Out Activities'!$B:$B,CPY!B356)) *24,1)</f>
        <v>0</v>
      </c>
      <c r="AC356" s="63">
        <f>ROUNDUP((SUMIFS('ON Call_Call Out Activities'!$M:$M,'ON Call_Call Out Activities'!$F:$F,"Call_Out",'ON Call_Call Out Activities'!$B:$B,CPY!B356)),1)</f>
        <v>0</v>
      </c>
      <c r="AE356" s="65">
        <f>IF((SUMIF(Shift_allowance_Entries!$B:$B,CPY!$B356,Shift_allowance_Entries!$H:$H)) &gt; (SUMIF(Shift_allowance_Entries!$B:$B,CPY!$B356,Shift_allowance_Entries!$G:$G)),0,((SUMIF(Shift_allowance_Entries!$B:$B,CPY!$B356,Shift_allowance_Entries!$G:$G))-(SUMIF(Shift_allowance_Entries!$B:$B,CPY!$B356,Shift_allowance_Entries!$H:$H))))</f>
        <v>0</v>
      </c>
      <c r="AF356" s="63">
        <f>AE356*MD!$S$4</f>
        <v>0</v>
      </c>
    </row>
    <row r="357" spans="1:32" x14ac:dyDescent="0.25">
      <c r="A357" s="62">
        <v>355</v>
      </c>
      <c r="B357" s="62"/>
      <c r="C357" s="50" t="str">
        <f>IF(ISNA(VLOOKUP($B357,Summary!$B:$D,2,FALSE))=TRUE," ",VLOOKUP($B357,Summary!$B:$D,2,FALSE))</f>
        <v> </v>
      </c>
      <c r="D357" s="50" t="str">
        <f>IF(ISNA(VLOOKUP($B357,Summary!$B:$D,3,FALSE))=TRUE," ",VLOOKUP($B357,Summary!$B:$D,3,FALSE))</f>
        <v> </v>
      </c>
      <c r="E357" s="62"/>
      <c r="F357" s="62"/>
      <c r="G357" s="62"/>
      <c r="I357" s="63">
        <f t="shared" si="5"/>
        <v>0</v>
      </c>
      <c r="K357" s="64">
        <f>IF(E357="Support(L1_L2)",IF(NOT(ISBLANK(B357)),IF(NOT(ISBLANK(D357)),NETWORKDAYS('CPY TOC'!$F$5,'CPY TOC'!$G$5))))-L357</f>
        <v>0</v>
      </c>
      <c r="L357" s="64">
        <f>IF(E357="Support(L1_L2)",SUMIFS(Support_allowance_Entries!$G:$G,Support_allowance_Entries!$B:$B,CPY!B357),0)</f>
        <v>0</v>
      </c>
      <c r="M357" s="63" t="b">
        <f>IF($D357="D0",MD!$C$4*(K357),IF($D357="D1",MD!$C$5*(K357),IF($D357="D2",MD!$C$6*(K357),IF($D357="D3",MD!$C$7*(K357),IF($D357="D4",MD!$C$8*(K357),IF($D357="D5",MD!$C$9*(K357),IF($D357="M1",MD!$C$10*(K357),IF($D357="T1",MD!$C$11*(K357)))))))))</f>
        <v>0</v>
      </c>
      <c r="O357" s="65">
        <f>SUMIFS(Shift_allowance_Entries!$G:$G,Shift_allowance_Entries!$F:$F,"6:30AM-03:30PM",Shift_allowance_Entries!$B:$B,CPY!$B357)</f>
        <v>0</v>
      </c>
      <c r="P357" s="65">
        <f>SUMIFS(Shift_allowance_Entries!$G:$G,Shift_allowance_Entries!$F:$F,"1-9PM/2:30PM-11:30PM",Shift_allowance_Entries!$B:$B,CPY!$B357)</f>
        <v>0</v>
      </c>
      <c r="Q357" s="65">
        <f>SUMIFS(Shift_allowance_Entries!$G:$G,Shift_allowance_Entries!$F:$F,"11PM-7AM",Shift_allowance_Entries!$B:$B,CPY!$B357)</f>
        <v>0</v>
      </c>
      <c r="R357" s="63">
        <f>(CPY!O357*MD!$F$4)+(CPY!P357*MD!$F$5)+(CPY!Q357*MD!$F$6)</f>
        <v>0</v>
      </c>
      <c r="T357" s="64">
        <f>ROUNDUP((SUMIFS('OOH Activities'!$K:$K,'OOH Activities'!$F:$F,"Non_workdays",'OOH Activities'!$B:$B,CPY!B357)) *24,1)</f>
        <v>0</v>
      </c>
      <c r="U357" s="64">
        <f>ROUNDUP((SUMIFS('OOH Activities'!$K:$K,'OOH Activities'!$F:$F,"Workdays",'OOH Activities'!$B:$B,CPY!B357)) *24,1)</f>
        <v>0</v>
      </c>
      <c r="V357" s="63">
        <f>ROUNDUP((SUMIFS('OOH Activities'!$L:$L,'OOH Activities'!$B:$B,CPY!B357)),1)</f>
        <v>0</v>
      </c>
      <c r="X357" s="65">
        <f>ROUNDUP((SUMIFS('ON Call_Call Out Activities'!$L:$L,'ON Call_Call Out Activities'!$F:$F,"Workdays",'ON Call_Call Out Activities'!$B:$B,CPY!B357))*24,1)</f>
        <v>0</v>
      </c>
      <c r="Y357" s="64">
        <f>ROUNDUP((SUMIFS('ON Call_Call Out Activities'!$L:$L,'ON Call_Call Out Activities'!$F:$F,"Non_workdays",'ON Call_Call Out Activities'!$B:$B,CPY!B357)) *24,1)</f>
        <v>0</v>
      </c>
      <c r="Z357" s="63">
        <f>ROUNDUP((SUMIFS('ON Call_Call Out Activities'!$M:$M,'ON Call_Call Out Activities'!$F:$F,"Non_workdays",'ON Call_Call Out Activities'!$B:$B,CPY!B357)),1) + ROUNDUP((SUMIFS('ON Call_Call Out Activities'!$M:$M,'ON Call_Call Out Activities'!$F:$F,"Workdays",'ON Call_Call Out Activities'!$B:$B,CPY!B357)),1)</f>
        <v>0</v>
      </c>
      <c r="AA357" s="66"/>
      <c r="AB357" s="64">
        <f>ROUNDUP((SUMIFS('ON Call_Call Out Activities'!$L:$L,'ON Call_Call Out Activities'!$F:$F,"Call_Out",'ON Call_Call Out Activities'!$B:$B,CPY!B357)) *24,1)</f>
        <v>0</v>
      </c>
      <c r="AC357" s="63">
        <f>ROUNDUP((SUMIFS('ON Call_Call Out Activities'!$M:$M,'ON Call_Call Out Activities'!$F:$F,"Call_Out",'ON Call_Call Out Activities'!$B:$B,CPY!B357)),1)</f>
        <v>0</v>
      </c>
      <c r="AE357" s="65">
        <f>IF((SUMIF(Shift_allowance_Entries!$B:$B,CPY!$B357,Shift_allowance_Entries!$H:$H)) &gt; (SUMIF(Shift_allowance_Entries!$B:$B,CPY!$B357,Shift_allowance_Entries!$G:$G)),0,((SUMIF(Shift_allowance_Entries!$B:$B,CPY!$B357,Shift_allowance_Entries!$G:$G))-(SUMIF(Shift_allowance_Entries!$B:$B,CPY!$B357,Shift_allowance_Entries!$H:$H))))</f>
        <v>0</v>
      </c>
      <c r="AF357" s="63">
        <f>AE357*MD!$S$4</f>
        <v>0</v>
      </c>
    </row>
    <row r="358" spans="1:32" x14ac:dyDescent="0.25">
      <c r="A358" s="62">
        <v>356</v>
      </c>
      <c r="B358" s="62"/>
      <c r="C358" s="50" t="str">
        <f>IF(ISNA(VLOOKUP($B358,Summary!$B:$D,2,FALSE))=TRUE," ",VLOOKUP($B358,Summary!$B:$D,2,FALSE))</f>
        <v> </v>
      </c>
      <c r="D358" s="50" t="str">
        <f>IF(ISNA(VLOOKUP($B358,Summary!$B:$D,3,FALSE))=TRUE," ",VLOOKUP($B358,Summary!$B:$D,3,FALSE))</f>
        <v> </v>
      </c>
      <c r="E358" s="62"/>
      <c r="F358" s="62"/>
      <c r="G358" s="62"/>
      <c r="I358" s="63">
        <f t="shared" si="5"/>
        <v>0</v>
      </c>
      <c r="K358" s="64">
        <f>IF(E358="Support(L1_L2)",IF(NOT(ISBLANK(B358)),IF(NOT(ISBLANK(D358)),NETWORKDAYS('CPY TOC'!$F$5,'CPY TOC'!$G$5))))-L358</f>
        <v>0</v>
      </c>
      <c r="L358" s="64">
        <f>IF(E358="Support(L1_L2)",SUMIFS(Support_allowance_Entries!$G:$G,Support_allowance_Entries!$B:$B,CPY!B358),0)</f>
        <v>0</v>
      </c>
      <c r="M358" s="63" t="b">
        <f>IF($D358="D0",MD!$C$4*(K358),IF($D358="D1",MD!$C$5*(K358),IF($D358="D2",MD!$C$6*(K358),IF($D358="D3",MD!$C$7*(K358),IF($D358="D4",MD!$C$8*(K358),IF($D358="D5",MD!$C$9*(K358),IF($D358="M1",MD!$C$10*(K358),IF($D358="T1",MD!$C$11*(K358)))))))))</f>
        <v>0</v>
      </c>
      <c r="O358" s="65">
        <f>SUMIFS(Shift_allowance_Entries!$G:$G,Shift_allowance_Entries!$F:$F,"6:30AM-03:30PM",Shift_allowance_Entries!$B:$B,CPY!$B358)</f>
        <v>0</v>
      </c>
      <c r="P358" s="65">
        <f>SUMIFS(Shift_allowance_Entries!$G:$G,Shift_allowance_Entries!$F:$F,"1-9PM/2:30PM-11:30PM",Shift_allowance_Entries!$B:$B,CPY!$B358)</f>
        <v>0</v>
      </c>
      <c r="Q358" s="65">
        <f>SUMIFS(Shift_allowance_Entries!$G:$G,Shift_allowance_Entries!$F:$F,"11PM-7AM",Shift_allowance_Entries!$B:$B,CPY!$B358)</f>
        <v>0</v>
      </c>
      <c r="R358" s="63">
        <f>(CPY!O358*MD!$F$4)+(CPY!P358*MD!$F$5)+(CPY!Q358*MD!$F$6)</f>
        <v>0</v>
      </c>
      <c r="T358" s="64">
        <f>ROUNDUP((SUMIFS('OOH Activities'!$K:$K,'OOH Activities'!$F:$F,"Non_workdays",'OOH Activities'!$B:$B,CPY!B358)) *24,1)</f>
        <v>0</v>
      </c>
      <c r="U358" s="64">
        <f>ROUNDUP((SUMIFS('OOH Activities'!$K:$K,'OOH Activities'!$F:$F,"Workdays",'OOH Activities'!$B:$B,CPY!B358)) *24,1)</f>
        <v>0</v>
      </c>
      <c r="V358" s="63">
        <f>ROUNDUP((SUMIFS('OOH Activities'!$L:$L,'OOH Activities'!$B:$B,CPY!B358)),1)</f>
        <v>0</v>
      </c>
      <c r="X358" s="65">
        <f>ROUNDUP((SUMIFS('ON Call_Call Out Activities'!$L:$L,'ON Call_Call Out Activities'!$F:$F,"Workdays",'ON Call_Call Out Activities'!$B:$B,CPY!B358))*24,1)</f>
        <v>0</v>
      </c>
      <c r="Y358" s="64">
        <f>ROUNDUP((SUMIFS('ON Call_Call Out Activities'!$L:$L,'ON Call_Call Out Activities'!$F:$F,"Non_workdays",'ON Call_Call Out Activities'!$B:$B,CPY!B358)) *24,1)</f>
        <v>0</v>
      </c>
      <c r="Z358" s="63">
        <f>ROUNDUP((SUMIFS('ON Call_Call Out Activities'!$M:$M,'ON Call_Call Out Activities'!$F:$F,"Non_workdays",'ON Call_Call Out Activities'!$B:$B,CPY!B358)),1) + ROUNDUP((SUMIFS('ON Call_Call Out Activities'!$M:$M,'ON Call_Call Out Activities'!$F:$F,"Workdays",'ON Call_Call Out Activities'!$B:$B,CPY!B358)),1)</f>
        <v>0</v>
      </c>
      <c r="AA358" s="66"/>
      <c r="AB358" s="64">
        <f>ROUNDUP((SUMIFS('ON Call_Call Out Activities'!$L:$L,'ON Call_Call Out Activities'!$F:$F,"Call_Out",'ON Call_Call Out Activities'!$B:$B,CPY!B358)) *24,1)</f>
        <v>0</v>
      </c>
      <c r="AC358" s="63">
        <f>ROUNDUP((SUMIFS('ON Call_Call Out Activities'!$M:$M,'ON Call_Call Out Activities'!$F:$F,"Call_Out",'ON Call_Call Out Activities'!$B:$B,CPY!B358)),1)</f>
        <v>0</v>
      </c>
      <c r="AE358" s="65">
        <f>IF((SUMIF(Shift_allowance_Entries!$B:$B,CPY!$B358,Shift_allowance_Entries!$H:$H)) &gt; (SUMIF(Shift_allowance_Entries!$B:$B,CPY!$B358,Shift_allowance_Entries!$G:$G)),0,((SUMIF(Shift_allowance_Entries!$B:$B,CPY!$B358,Shift_allowance_Entries!$G:$G))-(SUMIF(Shift_allowance_Entries!$B:$B,CPY!$B358,Shift_allowance_Entries!$H:$H))))</f>
        <v>0</v>
      </c>
      <c r="AF358" s="63">
        <f>AE358*MD!$S$4</f>
        <v>0</v>
      </c>
    </row>
    <row r="359" spans="1:32" x14ac:dyDescent="0.25">
      <c r="A359" s="62">
        <v>357</v>
      </c>
      <c r="B359" s="62"/>
      <c r="C359" s="50" t="str">
        <f>IF(ISNA(VLOOKUP($B359,Summary!$B:$D,2,FALSE))=TRUE," ",VLOOKUP($B359,Summary!$B:$D,2,FALSE))</f>
        <v> </v>
      </c>
      <c r="D359" s="50" t="str">
        <f>IF(ISNA(VLOOKUP($B359,Summary!$B:$D,3,FALSE))=TRUE," ",VLOOKUP($B359,Summary!$B:$D,3,FALSE))</f>
        <v> </v>
      </c>
      <c r="E359" s="62"/>
      <c r="F359" s="62"/>
      <c r="G359" s="62"/>
      <c r="I359" s="63">
        <f t="shared" si="5"/>
        <v>0</v>
      </c>
      <c r="K359" s="64">
        <f>IF(E359="Support(L1_L2)",IF(NOT(ISBLANK(B359)),IF(NOT(ISBLANK(D359)),NETWORKDAYS('CPY TOC'!$F$5,'CPY TOC'!$G$5))))-L359</f>
        <v>0</v>
      </c>
      <c r="L359" s="64">
        <f>IF(E359="Support(L1_L2)",SUMIFS(Support_allowance_Entries!$G:$G,Support_allowance_Entries!$B:$B,CPY!B359),0)</f>
        <v>0</v>
      </c>
      <c r="M359" s="63" t="b">
        <f>IF($D359="D0",MD!$C$4*(K359),IF($D359="D1",MD!$C$5*(K359),IF($D359="D2",MD!$C$6*(K359),IF($D359="D3",MD!$C$7*(K359),IF($D359="D4",MD!$C$8*(K359),IF($D359="D5",MD!$C$9*(K359),IF($D359="M1",MD!$C$10*(K359),IF($D359="T1",MD!$C$11*(K359)))))))))</f>
        <v>0</v>
      </c>
      <c r="O359" s="65">
        <f>SUMIFS(Shift_allowance_Entries!$G:$G,Shift_allowance_Entries!$F:$F,"6:30AM-03:30PM",Shift_allowance_Entries!$B:$B,CPY!$B359)</f>
        <v>0</v>
      </c>
      <c r="P359" s="65">
        <f>SUMIFS(Shift_allowance_Entries!$G:$G,Shift_allowance_Entries!$F:$F,"1-9PM/2:30PM-11:30PM",Shift_allowance_Entries!$B:$B,CPY!$B359)</f>
        <v>0</v>
      </c>
      <c r="Q359" s="65">
        <f>SUMIFS(Shift_allowance_Entries!$G:$G,Shift_allowance_Entries!$F:$F,"11PM-7AM",Shift_allowance_Entries!$B:$B,CPY!$B359)</f>
        <v>0</v>
      </c>
      <c r="R359" s="63">
        <f>(CPY!O359*MD!$F$4)+(CPY!P359*MD!$F$5)+(CPY!Q359*MD!$F$6)</f>
        <v>0</v>
      </c>
      <c r="T359" s="64">
        <f>ROUNDUP((SUMIFS('OOH Activities'!$K:$K,'OOH Activities'!$F:$F,"Non_workdays",'OOH Activities'!$B:$B,CPY!B359)) *24,1)</f>
        <v>0</v>
      </c>
      <c r="U359" s="64">
        <f>ROUNDUP((SUMIFS('OOH Activities'!$K:$K,'OOH Activities'!$F:$F,"Workdays",'OOH Activities'!$B:$B,CPY!B359)) *24,1)</f>
        <v>0</v>
      </c>
      <c r="V359" s="63">
        <f>ROUNDUP((SUMIFS('OOH Activities'!$L:$L,'OOH Activities'!$B:$B,CPY!B359)),1)</f>
        <v>0</v>
      </c>
      <c r="X359" s="65">
        <f>ROUNDUP((SUMIFS('ON Call_Call Out Activities'!$L:$L,'ON Call_Call Out Activities'!$F:$F,"Workdays",'ON Call_Call Out Activities'!$B:$B,CPY!B359))*24,1)</f>
        <v>0</v>
      </c>
      <c r="Y359" s="64">
        <f>ROUNDUP((SUMIFS('ON Call_Call Out Activities'!$L:$L,'ON Call_Call Out Activities'!$F:$F,"Non_workdays",'ON Call_Call Out Activities'!$B:$B,CPY!B359)) *24,1)</f>
        <v>0</v>
      </c>
      <c r="Z359" s="63">
        <f>ROUNDUP((SUMIFS('ON Call_Call Out Activities'!$M:$M,'ON Call_Call Out Activities'!$F:$F,"Non_workdays",'ON Call_Call Out Activities'!$B:$B,CPY!B359)),1) + ROUNDUP((SUMIFS('ON Call_Call Out Activities'!$M:$M,'ON Call_Call Out Activities'!$F:$F,"Workdays",'ON Call_Call Out Activities'!$B:$B,CPY!B359)),1)</f>
        <v>0</v>
      </c>
      <c r="AA359" s="66"/>
      <c r="AB359" s="64">
        <f>ROUNDUP((SUMIFS('ON Call_Call Out Activities'!$L:$L,'ON Call_Call Out Activities'!$F:$F,"Call_Out",'ON Call_Call Out Activities'!$B:$B,CPY!B359)) *24,1)</f>
        <v>0</v>
      </c>
      <c r="AC359" s="63">
        <f>ROUNDUP((SUMIFS('ON Call_Call Out Activities'!$M:$M,'ON Call_Call Out Activities'!$F:$F,"Call_Out",'ON Call_Call Out Activities'!$B:$B,CPY!B359)),1)</f>
        <v>0</v>
      </c>
      <c r="AE359" s="65">
        <f>IF((SUMIF(Shift_allowance_Entries!$B:$B,CPY!$B359,Shift_allowance_Entries!$H:$H)) &gt; (SUMIF(Shift_allowance_Entries!$B:$B,CPY!$B359,Shift_allowance_Entries!$G:$G)),0,((SUMIF(Shift_allowance_Entries!$B:$B,CPY!$B359,Shift_allowance_Entries!$G:$G))-(SUMIF(Shift_allowance_Entries!$B:$B,CPY!$B359,Shift_allowance_Entries!$H:$H))))</f>
        <v>0</v>
      </c>
      <c r="AF359" s="63">
        <f>AE359*MD!$S$4</f>
        <v>0</v>
      </c>
    </row>
    <row r="360" spans="1:32" x14ac:dyDescent="0.25">
      <c r="A360" s="62">
        <v>358</v>
      </c>
      <c r="B360" s="62"/>
      <c r="C360" s="50" t="str">
        <f>IF(ISNA(VLOOKUP($B360,Summary!$B:$D,2,FALSE))=TRUE," ",VLOOKUP($B360,Summary!$B:$D,2,FALSE))</f>
        <v> </v>
      </c>
      <c r="D360" s="50" t="str">
        <f>IF(ISNA(VLOOKUP($B360,Summary!$B:$D,3,FALSE))=TRUE," ",VLOOKUP($B360,Summary!$B:$D,3,FALSE))</f>
        <v> </v>
      </c>
      <c r="E360" s="62"/>
      <c r="F360" s="62"/>
      <c r="G360" s="62"/>
      <c r="I360" s="63">
        <f t="shared" si="5"/>
        <v>0</v>
      </c>
      <c r="K360" s="64">
        <f>IF(E360="Support(L1_L2)",IF(NOT(ISBLANK(B360)),IF(NOT(ISBLANK(D360)),NETWORKDAYS('CPY TOC'!$F$5,'CPY TOC'!$G$5))))-L360</f>
        <v>0</v>
      </c>
      <c r="L360" s="64">
        <f>IF(E360="Support(L1_L2)",SUMIFS(Support_allowance_Entries!$G:$G,Support_allowance_Entries!$B:$B,CPY!B360),0)</f>
        <v>0</v>
      </c>
      <c r="M360" s="63" t="b">
        <f>IF($D360="D0",MD!$C$4*(K360),IF($D360="D1",MD!$C$5*(K360),IF($D360="D2",MD!$C$6*(K360),IF($D360="D3",MD!$C$7*(K360),IF($D360="D4",MD!$C$8*(K360),IF($D360="D5",MD!$C$9*(K360),IF($D360="M1",MD!$C$10*(K360),IF($D360="T1",MD!$C$11*(K360)))))))))</f>
        <v>0</v>
      </c>
      <c r="O360" s="65">
        <f>SUMIFS(Shift_allowance_Entries!$G:$G,Shift_allowance_Entries!$F:$F,"6:30AM-03:30PM",Shift_allowance_Entries!$B:$B,CPY!$B360)</f>
        <v>0</v>
      </c>
      <c r="P360" s="65">
        <f>SUMIFS(Shift_allowance_Entries!$G:$G,Shift_allowance_Entries!$F:$F,"1-9PM/2:30PM-11:30PM",Shift_allowance_Entries!$B:$B,CPY!$B360)</f>
        <v>0</v>
      </c>
      <c r="Q360" s="65">
        <f>SUMIFS(Shift_allowance_Entries!$G:$G,Shift_allowance_Entries!$F:$F,"11PM-7AM",Shift_allowance_Entries!$B:$B,CPY!$B360)</f>
        <v>0</v>
      </c>
      <c r="R360" s="63">
        <f>(CPY!O360*MD!$F$4)+(CPY!P360*MD!$F$5)+(CPY!Q360*MD!$F$6)</f>
        <v>0</v>
      </c>
      <c r="T360" s="64">
        <f>ROUNDUP((SUMIFS('OOH Activities'!$K:$K,'OOH Activities'!$F:$F,"Non_workdays",'OOH Activities'!$B:$B,CPY!B360)) *24,1)</f>
        <v>0</v>
      </c>
      <c r="U360" s="64">
        <f>ROUNDUP((SUMIFS('OOH Activities'!$K:$K,'OOH Activities'!$F:$F,"Workdays",'OOH Activities'!$B:$B,CPY!B360)) *24,1)</f>
        <v>0</v>
      </c>
      <c r="V360" s="63">
        <f>ROUNDUP((SUMIFS('OOH Activities'!$L:$L,'OOH Activities'!$B:$B,CPY!B360)),1)</f>
        <v>0</v>
      </c>
      <c r="X360" s="65">
        <f>ROUNDUP((SUMIFS('ON Call_Call Out Activities'!$L:$L,'ON Call_Call Out Activities'!$F:$F,"Workdays",'ON Call_Call Out Activities'!$B:$B,CPY!B360))*24,1)</f>
        <v>0</v>
      </c>
      <c r="Y360" s="64">
        <f>ROUNDUP((SUMIFS('ON Call_Call Out Activities'!$L:$L,'ON Call_Call Out Activities'!$F:$F,"Non_workdays",'ON Call_Call Out Activities'!$B:$B,CPY!B360)) *24,1)</f>
        <v>0</v>
      </c>
      <c r="Z360" s="63">
        <f>ROUNDUP((SUMIFS('ON Call_Call Out Activities'!$M:$M,'ON Call_Call Out Activities'!$F:$F,"Non_workdays",'ON Call_Call Out Activities'!$B:$B,CPY!B360)),1) + ROUNDUP((SUMIFS('ON Call_Call Out Activities'!$M:$M,'ON Call_Call Out Activities'!$F:$F,"Workdays",'ON Call_Call Out Activities'!$B:$B,CPY!B360)),1)</f>
        <v>0</v>
      </c>
      <c r="AA360" s="66"/>
      <c r="AB360" s="64">
        <f>ROUNDUP((SUMIFS('ON Call_Call Out Activities'!$L:$L,'ON Call_Call Out Activities'!$F:$F,"Call_Out",'ON Call_Call Out Activities'!$B:$B,CPY!B360)) *24,1)</f>
        <v>0</v>
      </c>
      <c r="AC360" s="63">
        <f>ROUNDUP((SUMIFS('ON Call_Call Out Activities'!$M:$M,'ON Call_Call Out Activities'!$F:$F,"Call_Out",'ON Call_Call Out Activities'!$B:$B,CPY!B360)),1)</f>
        <v>0</v>
      </c>
      <c r="AE360" s="65">
        <f>IF((SUMIF(Shift_allowance_Entries!$B:$B,CPY!$B360,Shift_allowance_Entries!$H:$H)) &gt; (SUMIF(Shift_allowance_Entries!$B:$B,CPY!$B360,Shift_allowance_Entries!$G:$G)),0,((SUMIF(Shift_allowance_Entries!$B:$B,CPY!$B360,Shift_allowance_Entries!$G:$G))-(SUMIF(Shift_allowance_Entries!$B:$B,CPY!$B360,Shift_allowance_Entries!$H:$H))))</f>
        <v>0</v>
      </c>
      <c r="AF360" s="63">
        <f>AE360*MD!$S$4</f>
        <v>0</v>
      </c>
    </row>
    <row r="361" spans="1:32" x14ac:dyDescent="0.25">
      <c r="A361" s="62">
        <v>359</v>
      </c>
      <c r="B361" s="62"/>
      <c r="C361" s="50" t="str">
        <f>IF(ISNA(VLOOKUP($B361,Summary!$B:$D,2,FALSE))=TRUE," ",VLOOKUP($B361,Summary!$B:$D,2,FALSE))</f>
        <v> </v>
      </c>
      <c r="D361" s="50" t="str">
        <f>IF(ISNA(VLOOKUP($B361,Summary!$B:$D,3,FALSE))=TRUE," ",VLOOKUP($B361,Summary!$B:$D,3,FALSE))</f>
        <v> </v>
      </c>
      <c r="E361" s="62"/>
      <c r="F361" s="62"/>
      <c r="G361" s="62"/>
      <c r="I361" s="63">
        <f t="shared" si="5"/>
        <v>0</v>
      </c>
      <c r="K361" s="64">
        <f>IF(E361="Support(L1_L2)",IF(NOT(ISBLANK(B361)),IF(NOT(ISBLANK(D361)),NETWORKDAYS('CPY TOC'!$F$5,'CPY TOC'!$G$5))))-L361</f>
        <v>0</v>
      </c>
      <c r="L361" s="64">
        <f>IF(E361="Support(L1_L2)",SUMIFS(Support_allowance_Entries!$G:$G,Support_allowance_Entries!$B:$B,CPY!B361),0)</f>
        <v>0</v>
      </c>
      <c r="M361" s="63" t="b">
        <f>IF($D361="D0",MD!$C$4*(K361),IF($D361="D1",MD!$C$5*(K361),IF($D361="D2",MD!$C$6*(K361),IF($D361="D3",MD!$C$7*(K361),IF($D361="D4",MD!$C$8*(K361),IF($D361="D5",MD!$C$9*(K361),IF($D361="M1",MD!$C$10*(K361),IF($D361="T1",MD!$C$11*(K361)))))))))</f>
        <v>0</v>
      </c>
      <c r="O361" s="65">
        <f>SUMIFS(Shift_allowance_Entries!$G:$G,Shift_allowance_Entries!$F:$F,"6:30AM-03:30PM",Shift_allowance_Entries!$B:$B,CPY!$B361)</f>
        <v>0</v>
      </c>
      <c r="P361" s="65">
        <f>SUMIFS(Shift_allowance_Entries!$G:$G,Shift_allowance_Entries!$F:$F,"1-9PM/2:30PM-11:30PM",Shift_allowance_Entries!$B:$B,CPY!$B361)</f>
        <v>0</v>
      </c>
      <c r="Q361" s="65">
        <f>SUMIFS(Shift_allowance_Entries!$G:$G,Shift_allowance_Entries!$F:$F,"11PM-7AM",Shift_allowance_Entries!$B:$B,CPY!$B361)</f>
        <v>0</v>
      </c>
      <c r="R361" s="63">
        <f>(CPY!O361*MD!$F$4)+(CPY!P361*MD!$F$5)+(CPY!Q361*MD!$F$6)</f>
        <v>0</v>
      </c>
      <c r="T361" s="64">
        <f>ROUNDUP((SUMIFS('OOH Activities'!$K:$K,'OOH Activities'!$F:$F,"Non_workdays",'OOH Activities'!$B:$B,CPY!B361)) *24,1)</f>
        <v>0</v>
      </c>
      <c r="U361" s="64">
        <f>ROUNDUP((SUMIFS('OOH Activities'!$K:$K,'OOH Activities'!$F:$F,"Workdays",'OOH Activities'!$B:$B,CPY!B361)) *24,1)</f>
        <v>0</v>
      </c>
      <c r="V361" s="63">
        <f>ROUNDUP((SUMIFS('OOH Activities'!$L:$L,'OOH Activities'!$B:$B,CPY!B361)),1)</f>
        <v>0</v>
      </c>
      <c r="X361" s="65">
        <f>ROUNDUP((SUMIFS('ON Call_Call Out Activities'!$L:$L,'ON Call_Call Out Activities'!$F:$F,"Workdays",'ON Call_Call Out Activities'!$B:$B,CPY!B361))*24,1)</f>
        <v>0</v>
      </c>
      <c r="Y361" s="64">
        <f>ROUNDUP((SUMIFS('ON Call_Call Out Activities'!$L:$L,'ON Call_Call Out Activities'!$F:$F,"Non_workdays",'ON Call_Call Out Activities'!$B:$B,CPY!B361)) *24,1)</f>
        <v>0</v>
      </c>
      <c r="Z361" s="63">
        <f>ROUNDUP((SUMIFS('ON Call_Call Out Activities'!$M:$M,'ON Call_Call Out Activities'!$F:$F,"Non_workdays",'ON Call_Call Out Activities'!$B:$B,CPY!B361)),1) + ROUNDUP((SUMIFS('ON Call_Call Out Activities'!$M:$M,'ON Call_Call Out Activities'!$F:$F,"Workdays",'ON Call_Call Out Activities'!$B:$B,CPY!B361)),1)</f>
        <v>0</v>
      </c>
      <c r="AA361" s="66"/>
      <c r="AB361" s="64">
        <f>ROUNDUP((SUMIFS('ON Call_Call Out Activities'!$L:$L,'ON Call_Call Out Activities'!$F:$F,"Call_Out",'ON Call_Call Out Activities'!$B:$B,CPY!B361)) *24,1)</f>
        <v>0</v>
      </c>
      <c r="AC361" s="63">
        <f>ROUNDUP((SUMIFS('ON Call_Call Out Activities'!$M:$M,'ON Call_Call Out Activities'!$F:$F,"Call_Out",'ON Call_Call Out Activities'!$B:$B,CPY!B361)),1)</f>
        <v>0</v>
      </c>
      <c r="AE361" s="65">
        <f>IF((SUMIF(Shift_allowance_Entries!$B:$B,CPY!$B361,Shift_allowance_Entries!$H:$H)) &gt; (SUMIF(Shift_allowance_Entries!$B:$B,CPY!$B361,Shift_allowance_Entries!$G:$G)),0,((SUMIF(Shift_allowance_Entries!$B:$B,CPY!$B361,Shift_allowance_Entries!$G:$G))-(SUMIF(Shift_allowance_Entries!$B:$B,CPY!$B361,Shift_allowance_Entries!$H:$H))))</f>
        <v>0</v>
      </c>
      <c r="AF361" s="63">
        <f>AE361*MD!$S$4</f>
        <v>0</v>
      </c>
    </row>
    <row r="362" spans="1:32" x14ac:dyDescent="0.25">
      <c r="A362" s="62">
        <v>360</v>
      </c>
      <c r="B362" s="62"/>
      <c r="C362" s="50" t="str">
        <f>IF(ISNA(VLOOKUP($B362,Summary!$B:$D,2,FALSE))=TRUE," ",VLOOKUP($B362,Summary!$B:$D,2,FALSE))</f>
        <v> </v>
      </c>
      <c r="D362" s="50" t="str">
        <f>IF(ISNA(VLOOKUP($B362,Summary!$B:$D,3,FALSE))=TRUE," ",VLOOKUP($B362,Summary!$B:$D,3,FALSE))</f>
        <v> </v>
      </c>
      <c r="E362" s="62"/>
      <c r="F362" s="62"/>
      <c r="G362" s="62"/>
      <c r="I362" s="63">
        <f t="shared" si="5"/>
        <v>0</v>
      </c>
      <c r="K362" s="64">
        <f>IF(E362="Support(L1_L2)",IF(NOT(ISBLANK(B362)),IF(NOT(ISBLANK(D362)),NETWORKDAYS('CPY TOC'!$F$5,'CPY TOC'!$G$5))))-L362</f>
        <v>0</v>
      </c>
      <c r="L362" s="64">
        <f>IF(E362="Support(L1_L2)",SUMIFS(Support_allowance_Entries!$G:$G,Support_allowance_Entries!$B:$B,CPY!B362),0)</f>
        <v>0</v>
      </c>
      <c r="M362" s="63" t="b">
        <f>IF($D362="D0",MD!$C$4*(K362),IF($D362="D1",MD!$C$5*(K362),IF($D362="D2",MD!$C$6*(K362),IF($D362="D3",MD!$C$7*(K362),IF($D362="D4",MD!$C$8*(K362),IF($D362="D5",MD!$C$9*(K362),IF($D362="M1",MD!$C$10*(K362),IF($D362="T1",MD!$C$11*(K362)))))))))</f>
        <v>0</v>
      </c>
      <c r="O362" s="65">
        <f>SUMIFS(Shift_allowance_Entries!$G:$G,Shift_allowance_Entries!$F:$F,"6:30AM-03:30PM",Shift_allowance_Entries!$B:$B,CPY!$B362)</f>
        <v>0</v>
      </c>
      <c r="P362" s="65">
        <f>SUMIFS(Shift_allowance_Entries!$G:$G,Shift_allowance_Entries!$F:$F,"1-9PM/2:30PM-11:30PM",Shift_allowance_Entries!$B:$B,CPY!$B362)</f>
        <v>0</v>
      </c>
      <c r="Q362" s="65">
        <f>SUMIFS(Shift_allowance_Entries!$G:$G,Shift_allowance_Entries!$F:$F,"11PM-7AM",Shift_allowance_Entries!$B:$B,CPY!$B362)</f>
        <v>0</v>
      </c>
      <c r="R362" s="63">
        <f>(CPY!O362*MD!$F$4)+(CPY!P362*MD!$F$5)+(CPY!Q362*MD!$F$6)</f>
        <v>0</v>
      </c>
      <c r="T362" s="64">
        <f>ROUNDUP((SUMIFS('OOH Activities'!$K:$K,'OOH Activities'!$F:$F,"Non_workdays",'OOH Activities'!$B:$B,CPY!B362)) *24,1)</f>
        <v>0</v>
      </c>
      <c r="U362" s="64">
        <f>ROUNDUP((SUMIFS('OOH Activities'!$K:$K,'OOH Activities'!$F:$F,"Workdays",'OOH Activities'!$B:$B,CPY!B362)) *24,1)</f>
        <v>0</v>
      </c>
      <c r="V362" s="63">
        <f>ROUNDUP((SUMIFS('OOH Activities'!$L:$L,'OOH Activities'!$B:$B,CPY!B362)),1)</f>
        <v>0</v>
      </c>
      <c r="X362" s="65">
        <f>ROUNDUP((SUMIFS('ON Call_Call Out Activities'!$L:$L,'ON Call_Call Out Activities'!$F:$F,"Workdays",'ON Call_Call Out Activities'!$B:$B,CPY!B362))*24,1)</f>
        <v>0</v>
      </c>
      <c r="Y362" s="64">
        <f>ROUNDUP((SUMIFS('ON Call_Call Out Activities'!$L:$L,'ON Call_Call Out Activities'!$F:$F,"Non_workdays",'ON Call_Call Out Activities'!$B:$B,CPY!B362)) *24,1)</f>
        <v>0</v>
      </c>
      <c r="Z362" s="63">
        <f>ROUNDUP((SUMIFS('ON Call_Call Out Activities'!$M:$M,'ON Call_Call Out Activities'!$F:$F,"Non_workdays",'ON Call_Call Out Activities'!$B:$B,CPY!B362)),1) + ROUNDUP((SUMIFS('ON Call_Call Out Activities'!$M:$M,'ON Call_Call Out Activities'!$F:$F,"Workdays",'ON Call_Call Out Activities'!$B:$B,CPY!B362)),1)</f>
        <v>0</v>
      </c>
      <c r="AA362" s="66"/>
      <c r="AB362" s="64">
        <f>ROUNDUP((SUMIFS('ON Call_Call Out Activities'!$L:$L,'ON Call_Call Out Activities'!$F:$F,"Call_Out",'ON Call_Call Out Activities'!$B:$B,CPY!B362)) *24,1)</f>
        <v>0</v>
      </c>
      <c r="AC362" s="63">
        <f>ROUNDUP((SUMIFS('ON Call_Call Out Activities'!$M:$M,'ON Call_Call Out Activities'!$F:$F,"Call_Out",'ON Call_Call Out Activities'!$B:$B,CPY!B362)),1)</f>
        <v>0</v>
      </c>
      <c r="AE362" s="65">
        <f>IF((SUMIF(Shift_allowance_Entries!$B:$B,CPY!$B362,Shift_allowance_Entries!$H:$H)) &gt; (SUMIF(Shift_allowance_Entries!$B:$B,CPY!$B362,Shift_allowance_Entries!$G:$G)),0,((SUMIF(Shift_allowance_Entries!$B:$B,CPY!$B362,Shift_allowance_Entries!$G:$G))-(SUMIF(Shift_allowance_Entries!$B:$B,CPY!$B362,Shift_allowance_Entries!$H:$H))))</f>
        <v>0</v>
      </c>
      <c r="AF362" s="63">
        <f>AE362*MD!$S$4</f>
        <v>0</v>
      </c>
    </row>
    <row r="363" spans="1:32" x14ac:dyDescent="0.25">
      <c r="A363" s="62">
        <v>361</v>
      </c>
      <c r="B363" s="62"/>
      <c r="C363" s="50" t="str">
        <f>IF(ISNA(VLOOKUP($B363,Summary!$B:$D,2,FALSE))=TRUE," ",VLOOKUP($B363,Summary!$B:$D,2,FALSE))</f>
        <v> </v>
      </c>
      <c r="D363" s="50" t="str">
        <f>IF(ISNA(VLOOKUP($B363,Summary!$B:$D,3,FALSE))=TRUE," ",VLOOKUP($B363,Summary!$B:$D,3,FALSE))</f>
        <v> </v>
      </c>
      <c r="E363" s="62"/>
      <c r="F363" s="62"/>
      <c r="G363" s="62"/>
      <c r="I363" s="63">
        <f t="shared" si="5"/>
        <v>0</v>
      </c>
      <c r="K363" s="64">
        <f>IF(E363="Support(L1_L2)",IF(NOT(ISBLANK(B363)),IF(NOT(ISBLANK(D363)),NETWORKDAYS('CPY TOC'!$F$5,'CPY TOC'!$G$5))))-L363</f>
        <v>0</v>
      </c>
      <c r="L363" s="64">
        <f>IF(E363="Support(L1_L2)",SUMIFS(Support_allowance_Entries!$G:$G,Support_allowance_Entries!$B:$B,CPY!B363),0)</f>
        <v>0</v>
      </c>
      <c r="M363" s="63" t="b">
        <f>IF($D363="D0",MD!$C$4*(K363),IF($D363="D1",MD!$C$5*(K363),IF($D363="D2",MD!$C$6*(K363),IF($D363="D3",MD!$C$7*(K363),IF($D363="D4",MD!$C$8*(K363),IF($D363="D5",MD!$C$9*(K363),IF($D363="M1",MD!$C$10*(K363),IF($D363="T1",MD!$C$11*(K363)))))))))</f>
        <v>0</v>
      </c>
      <c r="O363" s="65">
        <f>SUMIFS(Shift_allowance_Entries!$G:$G,Shift_allowance_Entries!$F:$F,"6:30AM-03:30PM",Shift_allowance_Entries!$B:$B,CPY!$B363)</f>
        <v>0</v>
      </c>
      <c r="P363" s="65">
        <f>SUMIFS(Shift_allowance_Entries!$G:$G,Shift_allowance_Entries!$F:$F,"1-9PM/2:30PM-11:30PM",Shift_allowance_Entries!$B:$B,CPY!$B363)</f>
        <v>0</v>
      </c>
      <c r="Q363" s="65">
        <f>SUMIFS(Shift_allowance_Entries!$G:$G,Shift_allowance_Entries!$F:$F,"11PM-7AM",Shift_allowance_Entries!$B:$B,CPY!$B363)</f>
        <v>0</v>
      </c>
      <c r="R363" s="63">
        <f>(CPY!O363*MD!$F$4)+(CPY!P363*MD!$F$5)+(CPY!Q363*MD!$F$6)</f>
        <v>0</v>
      </c>
      <c r="T363" s="64">
        <f>ROUNDUP((SUMIFS('OOH Activities'!$K:$K,'OOH Activities'!$F:$F,"Non_workdays",'OOH Activities'!$B:$B,CPY!B363)) *24,1)</f>
        <v>0</v>
      </c>
      <c r="U363" s="64">
        <f>ROUNDUP((SUMIFS('OOH Activities'!$K:$K,'OOH Activities'!$F:$F,"Workdays",'OOH Activities'!$B:$B,CPY!B363)) *24,1)</f>
        <v>0</v>
      </c>
      <c r="V363" s="63">
        <f>ROUNDUP((SUMIFS('OOH Activities'!$L:$L,'OOH Activities'!$B:$B,CPY!B363)),1)</f>
        <v>0</v>
      </c>
      <c r="X363" s="65">
        <f>ROUNDUP((SUMIFS('ON Call_Call Out Activities'!$L:$L,'ON Call_Call Out Activities'!$F:$F,"Workdays",'ON Call_Call Out Activities'!$B:$B,CPY!B363))*24,1)</f>
        <v>0</v>
      </c>
      <c r="Y363" s="64">
        <f>ROUNDUP((SUMIFS('ON Call_Call Out Activities'!$L:$L,'ON Call_Call Out Activities'!$F:$F,"Non_workdays",'ON Call_Call Out Activities'!$B:$B,CPY!B363)) *24,1)</f>
        <v>0</v>
      </c>
      <c r="Z363" s="63">
        <f>ROUNDUP((SUMIFS('ON Call_Call Out Activities'!$M:$M,'ON Call_Call Out Activities'!$F:$F,"Non_workdays",'ON Call_Call Out Activities'!$B:$B,CPY!B363)),1) + ROUNDUP((SUMIFS('ON Call_Call Out Activities'!$M:$M,'ON Call_Call Out Activities'!$F:$F,"Workdays",'ON Call_Call Out Activities'!$B:$B,CPY!B363)),1)</f>
        <v>0</v>
      </c>
      <c r="AA363" s="66"/>
      <c r="AB363" s="64">
        <f>ROUNDUP((SUMIFS('ON Call_Call Out Activities'!$L:$L,'ON Call_Call Out Activities'!$F:$F,"Call_Out",'ON Call_Call Out Activities'!$B:$B,CPY!B363)) *24,1)</f>
        <v>0</v>
      </c>
      <c r="AC363" s="63">
        <f>ROUNDUP((SUMIFS('ON Call_Call Out Activities'!$M:$M,'ON Call_Call Out Activities'!$F:$F,"Call_Out",'ON Call_Call Out Activities'!$B:$B,CPY!B363)),1)</f>
        <v>0</v>
      </c>
      <c r="AE363" s="65">
        <f>IF((SUMIF(Shift_allowance_Entries!$B:$B,CPY!$B363,Shift_allowance_Entries!$H:$H)) &gt; (SUMIF(Shift_allowance_Entries!$B:$B,CPY!$B363,Shift_allowance_Entries!$G:$G)),0,((SUMIF(Shift_allowance_Entries!$B:$B,CPY!$B363,Shift_allowance_Entries!$G:$G))-(SUMIF(Shift_allowance_Entries!$B:$B,CPY!$B363,Shift_allowance_Entries!$H:$H))))</f>
        <v>0</v>
      </c>
      <c r="AF363" s="63">
        <f>AE363*MD!$S$4</f>
        <v>0</v>
      </c>
    </row>
    <row r="364" spans="1:32" x14ac:dyDescent="0.25">
      <c r="A364" s="62">
        <v>362</v>
      </c>
      <c r="B364" s="62"/>
      <c r="C364" s="50" t="str">
        <f>IF(ISNA(VLOOKUP($B364,Summary!$B:$D,2,FALSE))=TRUE," ",VLOOKUP($B364,Summary!$B:$D,2,FALSE))</f>
        <v> </v>
      </c>
      <c r="D364" s="50" t="str">
        <f>IF(ISNA(VLOOKUP($B364,Summary!$B:$D,3,FALSE))=TRUE," ",VLOOKUP($B364,Summary!$B:$D,3,FALSE))</f>
        <v> </v>
      </c>
      <c r="E364" s="62"/>
      <c r="F364" s="62"/>
      <c r="G364" s="62"/>
      <c r="I364" s="63">
        <f t="shared" si="5"/>
        <v>0</v>
      </c>
      <c r="K364" s="64">
        <f>IF(E364="Support(L1_L2)",IF(NOT(ISBLANK(B364)),IF(NOT(ISBLANK(D364)),NETWORKDAYS('CPY TOC'!$F$5,'CPY TOC'!$G$5))))-L364</f>
        <v>0</v>
      </c>
      <c r="L364" s="64">
        <f>IF(E364="Support(L1_L2)",SUMIFS(Support_allowance_Entries!$G:$G,Support_allowance_Entries!$B:$B,CPY!B364),0)</f>
        <v>0</v>
      </c>
      <c r="M364" s="63" t="b">
        <f>IF($D364="D0",MD!$C$4*(K364),IF($D364="D1",MD!$C$5*(K364),IF($D364="D2",MD!$C$6*(K364),IF($D364="D3",MD!$C$7*(K364),IF($D364="D4",MD!$C$8*(K364),IF($D364="D5",MD!$C$9*(K364),IF($D364="M1",MD!$C$10*(K364),IF($D364="T1",MD!$C$11*(K364)))))))))</f>
        <v>0</v>
      </c>
      <c r="O364" s="65">
        <f>SUMIFS(Shift_allowance_Entries!$G:$G,Shift_allowance_Entries!$F:$F,"6:30AM-03:30PM",Shift_allowance_Entries!$B:$B,CPY!$B364)</f>
        <v>0</v>
      </c>
      <c r="P364" s="65">
        <f>SUMIFS(Shift_allowance_Entries!$G:$G,Shift_allowance_Entries!$F:$F,"1-9PM/2:30PM-11:30PM",Shift_allowance_Entries!$B:$B,CPY!$B364)</f>
        <v>0</v>
      </c>
      <c r="Q364" s="65">
        <f>SUMIFS(Shift_allowance_Entries!$G:$G,Shift_allowance_Entries!$F:$F,"11PM-7AM",Shift_allowance_Entries!$B:$B,CPY!$B364)</f>
        <v>0</v>
      </c>
      <c r="R364" s="63">
        <f>(CPY!O364*MD!$F$4)+(CPY!P364*MD!$F$5)+(CPY!Q364*MD!$F$6)</f>
        <v>0</v>
      </c>
      <c r="T364" s="64">
        <f>ROUNDUP((SUMIFS('OOH Activities'!$K:$K,'OOH Activities'!$F:$F,"Non_workdays",'OOH Activities'!$B:$B,CPY!B364)) *24,1)</f>
        <v>0</v>
      </c>
      <c r="U364" s="64">
        <f>ROUNDUP((SUMIFS('OOH Activities'!$K:$K,'OOH Activities'!$F:$F,"Workdays",'OOH Activities'!$B:$B,CPY!B364)) *24,1)</f>
        <v>0</v>
      </c>
      <c r="V364" s="63">
        <f>ROUNDUP((SUMIFS('OOH Activities'!$L:$L,'OOH Activities'!$B:$B,CPY!B364)),1)</f>
        <v>0</v>
      </c>
      <c r="X364" s="65">
        <f>ROUNDUP((SUMIFS('ON Call_Call Out Activities'!$L:$L,'ON Call_Call Out Activities'!$F:$F,"Workdays",'ON Call_Call Out Activities'!$B:$B,CPY!B364))*24,1)</f>
        <v>0</v>
      </c>
      <c r="Y364" s="64">
        <f>ROUNDUP((SUMIFS('ON Call_Call Out Activities'!$L:$L,'ON Call_Call Out Activities'!$F:$F,"Non_workdays",'ON Call_Call Out Activities'!$B:$B,CPY!B364)) *24,1)</f>
        <v>0</v>
      </c>
      <c r="Z364" s="63">
        <f>ROUNDUP((SUMIFS('ON Call_Call Out Activities'!$M:$M,'ON Call_Call Out Activities'!$F:$F,"Non_workdays",'ON Call_Call Out Activities'!$B:$B,CPY!B364)),1) + ROUNDUP((SUMIFS('ON Call_Call Out Activities'!$M:$M,'ON Call_Call Out Activities'!$F:$F,"Workdays",'ON Call_Call Out Activities'!$B:$B,CPY!B364)),1)</f>
        <v>0</v>
      </c>
      <c r="AA364" s="66"/>
      <c r="AB364" s="64">
        <f>ROUNDUP((SUMIFS('ON Call_Call Out Activities'!$L:$L,'ON Call_Call Out Activities'!$F:$F,"Call_Out",'ON Call_Call Out Activities'!$B:$B,CPY!B364)) *24,1)</f>
        <v>0</v>
      </c>
      <c r="AC364" s="63">
        <f>ROUNDUP((SUMIFS('ON Call_Call Out Activities'!$M:$M,'ON Call_Call Out Activities'!$F:$F,"Call_Out",'ON Call_Call Out Activities'!$B:$B,CPY!B364)),1)</f>
        <v>0</v>
      </c>
      <c r="AE364" s="65">
        <f>IF((SUMIF(Shift_allowance_Entries!$B:$B,CPY!$B364,Shift_allowance_Entries!$H:$H)) &gt; (SUMIF(Shift_allowance_Entries!$B:$B,CPY!$B364,Shift_allowance_Entries!$G:$G)),0,((SUMIF(Shift_allowance_Entries!$B:$B,CPY!$B364,Shift_allowance_Entries!$G:$G))-(SUMIF(Shift_allowance_Entries!$B:$B,CPY!$B364,Shift_allowance_Entries!$H:$H))))</f>
        <v>0</v>
      </c>
      <c r="AF364" s="63">
        <f>AE364*MD!$S$4</f>
        <v>0</v>
      </c>
    </row>
    <row r="365" spans="1:32" x14ac:dyDescent="0.25">
      <c r="A365" s="62">
        <v>363</v>
      </c>
      <c r="B365" s="62"/>
      <c r="C365" s="50" t="str">
        <f>IF(ISNA(VLOOKUP($B365,Summary!$B:$D,2,FALSE))=TRUE," ",VLOOKUP($B365,Summary!$B:$D,2,FALSE))</f>
        <v> </v>
      </c>
      <c r="D365" s="50" t="str">
        <f>IF(ISNA(VLOOKUP($B365,Summary!$B:$D,3,FALSE))=TRUE," ",VLOOKUP($B365,Summary!$B:$D,3,FALSE))</f>
        <v> </v>
      </c>
      <c r="E365" s="62"/>
      <c r="F365" s="62"/>
      <c r="G365" s="62"/>
      <c r="I365" s="63">
        <f t="shared" si="5"/>
        <v>0</v>
      </c>
      <c r="K365" s="64">
        <f>IF(E365="Support(L1_L2)",IF(NOT(ISBLANK(B365)),IF(NOT(ISBLANK(D365)),NETWORKDAYS('CPY TOC'!$F$5,'CPY TOC'!$G$5))))-L365</f>
        <v>0</v>
      </c>
      <c r="L365" s="64">
        <f>IF(E365="Support(L1_L2)",SUMIFS(Support_allowance_Entries!$G:$G,Support_allowance_Entries!$B:$B,CPY!B365),0)</f>
        <v>0</v>
      </c>
      <c r="M365" s="63" t="b">
        <f>IF($D365="D0",MD!$C$4*(K365),IF($D365="D1",MD!$C$5*(K365),IF($D365="D2",MD!$C$6*(K365),IF($D365="D3",MD!$C$7*(K365),IF($D365="D4",MD!$C$8*(K365),IF($D365="D5",MD!$C$9*(K365),IF($D365="M1",MD!$C$10*(K365),IF($D365="T1",MD!$C$11*(K365)))))))))</f>
        <v>0</v>
      </c>
      <c r="O365" s="65">
        <f>SUMIFS(Shift_allowance_Entries!$G:$G,Shift_allowance_Entries!$F:$F,"6:30AM-03:30PM",Shift_allowance_Entries!$B:$B,CPY!$B365)</f>
        <v>0</v>
      </c>
      <c r="P365" s="65">
        <f>SUMIFS(Shift_allowance_Entries!$G:$G,Shift_allowance_Entries!$F:$F,"1-9PM/2:30PM-11:30PM",Shift_allowance_Entries!$B:$B,CPY!$B365)</f>
        <v>0</v>
      </c>
      <c r="Q365" s="65">
        <f>SUMIFS(Shift_allowance_Entries!$G:$G,Shift_allowance_Entries!$F:$F,"11PM-7AM",Shift_allowance_Entries!$B:$B,CPY!$B365)</f>
        <v>0</v>
      </c>
      <c r="R365" s="63">
        <f>(CPY!O365*MD!$F$4)+(CPY!P365*MD!$F$5)+(CPY!Q365*MD!$F$6)</f>
        <v>0</v>
      </c>
      <c r="T365" s="64">
        <f>ROUNDUP((SUMIFS('OOH Activities'!$K:$K,'OOH Activities'!$F:$F,"Non_workdays",'OOH Activities'!$B:$B,CPY!B365)) *24,1)</f>
        <v>0</v>
      </c>
      <c r="U365" s="64">
        <f>ROUNDUP((SUMIFS('OOH Activities'!$K:$K,'OOH Activities'!$F:$F,"Workdays",'OOH Activities'!$B:$B,CPY!B365)) *24,1)</f>
        <v>0</v>
      </c>
      <c r="V365" s="63">
        <f>ROUNDUP((SUMIFS('OOH Activities'!$L:$L,'OOH Activities'!$B:$B,CPY!B365)),1)</f>
        <v>0</v>
      </c>
      <c r="X365" s="65">
        <f>ROUNDUP((SUMIFS('ON Call_Call Out Activities'!$L:$L,'ON Call_Call Out Activities'!$F:$F,"Workdays",'ON Call_Call Out Activities'!$B:$B,CPY!B365))*24,1)</f>
        <v>0</v>
      </c>
      <c r="Y365" s="64">
        <f>ROUNDUP((SUMIFS('ON Call_Call Out Activities'!$L:$L,'ON Call_Call Out Activities'!$F:$F,"Non_workdays",'ON Call_Call Out Activities'!$B:$B,CPY!B365)) *24,1)</f>
        <v>0</v>
      </c>
      <c r="Z365" s="63">
        <f>ROUNDUP((SUMIFS('ON Call_Call Out Activities'!$M:$M,'ON Call_Call Out Activities'!$F:$F,"Non_workdays",'ON Call_Call Out Activities'!$B:$B,CPY!B365)),1) + ROUNDUP((SUMIFS('ON Call_Call Out Activities'!$M:$M,'ON Call_Call Out Activities'!$F:$F,"Workdays",'ON Call_Call Out Activities'!$B:$B,CPY!B365)),1)</f>
        <v>0</v>
      </c>
      <c r="AA365" s="66"/>
      <c r="AB365" s="64">
        <f>ROUNDUP((SUMIFS('ON Call_Call Out Activities'!$L:$L,'ON Call_Call Out Activities'!$F:$F,"Call_Out",'ON Call_Call Out Activities'!$B:$B,CPY!B365)) *24,1)</f>
        <v>0</v>
      </c>
      <c r="AC365" s="63">
        <f>ROUNDUP((SUMIFS('ON Call_Call Out Activities'!$M:$M,'ON Call_Call Out Activities'!$F:$F,"Call_Out",'ON Call_Call Out Activities'!$B:$B,CPY!B365)),1)</f>
        <v>0</v>
      </c>
      <c r="AE365" s="65">
        <f>IF((SUMIF(Shift_allowance_Entries!$B:$B,CPY!$B365,Shift_allowance_Entries!$H:$H)) &gt; (SUMIF(Shift_allowance_Entries!$B:$B,CPY!$B365,Shift_allowance_Entries!$G:$G)),0,((SUMIF(Shift_allowance_Entries!$B:$B,CPY!$B365,Shift_allowance_Entries!$G:$G))-(SUMIF(Shift_allowance_Entries!$B:$B,CPY!$B365,Shift_allowance_Entries!$H:$H))))</f>
        <v>0</v>
      </c>
      <c r="AF365" s="63">
        <f>AE365*MD!$S$4</f>
        <v>0</v>
      </c>
    </row>
    <row r="366" spans="1:32" x14ac:dyDescent="0.25">
      <c r="A366" s="62">
        <v>364</v>
      </c>
      <c r="B366" s="62"/>
      <c r="C366" s="50" t="str">
        <f>IF(ISNA(VLOOKUP($B366,Summary!$B:$D,2,FALSE))=TRUE," ",VLOOKUP($B366,Summary!$B:$D,2,FALSE))</f>
        <v> </v>
      </c>
      <c r="D366" s="50" t="str">
        <f>IF(ISNA(VLOOKUP($B366,Summary!$B:$D,3,FALSE))=TRUE," ",VLOOKUP($B366,Summary!$B:$D,3,FALSE))</f>
        <v> </v>
      </c>
      <c r="E366" s="62"/>
      <c r="F366" s="62"/>
      <c r="G366" s="62"/>
      <c r="I366" s="63">
        <f t="shared" si="5"/>
        <v>0</v>
      </c>
      <c r="K366" s="64">
        <f>IF(E366="Support(L1_L2)",IF(NOT(ISBLANK(B366)),IF(NOT(ISBLANK(D366)),NETWORKDAYS('CPY TOC'!$F$5,'CPY TOC'!$G$5))))-L366</f>
        <v>0</v>
      </c>
      <c r="L366" s="64">
        <f>IF(E366="Support(L1_L2)",SUMIFS(Support_allowance_Entries!$G:$G,Support_allowance_Entries!$B:$B,CPY!B366),0)</f>
        <v>0</v>
      </c>
      <c r="M366" s="63" t="b">
        <f>IF($D366="D0",MD!$C$4*(K366),IF($D366="D1",MD!$C$5*(K366),IF($D366="D2",MD!$C$6*(K366),IF($D366="D3",MD!$C$7*(K366),IF($D366="D4",MD!$C$8*(K366),IF($D366="D5",MD!$C$9*(K366),IF($D366="M1",MD!$C$10*(K366),IF($D366="T1",MD!$C$11*(K366)))))))))</f>
        <v>0</v>
      </c>
      <c r="O366" s="65">
        <f>SUMIFS(Shift_allowance_Entries!$G:$G,Shift_allowance_Entries!$F:$F,"6:30AM-03:30PM",Shift_allowance_Entries!$B:$B,CPY!$B366)</f>
        <v>0</v>
      </c>
      <c r="P366" s="65">
        <f>SUMIFS(Shift_allowance_Entries!$G:$G,Shift_allowance_Entries!$F:$F,"1-9PM/2:30PM-11:30PM",Shift_allowance_Entries!$B:$B,CPY!$B366)</f>
        <v>0</v>
      </c>
      <c r="Q366" s="65">
        <f>SUMIFS(Shift_allowance_Entries!$G:$G,Shift_allowance_Entries!$F:$F,"11PM-7AM",Shift_allowance_Entries!$B:$B,CPY!$B366)</f>
        <v>0</v>
      </c>
      <c r="R366" s="63">
        <f>(CPY!O366*MD!$F$4)+(CPY!P366*MD!$F$5)+(CPY!Q366*MD!$F$6)</f>
        <v>0</v>
      </c>
      <c r="T366" s="64">
        <f>ROUNDUP((SUMIFS('OOH Activities'!$K:$K,'OOH Activities'!$F:$F,"Non_workdays",'OOH Activities'!$B:$B,CPY!B366)) *24,1)</f>
        <v>0</v>
      </c>
      <c r="U366" s="64">
        <f>ROUNDUP((SUMIFS('OOH Activities'!$K:$K,'OOH Activities'!$F:$F,"Workdays",'OOH Activities'!$B:$B,CPY!B366)) *24,1)</f>
        <v>0</v>
      </c>
      <c r="V366" s="63">
        <f>ROUNDUP((SUMIFS('OOH Activities'!$L:$L,'OOH Activities'!$B:$B,CPY!B366)),1)</f>
        <v>0</v>
      </c>
      <c r="X366" s="65">
        <f>ROUNDUP((SUMIFS('ON Call_Call Out Activities'!$L:$L,'ON Call_Call Out Activities'!$F:$F,"Workdays",'ON Call_Call Out Activities'!$B:$B,CPY!B366))*24,1)</f>
        <v>0</v>
      </c>
      <c r="Y366" s="64">
        <f>ROUNDUP((SUMIFS('ON Call_Call Out Activities'!$L:$L,'ON Call_Call Out Activities'!$F:$F,"Non_workdays",'ON Call_Call Out Activities'!$B:$B,CPY!B366)) *24,1)</f>
        <v>0</v>
      </c>
      <c r="Z366" s="63">
        <f>ROUNDUP((SUMIFS('ON Call_Call Out Activities'!$M:$M,'ON Call_Call Out Activities'!$F:$F,"Non_workdays",'ON Call_Call Out Activities'!$B:$B,CPY!B366)),1) + ROUNDUP((SUMIFS('ON Call_Call Out Activities'!$M:$M,'ON Call_Call Out Activities'!$F:$F,"Workdays",'ON Call_Call Out Activities'!$B:$B,CPY!B366)),1)</f>
        <v>0</v>
      </c>
      <c r="AA366" s="66"/>
      <c r="AB366" s="64">
        <f>ROUNDUP((SUMIFS('ON Call_Call Out Activities'!$L:$L,'ON Call_Call Out Activities'!$F:$F,"Call_Out",'ON Call_Call Out Activities'!$B:$B,CPY!B366)) *24,1)</f>
        <v>0</v>
      </c>
      <c r="AC366" s="63">
        <f>ROUNDUP((SUMIFS('ON Call_Call Out Activities'!$M:$M,'ON Call_Call Out Activities'!$F:$F,"Call_Out",'ON Call_Call Out Activities'!$B:$B,CPY!B366)),1)</f>
        <v>0</v>
      </c>
      <c r="AE366" s="65">
        <f>IF((SUMIF(Shift_allowance_Entries!$B:$B,CPY!$B366,Shift_allowance_Entries!$H:$H)) &gt; (SUMIF(Shift_allowance_Entries!$B:$B,CPY!$B366,Shift_allowance_Entries!$G:$G)),0,((SUMIF(Shift_allowance_Entries!$B:$B,CPY!$B366,Shift_allowance_Entries!$G:$G))-(SUMIF(Shift_allowance_Entries!$B:$B,CPY!$B366,Shift_allowance_Entries!$H:$H))))</f>
        <v>0</v>
      </c>
      <c r="AF366" s="63">
        <f>AE366*MD!$S$4</f>
        <v>0</v>
      </c>
    </row>
    <row r="367" spans="1:32" x14ac:dyDescent="0.25">
      <c r="A367" s="62">
        <v>365</v>
      </c>
      <c r="B367" s="62"/>
      <c r="C367" s="50" t="str">
        <f>IF(ISNA(VLOOKUP($B367,Summary!$B:$D,2,FALSE))=TRUE," ",VLOOKUP($B367,Summary!$B:$D,2,FALSE))</f>
        <v> </v>
      </c>
      <c r="D367" s="50" t="str">
        <f>IF(ISNA(VLOOKUP($B367,Summary!$B:$D,3,FALSE))=TRUE," ",VLOOKUP($B367,Summary!$B:$D,3,FALSE))</f>
        <v> </v>
      </c>
      <c r="E367" s="62"/>
      <c r="F367" s="62"/>
      <c r="G367" s="62"/>
      <c r="I367" s="63">
        <f t="shared" si="5"/>
        <v>0</v>
      </c>
      <c r="K367" s="64">
        <f>IF(E367="Support(L1_L2)",IF(NOT(ISBLANK(B367)),IF(NOT(ISBLANK(D367)),NETWORKDAYS('CPY TOC'!$F$5,'CPY TOC'!$G$5))))-L367</f>
        <v>0</v>
      </c>
      <c r="L367" s="64">
        <f>IF(E367="Support(L1_L2)",SUMIFS(Support_allowance_Entries!$G:$G,Support_allowance_Entries!$B:$B,CPY!B367),0)</f>
        <v>0</v>
      </c>
      <c r="M367" s="63" t="b">
        <f>IF($D367="D0",MD!$C$4*(K367),IF($D367="D1",MD!$C$5*(K367),IF($D367="D2",MD!$C$6*(K367),IF($D367="D3",MD!$C$7*(K367),IF($D367="D4",MD!$C$8*(K367),IF($D367="D5",MD!$C$9*(K367),IF($D367="M1",MD!$C$10*(K367),IF($D367="T1",MD!$C$11*(K367)))))))))</f>
        <v>0</v>
      </c>
      <c r="O367" s="65">
        <f>SUMIFS(Shift_allowance_Entries!$G:$G,Shift_allowance_Entries!$F:$F,"6:30AM-03:30PM",Shift_allowance_Entries!$B:$B,CPY!$B367)</f>
        <v>0</v>
      </c>
      <c r="P367" s="65">
        <f>SUMIFS(Shift_allowance_Entries!$G:$G,Shift_allowance_Entries!$F:$F,"1-9PM/2:30PM-11:30PM",Shift_allowance_Entries!$B:$B,CPY!$B367)</f>
        <v>0</v>
      </c>
      <c r="Q367" s="65">
        <f>SUMIFS(Shift_allowance_Entries!$G:$G,Shift_allowance_Entries!$F:$F,"11PM-7AM",Shift_allowance_Entries!$B:$B,CPY!$B367)</f>
        <v>0</v>
      </c>
      <c r="R367" s="63">
        <f>(CPY!O367*MD!$F$4)+(CPY!P367*MD!$F$5)+(CPY!Q367*MD!$F$6)</f>
        <v>0</v>
      </c>
      <c r="T367" s="64">
        <f>ROUNDUP((SUMIFS('OOH Activities'!$K:$K,'OOH Activities'!$F:$F,"Non_workdays",'OOH Activities'!$B:$B,CPY!B367)) *24,1)</f>
        <v>0</v>
      </c>
      <c r="U367" s="64">
        <f>ROUNDUP((SUMIFS('OOH Activities'!$K:$K,'OOH Activities'!$F:$F,"Workdays",'OOH Activities'!$B:$B,CPY!B367)) *24,1)</f>
        <v>0</v>
      </c>
      <c r="V367" s="63">
        <f>ROUNDUP((SUMIFS('OOH Activities'!$L:$L,'OOH Activities'!$B:$B,CPY!B367)),1)</f>
        <v>0</v>
      </c>
      <c r="X367" s="65">
        <f>ROUNDUP((SUMIFS('ON Call_Call Out Activities'!$L:$L,'ON Call_Call Out Activities'!$F:$F,"Workdays",'ON Call_Call Out Activities'!$B:$B,CPY!B367))*24,1)</f>
        <v>0</v>
      </c>
      <c r="Y367" s="64">
        <f>ROUNDUP((SUMIFS('ON Call_Call Out Activities'!$L:$L,'ON Call_Call Out Activities'!$F:$F,"Non_workdays",'ON Call_Call Out Activities'!$B:$B,CPY!B367)) *24,1)</f>
        <v>0</v>
      </c>
      <c r="Z367" s="63">
        <f>ROUNDUP((SUMIFS('ON Call_Call Out Activities'!$M:$M,'ON Call_Call Out Activities'!$F:$F,"Non_workdays",'ON Call_Call Out Activities'!$B:$B,CPY!B367)),1) + ROUNDUP((SUMIFS('ON Call_Call Out Activities'!$M:$M,'ON Call_Call Out Activities'!$F:$F,"Workdays",'ON Call_Call Out Activities'!$B:$B,CPY!B367)),1)</f>
        <v>0</v>
      </c>
      <c r="AA367" s="66"/>
      <c r="AB367" s="64">
        <f>ROUNDUP((SUMIFS('ON Call_Call Out Activities'!$L:$L,'ON Call_Call Out Activities'!$F:$F,"Call_Out",'ON Call_Call Out Activities'!$B:$B,CPY!B367)) *24,1)</f>
        <v>0</v>
      </c>
      <c r="AC367" s="63">
        <f>ROUNDUP((SUMIFS('ON Call_Call Out Activities'!$M:$M,'ON Call_Call Out Activities'!$F:$F,"Call_Out",'ON Call_Call Out Activities'!$B:$B,CPY!B367)),1)</f>
        <v>0</v>
      </c>
      <c r="AE367" s="65">
        <f>IF((SUMIF(Shift_allowance_Entries!$B:$B,CPY!$B367,Shift_allowance_Entries!$H:$H)) &gt; (SUMIF(Shift_allowance_Entries!$B:$B,CPY!$B367,Shift_allowance_Entries!$G:$G)),0,((SUMIF(Shift_allowance_Entries!$B:$B,CPY!$B367,Shift_allowance_Entries!$G:$G))-(SUMIF(Shift_allowance_Entries!$B:$B,CPY!$B367,Shift_allowance_Entries!$H:$H))))</f>
        <v>0</v>
      </c>
      <c r="AF367" s="63">
        <f>AE367*MD!$S$4</f>
        <v>0</v>
      </c>
    </row>
    <row r="368" spans="1:32" x14ac:dyDescent="0.25">
      <c r="A368" s="62">
        <v>366</v>
      </c>
      <c r="B368" s="62"/>
      <c r="C368" s="50" t="str">
        <f>IF(ISNA(VLOOKUP($B368,Summary!$B:$D,2,FALSE))=TRUE," ",VLOOKUP($B368,Summary!$B:$D,2,FALSE))</f>
        <v> </v>
      </c>
      <c r="D368" s="50" t="str">
        <f>IF(ISNA(VLOOKUP($B368,Summary!$B:$D,3,FALSE))=TRUE," ",VLOOKUP($B368,Summary!$B:$D,3,FALSE))</f>
        <v> </v>
      </c>
      <c r="E368" s="62"/>
      <c r="F368" s="62"/>
      <c r="G368" s="62"/>
      <c r="I368" s="63">
        <f t="shared" si="5"/>
        <v>0</v>
      </c>
      <c r="K368" s="64">
        <f>IF(E368="Support(L1_L2)",IF(NOT(ISBLANK(B368)),IF(NOT(ISBLANK(D368)),NETWORKDAYS('CPY TOC'!$F$5,'CPY TOC'!$G$5))))-L368</f>
        <v>0</v>
      </c>
      <c r="L368" s="64">
        <f>IF(E368="Support(L1_L2)",SUMIFS(Support_allowance_Entries!$G:$G,Support_allowance_Entries!$B:$B,CPY!B368),0)</f>
        <v>0</v>
      </c>
      <c r="M368" s="63" t="b">
        <f>IF($D368="D0",MD!$C$4*(K368),IF($D368="D1",MD!$C$5*(K368),IF($D368="D2",MD!$C$6*(K368),IF($D368="D3",MD!$C$7*(K368),IF($D368="D4",MD!$C$8*(K368),IF($D368="D5",MD!$C$9*(K368),IF($D368="M1",MD!$C$10*(K368),IF($D368="T1",MD!$C$11*(K368)))))))))</f>
        <v>0</v>
      </c>
      <c r="O368" s="65">
        <f>SUMIFS(Shift_allowance_Entries!$G:$G,Shift_allowance_Entries!$F:$F,"6:30AM-03:30PM",Shift_allowance_Entries!$B:$B,CPY!$B368)</f>
        <v>0</v>
      </c>
      <c r="P368" s="65">
        <f>SUMIFS(Shift_allowance_Entries!$G:$G,Shift_allowance_Entries!$F:$F,"1-9PM/2:30PM-11:30PM",Shift_allowance_Entries!$B:$B,CPY!$B368)</f>
        <v>0</v>
      </c>
      <c r="Q368" s="65">
        <f>SUMIFS(Shift_allowance_Entries!$G:$G,Shift_allowance_Entries!$F:$F,"11PM-7AM",Shift_allowance_Entries!$B:$B,CPY!$B368)</f>
        <v>0</v>
      </c>
      <c r="R368" s="63">
        <f>(CPY!O368*MD!$F$4)+(CPY!P368*MD!$F$5)+(CPY!Q368*MD!$F$6)</f>
        <v>0</v>
      </c>
      <c r="T368" s="64">
        <f>ROUNDUP((SUMIFS('OOH Activities'!$K:$K,'OOH Activities'!$F:$F,"Non_workdays",'OOH Activities'!$B:$B,CPY!B368)) *24,1)</f>
        <v>0</v>
      </c>
      <c r="U368" s="64">
        <f>ROUNDUP((SUMIFS('OOH Activities'!$K:$K,'OOH Activities'!$F:$F,"Workdays",'OOH Activities'!$B:$B,CPY!B368)) *24,1)</f>
        <v>0</v>
      </c>
      <c r="V368" s="63">
        <f>ROUNDUP((SUMIFS('OOH Activities'!$L:$L,'OOH Activities'!$B:$B,CPY!B368)),1)</f>
        <v>0</v>
      </c>
      <c r="X368" s="65">
        <f>ROUNDUP((SUMIFS('ON Call_Call Out Activities'!$L:$L,'ON Call_Call Out Activities'!$F:$F,"Workdays",'ON Call_Call Out Activities'!$B:$B,CPY!B368))*24,1)</f>
        <v>0</v>
      </c>
      <c r="Y368" s="64">
        <f>ROUNDUP((SUMIFS('ON Call_Call Out Activities'!$L:$L,'ON Call_Call Out Activities'!$F:$F,"Non_workdays",'ON Call_Call Out Activities'!$B:$B,CPY!B368)) *24,1)</f>
        <v>0</v>
      </c>
      <c r="Z368" s="63">
        <f>ROUNDUP((SUMIFS('ON Call_Call Out Activities'!$M:$M,'ON Call_Call Out Activities'!$F:$F,"Non_workdays",'ON Call_Call Out Activities'!$B:$B,CPY!B368)),1) + ROUNDUP((SUMIFS('ON Call_Call Out Activities'!$M:$M,'ON Call_Call Out Activities'!$F:$F,"Workdays",'ON Call_Call Out Activities'!$B:$B,CPY!B368)),1)</f>
        <v>0</v>
      </c>
      <c r="AA368" s="66"/>
      <c r="AB368" s="64">
        <f>ROUNDUP((SUMIFS('ON Call_Call Out Activities'!$L:$L,'ON Call_Call Out Activities'!$F:$F,"Call_Out",'ON Call_Call Out Activities'!$B:$B,CPY!B368)) *24,1)</f>
        <v>0</v>
      </c>
      <c r="AC368" s="63">
        <f>ROUNDUP((SUMIFS('ON Call_Call Out Activities'!$M:$M,'ON Call_Call Out Activities'!$F:$F,"Call_Out",'ON Call_Call Out Activities'!$B:$B,CPY!B368)),1)</f>
        <v>0</v>
      </c>
      <c r="AE368" s="65">
        <f>IF((SUMIF(Shift_allowance_Entries!$B:$B,CPY!$B368,Shift_allowance_Entries!$H:$H)) &gt; (SUMIF(Shift_allowance_Entries!$B:$B,CPY!$B368,Shift_allowance_Entries!$G:$G)),0,((SUMIF(Shift_allowance_Entries!$B:$B,CPY!$B368,Shift_allowance_Entries!$G:$G))-(SUMIF(Shift_allowance_Entries!$B:$B,CPY!$B368,Shift_allowance_Entries!$H:$H))))</f>
        <v>0</v>
      </c>
      <c r="AF368" s="63">
        <f>AE368*MD!$S$4</f>
        <v>0</v>
      </c>
    </row>
    <row r="369" spans="1:32" x14ac:dyDescent="0.25">
      <c r="A369" s="62">
        <v>367</v>
      </c>
      <c r="B369" s="62"/>
      <c r="C369" s="50" t="str">
        <f>IF(ISNA(VLOOKUP($B369,Summary!$B:$D,2,FALSE))=TRUE," ",VLOOKUP($B369,Summary!$B:$D,2,FALSE))</f>
        <v> </v>
      </c>
      <c r="D369" s="50" t="str">
        <f>IF(ISNA(VLOOKUP($B369,Summary!$B:$D,3,FALSE))=TRUE," ",VLOOKUP($B369,Summary!$B:$D,3,FALSE))</f>
        <v> </v>
      </c>
      <c r="E369" s="62"/>
      <c r="F369" s="62"/>
      <c r="G369" s="62"/>
      <c r="I369" s="63">
        <f t="shared" si="5"/>
        <v>0</v>
      </c>
      <c r="K369" s="64">
        <f>IF(E369="Support(L1_L2)",IF(NOT(ISBLANK(B369)),IF(NOT(ISBLANK(D369)),NETWORKDAYS('CPY TOC'!$F$5,'CPY TOC'!$G$5))))-L369</f>
        <v>0</v>
      </c>
      <c r="L369" s="64">
        <f>IF(E369="Support(L1_L2)",SUMIFS(Support_allowance_Entries!$G:$G,Support_allowance_Entries!$B:$B,CPY!B369),0)</f>
        <v>0</v>
      </c>
      <c r="M369" s="63" t="b">
        <f>IF($D369="D0",MD!$C$4*(K369),IF($D369="D1",MD!$C$5*(K369),IF($D369="D2",MD!$C$6*(K369),IF($D369="D3",MD!$C$7*(K369),IF($D369="D4",MD!$C$8*(K369),IF($D369="D5",MD!$C$9*(K369),IF($D369="M1",MD!$C$10*(K369),IF($D369="T1",MD!$C$11*(K369)))))))))</f>
        <v>0</v>
      </c>
      <c r="O369" s="65">
        <f>SUMIFS(Shift_allowance_Entries!$G:$G,Shift_allowance_Entries!$F:$F,"6:30AM-03:30PM",Shift_allowance_Entries!$B:$B,CPY!$B369)</f>
        <v>0</v>
      </c>
      <c r="P369" s="65">
        <f>SUMIFS(Shift_allowance_Entries!$G:$G,Shift_allowance_Entries!$F:$F,"1-9PM/2:30PM-11:30PM",Shift_allowance_Entries!$B:$B,CPY!$B369)</f>
        <v>0</v>
      </c>
      <c r="Q369" s="65">
        <f>SUMIFS(Shift_allowance_Entries!$G:$G,Shift_allowance_Entries!$F:$F,"11PM-7AM",Shift_allowance_Entries!$B:$B,CPY!$B369)</f>
        <v>0</v>
      </c>
      <c r="R369" s="63">
        <f>(CPY!O369*MD!$F$4)+(CPY!P369*MD!$F$5)+(CPY!Q369*MD!$F$6)</f>
        <v>0</v>
      </c>
      <c r="T369" s="64">
        <f>ROUNDUP((SUMIFS('OOH Activities'!$K:$K,'OOH Activities'!$F:$F,"Non_workdays",'OOH Activities'!$B:$B,CPY!B369)) *24,1)</f>
        <v>0</v>
      </c>
      <c r="U369" s="64">
        <f>ROUNDUP((SUMIFS('OOH Activities'!$K:$K,'OOH Activities'!$F:$F,"Workdays",'OOH Activities'!$B:$B,CPY!B369)) *24,1)</f>
        <v>0</v>
      </c>
      <c r="V369" s="63">
        <f>ROUNDUP((SUMIFS('OOH Activities'!$L:$L,'OOH Activities'!$B:$B,CPY!B369)),1)</f>
        <v>0</v>
      </c>
      <c r="X369" s="65">
        <f>ROUNDUP((SUMIFS('ON Call_Call Out Activities'!$L:$L,'ON Call_Call Out Activities'!$F:$F,"Workdays",'ON Call_Call Out Activities'!$B:$B,CPY!B369))*24,1)</f>
        <v>0</v>
      </c>
      <c r="Y369" s="64">
        <f>ROUNDUP((SUMIFS('ON Call_Call Out Activities'!$L:$L,'ON Call_Call Out Activities'!$F:$F,"Non_workdays",'ON Call_Call Out Activities'!$B:$B,CPY!B369)) *24,1)</f>
        <v>0</v>
      </c>
      <c r="Z369" s="63">
        <f>ROUNDUP((SUMIFS('ON Call_Call Out Activities'!$M:$M,'ON Call_Call Out Activities'!$F:$F,"Non_workdays",'ON Call_Call Out Activities'!$B:$B,CPY!B369)),1) + ROUNDUP((SUMIFS('ON Call_Call Out Activities'!$M:$M,'ON Call_Call Out Activities'!$F:$F,"Workdays",'ON Call_Call Out Activities'!$B:$B,CPY!B369)),1)</f>
        <v>0</v>
      </c>
      <c r="AA369" s="66"/>
      <c r="AB369" s="64">
        <f>ROUNDUP((SUMIFS('ON Call_Call Out Activities'!$L:$L,'ON Call_Call Out Activities'!$F:$F,"Call_Out",'ON Call_Call Out Activities'!$B:$B,CPY!B369)) *24,1)</f>
        <v>0</v>
      </c>
      <c r="AC369" s="63">
        <f>ROUNDUP((SUMIFS('ON Call_Call Out Activities'!$M:$M,'ON Call_Call Out Activities'!$F:$F,"Call_Out",'ON Call_Call Out Activities'!$B:$B,CPY!B369)),1)</f>
        <v>0</v>
      </c>
      <c r="AE369" s="65">
        <f>IF((SUMIF(Shift_allowance_Entries!$B:$B,CPY!$B369,Shift_allowance_Entries!$H:$H)) &gt; (SUMIF(Shift_allowance_Entries!$B:$B,CPY!$B369,Shift_allowance_Entries!$G:$G)),0,((SUMIF(Shift_allowance_Entries!$B:$B,CPY!$B369,Shift_allowance_Entries!$G:$G))-(SUMIF(Shift_allowance_Entries!$B:$B,CPY!$B369,Shift_allowance_Entries!$H:$H))))</f>
        <v>0</v>
      </c>
      <c r="AF369" s="63">
        <f>AE369*MD!$S$4</f>
        <v>0</v>
      </c>
    </row>
    <row r="370" spans="1:32" x14ac:dyDescent="0.25">
      <c r="A370" s="62">
        <v>368</v>
      </c>
      <c r="B370" s="62"/>
      <c r="C370" s="50" t="str">
        <f>IF(ISNA(VLOOKUP($B370,Summary!$B:$D,2,FALSE))=TRUE," ",VLOOKUP($B370,Summary!$B:$D,2,FALSE))</f>
        <v> </v>
      </c>
      <c r="D370" s="50" t="str">
        <f>IF(ISNA(VLOOKUP($B370,Summary!$B:$D,3,FALSE))=TRUE," ",VLOOKUP($B370,Summary!$B:$D,3,FALSE))</f>
        <v> </v>
      </c>
      <c r="E370" s="62"/>
      <c r="F370" s="62"/>
      <c r="G370" s="62"/>
      <c r="I370" s="63">
        <f t="shared" si="5"/>
        <v>0</v>
      </c>
      <c r="K370" s="64">
        <f>IF(E370="Support(L1_L2)",IF(NOT(ISBLANK(B370)),IF(NOT(ISBLANK(D370)),NETWORKDAYS('CPY TOC'!$F$5,'CPY TOC'!$G$5))))-L370</f>
        <v>0</v>
      </c>
      <c r="L370" s="64">
        <f>IF(E370="Support(L1_L2)",SUMIFS(Support_allowance_Entries!$G:$G,Support_allowance_Entries!$B:$B,CPY!B370),0)</f>
        <v>0</v>
      </c>
      <c r="M370" s="63" t="b">
        <f>IF($D370="D0",MD!$C$4*(K370),IF($D370="D1",MD!$C$5*(K370),IF($D370="D2",MD!$C$6*(K370),IF($D370="D3",MD!$C$7*(K370),IF($D370="D4",MD!$C$8*(K370),IF($D370="D5",MD!$C$9*(K370),IF($D370="M1",MD!$C$10*(K370),IF($D370="T1",MD!$C$11*(K370)))))))))</f>
        <v>0</v>
      </c>
      <c r="O370" s="65">
        <f>SUMIFS(Shift_allowance_Entries!$G:$G,Shift_allowance_Entries!$F:$F,"6:30AM-03:30PM",Shift_allowance_Entries!$B:$B,CPY!$B370)</f>
        <v>0</v>
      </c>
      <c r="P370" s="65">
        <f>SUMIFS(Shift_allowance_Entries!$G:$G,Shift_allowance_Entries!$F:$F,"1-9PM/2:30PM-11:30PM",Shift_allowance_Entries!$B:$B,CPY!$B370)</f>
        <v>0</v>
      </c>
      <c r="Q370" s="65">
        <f>SUMIFS(Shift_allowance_Entries!$G:$G,Shift_allowance_Entries!$F:$F,"11PM-7AM",Shift_allowance_Entries!$B:$B,CPY!$B370)</f>
        <v>0</v>
      </c>
      <c r="R370" s="63">
        <f>(CPY!O370*MD!$F$4)+(CPY!P370*MD!$F$5)+(CPY!Q370*MD!$F$6)</f>
        <v>0</v>
      </c>
      <c r="T370" s="64">
        <f>ROUNDUP((SUMIFS('OOH Activities'!$K:$K,'OOH Activities'!$F:$F,"Non_workdays",'OOH Activities'!$B:$B,CPY!B370)) *24,1)</f>
        <v>0</v>
      </c>
      <c r="U370" s="64">
        <f>ROUNDUP((SUMIFS('OOH Activities'!$K:$K,'OOH Activities'!$F:$F,"Workdays",'OOH Activities'!$B:$B,CPY!B370)) *24,1)</f>
        <v>0</v>
      </c>
      <c r="V370" s="63">
        <f>ROUNDUP((SUMIFS('OOH Activities'!$L:$L,'OOH Activities'!$B:$B,CPY!B370)),1)</f>
        <v>0</v>
      </c>
      <c r="X370" s="65">
        <f>ROUNDUP((SUMIFS('ON Call_Call Out Activities'!$L:$L,'ON Call_Call Out Activities'!$F:$F,"Workdays",'ON Call_Call Out Activities'!$B:$B,CPY!B370))*24,1)</f>
        <v>0</v>
      </c>
      <c r="Y370" s="64">
        <f>ROUNDUP((SUMIFS('ON Call_Call Out Activities'!$L:$L,'ON Call_Call Out Activities'!$F:$F,"Non_workdays",'ON Call_Call Out Activities'!$B:$B,CPY!B370)) *24,1)</f>
        <v>0</v>
      </c>
      <c r="Z370" s="63">
        <f>ROUNDUP((SUMIFS('ON Call_Call Out Activities'!$M:$M,'ON Call_Call Out Activities'!$F:$F,"Non_workdays",'ON Call_Call Out Activities'!$B:$B,CPY!B370)),1) + ROUNDUP((SUMIFS('ON Call_Call Out Activities'!$M:$M,'ON Call_Call Out Activities'!$F:$F,"Workdays",'ON Call_Call Out Activities'!$B:$B,CPY!B370)),1)</f>
        <v>0</v>
      </c>
      <c r="AA370" s="66"/>
      <c r="AB370" s="64">
        <f>ROUNDUP((SUMIFS('ON Call_Call Out Activities'!$L:$L,'ON Call_Call Out Activities'!$F:$F,"Call_Out",'ON Call_Call Out Activities'!$B:$B,CPY!B370)) *24,1)</f>
        <v>0</v>
      </c>
      <c r="AC370" s="63">
        <f>ROUNDUP((SUMIFS('ON Call_Call Out Activities'!$M:$M,'ON Call_Call Out Activities'!$F:$F,"Call_Out",'ON Call_Call Out Activities'!$B:$B,CPY!B370)),1)</f>
        <v>0</v>
      </c>
      <c r="AE370" s="65">
        <f>IF((SUMIF(Shift_allowance_Entries!$B:$B,CPY!$B370,Shift_allowance_Entries!$H:$H)) &gt; (SUMIF(Shift_allowance_Entries!$B:$B,CPY!$B370,Shift_allowance_Entries!$G:$G)),0,((SUMIF(Shift_allowance_Entries!$B:$B,CPY!$B370,Shift_allowance_Entries!$G:$G))-(SUMIF(Shift_allowance_Entries!$B:$B,CPY!$B370,Shift_allowance_Entries!$H:$H))))</f>
        <v>0</v>
      </c>
      <c r="AF370" s="63">
        <f>AE370*MD!$S$4</f>
        <v>0</v>
      </c>
    </row>
    <row r="371" spans="1:32" x14ac:dyDescent="0.25">
      <c r="A371" s="62">
        <v>369</v>
      </c>
      <c r="B371" s="62"/>
      <c r="C371" s="50" t="str">
        <f>IF(ISNA(VLOOKUP($B371,Summary!$B:$D,2,FALSE))=TRUE," ",VLOOKUP($B371,Summary!$B:$D,2,FALSE))</f>
        <v> </v>
      </c>
      <c r="D371" s="50" t="str">
        <f>IF(ISNA(VLOOKUP($B371,Summary!$B:$D,3,FALSE))=TRUE," ",VLOOKUP($B371,Summary!$B:$D,3,FALSE))</f>
        <v> </v>
      </c>
      <c r="E371" s="62"/>
      <c r="F371" s="62"/>
      <c r="G371" s="62"/>
      <c r="I371" s="63">
        <f t="shared" si="5"/>
        <v>0</v>
      </c>
      <c r="K371" s="64">
        <f>IF(E371="Support(L1_L2)",IF(NOT(ISBLANK(B371)),IF(NOT(ISBLANK(D371)),NETWORKDAYS('CPY TOC'!$F$5,'CPY TOC'!$G$5))))-L371</f>
        <v>0</v>
      </c>
      <c r="L371" s="64">
        <f>IF(E371="Support(L1_L2)",SUMIFS(Support_allowance_Entries!$G:$G,Support_allowance_Entries!$B:$B,CPY!B371),0)</f>
        <v>0</v>
      </c>
      <c r="M371" s="63" t="b">
        <f>IF($D371="D0",MD!$C$4*(K371),IF($D371="D1",MD!$C$5*(K371),IF($D371="D2",MD!$C$6*(K371),IF($D371="D3",MD!$C$7*(K371),IF($D371="D4",MD!$C$8*(K371),IF($D371="D5",MD!$C$9*(K371),IF($D371="M1",MD!$C$10*(K371),IF($D371="T1",MD!$C$11*(K371)))))))))</f>
        <v>0</v>
      </c>
      <c r="O371" s="65">
        <f>SUMIFS(Shift_allowance_Entries!$G:$G,Shift_allowance_Entries!$F:$F,"6:30AM-03:30PM",Shift_allowance_Entries!$B:$B,CPY!$B371)</f>
        <v>0</v>
      </c>
      <c r="P371" s="65">
        <f>SUMIFS(Shift_allowance_Entries!$G:$G,Shift_allowance_Entries!$F:$F,"1-9PM/2:30PM-11:30PM",Shift_allowance_Entries!$B:$B,CPY!$B371)</f>
        <v>0</v>
      </c>
      <c r="Q371" s="65">
        <f>SUMIFS(Shift_allowance_Entries!$G:$G,Shift_allowance_Entries!$F:$F,"11PM-7AM",Shift_allowance_Entries!$B:$B,CPY!$B371)</f>
        <v>0</v>
      </c>
      <c r="R371" s="63">
        <f>(CPY!O371*MD!$F$4)+(CPY!P371*MD!$F$5)+(CPY!Q371*MD!$F$6)</f>
        <v>0</v>
      </c>
      <c r="T371" s="64">
        <f>ROUNDUP((SUMIFS('OOH Activities'!$K:$K,'OOH Activities'!$F:$F,"Non_workdays",'OOH Activities'!$B:$B,CPY!B371)) *24,1)</f>
        <v>0</v>
      </c>
      <c r="U371" s="64">
        <f>ROUNDUP((SUMIFS('OOH Activities'!$K:$K,'OOH Activities'!$F:$F,"Workdays",'OOH Activities'!$B:$B,CPY!B371)) *24,1)</f>
        <v>0</v>
      </c>
      <c r="V371" s="63">
        <f>ROUNDUP((SUMIFS('OOH Activities'!$L:$L,'OOH Activities'!$B:$B,CPY!B371)),1)</f>
        <v>0</v>
      </c>
      <c r="X371" s="65">
        <f>ROUNDUP((SUMIFS('ON Call_Call Out Activities'!$L:$L,'ON Call_Call Out Activities'!$F:$F,"Workdays",'ON Call_Call Out Activities'!$B:$B,CPY!B371))*24,1)</f>
        <v>0</v>
      </c>
      <c r="Y371" s="64">
        <f>ROUNDUP((SUMIFS('ON Call_Call Out Activities'!$L:$L,'ON Call_Call Out Activities'!$F:$F,"Non_workdays",'ON Call_Call Out Activities'!$B:$B,CPY!B371)) *24,1)</f>
        <v>0</v>
      </c>
      <c r="Z371" s="63">
        <f>ROUNDUP((SUMIFS('ON Call_Call Out Activities'!$M:$M,'ON Call_Call Out Activities'!$F:$F,"Non_workdays",'ON Call_Call Out Activities'!$B:$B,CPY!B371)),1) + ROUNDUP((SUMIFS('ON Call_Call Out Activities'!$M:$M,'ON Call_Call Out Activities'!$F:$F,"Workdays",'ON Call_Call Out Activities'!$B:$B,CPY!B371)),1)</f>
        <v>0</v>
      </c>
      <c r="AA371" s="66"/>
      <c r="AB371" s="64">
        <f>ROUNDUP((SUMIFS('ON Call_Call Out Activities'!$L:$L,'ON Call_Call Out Activities'!$F:$F,"Call_Out",'ON Call_Call Out Activities'!$B:$B,CPY!B371)) *24,1)</f>
        <v>0</v>
      </c>
      <c r="AC371" s="63">
        <f>ROUNDUP((SUMIFS('ON Call_Call Out Activities'!$M:$M,'ON Call_Call Out Activities'!$F:$F,"Call_Out",'ON Call_Call Out Activities'!$B:$B,CPY!B371)),1)</f>
        <v>0</v>
      </c>
      <c r="AE371" s="65">
        <f>IF((SUMIF(Shift_allowance_Entries!$B:$B,CPY!$B371,Shift_allowance_Entries!$H:$H)) &gt; (SUMIF(Shift_allowance_Entries!$B:$B,CPY!$B371,Shift_allowance_Entries!$G:$G)),0,((SUMIF(Shift_allowance_Entries!$B:$B,CPY!$B371,Shift_allowance_Entries!$G:$G))-(SUMIF(Shift_allowance_Entries!$B:$B,CPY!$B371,Shift_allowance_Entries!$H:$H))))</f>
        <v>0</v>
      </c>
      <c r="AF371" s="63">
        <f>AE371*MD!$S$4</f>
        <v>0</v>
      </c>
    </row>
    <row r="372" spans="1:32" x14ac:dyDescent="0.25">
      <c r="A372" s="62">
        <v>370</v>
      </c>
      <c r="B372" s="62"/>
      <c r="C372" s="50" t="str">
        <f>IF(ISNA(VLOOKUP($B372,Summary!$B:$D,2,FALSE))=TRUE," ",VLOOKUP($B372,Summary!$B:$D,2,FALSE))</f>
        <v> </v>
      </c>
      <c r="D372" s="50" t="str">
        <f>IF(ISNA(VLOOKUP($B372,Summary!$B:$D,3,FALSE))=TRUE," ",VLOOKUP($B372,Summary!$B:$D,3,FALSE))</f>
        <v> </v>
      </c>
      <c r="E372" s="62"/>
      <c r="F372" s="62"/>
      <c r="G372" s="62"/>
      <c r="I372" s="63">
        <f t="shared" si="5"/>
        <v>0</v>
      </c>
      <c r="K372" s="64">
        <f>IF(E372="Support(L1_L2)",IF(NOT(ISBLANK(B372)),IF(NOT(ISBLANK(D372)),NETWORKDAYS('CPY TOC'!$F$5,'CPY TOC'!$G$5))))-L372</f>
        <v>0</v>
      </c>
      <c r="L372" s="64">
        <f>IF(E372="Support(L1_L2)",SUMIFS(Support_allowance_Entries!$G:$G,Support_allowance_Entries!$B:$B,CPY!B372),0)</f>
        <v>0</v>
      </c>
      <c r="M372" s="63" t="b">
        <f>IF($D372="D0",MD!$C$4*(K372),IF($D372="D1",MD!$C$5*(K372),IF($D372="D2",MD!$C$6*(K372),IF($D372="D3",MD!$C$7*(K372),IF($D372="D4",MD!$C$8*(K372),IF($D372="D5",MD!$C$9*(K372),IF($D372="M1",MD!$C$10*(K372),IF($D372="T1",MD!$C$11*(K372)))))))))</f>
        <v>0</v>
      </c>
      <c r="O372" s="65">
        <f>SUMIFS(Shift_allowance_Entries!$G:$G,Shift_allowance_Entries!$F:$F,"6:30AM-03:30PM",Shift_allowance_Entries!$B:$B,CPY!$B372)</f>
        <v>0</v>
      </c>
      <c r="P372" s="65">
        <f>SUMIFS(Shift_allowance_Entries!$G:$G,Shift_allowance_Entries!$F:$F,"1-9PM/2:30PM-11:30PM",Shift_allowance_Entries!$B:$B,CPY!$B372)</f>
        <v>0</v>
      </c>
      <c r="Q372" s="65">
        <f>SUMIFS(Shift_allowance_Entries!$G:$G,Shift_allowance_Entries!$F:$F,"11PM-7AM",Shift_allowance_Entries!$B:$B,CPY!$B372)</f>
        <v>0</v>
      </c>
      <c r="R372" s="63">
        <f>(CPY!O372*MD!$F$4)+(CPY!P372*MD!$F$5)+(CPY!Q372*MD!$F$6)</f>
        <v>0</v>
      </c>
      <c r="T372" s="64">
        <f>ROUNDUP((SUMIFS('OOH Activities'!$K:$K,'OOH Activities'!$F:$F,"Non_workdays",'OOH Activities'!$B:$B,CPY!B372)) *24,1)</f>
        <v>0</v>
      </c>
      <c r="U372" s="64">
        <f>ROUNDUP((SUMIFS('OOH Activities'!$K:$K,'OOH Activities'!$F:$F,"Workdays",'OOH Activities'!$B:$B,CPY!B372)) *24,1)</f>
        <v>0</v>
      </c>
      <c r="V372" s="63">
        <f>ROUNDUP((SUMIFS('OOH Activities'!$L:$L,'OOH Activities'!$B:$B,CPY!B372)),1)</f>
        <v>0</v>
      </c>
      <c r="X372" s="65">
        <f>ROUNDUP((SUMIFS('ON Call_Call Out Activities'!$L:$L,'ON Call_Call Out Activities'!$F:$F,"Workdays",'ON Call_Call Out Activities'!$B:$B,CPY!B372))*24,1)</f>
        <v>0</v>
      </c>
      <c r="Y372" s="64">
        <f>ROUNDUP((SUMIFS('ON Call_Call Out Activities'!$L:$L,'ON Call_Call Out Activities'!$F:$F,"Non_workdays",'ON Call_Call Out Activities'!$B:$B,CPY!B372)) *24,1)</f>
        <v>0</v>
      </c>
      <c r="Z372" s="63">
        <f>ROUNDUP((SUMIFS('ON Call_Call Out Activities'!$M:$M,'ON Call_Call Out Activities'!$F:$F,"Non_workdays",'ON Call_Call Out Activities'!$B:$B,CPY!B372)),1) + ROUNDUP((SUMIFS('ON Call_Call Out Activities'!$M:$M,'ON Call_Call Out Activities'!$F:$F,"Workdays",'ON Call_Call Out Activities'!$B:$B,CPY!B372)),1)</f>
        <v>0</v>
      </c>
      <c r="AA372" s="66"/>
      <c r="AB372" s="64">
        <f>ROUNDUP((SUMIFS('ON Call_Call Out Activities'!$L:$L,'ON Call_Call Out Activities'!$F:$F,"Call_Out",'ON Call_Call Out Activities'!$B:$B,CPY!B372)) *24,1)</f>
        <v>0</v>
      </c>
      <c r="AC372" s="63">
        <f>ROUNDUP((SUMIFS('ON Call_Call Out Activities'!$M:$M,'ON Call_Call Out Activities'!$F:$F,"Call_Out",'ON Call_Call Out Activities'!$B:$B,CPY!B372)),1)</f>
        <v>0</v>
      </c>
      <c r="AE372" s="65">
        <f>IF((SUMIF(Shift_allowance_Entries!$B:$B,CPY!$B372,Shift_allowance_Entries!$H:$H)) &gt; (SUMIF(Shift_allowance_Entries!$B:$B,CPY!$B372,Shift_allowance_Entries!$G:$G)),0,((SUMIF(Shift_allowance_Entries!$B:$B,CPY!$B372,Shift_allowance_Entries!$G:$G))-(SUMIF(Shift_allowance_Entries!$B:$B,CPY!$B372,Shift_allowance_Entries!$H:$H))))</f>
        <v>0</v>
      </c>
      <c r="AF372" s="63">
        <f>AE372*MD!$S$4</f>
        <v>0</v>
      </c>
    </row>
    <row r="373" spans="1:32" x14ac:dyDescent="0.25">
      <c r="A373" s="62">
        <v>371</v>
      </c>
      <c r="B373" s="62"/>
      <c r="C373" s="50" t="str">
        <f>IF(ISNA(VLOOKUP($B373,Summary!$B:$D,2,FALSE))=TRUE," ",VLOOKUP($B373,Summary!$B:$D,2,FALSE))</f>
        <v> </v>
      </c>
      <c r="D373" s="50" t="str">
        <f>IF(ISNA(VLOOKUP($B373,Summary!$B:$D,3,FALSE))=TRUE," ",VLOOKUP($B373,Summary!$B:$D,3,FALSE))</f>
        <v> </v>
      </c>
      <c r="E373" s="62"/>
      <c r="F373" s="62"/>
      <c r="G373" s="62"/>
      <c r="I373" s="63">
        <f t="shared" si="5"/>
        <v>0</v>
      </c>
      <c r="K373" s="64">
        <f>IF(E373="Support(L1_L2)",IF(NOT(ISBLANK(B373)),IF(NOT(ISBLANK(D373)),NETWORKDAYS('CPY TOC'!$F$5,'CPY TOC'!$G$5))))-L373</f>
        <v>0</v>
      </c>
      <c r="L373" s="64">
        <f>IF(E373="Support(L1_L2)",SUMIFS(Support_allowance_Entries!$G:$G,Support_allowance_Entries!$B:$B,CPY!B373),0)</f>
        <v>0</v>
      </c>
      <c r="M373" s="63" t="b">
        <f>IF($D373="D0",MD!$C$4*(K373),IF($D373="D1",MD!$C$5*(K373),IF($D373="D2",MD!$C$6*(K373),IF($D373="D3",MD!$C$7*(K373),IF($D373="D4",MD!$C$8*(K373),IF($D373="D5",MD!$C$9*(K373),IF($D373="M1",MD!$C$10*(K373),IF($D373="T1",MD!$C$11*(K373)))))))))</f>
        <v>0</v>
      </c>
      <c r="O373" s="65">
        <f>SUMIFS(Shift_allowance_Entries!$G:$G,Shift_allowance_Entries!$F:$F,"6:30AM-03:30PM",Shift_allowance_Entries!$B:$B,CPY!$B373)</f>
        <v>0</v>
      </c>
      <c r="P373" s="65">
        <f>SUMIFS(Shift_allowance_Entries!$G:$G,Shift_allowance_Entries!$F:$F,"1-9PM/2:30PM-11:30PM",Shift_allowance_Entries!$B:$B,CPY!$B373)</f>
        <v>0</v>
      </c>
      <c r="Q373" s="65">
        <f>SUMIFS(Shift_allowance_Entries!$G:$G,Shift_allowance_Entries!$F:$F,"11PM-7AM",Shift_allowance_Entries!$B:$B,CPY!$B373)</f>
        <v>0</v>
      </c>
      <c r="R373" s="63">
        <f>(CPY!O373*MD!$F$4)+(CPY!P373*MD!$F$5)+(CPY!Q373*MD!$F$6)</f>
        <v>0</v>
      </c>
      <c r="T373" s="64">
        <f>ROUNDUP((SUMIFS('OOH Activities'!$K:$K,'OOH Activities'!$F:$F,"Non_workdays",'OOH Activities'!$B:$B,CPY!B373)) *24,1)</f>
        <v>0</v>
      </c>
      <c r="U373" s="64">
        <f>ROUNDUP((SUMIFS('OOH Activities'!$K:$K,'OOH Activities'!$F:$F,"Workdays",'OOH Activities'!$B:$B,CPY!B373)) *24,1)</f>
        <v>0</v>
      </c>
      <c r="V373" s="63">
        <f>ROUNDUP((SUMIFS('OOH Activities'!$L:$L,'OOH Activities'!$B:$B,CPY!B373)),1)</f>
        <v>0</v>
      </c>
      <c r="X373" s="65">
        <f>ROUNDUP((SUMIFS('ON Call_Call Out Activities'!$L:$L,'ON Call_Call Out Activities'!$F:$F,"Workdays",'ON Call_Call Out Activities'!$B:$B,CPY!B373))*24,1)</f>
        <v>0</v>
      </c>
      <c r="Y373" s="64">
        <f>ROUNDUP((SUMIFS('ON Call_Call Out Activities'!$L:$L,'ON Call_Call Out Activities'!$F:$F,"Non_workdays",'ON Call_Call Out Activities'!$B:$B,CPY!B373)) *24,1)</f>
        <v>0</v>
      </c>
      <c r="Z373" s="63">
        <f>ROUNDUP((SUMIFS('ON Call_Call Out Activities'!$M:$M,'ON Call_Call Out Activities'!$F:$F,"Non_workdays",'ON Call_Call Out Activities'!$B:$B,CPY!B373)),1) + ROUNDUP((SUMIFS('ON Call_Call Out Activities'!$M:$M,'ON Call_Call Out Activities'!$F:$F,"Workdays",'ON Call_Call Out Activities'!$B:$B,CPY!B373)),1)</f>
        <v>0</v>
      </c>
      <c r="AA373" s="66"/>
      <c r="AB373" s="64">
        <f>ROUNDUP((SUMIFS('ON Call_Call Out Activities'!$L:$L,'ON Call_Call Out Activities'!$F:$F,"Call_Out",'ON Call_Call Out Activities'!$B:$B,CPY!B373)) *24,1)</f>
        <v>0</v>
      </c>
      <c r="AC373" s="63">
        <f>ROUNDUP((SUMIFS('ON Call_Call Out Activities'!$M:$M,'ON Call_Call Out Activities'!$F:$F,"Call_Out",'ON Call_Call Out Activities'!$B:$B,CPY!B373)),1)</f>
        <v>0</v>
      </c>
      <c r="AE373" s="65">
        <f>IF((SUMIF(Shift_allowance_Entries!$B:$B,CPY!$B373,Shift_allowance_Entries!$H:$H)) &gt; (SUMIF(Shift_allowance_Entries!$B:$B,CPY!$B373,Shift_allowance_Entries!$G:$G)),0,((SUMIF(Shift_allowance_Entries!$B:$B,CPY!$B373,Shift_allowance_Entries!$G:$G))-(SUMIF(Shift_allowance_Entries!$B:$B,CPY!$B373,Shift_allowance_Entries!$H:$H))))</f>
        <v>0</v>
      </c>
      <c r="AF373" s="63">
        <f>AE373*MD!$S$4</f>
        <v>0</v>
      </c>
    </row>
    <row r="374" spans="1:32" x14ac:dyDescent="0.25">
      <c r="A374" s="62">
        <v>372</v>
      </c>
      <c r="B374" s="62"/>
      <c r="C374" s="50" t="str">
        <f>IF(ISNA(VLOOKUP($B374,Summary!$B:$D,2,FALSE))=TRUE," ",VLOOKUP($B374,Summary!$B:$D,2,FALSE))</f>
        <v> </v>
      </c>
      <c r="D374" s="50" t="str">
        <f>IF(ISNA(VLOOKUP($B374,Summary!$B:$D,3,FALSE))=TRUE," ",VLOOKUP($B374,Summary!$B:$D,3,FALSE))</f>
        <v> </v>
      </c>
      <c r="E374" s="62"/>
      <c r="F374" s="62"/>
      <c r="G374" s="62"/>
      <c r="I374" s="63">
        <f t="shared" si="5"/>
        <v>0</v>
      </c>
      <c r="K374" s="64">
        <f>IF(E374="Support(L1_L2)",IF(NOT(ISBLANK(B374)),IF(NOT(ISBLANK(D374)),NETWORKDAYS('CPY TOC'!$F$5,'CPY TOC'!$G$5))))-L374</f>
        <v>0</v>
      </c>
      <c r="L374" s="64">
        <f>IF(E374="Support(L1_L2)",SUMIFS(Support_allowance_Entries!$G:$G,Support_allowance_Entries!$B:$B,CPY!B374),0)</f>
        <v>0</v>
      </c>
      <c r="M374" s="63" t="b">
        <f>IF($D374="D0",MD!$C$4*(K374),IF($D374="D1",MD!$C$5*(K374),IF($D374="D2",MD!$C$6*(K374),IF($D374="D3",MD!$C$7*(K374),IF($D374="D4",MD!$C$8*(K374),IF($D374="D5",MD!$C$9*(K374),IF($D374="M1",MD!$C$10*(K374),IF($D374="T1",MD!$C$11*(K374)))))))))</f>
        <v>0</v>
      </c>
      <c r="O374" s="65">
        <f>SUMIFS(Shift_allowance_Entries!$G:$G,Shift_allowance_Entries!$F:$F,"6:30AM-03:30PM",Shift_allowance_Entries!$B:$B,CPY!$B374)</f>
        <v>0</v>
      </c>
      <c r="P374" s="65">
        <f>SUMIFS(Shift_allowance_Entries!$G:$G,Shift_allowance_Entries!$F:$F,"1-9PM/2:30PM-11:30PM",Shift_allowance_Entries!$B:$B,CPY!$B374)</f>
        <v>0</v>
      </c>
      <c r="Q374" s="65">
        <f>SUMIFS(Shift_allowance_Entries!$G:$G,Shift_allowance_Entries!$F:$F,"11PM-7AM",Shift_allowance_Entries!$B:$B,CPY!$B374)</f>
        <v>0</v>
      </c>
      <c r="R374" s="63">
        <f>(CPY!O374*MD!$F$4)+(CPY!P374*MD!$F$5)+(CPY!Q374*MD!$F$6)</f>
        <v>0</v>
      </c>
      <c r="T374" s="64">
        <f>ROUNDUP((SUMIFS('OOH Activities'!$K:$K,'OOH Activities'!$F:$F,"Non_workdays",'OOH Activities'!$B:$B,CPY!B374)) *24,1)</f>
        <v>0</v>
      </c>
      <c r="U374" s="64">
        <f>ROUNDUP((SUMIFS('OOH Activities'!$K:$K,'OOH Activities'!$F:$F,"Workdays",'OOH Activities'!$B:$B,CPY!B374)) *24,1)</f>
        <v>0</v>
      </c>
      <c r="V374" s="63">
        <f>ROUNDUP((SUMIFS('OOH Activities'!$L:$L,'OOH Activities'!$B:$B,CPY!B374)),1)</f>
        <v>0</v>
      </c>
      <c r="X374" s="65">
        <f>ROUNDUP((SUMIFS('ON Call_Call Out Activities'!$L:$L,'ON Call_Call Out Activities'!$F:$F,"Workdays",'ON Call_Call Out Activities'!$B:$B,CPY!B374))*24,1)</f>
        <v>0</v>
      </c>
      <c r="Y374" s="64">
        <f>ROUNDUP((SUMIFS('ON Call_Call Out Activities'!$L:$L,'ON Call_Call Out Activities'!$F:$F,"Non_workdays",'ON Call_Call Out Activities'!$B:$B,CPY!B374)) *24,1)</f>
        <v>0</v>
      </c>
      <c r="Z374" s="63">
        <f>ROUNDUP((SUMIFS('ON Call_Call Out Activities'!$M:$M,'ON Call_Call Out Activities'!$F:$F,"Non_workdays",'ON Call_Call Out Activities'!$B:$B,CPY!B374)),1) + ROUNDUP((SUMIFS('ON Call_Call Out Activities'!$M:$M,'ON Call_Call Out Activities'!$F:$F,"Workdays",'ON Call_Call Out Activities'!$B:$B,CPY!B374)),1)</f>
        <v>0</v>
      </c>
      <c r="AA374" s="66"/>
      <c r="AB374" s="64">
        <f>ROUNDUP((SUMIFS('ON Call_Call Out Activities'!$L:$L,'ON Call_Call Out Activities'!$F:$F,"Call_Out",'ON Call_Call Out Activities'!$B:$B,CPY!B374)) *24,1)</f>
        <v>0</v>
      </c>
      <c r="AC374" s="63">
        <f>ROUNDUP((SUMIFS('ON Call_Call Out Activities'!$M:$M,'ON Call_Call Out Activities'!$F:$F,"Call_Out",'ON Call_Call Out Activities'!$B:$B,CPY!B374)),1)</f>
        <v>0</v>
      </c>
      <c r="AE374" s="65">
        <f>IF((SUMIF(Shift_allowance_Entries!$B:$B,CPY!$B374,Shift_allowance_Entries!$H:$H)) &gt; (SUMIF(Shift_allowance_Entries!$B:$B,CPY!$B374,Shift_allowance_Entries!$G:$G)),0,((SUMIF(Shift_allowance_Entries!$B:$B,CPY!$B374,Shift_allowance_Entries!$G:$G))-(SUMIF(Shift_allowance_Entries!$B:$B,CPY!$B374,Shift_allowance_Entries!$H:$H))))</f>
        <v>0</v>
      </c>
      <c r="AF374" s="63">
        <f>AE374*MD!$S$4</f>
        <v>0</v>
      </c>
    </row>
    <row r="375" spans="1:32" x14ac:dyDescent="0.25">
      <c r="A375" s="62">
        <v>373</v>
      </c>
      <c r="B375" s="62"/>
      <c r="C375" s="50" t="str">
        <f>IF(ISNA(VLOOKUP($B375,Summary!$B:$D,2,FALSE))=TRUE," ",VLOOKUP($B375,Summary!$B:$D,2,FALSE))</f>
        <v> </v>
      </c>
      <c r="D375" s="50" t="str">
        <f>IF(ISNA(VLOOKUP($B375,Summary!$B:$D,3,FALSE))=TRUE," ",VLOOKUP($B375,Summary!$B:$D,3,FALSE))</f>
        <v> </v>
      </c>
      <c r="E375" s="62"/>
      <c r="F375" s="62"/>
      <c r="G375" s="62"/>
      <c r="I375" s="63">
        <f t="shared" si="5"/>
        <v>0</v>
      </c>
      <c r="K375" s="64">
        <f>IF(E375="Support(L1_L2)",IF(NOT(ISBLANK(B375)),IF(NOT(ISBLANK(D375)),NETWORKDAYS('CPY TOC'!$F$5,'CPY TOC'!$G$5))))-L375</f>
        <v>0</v>
      </c>
      <c r="L375" s="64">
        <f>IF(E375="Support(L1_L2)",SUMIFS(Support_allowance_Entries!$G:$G,Support_allowance_Entries!$B:$B,CPY!B375),0)</f>
        <v>0</v>
      </c>
      <c r="M375" s="63" t="b">
        <f>IF($D375="D0",MD!$C$4*(K375),IF($D375="D1",MD!$C$5*(K375),IF($D375="D2",MD!$C$6*(K375),IF($D375="D3",MD!$C$7*(K375),IF($D375="D4",MD!$C$8*(K375),IF($D375="D5",MD!$C$9*(K375),IF($D375="M1",MD!$C$10*(K375),IF($D375="T1",MD!$C$11*(K375)))))))))</f>
        <v>0</v>
      </c>
      <c r="O375" s="65">
        <f>SUMIFS(Shift_allowance_Entries!$G:$G,Shift_allowance_Entries!$F:$F,"6:30AM-03:30PM",Shift_allowance_Entries!$B:$B,CPY!$B375)</f>
        <v>0</v>
      </c>
      <c r="P375" s="65">
        <f>SUMIFS(Shift_allowance_Entries!$G:$G,Shift_allowance_Entries!$F:$F,"1-9PM/2:30PM-11:30PM",Shift_allowance_Entries!$B:$B,CPY!$B375)</f>
        <v>0</v>
      </c>
      <c r="Q375" s="65">
        <f>SUMIFS(Shift_allowance_Entries!$G:$G,Shift_allowance_Entries!$F:$F,"11PM-7AM",Shift_allowance_Entries!$B:$B,CPY!$B375)</f>
        <v>0</v>
      </c>
      <c r="R375" s="63">
        <f>(CPY!O375*MD!$F$4)+(CPY!P375*MD!$F$5)+(CPY!Q375*MD!$F$6)</f>
        <v>0</v>
      </c>
      <c r="T375" s="64">
        <f>ROUNDUP((SUMIFS('OOH Activities'!$K:$K,'OOH Activities'!$F:$F,"Non_workdays",'OOH Activities'!$B:$B,CPY!B375)) *24,1)</f>
        <v>0</v>
      </c>
      <c r="U375" s="64">
        <f>ROUNDUP((SUMIFS('OOH Activities'!$K:$K,'OOH Activities'!$F:$F,"Workdays",'OOH Activities'!$B:$B,CPY!B375)) *24,1)</f>
        <v>0</v>
      </c>
      <c r="V375" s="63">
        <f>ROUNDUP((SUMIFS('OOH Activities'!$L:$L,'OOH Activities'!$B:$B,CPY!B375)),1)</f>
        <v>0</v>
      </c>
      <c r="X375" s="65">
        <f>ROUNDUP((SUMIFS('ON Call_Call Out Activities'!$L:$L,'ON Call_Call Out Activities'!$F:$F,"Workdays",'ON Call_Call Out Activities'!$B:$B,CPY!B375))*24,1)</f>
        <v>0</v>
      </c>
      <c r="Y375" s="64">
        <f>ROUNDUP((SUMIFS('ON Call_Call Out Activities'!$L:$L,'ON Call_Call Out Activities'!$F:$F,"Non_workdays",'ON Call_Call Out Activities'!$B:$B,CPY!B375)) *24,1)</f>
        <v>0</v>
      </c>
      <c r="Z375" s="63">
        <f>ROUNDUP((SUMIFS('ON Call_Call Out Activities'!$M:$M,'ON Call_Call Out Activities'!$F:$F,"Non_workdays",'ON Call_Call Out Activities'!$B:$B,CPY!B375)),1) + ROUNDUP((SUMIFS('ON Call_Call Out Activities'!$M:$M,'ON Call_Call Out Activities'!$F:$F,"Workdays",'ON Call_Call Out Activities'!$B:$B,CPY!B375)),1)</f>
        <v>0</v>
      </c>
      <c r="AA375" s="66"/>
      <c r="AB375" s="64">
        <f>ROUNDUP((SUMIFS('ON Call_Call Out Activities'!$L:$L,'ON Call_Call Out Activities'!$F:$F,"Call_Out",'ON Call_Call Out Activities'!$B:$B,CPY!B375)) *24,1)</f>
        <v>0</v>
      </c>
      <c r="AC375" s="63">
        <f>ROUNDUP((SUMIFS('ON Call_Call Out Activities'!$M:$M,'ON Call_Call Out Activities'!$F:$F,"Call_Out",'ON Call_Call Out Activities'!$B:$B,CPY!B375)),1)</f>
        <v>0</v>
      </c>
      <c r="AE375" s="65">
        <f>IF((SUMIF(Shift_allowance_Entries!$B:$B,CPY!$B375,Shift_allowance_Entries!$H:$H)) &gt; (SUMIF(Shift_allowance_Entries!$B:$B,CPY!$B375,Shift_allowance_Entries!$G:$G)),0,((SUMIF(Shift_allowance_Entries!$B:$B,CPY!$B375,Shift_allowance_Entries!$G:$G))-(SUMIF(Shift_allowance_Entries!$B:$B,CPY!$B375,Shift_allowance_Entries!$H:$H))))</f>
        <v>0</v>
      </c>
      <c r="AF375" s="63">
        <f>AE375*MD!$S$4</f>
        <v>0</v>
      </c>
    </row>
    <row r="376" spans="1:32" x14ac:dyDescent="0.25">
      <c r="A376" s="62">
        <v>374</v>
      </c>
      <c r="B376" s="62"/>
      <c r="C376" s="50" t="str">
        <f>IF(ISNA(VLOOKUP($B376,Summary!$B:$D,2,FALSE))=TRUE," ",VLOOKUP($B376,Summary!$B:$D,2,FALSE))</f>
        <v> </v>
      </c>
      <c r="D376" s="50" t="str">
        <f>IF(ISNA(VLOOKUP($B376,Summary!$B:$D,3,FALSE))=TRUE," ",VLOOKUP($B376,Summary!$B:$D,3,FALSE))</f>
        <v> </v>
      </c>
      <c r="E376" s="62"/>
      <c r="F376" s="62"/>
      <c r="G376" s="62"/>
      <c r="I376" s="63">
        <f t="shared" si="5"/>
        <v>0</v>
      </c>
      <c r="K376" s="64">
        <f>IF(E376="Support(L1_L2)",IF(NOT(ISBLANK(B376)),IF(NOT(ISBLANK(D376)),NETWORKDAYS('CPY TOC'!$F$5,'CPY TOC'!$G$5))))-L376</f>
        <v>0</v>
      </c>
      <c r="L376" s="64">
        <f>IF(E376="Support(L1_L2)",SUMIFS(Support_allowance_Entries!$G:$G,Support_allowance_Entries!$B:$B,CPY!B376),0)</f>
        <v>0</v>
      </c>
      <c r="M376" s="63" t="b">
        <f>IF($D376="D0",MD!$C$4*(K376),IF($D376="D1",MD!$C$5*(K376),IF($D376="D2",MD!$C$6*(K376),IF($D376="D3",MD!$C$7*(K376),IF($D376="D4",MD!$C$8*(K376),IF($D376="D5",MD!$C$9*(K376),IF($D376="M1",MD!$C$10*(K376),IF($D376="T1",MD!$C$11*(K376)))))))))</f>
        <v>0</v>
      </c>
      <c r="O376" s="65">
        <f>SUMIFS(Shift_allowance_Entries!$G:$G,Shift_allowance_Entries!$F:$F,"6:30AM-03:30PM",Shift_allowance_Entries!$B:$B,CPY!$B376)</f>
        <v>0</v>
      </c>
      <c r="P376" s="65">
        <f>SUMIFS(Shift_allowance_Entries!$G:$G,Shift_allowance_Entries!$F:$F,"1-9PM/2:30PM-11:30PM",Shift_allowance_Entries!$B:$B,CPY!$B376)</f>
        <v>0</v>
      </c>
      <c r="Q376" s="65">
        <f>SUMIFS(Shift_allowance_Entries!$G:$G,Shift_allowance_Entries!$F:$F,"11PM-7AM",Shift_allowance_Entries!$B:$B,CPY!$B376)</f>
        <v>0</v>
      </c>
      <c r="R376" s="63">
        <f>(CPY!O376*MD!$F$4)+(CPY!P376*MD!$F$5)+(CPY!Q376*MD!$F$6)</f>
        <v>0</v>
      </c>
      <c r="T376" s="64">
        <f>ROUNDUP((SUMIFS('OOH Activities'!$K:$K,'OOH Activities'!$F:$F,"Non_workdays",'OOH Activities'!$B:$B,CPY!B376)) *24,1)</f>
        <v>0</v>
      </c>
      <c r="U376" s="64">
        <f>ROUNDUP((SUMIFS('OOH Activities'!$K:$K,'OOH Activities'!$F:$F,"Workdays",'OOH Activities'!$B:$B,CPY!B376)) *24,1)</f>
        <v>0</v>
      </c>
      <c r="V376" s="63">
        <f>ROUNDUP((SUMIFS('OOH Activities'!$L:$L,'OOH Activities'!$B:$B,CPY!B376)),1)</f>
        <v>0</v>
      </c>
      <c r="X376" s="65">
        <f>ROUNDUP((SUMIFS('ON Call_Call Out Activities'!$L:$L,'ON Call_Call Out Activities'!$F:$F,"Workdays",'ON Call_Call Out Activities'!$B:$B,CPY!B376))*24,1)</f>
        <v>0</v>
      </c>
      <c r="Y376" s="64">
        <f>ROUNDUP((SUMIFS('ON Call_Call Out Activities'!$L:$L,'ON Call_Call Out Activities'!$F:$F,"Non_workdays",'ON Call_Call Out Activities'!$B:$B,CPY!B376)) *24,1)</f>
        <v>0</v>
      </c>
      <c r="Z376" s="63">
        <f>ROUNDUP((SUMIFS('ON Call_Call Out Activities'!$M:$M,'ON Call_Call Out Activities'!$F:$F,"Non_workdays",'ON Call_Call Out Activities'!$B:$B,CPY!B376)),1) + ROUNDUP((SUMIFS('ON Call_Call Out Activities'!$M:$M,'ON Call_Call Out Activities'!$F:$F,"Workdays",'ON Call_Call Out Activities'!$B:$B,CPY!B376)),1)</f>
        <v>0</v>
      </c>
      <c r="AA376" s="66"/>
      <c r="AB376" s="64">
        <f>ROUNDUP((SUMIFS('ON Call_Call Out Activities'!$L:$L,'ON Call_Call Out Activities'!$F:$F,"Call_Out",'ON Call_Call Out Activities'!$B:$B,CPY!B376)) *24,1)</f>
        <v>0</v>
      </c>
      <c r="AC376" s="63">
        <f>ROUNDUP((SUMIFS('ON Call_Call Out Activities'!$M:$M,'ON Call_Call Out Activities'!$F:$F,"Call_Out",'ON Call_Call Out Activities'!$B:$B,CPY!B376)),1)</f>
        <v>0</v>
      </c>
      <c r="AE376" s="65">
        <f>IF((SUMIF(Shift_allowance_Entries!$B:$B,CPY!$B376,Shift_allowance_Entries!$H:$H)) &gt; (SUMIF(Shift_allowance_Entries!$B:$B,CPY!$B376,Shift_allowance_Entries!$G:$G)),0,((SUMIF(Shift_allowance_Entries!$B:$B,CPY!$B376,Shift_allowance_Entries!$G:$G))-(SUMIF(Shift_allowance_Entries!$B:$B,CPY!$B376,Shift_allowance_Entries!$H:$H))))</f>
        <v>0</v>
      </c>
      <c r="AF376" s="63">
        <f>AE376*MD!$S$4</f>
        <v>0</v>
      </c>
    </row>
    <row r="377" spans="1:32" x14ac:dyDescent="0.25">
      <c r="A377" s="62">
        <v>375</v>
      </c>
      <c r="B377" s="62"/>
      <c r="C377" s="50" t="str">
        <f>IF(ISNA(VLOOKUP($B377,Summary!$B:$D,2,FALSE))=TRUE," ",VLOOKUP($B377,Summary!$B:$D,2,FALSE))</f>
        <v> </v>
      </c>
      <c r="D377" s="50" t="str">
        <f>IF(ISNA(VLOOKUP($B377,Summary!$B:$D,3,FALSE))=TRUE," ",VLOOKUP($B377,Summary!$B:$D,3,FALSE))</f>
        <v> </v>
      </c>
      <c r="E377" s="62"/>
      <c r="F377" s="62"/>
      <c r="G377" s="62"/>
      <c r="I377" s="63">
        <f t="shared" si="5"/>
        <v>0</v>
      </c>
      <c r="K377" s="64">
        <f>IF(E377="Support(L1_L2)",IF(NOT(ISBLANK(B377)),IF(NOT(ISBLANK(D377)),NETWORKDAYS('CPY TOC'!$F$5,'CPY TOC'!$G$5))))-L377</f>
        <v>0</v>
      </c>
      <c r="L377" s="64">
        <f>IF(E377="Support(L1_L2)",SUMIFS(Support_allowance_Entries!$G:$G,Support_allowance_Entries!$B:$B,CPY!B377),0)</f>
        <v>0</v>
      </c>
      <c r="M377" s="63" t="b">
        <f>IF($D377="D0",MD!$C$4*(K377),IF($D377="D1",MD!$C$5*(K377),IF($D377="D2",MD!$C$6*(K377),IF($D377="D3",MD!$C$7*(K377),IF($D377="D4",MD!$C$8*(K377),IF($D377="D5",MD!$C$9*(K377),IF($D377="M1",MD!$C$10*(K377),IF($D377="T1",MD!$C$11*(K377)))))))))</f>
        <v>0</v>
      </c>
      <c r="O377" s="65">
        <f>SUMIFS(Shift_allowance_Entries!$G:$G,Shift_allowance_Entries!$F:$F,"6:30AM-03:30PM",Shift_allowance_Entries!$B:$B,CPY!$B377)</f>
        <v>0</v>
      </c>
      <c r="P377" s="65">
        <f>SUMIFS(Shift_allowance_Entries!$G:$G,Shift_allowance_Entries!$F:$F,"1-9PM/2:30PM-11:30PM",Shift_allowance_Entries!$B:$B,CPY!$B377)</f>
        <v>0</v>
      </c>
      <c r="Q377" s="65">
        <f>SUMIFS(Shift_allowance_Entries!$G:$G,Shift_allowance_Entries!$F:$F,"11PM-7AM",Shift_allowance_Entries!$B:$B,CPY!$B377)</f>
        <v>0</v>
      </c>
      <c r="R377" s="63">
        <f>(CPY!O377*MD!$F$4)+(CPY!P377*MD!$F$5)+(CPY!Q377*MD!$F$6)</f>
        <v>0</v>
      </c>
      <c r="T377" s="64">
        <f>ROUNDUP((SUMIFS('OOH Activities'!$K:$K,'OOH Activities'!$F:$F,"Non_workdays",'OOH Activities'!$B:$B,CPY!B377)) *24,1)</f>
        <v>0</v>
      </c>
      <c r="U377" s="64">
        <f>ROUNDUP((SUMIFS('OOH Activities'!$K:$K,'OOH Activities'!$F:$F,"Workdays",'OOH Activities'!$B:$B,CPY!B377)) *24,1)</f>
        <v>0</v>
      </c>
      <c r="V377" s="63">
        <f>ROUNDUP((SUMIFS('OOH Activities'!$L:$L,'OOH Activities'!$B:$B,CPY!B377)),1)</f>
        <v>0</v>
      </c>
      <c r="X377" s="65">
        <f>ROUNDUP((SUMIFS('ON Call_Call Out Activities'!$L:$L,'ON Call_Call Out Activities'!$F:$F,"Workdays",'ON Call_Call Out Activities'!$B:$B,CPY!B377))*24,1)</f>
        <v>0</v>
      </c>
      <c r="Y377" s="64">
        <f>ROUNDUP((SUMIFS('ON Call_Call Out Activities'!$L:$L,'ON Call_Call Out Activities'!$F:$F,"Non_workdays",'ON Call_Call Out Activities'!$B:$B,CPY!B377)) *24,1)</f>
        <v>0</v>
      </c>
      <c r="Z377" s="63">
        <f>ROUNDUP((SUMIFS('ON Call_Call Out Activities'!$M:$M,'ON Call_Call Out Activities'!$F:$F,"Non_workdays",'ON Call_Call Out Activities'!$B:$B,CPY!B377)),1) + ROUNDUP((SUMIFS('ON Call_Call Out Activities'!$M:$M,'ON Call_Call Out Activities'!$F:$F,"Workdays",'ON Call_Call Out Activities'!$B:$B,CPY!B377)),1)</f>
        <v>0</v>
      </c>
      <c r="AA377" s="66"/>
      <c r="AB377" s="64">
        <f>ROUNDUP((SUMIFS('ON Call_Call Out Activities'!$L:$L,'ON Call_Call Out Activities'!$F:$F,"Call_Out",'ON Call_Call Out Activities'!$B:$B,CPY!B377)) *24,1)</f>
        <v>0</v>
      </c>
      <c r="AC377" s="63">
        <f>ROUNDUP((SUMIFS('ON Call_Call Out Activities'!$M:$M,'ON Call_Call Out Activities'!$F:$F,"Call_Out",'ON Call_Call Out Activities'!$B:$B,CPY!B377)),1)</f>
        <v>0</v>
      </c>
      <c r="AE377" s="65">
        <f>IF((SUMIF(Shift_allowance_Entries!$B:$B,CPY!$B377,Shift_allowance_Entries!$H:$H)) &gt; (SUMIF(Shift_allowance_Entries!$B:$B,CPY!$B377,Shift_allowance_Entries!$G:$G)),0,((SUMIF(Shift_allowance_Entries!$B:$B,CPY!$B377,Shift_allowance_Entries!$G:$G))-(SUMIF(Shift_allowance_Entries!$B:$B,CPY!$B377,Shift_allowance_Entries!$H:$H))))</f>
        <v>0</v>
      </c>
      <c r="AF377" s="63">
        <f>AE377*MD!$S$4</f>
        <v>0</v>
      </c>
    </row>
    <row r="378" spans="1:32" x14ac:dyDescent="0.25">
      <c r="A378" s="62">
        <v>376</v>
      </c>
      <c r="B378" s="62"/>
      <c r="C378" s="50" t="str">
        <f>IF(ISNA(VLOOKUP($B378,Summary!$B:$D,2,FALSE))=TRUE," ",VLOOKUP($B378,Summary!$B:$D,2,FALSE))</f>
        <v> </v>
      </c>
      <c r="D378" s="50" t="str">
        <f>IF(ISNA(VLOOKUP($B378,Summary!$B:$D,3,FALSE))=TRUE," ",VLOOKUP($B378,Summary!$B:$D,3,FALSE))</f>
        <v> </v>
      </c>
      <c r="E378" s="62"/>
      <c r="F378" s="62"/>
      <c r="G378" s="62"/>
      <c r="I378" s="63">
        <f t="shared" si="5"/>
        <v>0</v>
      </c>
      <c r="K378" s="64">
        <f>IF(E378="Support(L1_L2)",IF(NOT(ISBLANK(B378)),IF(NOT(ISBLANK(D378)),NETWORKDAYS('CPY TOC'!$F$5,'CPY TOC'!$G$5))))-L378</f>
        <v>0</v>
      </c>
      <c r="L378" s="64">
        <f>IF(E378="Support(L1_L2)",SUMIFS(Support_allowance_Entries!$G:$G,Support_allowance_Entries!$B:$B,CPY!B378),0)</f>
        <v>0</v>
      </c>
      <c r="M378" s="63" t="b">
        <f>IF($D378="D0",MD!$C$4*(K378),IF($D378="D1",MD!$C$5*(K378),IF($D378="D2",MD!$C$6*(K378),IF($D378="D3",MD!$C$7*(K378),IF($D378="D4",MD!$C$8*(K378),IF($D378="D5",MD!$C$9*(K378),IF($D378="M1",MD!$C$10*(K378),IF($D378="T1",MD!$C$11*(K378)))))))))</f>
        <v>0</v>
      </c>
      <c r="O378" s="65">
        <f>SUMIFS(Shift_allowance_Entries!$G:$G,Shift_allowance_Entries!$F:$F,"6:30AM-03:30PM",Shift_allowance_Entries!$B:$B,CPY!$B378)</f>
        <v>0</v>
      </c>
      <c r="P378" s="65">
        <f>SUMIFS(Shift_allowance_Entries!$G:$G,Shift_allowance_Entries!$F:$F,"1-9PM/2:30PM-11:30PM",Shift_allowance_Entries!$B:$B,CPY!$B378)</f>
        <v>0</v>
      </c>
      <c r="Q378" s="65">
        <f>SUMIFS(Shift_allowance_Entries!$G:$G,Shift_allowance_Entries!$F:$F,"11PM-7AM",Shift_allowance_Entries!$B:$B,CPY!$B378)</f>
        <v>0</v>
      </c>
      <c r="R378" s="63">
        <f>(CPY!O378*MD!$F$4)+(CPY!P378*MD!$F$5)+(CPY!Q378*MD!$F$6)</f>
        <v>0</v>
      </c>
      <c r="T378" s="64">
        <f>ROUNDUP((SUMIFS('OOH Activities'!$K:$K,'OOH Activities'!$F:$F,"Non_workdays",'OOH Activities'!$B:$B,CPY!B378)) *24,1)</f>
        <v>0</v>
      </c>
      <c r="U378" s="64">
        <f>ROUNDUP((SUMIFS('OOH Activities'!$K:$K,'OOH Activities'!$F:$F,"Workdays",'OOH Activities'!$B:$B,CPY!B378)) *24,1)</f>
        <v>0</v>
      </c>
      <c r="V378" s="63">
        <f>ROUNDUP((SUMIFS('OOH Activities'!$L:$L,'OOH Activities'!$B:$B,CPY!B378)),1)</f>
        <v>0</v>
      </c>
      <c r="X378" s="65">
        <f>ROUNDUP((SUMIFS('ON Call_Call Out Activities'!$L:$L,'ON Call_Call Out Activities'!$F:$F,"Workdays",'ON Call_Call Out Activities'!$B:$B,CPY!B378))*24,1)</f>
        <v>0</v>
      </c>
      <c r="Y378" s="64">
        <f>ROUNDUP((SUMIFS('ON Call_Call Out Activities'!$L:$L,'ON Call_Call Out Activities'!$F:$F,"Non_workdays",'ON Call_Call Out Activities'!$B:$B,CPY!B378)) *24,1)</f>
        <v>0</v>
      </c>
      <c r="Z378" s="63">
        <f>ROUNDUP((SUMIFS('ON Call_Call Out Activities'!$M:$M,'ON Call_Call Out Activities'!$F:$F,"Non_workdays",'ON Call_Call Out Activities'!$B:$B,CPY!B378)),1) + ROUNDUP((SUMIFS('ON Call_Call Out Activities'!$M:$M,'ON Call_Call Out Activities'!$F:$F,"Workdays",'ON Call_Call Out Activities'!$B:$B,CPY!B378)),1)</f>
        <v>0</v>
      </c>
      <c r="AA378" s="66"/>
      <c r="AB378" s="64">
        <f>ROUNDUP((SUMIFS('ON Call_Call Out Activities'!$L:$L,'ON Call_Call Out Activities'!$F:$F,"Call_Out",'ON Call_Call Out Activities'!$B:$B,CPY!B378)) *24,1)</f>
        <v>0</v>
      </c>
      <c r="AC378" s="63">
        <f>ROUNDUP((SUMIFS('ON Call_Call Out Activities'!$M:$M,'ON Call_Call Out Activities'!$F:$F,"Call_Out",'ON Call_Call Out Activities'!$B:$B,CPY!B378)),1)</f>
        <v>0</v>
      </c>
      <c r="AE378" s="65">
        <f>IF((SUMIF(Shift_allowance_Entries!$B:$B,CPY!$B378,Shift_allowance_Entries!$H:$H)) &gt; (SUMIF(Shift_allowance_Entries!$B:$B,CPY!$B378,Shift_allowance_Entries!$G:$G)),0,((SUMIF(Shift_allowance_Entries!$B:$B,CPY!$B378,Shift_allowance_Entries!$G:$G))-(SUMIF(Shift_allowance_Entries!$B:$B,CPY!$B378,Shift_allowance_Entries!$H:$H))))</f>
        <v>0</v>
      </c>
      <c r="AF378" s="63">
        <f>AE378*MD!$S$4</f>
        <v>0</v>
      </c>
    </row>
    <row r="379" spans="1:32" x14ac:dyDescent="0.25">
      <c r="A379" s="62">
        <v>377</v>
      </c>
      <c r="B379" s="62"/>
      <c r="C379" s="50" t="str">
        <f>IF(ISNA(VLOOKUP($B379,Summary!$B:$D,2,FALSE))=TRUE," ",VLOOKUP($B379,Summary!$B:$D,2,FALSE))</f>
        <v> </v>
      </c>
      <c r="D379" s="50" t="str">
        <f>IF(ISNA(VLOOKUP($B379,Summary!$B:$D,3,FALSE))=TRUE," ",VLOOKUP($B379,Summary!$B:$D,3,FALSE))</f>
        <v> </v>
      </c>
      <c r="E379" s="62"/>
      <c r="F379" s="62"/>
      <c r="G379" s="62"/>
      <c r="I379" s="63">
        <f t="shared" si="5"/>
        <v>0</v>
      </c>
      <c r="K379" s="64">
        <f>IF(E379="Support(L1_L2)",IF(NOT(ISBLANK(B379)),IF(NOT(ISBLANK(D379)),NETWORKDAYS('CPY TOC'!$F$5,'CPY TOC'!$G$5))))-L379</f>
        <v>0</v>
      </c>
      <c r="L379" s="64">
        <f>IF(E379="Support(L1_L2)",SUMIFS(Support_allowance_Entries!$G:$G,Support_allowance_Entries!$B:$B,CPY!B379),0)</f>
        <v>0</v>
      </c>
      <c r="M379" s="63" t="b">
        <f>IF($D379="D0",MD!$C$4*(K379),IF($D379="D1",MD!$C$5*(K379),IF($D379="D2",MD!$C$6*(K379),IF($D379="D3",MD!$C$7*(K379),IF($D379="D4",MD!$C$8*(K379),IF($D379="D5",MD!$C$9*(K379),IF($D379="M1",MD!$C$10*(K379),IF($D379="T1",MD!$C$11*(K379)))))))))</f>
        <v>0</v>
      </c>
      <c r="O379" s="65">
        <f>SUMIFS(Shift_allowance_Entries!$G:$G,Shift_allowance_Entries!$F:$F,"6:30AM-03:30PM",Shift_allowance_Entries!$B:$B,CPY!$B379)</f>
        <v>0</v>
      </c>
      <c r="P379" s="65">
        <f>SUMIFS(Shift_allowance_Entries!$G:$G,Shift_allowance_Entries!$F:$F,"1-9PM/2:30PM-11:30PM",Shift_allowance_Entries!$B:$B,CPY!$B379)</f>
        <v>0</v>
      </c>
      <c r="Q379" s="65">
        <f>SUMIFS(Shift_allowance_Entries!$G:$G,Shift_allowance_Entries!$F:$F,"11PM-7AM",Shift_allowance_Entries!$B:$B,CPY!$B379)</f>
        <v>0</v>
      </c>
      <c r="R379" s="63">
        <f>(CPY!O379*MD!$F$4)+(CPY!P379*MD!$F$5)+(CPY!Q379*MD!$F$6)</f>
        <v>0</v>
      </c>
      <c r="T379" s="64">
        <f>ROUNDUP((SUMIFS('OOH Activities'!$K:$K,'OOH Activities'!$F:$F,"Non_workdays",'OOH Activities'!$B:$B,CPY!B379)) *24,1)</f>
        <v>0</v>
      </c>
      <c r="U379" s="64">
        <f>ROUNDUP((SUMIFS('OOH Activities'!$K:$K,'OOH Activities'!$F:$F,"Workdays",'OOH Activities'!$B:$B,CPY!B379)) *24,1)</f>
        <v>0</v>
      </c>
      <c r="V379" s="63">
        <f>ROUNDUP((SUMIFS('OOH Activities'!$L:$L,'OOH Activities'!$B:$B,CPY!B379)),1)</f>
        <v>0</v>
      </c>
      <c r="X379" s="65">
        <f>ROUNDUP((SUMIFS('ON Call_Call Out Activities'!$L:$L,'ON Call_Call Out Activities'!$F:$F,"Workdays",'ON Call_Call Out Activities'!$B:$B,CPY!B379))*24,1)</f>
        <v>0</v>
      </c>
      <c r="Y379" s="64">
        <f>ROUNDUP((SUMIFS('ON Call_Call Out Activities'!$L:$L,'ON Call_Call Out Activities'!$F:$F,"Non_workdays",'ON Call_Call Out Activities'!$B:$B,CPY!B379)) *24,1)</f>
        <v>0</v>
      </c>
      <c r="Z379" s="63">
        <f>ROUNDUP((SUMIFS('ON Call_Call Out Activities'!$M:$M,'ON Call_Call Out Activities'!$F:$F,"Non_workdays",'ON Call_Call Out Activities'!$B:$B,CPY!B379)),1) + ROUNDUP((SUMIFS('ON Call_Call Out Activities'!$M:$M,'ON Call_Call Out Activities'!$F:$F,"Workdays",'ON Call_Call Out Activities'!$B:$B,CPY!B379)),1)</f>
        <v>0</v>
      </c>
      <c r="AA379" s="66"/>
      <c r="AB379" s="64">
        <f>ROUNDUP((SUMIFS('ON Call_Call Out Activities'!$L:$L,'ON Call_Call Out Activities'!$F:$F,"Call_Out",'ON Call_Call Out Activities'!$B:$B,CPY!B379)) *24,1)</f>
        <v>0</v>
      </c>
      <c r="AC379" s="63">
        <f>ROUNDUP((SUMIFS('ON Call_Call Out Activities'!$M:$M,'ON Call_Call Out Activities'!$F:$F,"Call_Out",'ON Call_Call Out Activities'!$B:$B,CPY!B379)),1)</f>
        <v>0</v>
      </c>
      <c r="AE379" s="65">
        <f>IF((SUMIF(Shift_allowance_Entries!$B:$B,CPY!$B379,Shift_allowance_Entries!$H:$H)) &gt; (SUMIF(Shift_allowance_Entries!$B:$B,CPY!$B379,Shift_allowance_Entries!$G:$G)),0,((SUMIF(Shift_allowance_Entries!$B:$B,CPY!$B379,Shift_allowance_Entries!$G:$G))-(SUMIF(Shift_allowance_Entries!$B:$B,CPY!$B379,Shift_allowance_Entries!$H:$H))))</f>
        <v>0</v>
      </c>
      <c r="AF379" s="63">
        <f>AE379*MD!$S$4</f>
        <v>0</v>
      </c>
    </row>
    <row r="380" spans="1:32" x14ac:dyDescent="0.25">
      <c r="A380" s="62">
        <v>378</v>
      </c>
      <c r="B380" s="62"/>
      <c r="C380" s="50" t="str">
        <f>IF(ISNA(VLOOKUP($B380,Summary!$B:$D,2,FALSE))=TRUE," ",VLOOKUP($B380,Summary!$B:$D,2,FALSE))</f>
        <v> </v>
      </c>
      <c r="D380" s="50" t="str">
        <f>IF(ISNA(VLOOKUP($B380,Summary!$B:$D,3,FALSE))=TRUE," ",VLOOKUP($B380,Summary!$B:$D,3,FALSE))</f>
        <v> </v>
      </c>
      <c r="E380" s="62"/>
      <c r="F380" s="62"/>
      <c r="G380" s="62"/>
      <c r="I380" s="63">
        <f t="shared" si="5"/>
        <v>0</v>
      </c>
      <c r="K380" s="64">
        <f>IF(E380="Support(L1_L2)",IF(NOT(ISBLANK(B380)),IF(NOT(ISBLANK(D380)),NETWORKDAYS('CPY TOC'!$F$5,'CPY TOC'!$G$5))))-L380</f>
        <v>0</v>
      </c>
      <c r="L380" s="64">
        <f>IF(E380="Support(L1_L2)",SUMIFS(Support_allowance_Entries!$G:$G,Support_allowance_Entries!$B:$B,CPY!B380),0)</f>
        <v>0</v>
      </c>
      <c r="M380" s="63" t="b">
        <f>IF($D380="D0",MD!$C$4*(K380),IF($D380="D1",MD!$C$5*(K380),IF($D380="D2",MD!$C$6*(K380),IF($D380="D3",MD!$C$7*(K380),IF($D380="D4",MD!$C$8*(K380),IF($D380="D5",MD!$C$9*(K380),IF($D380="M1",MD!$C$10*(K380),IF($D380="T1",MD!$C$11*(K380)))))))))</f>
        <v>0</v>
      </c>
      <c r="O380" s="65">
        <f>SUMIFS(Shift_allowance_Entries!$G:$G,Shift_allowance_Entries!$F:$F,"6:30AM-03:30PM",Shift_allowance_Entries!$B:$B,CPY!$B380)</f>
        <v>0</v>
      </c>
      <c r="P380" s="65">
        <f>SUMIFS(Shift_allowance_Entries!$G:$G,Shift_allowance_Entries!$F:$F,"1-9PM/2:30PM-11:30PM",Shift_allowance_Entries!$B:$B,CPY!$B380)</f>
        <v>0</v>
      </c>
      <c r="Q380" s="65">
        <f>SUMIFS(Shift_allowance_Entries!$G:$G,Shift_allowance_Entries!$F:$F,"11PM-7AM",Shift_allowance_Entries!$B:$B,CPY!$B380)</f>
        <v>0</v>
      </c>
      <c r="R380" s="63">
        <f>(CPY!O380*MD!$F$4)+(CPY!P380*MD!$F$5)+(CPY!Q380*MD!$F$6)</f>
        <v>0</v>
      </c>
      <c r="T380" s="64">
        <f>ROUNDUP((SUMIFS('OOH Activities'!$K:$K,'OOH Activities'!$F:$F,"Non_workdays",'OOH Activities'!$B:$B,CPY!B380)) *24,1)</f>
        <v>0</v>
      </c>
      <c r="U380" s="64">
        <f>ROUNDUP((SUMIFS('OOH Activities'!$K:$K,'OOH Activities'!$F:$F,"Workdays",'OOH Activities'!$B:$B,CPY!B380)) *24,1)</f>
        <v>0</v>
      </c>
      <c r="V380" s="63">
        <f>ROUNDUP((SUMIFS('OOH Activities'!$L:$L,'OOH Activities'!$B:$B,CPY!B380)),1)</f>
        <v>0</v>
      </c>
      <c r="X380" s="65">
        <f>ROUNDUP((SUMIFS('ON Call_Call Out Activities'!$L:$L,'ON Call_Call Out Activities'!$F:$F,"Workdays",'ON Call_Call Out Activities'!$B:$B,CPY!B380))*24,1)</f>
        <v>0</v>
      </c>
      <c r="Y380" s="64">
        <f>ROUNDUP((SUMIFS('ON Call_Call Out Activities'!$L:$L,'ON Call_Call Out Activities'!$F:$F,"Non_workdays",'ON Call_Call Out Activities'!$B:$B,CPY!B380)) *24,1)</f>
        <v>0</v>
      </c>
      <c r="Z380" s="63">
        <f>ROUNDUP((SUMIFS('ON Call_Call Out Activities'!$M:$M,'ON Call_Call Out Activities'!$F:$F,"Non_workdays",'ON Call_Call Out Activities'!$B:$B,CPY!B380)),1) + ROUNDUP((SUMIFS('ON Call_Call Out Activities'!$M:$M,'ON Call_Call Out Activities'!$F:$F,"Workdays",'ON Call_Call Out Activities'!$B:$B,CPY!B380)),1)</f>
        <v>0</v>
      </c>
      <c r="AA380" s="66"/>
      <c r="AB380" s="64">
        <f>ROUNDUP((SUMIFS('ON Call_Call Out Activities'!$L:$L,'ON Call_Call Out Activities'!$F:$F,"Call_Out",'ON Call_Call Out Activities'!$B:$B,CPY!B380)) *24,1)</f>
        <v>0</v>
      </c>
      <c r="AC380" s="63">
        <f>ROUNDUP((SUMIFS('ON Call_Call Out Activities'!$M:$M,'ON Call_Call Out Activities'!$F:$F,"Call_Out",'ON Call_Call Out Activities'!$B:$B,CPY!B380)),1)</f>
        <v>0</v>
      </c>
      <c r="AE380" s="65">
        <f>IF((SUMIF(Shift_allowance_Entries!$B:$B,CPY!$B380,Shift_allowance_Entries!$H:$H)) &gt; (SUMIF(Shift_allowance_Entries!$B:$B,CPY!$B380,Shift_allowance_Entries!$G:$G)),0,((SUMIF(Shift_allowance_Entries!$B:$B,CPY!$B380,Shift_allowance_Entries!$G:$G))-(SUMIF(Shift_allowance_Entries!$B:$B,CPY!$B380,Shift_allowance_Entries!$H:$H))))</f>
        <v>0</v>
      </c>
      <c r="AF380" s="63">
        <f>AE380*MD!$S$4</f>
        <v>0</v>
      </c>
    </row>
    <row r="381" spans="1:32" x14ac:dyDescent="0.25">
      <c r="A381" s="62">
        <v>379</v>
      </c>
      <c r="B381" s="62"/>
      <c r="C381" s="50" t="str">
        <f>IF(ISNA(VLOOKUP($B381,Summary!$B:$D,2,FALSE))=TRUE," ",VLOOKUP($B381,Summary!$B:$D,2,FALSE))</f>
        <v> </v>
      </c>
      <c r="D381" s="50" t="str">
        <f>IF(ISNA(VLOOKUP($B381,Summary!$B:$D,3,FALSE))=TRUE," ",VLOOKUP($B381,Summary!$B:$D,3,FALSE))</f>
        <v> </v>
      </c>
      <c r="E381" s="62"/>
      <c r="F381" s="62"/>
      <c r="G381" s="62"/>
      <c r="I381" s="63">
        <f t="shared" si="5"/>
        <v>0</v>
      </c>
      <c r="K381" s="64">
        <f>IF(E381="Support(L1_L2)",IF(NOT(ISBLANK(B381)),IF(NOT(ISBLANK(D381)),NETWORKDAYS('CPY TOC'!$F$5,'CPY TOC'!$G$5))))-L381</f>
        <v>0</v>
      </c>
      <c r="L381" s="64">
        <f>IF(E381="Support(L1_L2)",SUMIFS(Support_allowance_Entries!$G:$G,Support_allowance_Entries!$B:$B,CPY!B381),0)</f>
        <v>0</v>
      </c>
      <c r="M381" s="63" t="b">
        <f>IF($D381="D0",MD!$C$4*(K381),IF($D381="D1",MD!$C$5*(K381),IF($D381="D2",MD!$C$6*(K381),IF($D381="D3",MD!$C$7*(K381),IF($D381="D4",MD!$C$8*(K381),IF($D381="D5",MD!$C$9*(K381),IF($D381="M1",MD!$C$10*(K381),IF($D381="T1",MD!$C$11*(K381)))))))))</f>
        <v>0</v>
      </c>
      <c r="O381" s="65">
        <f>SUMIFS(Shift_allowance_Entries!$G:$G,Shift_allowance_Entries!$F:$F,"6:30AM-03:30PM",Shift_allowance_Entries!$B:$B,CPY!$B381)</f>
        <v>0</v>
      </c>
      <c r="P381" s="65">
        <f>SUMIFS(Shift_allowance_Entries!$G:$G,Shift_allowance_Entries!$F:$F,"1-9PM/2:30PM-11:30PM",Shift_allowance_Entries!$B:$B,CPY!$B381)</f>
        <v>0</v>
      </c>
      <c r="Q381" s="65">
        <f>SUMIFS(Shift_allowance_Entries!$G:$G,Shift_allowance_Entries!$F:$F,"11PM-7AM",Shift_allowance_Entries!$B:$B,CPY!$B381)</f>
        <v>0</v>
      </c>
      <c r="R381" s="63">
        <f>(CPY!O381*MD!$F$4)+(CPY!P381*MD!$F$5)+(CPY!Q381*MD!$F$6)</f>
        <v>0</v>
      </c>
      <c r="T381" s="64">
        <f>ROUNDUP((SUMIFS('OOH Activities'!$K:$K,'OOH Activities'!$F:$F,"Non_workdays",'OOH Activities'!$B:$B,CPY!B381)) *24,1)</f>
        <v>0</v>
      </c>
      <c r="U381" s="64">
        <f>ROUNDUP((SUMIFS('OOH Activities'!$K:$K,'OOH Activities'!$F:$F,"Workdays",'OOH Activities'!$B:$B,CPY!B381)) *24,1)</f>
        <v>0</v>
      </c>
      <c r="V381" s="63">
        <f>ROUNDUP((SUMIFS('OOH Activities'!$L:$L,'OOH Activities'!$B:$B,CPY!B381)),1)</f>
        <v>0</v>
      </c>
      <c r="X381" s="65">
        <f>ROUNDUP((SUMIFS('ON Call_Call Out Activities'!$L:$L,'ON Call_Call Out Activities'!$F:$F,"Workdays",'ON Call_Call Out Activities'!$B:$B,CPY!B381))*24,1)</f>
        <v>0</v>
      </c>
      <c r="Y381" s="64">
        <f>ROUNDUP((SUMIFS('ON Call_Call Out Activities'!$L:$L,'ON Call_Call Out Activities'!$F:$F,"Non_workdays",'ON Call_Call Out Activities'!$B:$B,CPY!B381)) *24,1)</f>
        <v>0</v>
      </c>
      <c r="Z381" s="63">
        <f>ROUNDUP((SUMIFS('ON Call_Call Out Activities'!$M:$M,'ON Call_Call Out Activities'!$F:$F,"Non_workdays",'ON Call_Call Out Activities'!$B:$B,CPY!B381)),1) + ROUNDUP((SUMIFS('ON Call_Call Out Activities'!$M:$M,'ON Call_Call Out Activities'!$F:$F,"Workdays",'ON Call_Call Out Activities'!$B:$B,CPY!B381)),1)</f>
        <v>0</v>
      </c>
      <c r="AA381" s="66"/>
      <c r="AB381" s="64">
        <f>ROUNDUP((SUMIFS('ON Call_Call Out Activities'!$L:$L,'ON Call_Call Out Activities'!$F:$F,"Call_Out",'ON Call_Call Out Activities'!$B:$B,CPY!B381)) *24,1)</f>
        <v>0</v>
      </c>
      <c r="AC381" s="63">
        <f>ROUNDUP((SUMIFS('ON Call_Call Out Activities'!$M:$M,'ON Call_Call Out Activities'!$F:$F,"Call_Out",'ON Call_Call Out Activities'!$B:$B,CPY!B381)),1)</f>
        <v>0</v>
      </c>
      <c r="AE381" s="65">
        <f>IF((SUMIF(Shift_allowance_Entries!$B:$B,CPY!$B381,Shift_allowance_Entries!$H:$H)) &gt; (SUMIF(Shift_allowance_Entries!$B:$B,CPY!$B381,Shift_allowance_Entries!$G:$G)),0,((SUMIF(Shift_allowance_Entries!$B:$B,CPY!$B381,Shift_allowance_Entries!$G:$G))-(SUMIF(Shift_allowance_Entries!$B:$B,CPY!$B381,Shift_allowance_Entries!$H:$H))))</f>
        <v>0</v>
      </c>
      <c r="AF381" s="63">
        <f>AE381*MD!$S$4</f>
        <v>0</v>
      </c>
    </row>
    <row r="382" spans="1:32" x14ac:dyDescent="0.25">
      <c r="A382" s="62">
        <v>380</v>
      </c>
      <c r="B382" s="62"/>
      <c r="C382" s="50" t="str">
        <f>IF(ISNA(VLOOKUP($B382,Summary!$B:$D,2,FALSE))=TRUE," ",VLOOKUP($B382,Summary!$B:$D,2,FALSE))</f>
        <v> </v>
      </c>
      <c r="D382" s="50" t="str">
        <f>IF(ISNA(VLOOKUP($B382,Summary!$B:$D,3,FALSE))=TRUE," ",VLOOKUP($B382,Summary!$B:$D,3,FALSE))</f>
        <v> </v>
      </c>
      <c r="E382" s="62"/>
      <c r="F382" s="62"/>
      <c r="G382" s="62"/>
      <c r="I382" s="63">
        <f t="shared" si="5"/>
        <v>0</v>
      </c>
      <c r="K382" s="64">
        <f>IF(E382="Support(L1_L2)",IF(NOT(ISBLANK(B382)),IF(NOT(ISBLANK(D382)),NETWORKDAYS('CPY TOC'!$F$5,'CPY TOC'!$G$5))))-L382</f>
        <v>0</v>
      </c>
      <c r="L382" s="64">
        <f>IF(E382="Support(L1_L2)",SUMIFS(Support_allowance_Entries!$G:$G,Support_allowance_Entries!$B:$B,CPY!B382),0)</f>
        <v>0</v>
      </c>
      <c r="M382" s="63" t="b">
        <f>IF($D382="D0",MD!$C$4*(K382),IF($D382="D1",MD!$C$5*(K382),IF($D382="D2",MD!$C$6*(K382),IF($D382="D3",MD!$C$7*(K382),IF($D382="D4",MD!$C$8*(K382),IF($D382="D5",MD!$C$9*(K382),IF($D382="M1",MD!$C$10*(K382),IF($D382="T1",MD!$C$11*(K382)))))))))</f>
        <v>0</v>
      </c>
      <c r="O382" s="65">
        <f>SUMIFS(Shift_allowance_Entries!$G:$G,Shift_allowance_Entries!$F:$F,"6:30AM-03:30PM",Shift_allowance_Entries!$B:$B,CPY!$B382)</f>
        <v>0</v>
      </c>
      <c r="P382" s="65">
        <f>SUMIFS(Shift_allowance_Entries!$G:$G,Shift_allowance_Entries!$F:$F,"1-9PM/2:30PM-11:30PM",Shift_allowance_Entries!$B:$B,CPY!$B382)</f>
        <v>0</v>
      </c>
      <c r="Q382" s="65">
        <f>SUMIFS(Shift_allowance_Entries!$G:$G,Shift_allowance_Entries!$F:$F,"11PM-7AM",Shift_allowance_Entries!$B:$B,CPY!$B382)</f>
        <v>0</v>
      </c>
      <c r="R382" s="63">
        <f>(CPY!O382*MD!$F$4)+(CPY!P382*MD!$F$5)+(CPY!Q382*MD!$F$6)</f>
        <v>0</v>
      </c>
      <c r="T382" s="64">
        <f>ROUNDUP((SUMIFS('OOH Activities'!$K:$K,'OOH Activities'!$F:$F,"Non_workdays",'OOH Activities'!$B:$B,CPY!B382)) *24,1)</f>
        <v>0</v>
      </c>
      <c r="U382" s="64">
        <f>ROUNDUP((SUMIFS('OOH Activities'!$K:$K,'OOH Activities'!$F:$F,"Workdays",'OOH Activities'!$B:$B,CPY!B382)) *24,1)</f>
        <v>0</v>
      </c>
      <c r="V382" s="63">
        <f>ROUNDUP((SUMIFS('OOH Activities'!$L:$L,'OOH Activities'!$B:$B,CPY!B382)),1)</f>
        <v>0</v>
      </c>
      <c r="X382" s="65">
        <f>ROUNDUP((SUMIFS('ON Call_Call Out Activities'!$L:$L,'ON Call_Call Out Activities'!$F:$F,"Workdays",'ON Call_Call Out Activities'!$B:$B,CPY!B382))*24,1)</f>
        <v>0</v>
      </c>
      <c r="Y382" s="64">
        <f>ROUNDUP((SUMIFS('ON Call_Call Out Activities'!$L:$L,'ON Call_Call Out Activities'!$F:$F,"Non_workdays",'ON Call_Call Out Activities'!$B:$B,CPY!B382)) *24,1)</f>
        <v>0</v>
      </c>
      <c r="Z382" s="63">
        <f>ROUNDUP((SUMIFS('ON Call_Call Out Activities'!$M:$M,'ON Call_Call Out Activities'!$F:$F,"Non_workdays",'ON Call_Call Out Activities'!$B:$B,CPY!B382)),1) + ROUNDUP((SUMIFS('ON Call_Call Out Activities'!$M:$M,'ON Call_Call Out Activities'!$F:$F,"Workdays",'ON Call_Call Out Activities'!$B:$B,CPY!B382)),1)</f>
        <v>0</v>
      </c>
      <c r="AA382" s="66"/>
      <c r="AB382" s="64">
        <f>ROUNDUP((SUMIFS('ON Call_Call Out Activities'!$L:$L,'ON Call_Call Out Activities'!$F:$F,"Call_Out",'ON Call_Call Out Activities'!$B:$B,CPY!B382)) *24,1)</f>
        <v>0</v>
      </c>
      <c r="AC382" s="63">
        <f>ROUNDUP((SUMIFS('ON Call_Call Out Activities'!$M:$M,'ON Call_Call Out Activities'!$F:$F,"Call_Out",'ON Call_Call Out Activities'!$B:$B,CPY!B382)),1)</f>
        <v>0</v>
      </c>
      <c r="AE382" s="65">
        <f>IF((SUMIF(Shift_allowance_Entries!$B:$B,CPY!$B382,Shift_allowance_Entries!$H:$H)) &gt; (SUMIF(Shift_allowance_Entries!$B:$B,CPY!$B382,Shift_allowance_Entries!$G:$G)),0,((SUMIF(Shift_allowance_Entries!$B:$B,CPY!$B382,Shift_allowance_Entries!$G:$G))-(SUMIF(Shift_allowance_Entries!$B:$B,CPY!$B382,Shift_allowance_Entries!$H:$H))))</f>
        <v>0</v>
      </c>
      <c r="AF382" s="63">
        <f>AE382*MD!$S$4</f>
        <v>0</v>
      </c>
    </row>
    <row r="383" spans="1:32" x14ac:dyDescent="0.25">
      <c r="A383" s="62">
        <v>381</v>
      </c>
      <c r="B383" s="62"/>
      <c r="C383" s="50" t="str">
        <f>IF(ISNA(VLOOKUP($B383,Summary!$B:$D,2,FALSE))=TRUE," ",VLOOKUP($B383,Summary!$B:$D,2,FALSE))</f>
        <v> </v>
      </c>
      <c r="D383" s="50" t="str">
        <f>IF(ISNA(VLOOKUP($B383,Summary!$B:$D,3,FALSE))=TRUE," ",VLOOKUP($B383,Summary!$B:$D,3,FALSE))</f>
        <v> </v>
      </c>
      <c r="E383" s="62"/>
      <c r="F383" s="62"/>
      <c r="G383" s="62"/>
      <c r="I383" s="63">
        <f t="shared" si="5"/>
        <v>0</v>
      </c>
      <c r="K383" s="64">
        <f>IF(E383="Support(L1_L2)",IF(NOT(ISBLANK(B383)),IF(NOT(ISBLANK(D383)),NETWORKDAYS('CPY TOC'!$F$5,'CPY TOC'!$G$5))))-L383</f>
        <v>0</v>
      </c>
      <c r="L383" s="64">
        <f>IF(E383="Support(L1_L2)",SUMIFS(Support_allowance_Entries!$G:$G,Support_allowance_Entries!$B:$B,CPY!B383),0)</f>
        <v>0</v>
      </c>
      <c r="M383" s="63" t="b">
        <f>IF($D383="D0",MD!$C$4*(K383),IF($D383="D1",MD!$C$5*(K383),IF($D383="D2",MD!$C$6*(K383),IF($D383="D3",MD!$C$7*(K383),IF($D383="D4",MD!$C$8*(K383),IF($D383="D5",MD!$C$9*(K383),IF($D383="M1",MD!$C$10*(K383),IF($D383="T1",MD!$C$11*(K383)))))))))</f>
        <v>0</v>
      </c>
      <c r="O383" s="65">
        <f>SUMIFS(Shift_allowance_Entries!$G:$G,Shift_allowance_Entries!$F:$F,"6:30AM-03:30PM",Shift_allowance_Entries!$B:$B,CPY!$B383)</f>
        <v>0</v>
      </c>
      <c r="P383" s="65">
        <f>SUMIFS(Shift_allowance_Entries!$G:$G,Shift_allowance_Entries!$F:$F,"1-9PM/2:30PM-11:30PM",Shift_allowance_Entries!$B:$B,CPY!$B383)</f>
        <v>0</v>
      </c>
      <c r="Q383" s="65">
        <f>SUMIFS(Shift_allowance_Entries!$G:$G,Shift_allowance_Entries!$F:$F,"11PM-7AM",Shift_allowance_Entries!$B:$B,CPY!$B383)</f>
        <v>0</v>
      </c>
      <c r="R383" s="63">
        <f>(CPY!O383*MD!$F$4)+(CPY!P383*MD!$F$5)+(CPY!Q383*MD!$F$6)</f>
        <v>0</v>
      </c>
      <c r="T383" s="64">
        <f>ROUNDUP((SUMIFS('OOH Activities'!$K:$K,'OOH Activities'!$F:$F,"Non_workdays",'OOH Activities'!$B:$B,CPY!B383)) *24,1)</f>
        <v>0</v>
      </c>
      <c r="U383" s="64">
        <f>ROUNDUP((SUMIFS('OOH Activities'!$K:$K,'OOH Activities'!$F:$F,"Workdays",'OOH Activities'!$B:$B,CPY!B383)) *24,1)</f>
        <v>0</v>
      </c>
      <c r="V383" s="63">
        <f>ROUNDUP((SUMIFS('OOH Activities'!$L:$L,'OOH Activities'!$B:$B,CPY!B383)),1)</f>
        <v>0</v>
      </c>
      <c r="X383" s="65">
        <f>ROUNDUP((SUMIFS('ON Call_Call Out Activities'!$L:$L,'ON Call_Call Out Activities'!$F:$F,"Workdays",'ON Call_Call Out Activities'!$B:$B,CPY!B383))*24,1)</f>
        <v>0</v>
      </c>
      <c r="Y383" s="64">
        <f>ROUNDUP((SUMIFS('ON Call_Call Out Activities'!$L:$L,'ON Call_Call Out Activities'!$F:$F,"Non_workdays",'ON Call_Call Out Activities'!$B:$B,CPY!B383)) *24,1)</f>
        <v>0</v>
      </c>
      <c r="Z383" s="63">
        <f>ROUNDUP((SUMIFS('ON Call_Call Out Activities'!$M:$M,'ON Call_Call Out Activities'!$F:$F,"Non_workdays",'ON Call_Call Out Activities'!$B:$B,CPY!B383)),1) + ROUNDUP((SUMIFS('ON Call_Call Out Activities'!$M:$M,'ON Call_Call Out Activities'!$F:$F,"Workdays",'ON Call_Call Out Activities'!$B:$B,CPY!B383)),1)</f>
        <v>0</v>
      </c>
      <c r="AA383" s="66"/>
      <c r="AB383" s="64">
        <f>ROUNDUP((SUMIFS('ON Call_Call Out Activities'!$L:$L,'ON Call_Call Out Activities'!$F:$F,"Call_Out",'ON Call_Call Out Activities'!$B:$B,CPY!B383)) *24,1)</f>
        <v>0</v>
      </c>
      <c r="AC383" s="63">
        <f>ROUNDUP((SUMIFS('ON Call_Call Out Activities'!$M:$M,'ON Call_Call Out Activities'!$F:$F,"Call_Out",'ON Call_Call Out Activities'!$B:$B,CPY!B383)),1)</f>
        <v>0</v>
      </c>
      <c r="AE383" s="65">
        <f>IF((SUMIF(Shift_allowance_Entries!$B:$B,CPY!$B383,Shift_allowance_Entries!$H:$H)) &gt; (SUMIF(Shift_allowance_Entries!$B:$B,CPY!$B383,Shift_allowance_Entries!$G:$G)),0,((SUMIF(Shift_allowance_Entries!$B:$B,CPY!$B383,Shift_allowance_Entries!$G:$G))-(SUMIF(Shift_allowance_Entries!$B:$B,CPY!$B383,Shift_allowance_Entries!$H:$H))))</f>
        <v>0</v>
      </c>
      <c r="AF383" s="63">
        <f>AE383*MD!$S$4</f>
        <v>0</v>
      </c>
    </row>
    <row r="384" spans="1:32" x14ac:dyDescent="0.25">
      <c r="A384" s="62">
        <v>382</v>
      </c>
      <c r="B384" s="62"/>
      <c r="C384" s="50" t="str">
        <f>IF(ISNA(VLOOKUP($B384,Summary!$B:$D,2,FALSE))=TRUE," ",VLOOKUP($B384,Summary!$B:$D,2,FALSE))</f>
        <v> </v>
      </c>
      <c r="D384" s="50" t="str">
        <f>IF(ISNA(VLOOKUP($B384,Summary!$B:$D,3,FALSE))=TRUE," ",VLOOKUP($B384,Summary!$B:$D,3,FALSE))</f>
        <v> </v>
      </c>
      <c r="E384" s="62"/>
      <c r="F384" s="62"/>
      <c r="G384" s="62"/>
      <c r="I384" s="63">
        <f t="shared" si="5"/>
        <v>0</v>
      </c>
      <c r="K384" s="64">
        <f>IF(E384="Support(L1_L2)",IF(NOT(ISBLANK(B384)),IF(NOT(ISBLANK(D384)),NETWORKDAYS('CPY TOC'!$F$5,'CPY TOC'!$G$5))))-L384</f>
        <v>0</v>
      </c>
      <c r="L384" s="64">
        <f>IF(E384="Support(L1_L2)",SUMIFS(Support_allowance_Entries!$G:$G,Support_allowance_Entries!$B:$B,CPY!B384),0)</f>
        <v>0</v>
      </c>
      <c r="M384" s="63" t="b">
        <f>IF($D384="D0",MD!$C$4*(K384),IF($D384="D1",MD!$C$5*(K384),IF($D384="D2",MD!$C$6*(K384),IF($D384="D3",MD!$C$7*(K384),IF($D384="D4",MD!$C$8*(K384),IF($D384="D5",MD!$C$9*(K384),IF($D384="M1",MD!$C$10*(K384),IF($D384="T1",MD!$C$11*(K384)))))))))</f>
        <v>0</v>
      </c>
      <c r="O384" s="65">
        <f>SUMIFS(Shift_allowance_Entries!$G:$G,Shift_allowance_Entries!$F:$F,"6:30AM-03:30PM",Shift_allowance_Entries!$B:$B,CPY!$B384)</f>
        <v>0</v>
      </c>
      <c r="P384" s="65">
        <f>SUMIFS(Shift_allowance_Entries!$G:$G,Shift_allowance_Entries!$F:$F,"1-9PM/2:30PM-11:30PM",Shift_allowance_Entries!$B:$B,CPY!$B384)</f>
        <v>0</v>
      </c>
      <c r="Q384" s="65">
        <f>SUMIFS(Shift_allowance_Entries!$G:$G,Shift_allowance_Entries!$F:$F,"11PM-7AM",Shift_allowance_Entries!$B:$B,CPY!$B384)</f>
        <v>0</v>
      </c>
      <c r="R384" s="63">
        <f>(CPY!O384*MD!$F$4)+(CPY!P384*MD!$F$5)+(CPY!Q384*MD!$F$6)</f>
        <v>0</v>
      </c>
      <c r="T384" s="64">
        <f>ROUNDUP((SUMIFS('OOH Activities'!$K:$K,'OOH Activities'!$F:$F,"Non_workdays",'OOH Activities'!$B:$B,CPY!B384)) *24,1)</f>
        <v>0</v>
      </c>
      <c r="U384" s="64">
        <f>ROUNDUP((SUMIFS('OOH Activities'!$K:$K,'OOH Activities'!$F:$F,"Workdays",'OOH Activities'!$B:$B,CPY!B384)) *24,1)</f>
        <v>0</v>
      </c>
      <c r="V384" s="63">
        <f>ROUNDUP((SUMIFS('OOH Activities'!$L:$L,'OOH Activities'!$B:$B,CPY!B384)),1)</f>
        <v>0</v>
      </c>
      <c r="X384" s="65">
        <f>ROUNDUP((SUMIFS('ON Call_Call Out Activities'!$L:$L,'ON Call_Call Out Activities'!$F:$F,"Workdays",'ON Call_Call Out Activities'!$B:$B,CPY!B384))*24,1)</f>
        <v>0</v>
      </c>
      <c r="Y384" s="64">
        <f>ROUNDUP((SUMIFS('ON Call_Call Out Activities'!$L:$L,'ON Call_Call Out Activities'!$F:$F,"Non_workdays",'ON Call_Call Out Activities'!$B:$B,CPY!B384)) *24,1)</f>
        <v>0</v>
      </c>
      <c r="Z384" s="63">
        <f>ROUNDUP((SUMIFS('ON Call_Call Out Activities'!$M:$M,'ON Call_Call Out Activities'!$F:$F,"Non_workdays",'ON Call_Call Out Activities'!$B:$B,CPY!B384)),1) + ROUNDUP((SUMIFS('ON Call_Call Out Activities'!$M:$M,'ON Call_Call Out Activities'!$F:$F,"Workdays",'ON Call_Call Out Activities'!$B:$B,CPY!B384)),1)</f>
        <v>0</v>
      </c>
      <c r="AA384" s="66"/>
      <c r="AB384" s="64">
        <f>ROUNDUP((SUMIFS('ON Call_Call Out Activities'!$L:$L,'ON Call_Call Out Activities'!$F:$F,"Call_Out",'ON Call_Call Out Activities'!$B:$B,CPY!B384)) *24,1)</f>
        <v>0</v>
      </c>
      <c r="AC384" s="63">
        <f>ROUNDUP((SUMIFS('ON Call_Call Out Activities'!$M:$M,'ON Call_Call Out Activities'!$F:$F,"Call_Out",'ON Call_Call Out Activities'!$B:$B,CPY!B384)),1)</f>
        <v>0</v>
      </c>
      <c r="AE384" s="65">
        <f>IF((SUMIF(Shift_allowance_Entries!$B:$B,CPY!$B384,Shift_allowance_Entries!$H:$H)) &gt; (SUMIF(Shift_allowance_Entries!$B:$B,CPY!$B384,Shift_allowance_Entries!$G:$G)),0,((SUMIF(Shift_allowance_Entries!$B:$B,CPY!$B384,Shift_allowance_Entries!$G:$G))-(SUMIF(Shift_allowance_Entries!$B:$B,CPY!$B384,Shift_allowance_Entries!$H:$H))))</f>
        <v>0</v>
      </c>
      <c r="AF384" s="63">
        <f>AE384*MD!$S$4</f>
        <v>0</v>
      </c>
    </row>
    <row r="385" spans="1:32" x14ac:dyDescent="0.25">
      <c r="A385" s="62">
        <v>383</v>
      </c>
      <c r="B385" s="62"/>
      <c r="C385" s="50" t="str">
        <f>IF(ISNA(VLOOKUP($B385,Summary!$B:$D,2,FALSE))=TRUE," ",VLOOKUP($B385,Summary!$B:$D,2,FALSE))</f>
        <v> </v>
      </c>
      <c r="D385" s="50" t="str">
        <f>IF(ISNA(VLOOKUP($B385,Summary!$B:$D,3,FALSE))=TRUE," ",VLOOKUP($B385,Summary!$B:$D,3,FALSE))</f>
        <v> </v>
      </c>
      <c r="E385" s="62"/>
      <c r="F385" s="62"/>
      <c r="G385" s="62"/>
      <c r="I385" s="63">
        <f t="shared" si="5"/>
        <v>0</v>
      </c>
      <c r="K385" s="64">
        <f>IF(E385="Support(L1_L2)",IF(NOT(ISBLANK(B385)),IF(NOT(ISBLANK(D385)),NETWORKDAYS('CPY TOC'!$F$5,'CPY TOC'!$G$5))))-L385</f>
        <v>0</v>
      </c>
      <c r="L385" s="64">
        <f>IF(E385="Support(L1_L2)",SUMIFS(Support_allowance_Entries!$G:$G,Support_allowance_Entries!$B:$B,CPY!B385),0)</f>
        <v>0</v>
      </c>
      <c r="M385" s="63" t="b">
        <f>IF($D385="D0",MD!$C$4*(K385),IF($D385="D1",MD!$C$5*(K385),IF($D385="D2",MD!$C$6*(K385),IF($D385="D3",MD!$C$7*(K385),IF($D385="D4",MD!$C$8*(K385),IF($D385="D5",MD!$C$9*(K385),IF($D385="M1",MD!$C$10*(K385),IF($D385="T1",MD!$C$11*(K385)))))))))</f>
        <v>0</v>
      </c>
      <c r="O385" s="65">
        <f>SUMIFS(Shift_allowance_Entries!$G:$G,Shift_allowance_Entries!$F:$F,"6:30AM-03:30PM",Shift_allowance_Entries!$B:$B,CPY!$B385)</f>
        <v>0</v>
      </c>
      <c r="P385" s="65">
        <f>SUMIFS(Shift_allowance_Entries!$G:$G,Shift_allowance_Entries!$F:$F,"1-9PM/2:30PM-11:30PM",Shift_allowance_Entries!$B:$B,CPY!$B385)</f>
        <v>0</v>
      </c>
      <c r="Q385" s="65">
        <f>SUMIFS(Shift_allowance_Entries!$G:$G,Shift_allowance_Entries!$F:$F,"11PM-7AM",Shift_allowance_Entries!$B:$B,CPY!$B385)</f>
        <v>0</v>
      </c>
      <c r="R385" s="63">
        <f>(CPY!O385*MD!$F$4)+(CPY!P385*MD!$F$5)+(CPY!Q385*MD!$F$6)</f>
        <v>0</v>
      </c>
      <c r="T385" s="64">
        <f>ROUNDUP((SUMIFS('OOH Activities'!$K:$K,'OOH Activities'!$F:$F,"Non_workdays",'OOH Activities'!$B:$B,CPY!B385)) *24,1)</f>
        <v>0</v>
      </c>
      <c r="U385" s="64">
        <f>ROUNDUP((SUMIFS('OOH Activities'!$K:$K,'OOH Activities'!$F:$F,"Workdays",'OOH Activities'!$B:$B,CPY!B385)) *24,1)</f>
        <v>0</v>
      </c>
      <c r="V385" s="63">
        <f>ROUNDUP((SUMIFS('OOH Activities'!$L:$L,'OOH Activities'!$B:$B,CPY!B385)),1)</f>
        <v>0</v>
      </c>
      <c r="X385" s="65">
        <f>ROUNDUP((SUMIFS('ON Call_Call Out Activities'!$L:$L,'ON Call_Call Out Activities'!$F:$F,"Workdays",'ON Call_Call Out Activities'!$B:$B,CPY!B385))*24,1)</f>
        <v>0</v>
      </c>
      <c r="Y385" s="64">
        <f>ROUNDUP((SUMIFS('ON Call_Call Out Activities'!$L:$L,'ON Call_Call Out Activities'!$F:$F,"Non_workdays",'ON Call_Call Out Activities'!$B:$B,CPY!B385)) *24,1)</f>
        <v>0</v>
      </c>
      <c r="Z385" s="63">
        <f>ROUNDUP((SUMIFS('ON Call_Call Out Activities'!$M:$M,'ON Call_Call Out Activities'!$F:$F,"Non_workdays",'ON Call_Call Out Activities'!$B:$B,CPY!B385)),1) + ROUNDUP((SUMIFS('ON Call_Call Out Activities'!$M:$M,'ON Call_Call Out Activities'!$F:$F,"Workdays",'ON Call_Call Out Activities'!$B:$B,CPY!B385)),1)</f>
        <v>0</v>
      </c>
      <c r="AA385" s="66"/>
      <c r="AB385" s="64">
        <f>ROUNDUP((SUMIFS('ON Call_Call Out Activities'!$L:$L,'ON Call_Call Out Activities'!$F:$F,"Call_Out",'ON Call_Call Out Activities'!$B:$B,CPY!B385)) *24,1)</f>
        <v>0</v>
      </c>
      <c r="AC385" s="63">
        <f>ROUNDUP((SUMIFS('ON Call_Call Out Activities'!$M:$M,'ON Call_Call Out Activities'!$F:$F,"Call_Out",'ON Call_Call Out Activities'!$B:$B,CPY!B385)),1)</f>
        <v>0</v>
      </c>
      <c r="AE385" s="65">
        <f>IF((SUMIF(Shift_allowance_Entries!$B:$B,CPY!$B385,Shift_allowance_Entries!$H:$H)) &gt; (SUMIF(Shift_allowance_Entries!$B:$B,CPY!$B385,Shift_allowance_Entries!$G:$G)),0,((SUMIF(Shift_allowance_Entries!$B:$B,CPY!$B385,Shift_allowance_Entries!$G:$G))-(SUMIF(Shift_allowance_Entries!$B:$B,CPY!$B385,Shift_allowance_Entries!$H:$H))))</f>
        <v>0</v>
      </c>
      <c r="AF385" s="63">
        <f>AE385*MD!$S$4</f>
        <v>0</v>
      </c>
    </row>
    <row r="386" spans="1:32" x14ac:dyDescent="0.25">
      <c r="A386" s="62">
        <v>384</v>
      </c>
      <c r="B386" s="62"/>
      <c r="C386" s="50" t="str">
        <f>IF(ISNA(VLOOKUP($B386,Summary!$B:$D,2,FALSE))=TRUE," ",VLOOKUP($B386,Summary!$B:$D,2,FALSE))</f>
        <v> </v>
      </c>
      <c r="D386" s="50" t="str">
        <f>IF(ISNA(VLOOKUP($B386,Summary!$B:$D,3,FALSE))=TRUE," ",VLOOKUP($B386,Summary!$B:$D,3,FALSE))</f>
        <v> </v>
      </c>
      <c r="E386" s="62"/>
      <c r="F386" s="62"/>
      <c r="G386" s="62"/>
      <c r="I386" s="63">
        <f t="shared" si="5"/>
        <v>0</v>
      </c>
      <c r="K386" s="64">
        <f>IF(E386="Support(L1_L2)",IF(NOT(ISBLANK(B386)),IF(NOT(ISBLANK(D386)),NETWORKDAYS('CPY TOC'!$F$5,'CPY TOC'!$G$5))))-L386</f>
        <v>0</v>
      </c>
      <c r="L386" s="64">
        <f>IF(E386="Support(L1_L2)",SUMIFS(Support_allowance_Entries!$G:$G,Support_allowance_Entries!$B:$B,CPY!B386),0)</f>
        <v>0</v>
      </c>
      <c r="M386" s="63" t="b">
        <f>IF($D386="D0",MD!$C$4*(K386),IF($D386="D1",MD!$C$5*(K386),IF($D386="D2",MD!$C$6*(K386),IF($D386="D3",MD!$C$7*(K386),IF($D386="D4",MD!$C$8*(K386),IF($D386="D5",MD!$C$9*(K386),IF($D386="M1",MD!$C$10*(K386),IF($D386="T1",MD!$C$11*(K386)))))))))</f>
        <v>0</v>
      </c>
      <c r="O386" s="65">
        <f>SUMIFS(Shift_allowance_Entries!$G:$G,Shift_allowance_Entries!$F:$F,"6:30AM-03:30PM",Shift_allowance_Entries!$B:$B,CPY!$B386)</f>
        <v>0</v>
      </c>
      <c r="P386" s="65">
        <f>SUMIFS(Shift_allowance_Entries!$G:$G,Shift_allowance_Entries!$F:$F,"1-9PM/2:30PM-11:30PM",Shift_allowance_Entries!$B:$B,CPY!$B386)</f>
        <v>0</v>
      </c>
      <c r="Q386" s="65">
        <f>SUMIFS(Shift_allowance_Entries!$G:$G,Shift_allowance_Entries!$F:$F,"11PM-7AM",Shift_allowance_Entries!$B:$B,CPY!$B386)</f>
        <v>0</v>
      </c>
      <c r="R386" s="63">
        <f>(CPY!O386*MD!$F$4)+(CPY!P386*MD!$F$5)+(CPY!Q386*MD!$F$6)</f>
        <v>0</v>
      </c>
      <c r="T386" s="64">
        <f>ROUNDUP((SUMIFS('OOH Activities'!$K:$K,'OOH Activities'!$F:$F,"Non_workdays",'OOH Activities'!$B:$B,CPY!B386)) *24,1)</f>
        <v>0</v>
      </c>
      <c r="U386" s="64">
        <f>ROUNDUP((SUMIFS('OOH Activities'!$K:$K,'OOH Activities'!$F:$F,"Workdays",'OOH Activities'!$B:$B,CPY!B386)) *24,1)</f>
        <v>0</v>
      </c>
      <c r="V386" s="63">
        <f>ROUNDUP((SUMIFS('OOH Activities'!$L:$L,'OOH Activities'!$B:$B,CPY!B386)),1)</f>
        <v>0</v>
      </c>
      <c r="X386" s="65">
        <f>ROUNDUP((SUMIFS('ON Call_Call Out Activities'!$L:$L,'ON Call_Call Out Activities'!$F:$F,"Workdays",'ON Call_Call Out Activities'!$B:$B,CPY!B386))*24,1)</f>
        <v>0</v>
      </c>
      <c r="Y386" s="64">
        <f>ROUNDUP((SUMIFS('ON Call_Call Out Activities'!$L:$L,'ON Call_Call Out Activities'!$F:$F,"Non_workdays",'ON Call_Call Out Activities'!$B:$B,CPY!B386)) *24,1)</f>
        <v>0</v>
      </c>
      <c r="Z386" s="63">
        <f>ROUNDUP((SUMIFS('ON Call_Call Out Activities'!$M:$M,'ON Call_Call Out Activities'!$F:$F,"Non_workdays",'ON Call_Call Out Activities'!$B:$B,CPY!B386)),1) + ROUNDUP((SUMIFS('ON Call_Call Out Activities'!$M:$M,'ON Call_Call Out Activities'!$F:$F,"Workdays",'ON Call_Call Out Activities'!$B:$B,CPY!B386)),1)</f>
        <v>0</v>
      </c>
      <c r="AA386" s="66"/>
      <c r="AB386" s="64">
        <f>ROUNDUP((SUMIFS('ON Call_Call Out Activities'!$L:$L,'ON Call_Call Out Activities'!$F:$F,"Call_Out",'ON Call_Call Out Activities'!$B:$B,CPY!B386)) *24,1)</f>
        <v>0</v>
      </c>
      <c r="AC386" s="63">
        <f>ROUNDUP((SUMIFS('ON Call_Call Out Activities'!$M:$M,'ON Call_Call Out Activities'!$F:$F,"Call_Out",'ON Call_Call Out Activities'!$B:$B,CPY!B386)),1)</f>
        <v>0</v>
      </c>
      <c r="AE386" s="65">
        <f>IF((SUMIF(Shift_allowance_Entries!$B:$B,CPY!$B386,Shift_allowance_Entries!$H:$H)) &gt; (SUMIF(Shift_allowance_Entries!$B:$B,CPY!$B386,Shift_allowance_Entries!$G:$G)),0,((SUMIF(Shift_allowance_Entries!$B:$B,CPY!$B386,Shift_allowance_Entries!$G:$G))-(SUMIF(Shift_allowance_Entries!$B:$B,CPY!$B386,Shift_allowance_Entries!$H:$H))))</f>
        <v>0</v>
      </c>
      <c r="AF386" s="63">
        <f>AE386*MD!$S$4</f>
        <v>0</v>
      </c>
    </row>
    <row r="387" spans="1:32" x14ac:dyDescent="0.25">
      <c r="A387" s="62">
        <v>385</v>
      </c>
      <c r="B387" s="62"/>
      <c r="C387" s="50" t="str">
        <f>IF(ISNA(VLOOKUP($B387,Summary!$B:$D,2,FALSE))=TRUE," ",VLOOKUP($B387,Summary!$B:$D,2,FALSE))</f>
        <v> </v>
      </c>
      <c r="D387" s="50" t="str">
        <f>IF(ISNA(VLOOKUP($B387,Summary!$B:$D,3,FALSE))=TRUE," ",VLOOKUP($B387,Summary!$B:$D,3,FALSE))</f>
        <v> </v>
      </c>
      <c r="E387" s="62"/>
      <c r="F387" s="62"/>
      <c r="G387" s="62"/>
      <c r="I387" s="63">
        <f t="shared" ref="I387:I450" si="6">M387+R387+V387+Z387+AC387+AF387</f>
        <v>0</v>
      </c>
      <c r="K387" s="64">
        <f>IF(E387="Support(L1_L2)",IF(NOT(ISBLANK(B387)),IF(NOT(ISBLANK(D387)),NETWORKDAYS('CPY TOC'!$F$5,'CPY TOC'!$G$5))))-L387</f>
        <v>0</v>
      </c>
      <c r="L387" s="64">
        <f>IF(E387="Support(L1_L2)",SUMIFS(Support_allowance_Entries!$G:$G,Support_allowance_Entries!$B:$B,CPY!B387),0)</f>
        <v>0</v>
      </c>
      <c r="M387" s="63" t="b">
        <f>IF($D387="D0",MD!$C$4*(K387),IF($D387="D1",MD!$C$5*(K387),IF($D387="D2",MD!$C$6*(K387),IF($D387="D3",MD!$C$7*(K387),IF($D387="D4",MD!$C$8*(K387),IF($D387="D5",MD!$C$9*(K387),IF($D387="M1",MD!$C$10*(K387),IF($D387="T1",MD!$C$11*(K387)))))))))</f>
        <v>0</v>
      </c>
      <c r="O387" s="65">
        <f>SUMIFS(Shift_allowance_Entries!$G:$G,Shift_allowance_Entries!$F:$F,"6:30AM-03:30PM",Shift_allowance_Entries!$B:$B,CPY!$B387)</f>
        <v>0</v>
      </c>
      <c r="P387" s="65">
        <f>SUMIFS(Shift_allowance_Entries!$G:$G,Shift_allowance_Entries!$F:$F,"1-9PM/2:30PM-11:30PM",Shift_allowance_Entries!$B:$B,CPY!$B387)</f>
        <v>0</v>
      </c>
      <c r="Q387" s="65">
        <f>SUMIFS(Shift_allowance_Entries!$G:$G,Shift_allowance_Entries!$F:$F,"11PM-7AM",Shift_allowance_Entries!$B:$B,CPY!$B387)</f>
        <v>0</v>
      </c>
      <c r="R387" s="63">
        <f>(CPY!O387*MD!$F$4)+(CPY!P387*MD!$F$5)+(CPY!Q387*MD!$F$6)</f>
        <v>0</v>
      </c>
      <c r="T387" s="64">
        <f>ROUNDUP((SUMIFS('OOH Activities'!$K:$K,'OOH Activities'!$F:$F,"Non_workdays",'OOH Activities'!$B:$B,CPY!B387)) *24,1)</f>
        <v>0</v>
      </c>
      <c r="U387" s="64">
        <f>ROUNDUP((SUMIFS('OOH Activities'!$K:$K,'OOH Activities'!$F:$F,"Workdays",'OOH Activities'!$B:$B,CPY!B387)) *24,1)</f>
        <v>0</v>
      </c>
      <c r="V387" s="63">
        <f>ROUNDUP((SUMIFS('OOH Activities'!$L:$L,'OOH Activities'!$B:$B,CPY!B387)),1)</f>
        <v>0</v>
      </c>
      <c r="X387" s="65">
        <f>ROUNDUP((SUMIFS('ON Call_Call Out Activities'!$L:$L,'ON Call_Call Out Activities'!$F:$F,"Workdays",'ON Call_Call Out Activities'!$B:$B,CPY!B387))*24,1)</f>
        <v>0</v>
      </c>
      <c r="Y387" s="64">
        <f>ROUNDUP((SUMIFS('ON Call_Call Out Activities'!$L:$L,'ON Call_Call Out Activities'!$F:$F,"Non_workdays",'ON Call_Call Out Activities'!$B:$B,CPY!B387)) *24,1)</f>
        <v>0</v>
      </c>
      <c r="Z387" s="63">
        <f>ROUNDUP((SUMIFS('ON Call_Call Out Activities'!$M:$M,'ON Call_Call Out Activities'!$F:$F,"Non_workdays",'ON Call_Call Out Activities'!$B:$B,CPY!B387)),1) + ROUNDUP((SUMIFS('ON Call_Call Out Activities'!$M:$M,'ON Call_Call Out Activities'!$F:$F,"Workdays",'ON Call_Call Out Activities'!$B:$B,CPY!B387)),1)</f>
        <v>0</v>
      </c>
      <c r="AA387" s="66"/>
      <c r="AB387" s="64">
        <f>ROUNDUP((SUMIFS('ON Call_Call Out Activities'!$L:$L,'ON Call_Call Out Activities'!$F:$F,"Call_Out",'ON Call_Call Out Activities'!$B:$B,CPY!B387)) *24,1)</f>
        <v>0</v>
      </c>
      <c r="AC387" s="63">
        <f>ROUNDUP((SUMIFS('ON Call_Call Out Activities'!$M:$M,'ON Call_Call Out Activities'!$F:$F,"Call_Out",'ON Call_Call Out Activities'!$B:$B,CPY!B387)),1)</f>
        <v>0</v>
      </c>
      <c r="AE387" s="65">
        <f>IF((SUMIF(Shift_allowance_Entries!$B:$B,CPY!$B387,Shift_allowance_Entries!$H:$H)) &gt; (SUMIF(Shift_allowance_Entries!$B:$B,CPY!$B387,Shift_allowance_Entries!$G:$G)),0,((SUMIF(Shift_allowance_Entries!$B:$B,CPY!$B387,Shift_allowance_Entries!$G:$G))-(SUMIF(Shift_allowance_Entries!$B:$B,CPY!$B387,Shift_allowance_Entries!$H:$H))))</f>
        <v>0</v>
      </c>
      <c r="AF387" s="63">
        <f>AE387*MD!$S$4</f>
        <v>0</v>
      </c>
    </row>
    <row r="388" spans="1:32" x14ac:dyDescent="0.25">
      <c r="A388" s="62">
        <v>386</v>
      </c>
      <c r="B388" s="62"/>
      <c r="C388" s="50" t="str">
        <f>IF(ISNA(VLOOKUP($B388,Summary!$B:$D,2,FALSE))=TRUE," ",VLOOKUP($B388,Summary!$B:$D,2,FALSE))</f>
        <v> </v>
      </c>
      <c r="D388" s="50" t="str">
        <f>IF(ISNA(VLOOKUP($B388,Summary!$B:$D,3,FALSE))=TRUE," ",VLOOKUP($B388,Summary!$B:$D,3,FALSE))</f>
        <v> </v>
      </c>
      <c r="E388" s="62"/>
      <c r="F388" s="62"/>
      <c r="G388" s="62"/>
      <c r="I388" s="63">
        <f t="shared" si="6"/>
        <v>0</v>
      </c>
      <c r="K388" s="64">
        <f>IF(E388="Support(L1_L2)",IF(NOT(ISBLANK(B388)),IF(NOT(ISBLANK(D388)),NETWORKDAYS('CPY TOC'!$F$5,'CPY TOC'!$G$5))))-L388</f>
        <v>0</v>
      </c>
      <c r="L388" s="64">
        <f>IF(E388="Support(L1_L2)",SUMIFS(Support_allowance_Entries!$G:$G,Support_allowance_Entries!$B:$B,CPY!B388),0)</f>
        <v>0</v>
      </c>
      <c r="M388" s="63" t="b">
        <f>IF($D388="D0",MD!$C$4*(K388),IF($D388="D1",MD!$C$5*(K388),IF($D388="D2",MD!$C$6*(K388),IF($D388="D3",MD!$C$7*(K388),IF($D388="D4",MD!$C$8*(K388),IF($D388="D5",MD!$C$9*(K388),IF($D388="M1",MD!$C$10*(K388),IF($D388="T1",MD!$C$11*(K388)))))))))</f>
        <v>0</v>
      </c>
      <c r="O388" s="65">
        <f>SUMIFS(Shift_allowance_Entries!$G:$G,Shift_allowance_Entries!$F:$F,"6:30AM-03:30PM",Shift_allowance_Entries!$B:$B,CPY!$B388)</f>
        <v>0</v>
      </c>
      <c r="P388" s="65">
        <f>SUMIFS(Shift_allowance_Entries!$G:$G,Shift_allowance_Entries!$F:$F,"1-9PM/2:30PM-11:30PM",Shift_allowance_Entries!$B:$B,CPY!$B388)</f>
        <v>0</v>
      </c>
      <c r="Q388" s="65">
        <f>SUMIFS(Shift_allowance_Entries!$G:$G,Shift_allowance_Entries!$F:$F,"11PM-7AM",Shift_allowance_Entries!$B:$B,CPY!$B388)</f>
        <v>0</v>
      </c>
      <c r="R388" s="63">
        <f>(CPY!O388*MD!$F$4)+(CPY!P388*MD!$F$5)+(CPY!Q388*MD!$F$6)</f>
        <v>0</v>
      </c>
      <c r="T388" s="64">
        <f>ROUNDUP((SUMIFS('OOH Activities'!$K:$K,'OOH Activities'!$F:$F,"Non_workdays",'OOH Activities'!$B:$B,CPY!B388)) *24,1)</f>
        <v>0</v>
      </c>
      <c r="U388" s="64">
        <f>ROUNDUP((SUMIFS('OOH Activities'!$K:$K,'OOH Activities'!$F:$F,"Workdays",'OOH Activities'!$B:$B,CPY!B388)) *24,1)</f>
        <v>0</v>
      </c>
      <c r="V388" s="63">
        <f>ROUNDUP((SUMIFS('OOH Activities'!$L:$L,'OOH Activities'!$B:$B,CPY!B388)),1)</f>
        <v>0</v>
      </c>
      <c r="X388" s="65">
        <f>ROUNDUP((SUMIFS('ON Call_Call Out Activities'!$L:$L,'ON Call_Call Out Activities'!$F:$F,"Workdays",'ON Call_Call Out Activities'!$B:$B,CPY!B388))*24,1)</f>
        <v>0</v>
      </c>
      <c r="Y388" s="64">
        <f>ROUNDUP((SUMIFS('ON Call_Call Out Activities'!$L:$L,'ON Call_Call Out Activities'!$F:$F,"Non_workdays",'ON Call_Call Out Activities'!$B:$B,CPY!B388)) *24,1)</f>
        <v>0</v>
      </c>
      <c r="Z388" s="63">
        <f>ROUNDUP((SUMIFS('ON Call_Call Out Activities'!$M:$M,'ON Call_Call Out Activities'!$F:$F,"Non_workdays",'ON Call_Call Out Activities'!$B:$B,CPY!B388)),1) + ROUNDUP((SUMIFS('ON Call_Call Out Activities'!$M:$M,'ON Call_Call Out Activities'!$F:$F,"Workdays",'ON Call_Call Out Activities'!$B:$B,CPY!B388)),1)</f>
        <v>0</v>
      </c>
      <c r="AA388" s="66"/>
      <c r="AB388" s="64">
        <f>ROUNDUP((SUMIFS('ON Call_Call Out Activities'!$L:$L,'ON Call_Call Out Activities'!$F:$F,"Call_Out",'ON Call_Call Out Activities'!$B:$B,CPY!B388)) *24,1)</f>
        <v>0</v>
      </c>
      <c r="AC388" s="63">
        <f>ROUNDUP((SUMIFS('ON Call_Call Out Activities'!$M:$M,'ON Call_Call Out Activities'!$F:$F,"Call_Out",'ON Call_Call Out Activities'!$B:$B,CPY!B388)),1)</f>
        <v>0</v>
      </c>
      <c r="AE388" s="65">
        <f>IF((SUMIF(Shift_allowance_Entries!$B:$B,CPY!$B388,Shift_allowance_Entries!$H:$H)) &gt; (SUMIF(Shift_allowance_Entries!$B:$B,CPY!$B388,Shift_allowance_Entries!$G:$G)),0,((SUMIF(Shift_allowance_Entries!$B:$B,CPY!$B388,Shift_allowance_Entries!$G:$G))-(SUMIF(Shift_allowance_Entries!$B:$B,CPY!$B388,Shift_allowance_Entries!$H:$H))))</f>
        <v>0</v>
      </c>
      <c r="AF388" s="63">
        <f>AE388*MD!$S$4</f>
        <v>0</v>
      </c>
    </row>
    <row r="389" spans="1:32" x14ac:dyDescent="0.25">
      <c r="A389" s="62">
        <v>387</v>
      </c>
      <c r="B389" s="62"/>
      <c r="C389" s="50" t="str">
        <f>IF(ISNA(VLOOKUP($B389,Summary!$B:$D,2,FALSE))=TRUE," ",VLOOKUP($B389,Summary!$B:$D,2,FALSE))</f>
        <v> </v>
      </c>
      <c r="D389" s="50" t="str">
        <f>IF(ISNA(VLOOKUP($B389,Summary!$B:$D,3,FALSE))=TRUE," ",VLOOKUP($B389,Summary!$B:$D,3,FALSE))</f>
        <v> </v>
      </c>
      <c r="E389" s="62"/>
      <c r="F389" s="62"/>
      <c r="G389" s="62"/>
      <c r="I389" s="63">
        <f t="shared" si="6"/>
        <v>0</v>
      </c>
      <c r="K389" s="64">
        <f>IF(E389="Support(L1_L2)",IF(NOT(ISBLANK(B389)),IF(NOT(ISBLANK(D389)),NETWORKDAYS('CPY TOC'!$F$5,'CPY TOC'!$G$5))))-L389</f>
        <v>0</v>
      </c>
      <c r="L389" s="64">
        <f>IF(E389="Support(L1_L2)",SUMIFS(Support_allowance_Entries!$G:$G,Support_allowance_Entries!$B:$B,CPY!B389),0)</f>
        <v>0</v>
      </c>
      <c r="M389" s="63" t="b">
        <f>IF($D389="D0",MD!$C$4*(K389),IF($D389="D1",MD!$C$5*(K389),IF($D389="D2",MD!$C$6*(K389),IF($D389="D3",MD!$C$7*(K389),IF($D389="D4",MD!$C$8*(K389),IF($D389="D5",MD!$C$9*(K389),IF($D389="M1",MD!$C$10*(K389),IF($D389="T1",MD!$C$11*(K389)))))))))</f>
        <v>0</v>
      </c>
      <c r="O389" s="65">
        <f>SUMIFS(Shift_allowance_Entries!$G:$G,Shift_allowance_Entries!$F:$F,"6:30AM-03:30PM",Shift_allowance_Entries!$B:$B,CPY!$B389)</f>
        <v>0</v>
      </c>
      <c r="P389" s="65">
        <f>SUMIFS(Shift_allowance_Entries!$G:$G,Shift_allowance_Entries!$F:$F,"1-9PM/2:30PM-11:30PM",Shift_allowance_Entries!$B:$B,CPY!$B389)</f>
        <v>0</v>
      </c>
      <c r="Q389" s="65">
        <f>SUMIFS(Shift_allowance_Entries!$G:$G,Shift_allowance_Entries!$F:$F,"11PM-7AM",Shift_allowance_Entries!$B:$B,CPY!$B389)</f>
        <v>0</v>
      </c>
      <c r="R389" s="63">
        <f>(CPY!O389*MD!$F$4)+(CPY!P389*MD!$F$5)+(CPY!Q389*MD!$F$6)</f>
        <v>0</v>
      </c>
      <c r="T389" s="64">
        <f>ROUNDUP((SUMIFS('OOH Activities'!$K:$K,'OOH Activities'!$F:$F,"Non_workdays",'OOH Activities'!$B:$B,CPY!B389)) *24,1)</f>
        <v>0</v>
      </c>
      <c r="U389" s="64">
        <f>ROUNDUP((SUMIFS('OOH Activities'!$K:$K,'OOH Activities'!$F:$F,"Workdays",'OOH Activities'!$B:$B,CPY!B389)) *24,1)</f>
        <v>0</v>
      </c>
      <c r="V389" s="63">
        <f>ROUNDUP((SUMIFS('OOH Activities'!$L:$L,'OOH Activities'!$B:$B,CPY!B389)),1)</f>
        <v>0</v>
      </c>
      <c r="X389" s="65">
        <f>ROUNDUP((SUMIFS('ON Call_Call Out Activities'!$L:$L,'ON Call_Call Out Activities'!$F:$F,"Workdays",'ON Call_Call Out Activities'!$B:$B,CPY!B389))*24,1)</f>
        <v>0</v>
      </c>
      <c r="Y389" s="64">
        <f>ROUNDUP((SUMIFS('ON Call_Call Out Activities'!$L:$L,'ON Call_Call Out Activities'!$F:$F,"Non_workdays",'ON Call_Call Out Activities'!$B:$B,CPY!B389)) *24,1)</f>
        <v>0</v>
      </c>
      <c r="Z389" s="63">
        <f>ROUNDUP((SUMIFS('ON Call_Call Out Activities'!$M:$M,'ON Call_Call Out Activities'!$F:$F,"Non_workdays",'ON Call_Call Out Activities'!$B:$B,CPY!B389)),1) + ROUNDUP((SUMIFS('ON Call_Call Out Activities'!$M:$M,'ON Call_Call Out Activities'!$F:$F,"Workdays",'ON Call_Call Out Activities'!$B:$B,CPY!B389)),1)</f>
        <v>0</v>
      </c>
      <c r="AA389" s="66"/>
      <c r="AB389" s="64">
        <f>ROUNDUP((SUMIFS('ON Call_Call Out Activities'!$L:$L,'ON Call_Call Out Activities'!$F:$F,"Call_Out",'ON Call_Call Out Activities'!$B:$B,CPY!B389)) *24,1)</f>
        <v>0</v>
      </c>
      <c r="AC389" s="63">
        <f>ROUNDUP((SUMIFS('ON Call_Call Out Activities'!$M:$M,'ON Call_Call Out Activities'!$F:$F,"Call_Out",'ON Call_Call Out Activities'!$B:$B,CPY!B389)),1)</f>
        <v>0</v>
      </c>
      <c r="AE389" s="65">
        <f>IF((SUMIF(Shift_allowance_Entries!$B:$B,CPY!$B389,Shift_allowance_Entries!$H:$H)) &gt; (SUMIF(Shift_allowance_Entries!$B:$B,CPY!$B389,Shift_allowance_Entries!$G:$G)),0,((SUMIF(Shift_allowance_Entries!$B:$B,CPY!$B389,Shift_allowance_Entries!$G:$G))-(SUMIF(Shift_allowance_Entries!$B:$B,CPY!$B389,Shift_allowance_Entries!$H:$H))))</f>
        <v>0</v>
      </c>
      <c r="AF389" s="63">
        <f>AE389*MD!$S$4</f>
        <v>0</v>
      </c>
    </row>
    <row r="390" spans="1:32" x14ac:dyDescent="0.25">
      <c r="A390" s="62">
        <v>388</v>
      </c>
      <c r="B390" s="62"/>
      <c r="C390" s="50" t="str">
        <f>IF(ISNA(VLOOKUP($B390,Summary!$B:$D,2,FALSE))=TRUE," ",VLOOKUP($B390,Summary!$B:$D,2,FALSE))</f>
        <v> </v>
      </c>
      <c r="D390" s="50" t="str">
        <f>IF(ISNA(VLOOKUP($B390,Summary!$B:$D,3,FALSE))=TRUE," ",VLOOKUP($B390,Summary!$B:$D,3,FALSE))</f>
        <v> </v>
      </c>
      <c r="E390" s="62"/>
      <c r="F390" s="62"/>
      <c r="G390" s="62"/>
      <c r="I390" s="63">
        <f t="shared" si="6"/>
        <v>0</v>
      </c>
      <c r="K390" s="64">
        <f>IF(E390="Support(L1_L2)",IF(NOT(ISBLANK(B390)),IF(NOT(ISBLANK(D390)),NETWORKDAYS('CPY TOC'!$F$5,'CPY TOC'!$G$5))))-L390</f>
        <v>0</v>
      </c>
      <c r="L390" s="64">
        <f>IF(E390="Support(L1_L2)",SUMIFS(Support_allowance_Entries!$G:$G,Support_allowance_Entries!$B:$B,CPY!B390),0)</f>
        <v>0</v>
      </c>
      <c r="M390" s="63" t="b">
        <f>IF($D390="D0",MD!$C$4*(K390),IF($D390="D1",MD!$C$5*(K390),IF($D390="D2",MD!$C$6*(K390),IF($D390="D3",MD!$C$7*(K390),IF($D390="D4",MD!$C$8*(K390),IF($D390="D5",MD!$C$9*(K390),IF($D390="M1",MD!$C$10*(K390),IF($D390="T1",MD!$C$11*(K390)))))))))</f>
        <v>0</v>
      </c>
      <c r="O390" s="65">
        <f>SUMIFS(Shift_allowance_Entries!$G:$G,Shift_allowance_Entries!$F:$F,"6:30AM-03:30PM",Shift_allowance_Entries!$B:$B,CPY!$B390)</f>
        <v>0</v>
      </c>
      <c r="P390" s="65">
        <f>SUMIFS(Shift_allowance_Entries!$G:$G,Shift_allowance_Entries!$F:$F,"1-9PM/2:30PM-11:30PM",Shift_allowance_Entries!$B:$B,CPY!$B390)</f>
        <v>0</v>
      </c>
      <c r="Q390" s="65">
        <f>SUMIFS(Shift_allowance_Entries!$G:$G,Shift_allowance_Entries!$F:$F,"11PM-7AM",Shift_allowance_Entries!$B:$B,CPY!$B390)</f>
        <v>0</v>
      </c>
      <c r="R390" s="63">
        <f>(CPY!O390*MD!$F$4)+(CPY!P390*MD!$F$5)+(CPY!Q390*MD!$F$6)</f>
        <v>0</v>
      </c>
      <c r="T390" s="64">
        <f>ROUNDUP((SUMIFS('OOH Activities'!$K:$K,'OOH Activities'!$F:$F,"Non_workdays",'OOH Activities'!$B:$B,CPY!B390)) *24,1)</f>
        <v>0</v>
      </c>
      <c r="U390" s="64">
        <f>ROUNDUP((SUMIFS('OOH Activities'!$K:$K,'OOH Activities'!$F:$F,"Workdays",'OOH Activities'!$B:$B,CPY!B390)) *24,1)</f>
        <v>0</v>
      </c>
      <c r="V390" s="63">
        <f>ROUNDUP((SUMIFS('OOH Activities'!$L:$L,'OOH Activities'!$B:$B,CPY!B390)),1)</f>
        <v>0</v>
      </c>
      <c r="X390" s="65">
        <f>ROUNDUP((SUMIFS('ON Call_Call Out Activities'!$L:$L,'ON Call_Call Out Activities'!$F:$F,"Workdays",'ON Call_Call Out Activities'!$B:$B,CPY!B390))*24,1)</f>
        <v>0</v>
      </c>
      <c r="Y390" s="64">
        <f>ROUNDUP((SUMIFS('ON Call_Call Out Activities'!$L:$L,'ON Call_Call Out Activities'!$F:$F,"Non_workdays",'ON Call_Call Out Activities'!$B:$B,CPY!B390)) *24,1)</f>
        <v>0</v>
      </c>
      <c r="Z390" s="63">
        <f>ROUNDUP((SUMIFS('ON Call_Call Out Activities'!$M:$M,'ON Call_Call Out Activities'!$F:$F,"Non_workdays",'ON Call_Call Out Activities'!$B:$B,CPY!B390)),1) + ROUNDUP((SUMIFS('ON Call_Call Out Activities'!$M:$M,'ON Call_Call Out Activities'!$F:$F,"Workdays",'ON Call_Call Out Activities'!$B:$B,CPY!B390)),1)</f>
        <v>0</v>
      </c>
      <c r="AA390" s="66"/>
      <c r="AB390" s="64">
        <f>ROUNDUP((SUMIFS('ON Call_Call Out Activities'!$L:$L,'ON Call_Call Out Activities'!$F:$F,"Call_Out",'ON Call_Call Out Activities'!$B:$B,CPY!B390)) *24,1)</f>
        <v>0</v>
      </c>
      <c r="AC390" s="63">
        <f>ROUNDUP((SUMIFS('ON Call_Call Out Activities'!$M:$M,'ON Call_Call Out Activities'!$F:$F,"Call_Out",'ON Call_Call Out Activities'!$B:$B,CPY!B390)),1)</f>
        <v>0</v>
      </c>
      <c r="AE390" s="65">
        <f>IF((SUMIF(Shift_allowance_Entries!$B:$B,CPY!$B390,Shift_allowance_Entries!$H:$H)) &gt; (SUMIF(Shift_allowance_Entries!$B:$B,CPY!$B390,Shift_allowance_Entries!$G:$G)),0,((SUMIF(Shift_allowance_Entries!$B:$B,CPY!$B390,Shift_allowance_Entries!$G:$G))-(SUMIF(Shift_allowance_Entries!$B:$B,CPY!$B390,Shift_allowance_Entries!$H:$H))))</f>
        <v>0</v>
      </c>
      <c r="AF390" s="63">
        <f>AE390*MD!$S$4</f>
        <v>0</v>
      </c>
    </row>
    <row r="391" spans="1:32" x14ac:dyDescent="0.25">
      <c r="A391" s="62">
        <v>389</v>
      </c>
      <c r="B391" s="62"/>
      <c r="C391" s="50" t="str">
        <f>IF(ISNA(VLOOKUP($B391,Summary!$B:$D,2,FALSE))=TRUE," ",VLOOKUP($B391,Summary!$B:$D,2,FALSE))</f>
        <v> </v>
      </c>
      <c r="D391" s="50" t="str">
        <f>IF(ISNA(VLOOKUP($B391,Summary!$B:$D,3,FALSE))=TRUE," ",VLOOKUP($B391,Summary!$B:$D,3,FALSE))</f>
        <v> </v>
      </c>
      <c r="E391" s="62"/>
      <c r="F391" s="62"/>
      <c r="G391" s="62"/>
      <c r="I391" s="63">
        <f t="shared" si="6"/>
        <v>0</v>
      </c>
      <c r="K391" s="64">
        <f>IF(E391="Support(L1_L2)",IF(NOT(ISBLANK(B391)),IF(NOT(ISBLANK(D391)),NETWORKDAYS('CPY TOC'!$F$5,'CPY TOC'!$G$5))))-L391</f>
        <v>0</v>
      </c>
      <c r="L391" s="64">
        <f>IF(E391="Support(L1_L2)",SUMIFS(Support_allowance_Entries!$G:$G,Support_allowance_Entries!$B:$B,CPY!B391),0)</f>
        <v>0</v>
      </c>
      <c r="M391" s="63" t="b">
        <f>IF($D391="D0",MD!$C$4*(K391),IF($D391="D1",MD!$C$5*(K391),IF($D391="D2",MD!$C$6*(K391),IF($D391="D3",MD!$C$7*(K391),IF($D391="D4",MD!$C$8*(K391),IF($D391="D5",MD!$C$9*(K391),IF($D391="M1",MD!$C$10*(K391),IF($D391="T1",MD!$C$11*(K391)))))))))</f>
        <v>0</v>
      </c>
      <c r="O391" s="65">
        <f>SUMIFS(Shift_allowance_Entries!$G:$G,Shift_allowance_Entries!$F:$F,"6:30AM-03:30PM",Shift_allowance_Entries!$B:$B,CPY!$B391)</f>
        <v>0</v>
      </c>
      <c r="P391" s="65">
        <f>SUMIFS(Shift_allowance_Entries!$G:$G,Shift_allowance_Entries!$F:$F,"1-9PM/2:30PM-11:30PM",Shift_allowance_Entries!$B:$B,CPY!$B391)</f>
        <v>0</v>
      </c>
      <c r="Q391" s="65">
        <f>SUMIFS(Shift_allowance_Entries!$G:$G,Shift_allowance_Entries!$F:$F,"11PM-7AM",Shift_allowance_Entries!$B:$B,CPY!$B391)</f>
        <v>0</v>
      </c>
      <c r="R391" s="63">
        <f>(CPY!O391*MD!$F$4)+(CPY!P391*MD!$F$5)+(CPY!Q391*MD!$F$6)</f>
        <v>0</v>
      </c>
      <c r="T391" s="64">
        <f>ROUNDUP((SUMIFS('OOH Activities'!$K:$K,'OOH Activities'!$F:$F,"Non_workdays",'OOH Activities'!$B:$B,CPY!B391)) *24,1)</f>
        <v>0</v>
      </c>
      <c r="U391" s="64">
        <f>ROUNDUP((SUMIFS('OOH Activities'!$K:$K,'OOH Activities'!$F:$F,"Workdays",'OOH Activities'!$B:$B,CPY!B391)) *24,1)</f>
        <v>0</v>
      </c>
      <c r="V391" s="63">
        <f>ROUNDUP((SUMIFS('OOH Activities'!$L:$L,'OOH Activities'!$B:$B,CPY!B391)),1)</f>
        <v>0</v>
      </c>
      <c r="X391" s="65">
        <f>ROUNDUP((SUMIFS('ON Call_Call Out Activities'!$L:$L,'ON Call_Call Out Activities'!$F:$F,"Workdays",'ON Call_Call Out Activities'!$B:$B,CPY!B391))*24,1)</f>
        <v>0</v>
      </c>
      <c r="Y391" s="64">
        <f>ROUNDUP((SUMIFS('ON Call_Call Out Activities'!$L:$L,'ON Call_Call Out Activities'!$F:$F,"Non_workdays",'ON Call_Call Out Activities'!$B:$B,CPY!B391)) *24,1)</f>
        <v>0</v>
      </c>
      <c r="Z391" s="63">
        <f>ROUNDUP((SUMIFS('ON Call_Call Out Activities'!$M:$M,'ON Call_Call Out Activities'!$F:$F,"Non_workdays",'ON Call_Call Out Activities'!$B:$B,CPY!B391)),1) + ROUNDUP((SUMIFS('ON Call_Call Out Activities'!$M:$M,'ON Call_Call Out Activities'!$F:$F,"Workdays",'ON Call_Call Out Activities'!$B:$B,CPY!B391)),1)</f>
        <v>0</v>
      </c>
      <c r="AA391" s="66"/>
      <c r="AB391" s="64">
        <f>ROUNDUP((SUMIFS('ON Call_Call Out Activities'!$L:$L,'ON Call_Call Out Activities'!$F:$F,"Call_Out",'ON Call_Call Out Activities'!$B:$B,CPY!B391)) *24,1)</f>
        <v>0</v>
      </c>
      <c r="AC391" s="63">
        <f>ROUNDUP((SUMIFS('ON Call_Call Out Activities'!$M:$M,'ON Call_Call Out Activities'!$F:$F,"Call_Out",'ON Call_Call Out Activities'!$B:$B,CPY!B391)),1)</f>
        <v>0</v>
      </c>
      <c r="AE391" s="65">
        <f>IF((SUMIF(Shift_allowance_Entries!$B:$B,CPY!$B391,Shift_allowance_Entries!$H:$H)) &gt; (SUMIF(Shift_allowance_Entries!$B:$B,CPY!$B391,Shift_allowance_Entries!$G:$G)),0,((SUMIF(Shift_allowance_Entries!$B:$B,CPY!$B391,Shift_allowance_Entries!$G:$G))-(SUMIF(Shift_allowance_Entries!$B:$B,CPY!$B391,Shift_allowance_Entries!$H:$H))))</f>
        <v>0</v>
      </c>
      <c r="AF391" s="63">
        <f>AE391*MD!$S$4</f>
        <v>0</v>
      </c>
    </row>
    <row r="392" spans="1:32" x14ac:dyDescent="0.25">
      <c r="A392" s="62">
        <v>390</v>
      </c>
      <c r="B392" s="62"/>
      <c r="C392" s="50" t="str">
        <f>IF(ISNA(VLOOKUP($B392,Summary!$B:$D,2,FALSE))=TRUE," ",VLOOKUP($B392,Summary!$B:$D,2,FALSE))</f>
        <v> </v>
      </c>
      <c r="D392" s="50" t="str">
        <f>IF(ISNA(VLOOKUP($B392,Summary!$B:$D,3,FALSE))=TRUE," ",VLOOKUP($B392,Summary!$B:$D,3,FALSE))</f>
        <v> </v>
      </c>
      <c r="E392" s="62"/>
      <c r="F392" s="62"/>
      <c r="G392" s="62"/>
      <c r="I392" s="63">
        <f t="shared" si="6"/>
        <v>0</v>
      </c>
      <c r="K392" s="64">
        <f>IF(E392="Support(L1_L2)",IF(NOT(ISBLANK(B392)),IF(NOT(ISBLANK(D392)),NETWORKDAYS('CPY TOC'!$F$5,'CPY TOC'!$G$5))))-L392</f>
        <v>0</v>
      </c>
      <c r="L392" s="64">
        <f>IF(E392="Support(L1_L2)",SUMIFS(Support_allowance_Entries!$G:$G,Support_allowance_Entries!$B:$B,CPY!B392),0)</f>
        <v>0</v>
      </c>
      <c r="M392" s="63" t="b">
        <f>IF($D392="D0",MD!$C$4*(K392),IF($D392="D1",MD!$C$5*(K392),IF($D392="D2",MD!$C$6*(K392),IF($D392="D3",MD!$C$7*(K392),IF($D392="D4",MD!$C$8*(K392),IF($D392="D5",MD!$C$9*(K392),IF($D392="M1",MD!$C$10*(K392),IF($D392="T1",MD!$C$11*(K392)))))))))</f>
        <v>0</v>
      </c>
      <c r="O392" s="65">
        <f>SUMIFS(Shift_allowance_Entries!$G:$G,Shift_allowance_Entries!$F:$F,"6:30AM-03:30PM",Shift_allowance_Entries!$B:$B,CPY!$B392)</f>
        <v>0</v>
      </c>
      <c r="P392" s="65">
        <f>SUMIFS(Shift_allowance_Entries!$G:$G,Shift_allowance_Entries!$F:$F,"1-9PM/2:30PM-11:30PM",Shift_allowance_Entries!$B:$B,CPY!$B392)</f>
        <v>0</v>
      </c>
      <c r="Q392" s="65">
        <f>SUMIFS(Shift_allowance_Entries!$G:$G,Shift_allowance_Entries!$F:$F,"11PM-7AM",Shift_allowance_Entries!$B:$B,CPY!$B392)</f>
        <v>0</v>
      </c>
      <c r="R392" s="63">
        <f>(CPY!O392*MD!$F$4)+(CPY!P392*MD!$F$5)+(CPY!Q392*MD!$F$6)</f>
        <v>0</v>
      </c>
      <c r="T392" s="64">
        <f>ROUNDUP((SUMIFS('OOH Activities'!$K:$K,'OOH Activities'!$F:$F,"Non_workdays",'OOH Activities'!$B:$B,CPY!B392)) *24,1)</f>
        <v>0</v>
      </c>
      <c r="U392" s="64">
        <f>ROUNDUP((SUMIFS('OOH Activities'!$K:$K,'OOH Activities'!$F:$F,"Workdays",'OOH Activities'!$B:$B,CPY!B392)) *24,1)</f>
        <v>0</v>
      </c>
      <c r="V392" s="63">
        <f>ROUNDUP((SUMIFS('OOH Activities'!$L:$L,'OOH Activities'!$B:$B,CPY!B392)),1)</f>
        <v>0</v>
      </c>
      <c r="X392" s="65">
        <f>ROUNDUP((SUMIFS('ON Call_Call Out Activities'!$L:$L,'ON Call_Call Out Activities'!$F:$F,"Workdays",'ON Call_Call Out Activities'!$B:$B,CPY!B392))*24,1)</f>
        <v>0</v>
      </c>
      <c r="Y392" s="64">
        <f>ROUNDUP((SUMIFS('ON Call_Call Out Activities'!$L:$L,'ON Call_Call Out Activities'!$F:$F,"Non_workdays",'ON Call_Call Out Activities'!$B:$B,CPY!B392)) *24,1)</f>
        <v>0</v>
      </c>
      <c r="Z392" s="63">
        <f>ROUNDUP((SUMIFS('ON Call_Call Out Activities'!$M:$M,'ON Call_Call Out Activities'!$F:$F,"Non_workdays",'ON Call_Call Out Activities'!$B:$B,CPY!B392)),1) + ROUNDUP((SUMIFS('ON Call_Call Out Activities'!$M:$M,'ON Call_Call Out Activities'!$F:$F,"Workdays",'ON Call_Call Out Activities'!$B:$B,CPY!B392)),1)</f>
        <v>0</v>
      </c>
      <c r="AA392" s="66"/>
      <c r="AB392" s="64">
        <f>ROUNDUP((SUMIFS('ON Call_Call Out Activities'!$L:$L,'ON Call_Call Out Activities'!$F:$F,"Call_Out",'ON Call_Call Out Activities'!$B:$B,CPY!B392)) *24,1)</f>
        <v>0</v>
      </c>
      <c r="AC392" s="63">
        <f>ROUNDUP((SUMIFS('ON Call_Call Out Activities'!$M:$M,'ON Call_Call Out Activities'!$F:$F,"Call_Out",'ON Call_Call Out Activities'!$B:$B,CPY!B392)),1)</f>
        <v>0</v>
      </c>
      <c r="AE392" s="65">
        <f>IF((SUMIF(Shift_allowance_Entries!$B:$B,CPY!$B392,Shift_allowance_Entries!$H:$H)) &gt; (SUMIF(Shift_allowance_Entries!$B:$B,CPY!$B392,Shift_allowance_Entries!$G:$G)),0,((SUMIF(Shift_allowance_Entries!$B:$B,CPY!$B392,Shift_allowance_Entries!$G:$G))-(SUMIF(Shift_allowance_Entries!$B:$B,CPY!$B392,Shift_allowance_Entries!$H:$H))))</f>
        <v>0</v>
      </c>
      <c r="AF392" s="63">
        <f>AE392*MD!$S$4</f>
        <v>0</v>
      </c>
    </row>
    <row r="393" spans="1:32" x14ac:dyDescent="0.25">
      <c r="A393" s="62">
        <v>391</v>
      </c>
      <c r="B393" s="62"/>
      <c r="C393" s="50" t="str">
        <f>IF(ISNA(VLOOKUP($B393,Summary!$B:$D,2,FALSE))=TRUE," ",VLOOKUP($B393,Summary!$B:$D,2,FALSE))</f>
        <v> </v>
      </c>
      <c r="D393" s="50" t="str">
        <f>IF(ISNA(VLOOKUP($B393,Summary!$B:$D,3,FALSE))=TRUE," ",VLOOKUP($B393,Summary!$B:$D,3,FALSE))</f>
        <v> </v>
      </c>
      <c r="E393" s="62"/>
      <c r="F393" s="62"/>
      <c r="G393" s="62"/>
      <c r="I393" s="63">
        <f t="shared" si="6"/>
        <v>0</v>
      </c>
      <c r="K393" s="64">
        <f>IF(E393="Support(L1_L2)",IF(NOT(ISBLANK(B393)),IF(NOT(ISBLANK(D393)),NETWORKDAYS('CPY TOC'!$F$5,'CPY TOC'!$G$5))))-L393</f>
        <v>0</v>
      </c>
      <c r="L393" s="64">
        <f>IF(E393="Support(L1_L2)",SUMIFS(Support_allowance_Entries!$G:$G,Support_allowance_Entries!$B:$B,CPY!B393),0)</f>
        <v>0</v>
      </c>
      <c r="M393" s="63" t="b">
        <f>IF($D393="D0",MD!$C$4*(K393),IF($D393="D1",MD!$C$5*(K393),IF($D393="D2",MD!$C$6*(K393),IF($D393="D3",MD!$C$7*(K393),IF($D393="D4",MD!$C$8*(K393),IF($D393="D5",MD!$C$9*(K393),IF($D393="M1",MD!$C$10*(K393),IF($D393="T1",MD!$C$11*(K393)))))))))</f>
        <v>0</v>
      </c>
      <c r="O393" s="65">
        <f>SUMIFS(Shift_allowance_Entries!$G:$G,Shift_allowance_Entries!$F:$F,"6:30AM-03:30PM",Shift_allowance_Entries!$B:$B,CPY!$B393)</f>
        <v>0</v>
      </c>
      <c r="P393" s="65">
        <f>SUMIFS(Shift_allowance_Entries!$G:$G,Shift_allowance_Entries!$F:$F,"1-9PM/2:30PM-11:30PM",Shift_allowance_Entries!$B:$B,CPY!$B393)</f>
        <v>0</v>
      </c>
      <c r="Q393" s="65">
        <f>SUMIFS(Shift_allowance_Entries!$G:$G,Shift_allowance_Entries!$F:$F,"11PM-7AM",Shift_allowance_Entries!$B:$B,CPY!$B393)</f>
        <v>0</v>
      </c>
      <c r="R393" s="63">
        <f>(CPY!O393*MD!$F$4)+(CPY!P393*MD!$F$5)+(CPY!Q393*MD!$F$6)</f>
        <v>0</v>
      </c>
      <c r="T393" s="64">
        <f>ROUNDUP((SUMIFS('OOH Activities'!$K:$K,'OOH Activities'!$F:$F,"Non_workdays",'OOH Activities'!$B:$B,CPY!B393)) *24,1)</f>
        <v>0</v>
      </c>
      <c r="U393" s="64">
        <f>ROUNDUP((SUMIFS('OOH Activities'!$K:$K,'OOH Activities'!$F:$F,"Workdays",'OOH Activities'!$B:$B,CPY!B393)) *24,1)</f>
        <v>0</v>
      </c>
      <c r="V393" s="63">
        <f>ROUNDUP((SUMIFS('OOH Activities'!$L:$L,'OOH Activities'!$B:$B,CPY!B393)),1)</f>
        <v>0</v>
      </c>
      <c r="X393" s="65">
        <f>ROUNDUP((SUMIFS('ON Call_Call Out Activities'!$L:$L,'ON Call_Call Out Activities'!$F:$F,"Workdays",'ON Call_Call Out Activities'!$B:$B,CPY!B393))*24,1)</f>
        <v>0</v>
      </c>
      <c r="Y393" s="64">
        <f>ROUNDUP((SUMIFS('ON Call_Call Out Activities'!$L:$L,'ON Call_Call Out Activities'!$F:$F,"Non_workdays",'ON Call_Call Out Activities'!$B:$B,CPY!B393)) *24,1)</f>
        <v>0</v>
      </c>
      <c r="Z393" s="63">
        <f>ROUNDUP((SUMIFS('ON Call_Call Out Activities'!$M:$M,'ON Call_Call Out Activities'!$F:$F,"Non_workdays",'ON Call_Call Out Activities'!$B:$B,CPY!B393)),1) + ROUNDUP((SUMIFS('ON Call_Call Out Activities'!$M:$M,'ON Call_Call Out Activities'!$F:$F,"Workdays",'ON Call_Call Out Activities'!$B:$B,CPY!B393)),1)</f>
        <v>0</v>
      </c>
      <c r="AA393" s="66"/>
      <c r="AB393" s="64">
        <f>ROUNDUP((SUMIFS('ON Call_Call Out Activities'!$L:$L,'ON Call_Call Out Activities'!$F:$F,"Call_Out",'ON Call_Call Out Activities'!$B:$B,CPY!B393)) *24,1)</f>
        <v>0</v>
      </c>
      <c r="AC393" s="63">
        <f>ROUNDUP((SUMIFS('ON Call_Call Out Activities'!$M:$M,'ON Call_Call Out Activities'!$F:$F,"Call_Out",'ON Call_Call Out Activities'!$B:$B,CPY!B393)),1)</f>
        <v>0</v>
      </c>
      <c r="AE393" s="65">
        <f>IF((SUMIF(Shift_allowance_Entries!$B:$B,CPY!$B393,Shift_allowance_Entries!$H:$H)) &gt; (SUMIF(Shift_allowance_Entries!$B:$B,CPY!$B393,Shift_allowance_Entries!$G:$G)),0,((SUMIF(Shift_allowance_Entries!$B:$B,CPY!$B393,Shift_allowance_Entries!$G:$G))-(SUMIF(Shift_allowance_Entries!$B:$B,CPY!$B393,Shift_allowance_Entries!$H:$H))))</f>
        <v>0</v>
      </c>
      <c r="AF393" s="63">
        <f>AE393*MD!$S$4</f>
        <v>0</v>
      </c>
    </row>
    <row r="394" spans="1:32" x14ac:dyDescent="0.25">
      <c r="A394" s="62">
        <v>392</v>
      </c>
      <c r="B394" s="62"/>
      <c r="C394" s="50" t="str">
        <f>IF(ISNA(VLOOKUP($B394,Summary!$B:$D,2,FALSE))=TRUE," ",VLOOKUP($B394,Summary!$B:$D,2,FALSE))</f>
        <v> </v>
      </c>
      <c r="D394" s="50" t="str">
        <f>IF(ISNA(VLOOKUP($B394,Summary!$B:$D,3,FALSE))=TRUE," ",VLOOKUP($B394,Summary!$B:$D,3,FALSE))</f>
        <v> </v>
      </c>
      <c r="E394" s="62"/>
      <c r="F394" s="62"/>
      <c r="G394" s="62"/>
      <c r="I394" s="63">
        <f t="shared" si="6"/>
        <v>0</v>
      </c>
      <c r="K394" s="64">
        <f>IF(E394="Support(L1_L2)",IF(NOT(ISBLANK(B394)),IF(NOT(ISBLANK(D394)),NETWORKDAYS('CPY TOC'!$F$5,'CPY TOC'!$G$5))))-L394</f>
        <v>0</v>
      </c>
      <c r="L394" s="64">
        <f>IF(E394="Support(L1_L2)",SUMIFS(Support_allowance_Entries!$G:$G,Support_allowance_Entries!$B:$B,CPY!B394),0)</f>
        <v>0</v>
      </c>
      <c r="M394" s="63" t="b">
        <f>IF($D394="D0",MD!$C$4*(K394),IF($D394="D1",MD!$C$5*(K394),IF($D394="D2",MD!$C$6*(K394),IF($D394="D3",MD!$C$7*(K394),IF($D394="D4",MD!$C$8*(K394),IF($D394="D5",MD!$C$9*(K394),IF($D394="M1",MD!$C$10*(K394),IF($D394="T1",MD!$C$11*(K394)))))))))</f>
        <v>0</v>
      </c>
      <c r="O394" s="65">
        <f>SUMIFS(Shift_allowance_Entries!$G:$G,Shift_allowance_Entries!$F:$F,"6:30AM-03:30PM",Shift_allowance_Entries!$B:$B,CPY!$B394)</f>
        <v>0</v>
      </c>
      <c r="P394" s="65">
        <f>SUMIFS(Shift_allowance_Entries!$G:$G,Shift_allowance_Entries!$F:$F,"1-9PM/2:30PM-11:30PM",Shift_allowance_Entries!$B:$B,CPY!$B394)</f>
        <v>0</v>
      </c>
      <c r="Q394" s="65">
        <f>SUMIFS(Shift_allowance_Entries!$G:$G,Shift_allowance_Entries!$F:$F,"11PM-7AM",Shift_allowance_Entries!$B:$B,CPY!$B394)</f>
        <v>0</v>
      </c>
      <c r="R394" s="63">
        <f>(CPY!O394*MD!$F$4)+(CPY!P394*MD!$F$5)+(CPY!Q394*MD!$F$6)</f>
        <v>0</v>
      </c>
      <c r="T394" s="64">
        <f>ROUNDUP((SUMIFS('OOH Activities'!$K:$K,'OOH Activities'!$F:$F,"Non_workdays",'OOH Activities'!$B:$B,CPY!B394)) *24,1)</f>
        <v>0</v>
      </c>
      <c r="U394" s="64">
        <f>ROUNDUP((SUMIFS('OOH Activities'!$K:$K,'OOH Activities'!$F:$F,"Workdays",'OOH Activities'!$B:$B,CPY!B394)) *24,1)</f>
        <v>0</v>
      </c>
      <c r="V394" s="63">
        <f>ROUNDUP((SUMIFS('OOH Activities'!$L:$L,'OOH Activities'!$B:$B,CPY!B394)),1)</f>
        <v>0</v>
      </c>
      <c r="X394" s="65">
        <f>ROUNDUP((SUMIFS('ON Call_Call Out Activities'!$L:$L,'ON Call_Call Out Activities'!$F:$F,"Workdays",'ON Call_Call Out Activities'!$B:$B,CPY!B394))*24,1)</f>
        <v>0</v>
      </c>
      <c r="Y394" s="64">
        <f>ROUNDUP((SUMIFS('ON Call_Call Out Activities'!$L:$L,'ON Call_Call Out Activities'!$F:$F,"Non_workdays",'ON Call_Call Out Activities'!$B:$B,CPY!B394)) *24,1)</f>
        <v>0</v>
      </c>
      <c r="Z394" s="63">
        <f>ROUNDUP((SUMIFS('ON Call_Call Out Activities'!$M:$M,'ON Call_Call Out Activities'!$F:$F,"Non_workdays",'ON Call_Call Out Activities'!$B:$B,CPY!B394)),1) + ROUNDUP((SUMIFS('ON Call_Call Out Activities'!$M:$M,'ON Call_Call Out Activities'!$F:$F,"Workdays",'ON Call_Call Out Activities'!$B:$B,CPY!B394)),1)</f>
        <v>0</v>
      </c>
      <c r="AA394" s="66"/>
      <c r="AB394" s="64">
        <f>ROUNDUP((SUMIFS('ON Call_Call Out Activities'!$L:$L,'ON Call_Call Out Activities'!$F:$F,"Call_Out",'ON Call_Call Out Activities'!$B:$B,CPY!B394)) *24,1)</f>
        <v>0</v>
      </c>
      <c r="AC394" s="63">
        <f>ROUNDUP((SUMIFS('ON Call_Call Out Activities'!$M:$M,'ON Call_Call Out Activities'!$F:$F,"Call_Out",'ON Call_Call Out Activities'!$B:$B,CPY!B394)),1)</f>
        <v>0</v>
      </c>
      <c r="AE394" s="65">
        <f>IF((SUMIF(Shift_allowance_Entries!$B:$B,CPY!$B394,Shift_allowance_Entries!$H:$H)) &gt; (SUMIF(Shift_allowance_Entries!$B:$B,CPY!$B394,Shift_allowance_Entries!$G:$G)),0,((SUMIF(Shift_allowance_Entries!$B:$B,CPY!$B394,Shift_allowance_Entries!$G:$G))-(SUMIF(Shift_allowance_Entries!$B:$B,CPY!$B394,Shift_allowance_Entries!$H:$H))))</f>
        <v>0</v>
      </c>
      <c r="AF394" s="63">
        <f>AE394*MD!$S$4</f>
        <v>0</v>
      </c>
    </row>
    <row r="395" spans="1:32" x14ac:dyDescent="0.25">
      <c r="A395" s="62">
        <v>393</v>
      </c>
      <c r="B395" s="62"/>
      <c r="C395" s="50" t="str">
        <f>IF(ISNA(VLOOKUP($B395,Summary!$B:$D,2,FALSE))=TRUE," ",VLOOKUP($B395,Summary!$B:$D,2,FALSE))</f>
        <v> </v>
      </c>
      <c r="D395" s="50" t="str">
        <f>IF(ISNA(VLOOKUP($B395,Summary!$B:$D,3,FALSE))=TRUE," ",VLOOKUP($B395,Summary!$B:$D,3,FALSE))</f>
        <v> </v>
      </c>
      <c r="E395" s="62"/>
      <c r="F395" s="62"/>
      <c r="G395" s="62"/>
      <c r="I395" s="63">
        <f t="shared" si="6"/>
        <v>0</v>
      </c>
      <c r="K395" s="64">
        <f>IF(E395="Support(L1_L2)",IF(NOT(ISBLANK(B395)),IF(NOT(ISBLANK(D395)),NETWORKDAYS('CPY TOC'!$F$5,'CPY TOC'!$G$5))))-L395</f>
        <v>0</v>
      </c>
      <c r="L395" s="64">
        <f>IF(E395="Support(L1_L2)",SUMIFS(Support_allowance_Entries!$G:$G,Support_allowance_Entries!$B:$B,CPY!B395),0)</f>
        <v>0</v>
      </c>
      <c r="M395" s="63" t="b">
        <f>IF($D395="D0",MD!$C$4*(K395),IF($D395="D1",MD!$C$5*(K395),IF($D395="D2",MD!$C$6*(K395),IF($D395="D3",MD!$C$7*(K395),IF($D395="D4",MD!$C$8*(K395),IF($D395="D5",MD!$C$9*(K395),IF($D395="M1",MD!$C$10*(K395),IF($D395="T1",MD!$C$11*(K395)))))))))</f>
        <v>0</v>
      </c>
      <c r="O395" s="65">
        <f>SUMIFS(Shift_allowance_Entries!$G:$G,Shift_allowance_Entries!$F:$F,"6:30AM-03:30PM",Shift_allowance_Entries!$B:$B,CPY!$B395)</f>
        <v>0</v>
      </c>
      <c r="P395" s="65">
        <f>SUMIFS(Shift_allowance_Entries!$G:$G,Shift_allowance_Entries!$F:$F,"1-9PM/2:30PM-11:30PM",Shift_allowance_Entries!$B:$B,CPY!$B395)</f>
        <v>0</v>
      </c>
      <c r="Q395" s="65">
        <f>SUMIFS(Shift_allowance_Entries!$G:$G,Shift_allowance_Entries!$F:$F,"11PM-7AM",Shift_allowance_Entries!$B:$B,CPY!$B395)</f>
        <v>0</v>
      </c>
      <c r="R395" s="63">
        <f>(CPY!O395*MD!$F$4)+(CPY!P395*MD!$F$5)+(CPY!Q395*MD!$F$6)</f>
        <v>0</v>
      </c>
      <c r="T395" s="64">
        <f>ROUNDUP((SUMIFS('OOH Activities'!$K:$K,'OOH Activities'!$F:$F,"Non_workdays",'OOH Activities'!$B:$B,CPY!B395)) *24,1)</f>
        <v>0</v>
      </c>
      <c r="U395" s="64">
        <f>ROUNDUP((SUMIFS('OOH Activities'!$K:$K,'OOH Activities'!$F:$F,"Workdays",'OOH Activities'!$B:$B,CPY!B395)) *24,1)</f>
        <v>0</v>
      </c>
      <c r="V395" s="63">
        <f>ROUNDUP((SUMIFS('OOH Activities'!$L:$L,'OOH Activities'!$B:$B,CPY!B395)),1)</f>
        <v>0</v>
      </c>
      <c r="X395" s="65">
        <f>ROUNDUP((SUMIFS('ON Call_Call Out Activities'!$L:$L,'ON Call_Call Out Activities'!$F:$F,"Workdays",'ON Call_Call Out Activities'!$B:$B,CPY!B395))*24,1)</f>
        <v>0</v>
      </c>
      <c r="Y395" s="64">
        <f>ROUNDUP((SUMIFS('ON Call_Call Out Activities'!$L:$L,'ON Call_Call Out Activities'!$F:$F,"Non_workdays",'ON Call_Call Out Activities'!$B:$B,CPY!B395)) *24,1)</f>
        <v>0</v>
      </c>
      <c r="Z395" s="63">
        <f>ROUNDUP((SUMIFS('ON Call_Call Out Activities'!$M:$M,'ON Call_Call Out Activities'!$F:$F,"Non_workdays",'ON Call_Call Out Activities'!$B:$B,CPY!B395)),1) + ROUNDUP((SUMIFS('ON Call_Call Out Activities'!$M:$M,'ON Call_Call Out Activities'!$F:$F,"Workdays",'ON Call_Call Out Activities'!$B:$B,CPY!B395)),1)</f>
        <v>0</v>
      </c>
      <c r="AA395" s="66"/>
      <c r="AB395" s="64">
        <f>ROUNDUP((SUMIFS('ON Call_Call Out Activities'!$L:$L,'ON Call_Call Out Activities'!$F:$F,"Call_Out",'ON Call_Call Out Activities'!$B:$B,CPY!B395)) *24,1)</f>
        <v>0</v>
      </c>
      <c r="AC395" s="63">
        <f>ROUNDUP((SUMIFS('ON Call_Call Out Activities'!$M:$M,'ON Call_Call Out Activities'!$F:$F,"Call_Out",'ON Call_Call Out Activities'!$B:$B,CPY!B395)),1)</f>
        <v>0</v>
      </c>
      <c r="AE395" s="65">
        <f>IF((SUMIF(Shift_allowance_Entries!$B:$B,CPY!$B395,Shift_allowance_Entries!$H:$H)) &gt; (SUMIF(Shift_allowance_Entries!$B:$B,CPY!$B395,Shift_allowance_Entries!$G:$G)),0,((SUMIF(Shift_allowance_Entries!$B:$B,CPY!$B395,Shift_allowance_Entries!$G:$G))-(SUMIF(Shift_allowance_Entries!$B:$B,CPY!$B395,Shift_allowance_Entries!$H:$H))))</f>
        <v>0</v>
      </c>
      <c r="AF395" s="63">
        <f>AE395*MD!$S$4</f>
        <v>0</v>
      </c>
    </row>
    <row r="396" spans="1:32" x14ac:dyDescent="0.25">
      <c r="A396" s="62">
        <v>394</v>
      </c>
      <c r="B396" s="62"/>
      <c r="C396" s="50" t="str">
        <f>IF(ISNA(VLOOKUP($B396,Summary!$B:$D,2,FALSE))=TRUE," ",VLOOKUP($B396,Summary!$B:$D,2,FALSE))</f>
        <v> </v>
      </c>
      <c r="D396" s="50" t="str">
        <f>IF(ISNA(VLOOKUP($B396,Summary!$B:$D,3,FALSE))=TRUE," ",VLOOKUP($B396,Summary!$B:$D,3,FALSE))</f>
        <v> </v>
      </c>
      <c r="E396" s="62"/>
      <c r="F396" s="62"/>
      <c r="G396" s="62"/>
      <c r="I396" s="63">
        <f t="shared" si="6"/>
        <v>0</v>
      </c>
      <c r="K396" s="64">
        <f>IF(E396="Support(L1_L2)",IF(NOT(ISBLANK(B396)),IF(NOT(ISBLANK(D396)),NETWORKDAYS('CPY TOC'!$F$5,'CPY TOC'!$G$5))))-L396</f>
        <v>0</v>
      </c>
      <c r="L396" s="64">
        <f>IF(E396="Support(L1_L2)",SUMIFS(Support_allowance_Entries!$G:$G,Support_allowance_Entries!$B:$B,CPY!B396),0)</f>
        <v>0</v>
      </c>
      <c r="M396" s="63" t="b">
        <f>IF($D396="D0",MD!$C$4*(K396),IF($D396="D1",MD!$C$5*(K396),IF($D396="D2",MD!$C$6*(K396),IF($D396="D3",MD!$C$7*(K396),IF($D396="D4",MD!$C$8*(K396),IF($D396="D5",MD!$C$9*(K396),IF($D396="M1",MD!$C$10*(K396),IF($D396="T1",MD!$C$11*(K396)))))))))</f>
        <v>0</v>
      </c>
      <c r="O396" s="65">
        <f>SUMIFS(Shift_allowance_Entries!$G:$G,Shift_allowance_Entries!$F:$F,"6:30AM-03:30PM",Shift_allowance_Entries!$B:$B,CPY!$B396)</f>
        <v>0</v>
      </c>
      <c r="P396" s="65">
        <f>SUMIFS(Shift_allowance_Entries!$G:$G,Shift_allowance_Entries!$F:$F,"1-9PM/2:30PM-11:30PM",Shift_allowance_Entries!$B:$B,CPY!$B396)</f>
        <v>0</v>
      </c>
      <c r="Q396" s="65">
        <f>SUMIFS(Shift_allowance_Entries!$G:$G,Shift_allowance_Entries!$F:$F,"11PM-7AM",Shift_allowance_Entries!$B:$B,CPY!$B396)</f>
        <v>0</v>
      </c>
      <c r="R396" s="63">
        <f>(CPY!O396*MD!$F$4)+(CPY!P396*MD!$F$5)+(CPY!Q396*MD!$F$6)</f>
        <v>0</v>
      </c>
      <c r="T396" s="64">
        <f>ROUNDUP((SUMIFS('OOH Activities'!$K:$K,'OOH Activities'!$F:$F,"Non_workdays",'OOH Activities'!$B:$B,CPY!B396)) *24,1)</f>
        <v>0</v>
      </c>
      <c r="U396" s="64">
        <f>ROUNDUP((SUMIFS('OOH Activities'!$K:$K,'OOH Activities'!$F:$F,"Workdays",'OOH Activities'!$B:$B,CPY!B396)) *24,1)</f>
        <v>0</v>
      </c>
      <c r="V396" s="63">
        <f>ROUNDUP((SUMIFS('OOH Activities'!$L:$L,'OOH Activities'!$B:$B,CPY!B396)),1)</f>
        <v>0</v>
      </c>
      <c r="X396" s="65">
        <f>ROUNDUP((SUMIFS('ON Call_Call Out Activities'!$L:$L,'ON Call_Call Out Activities'!$F:$F,"Workdays",'ON Call_Call Out Activities'!$B:$B,CPY!B396))*24,1)</f>
        <v>0</v>
      </c>
      <c r="Y396" s="64">
        <f>ROUNDUP((SUMIFS('ON Call_Call Out Activities'!$L:$L,'ON Call_Call Out Activities'!$F:$F,"Non_workdays",'ON Call_Call Out Activities'!$B:$B,CPY!B396)) *24,1)</f>
        <v>0</v>
      </c>
      <c r="Z396" s="63">
        <f>ROUNDUP((SUMIFS('ON Call_Call Out Activities'!$M:$M,'ON Call_Call Out Activities'!$F:$F,"Non_workdays",'ON Call_Call Out Activities'!$B:$B,CPY!B396)),1) + ROUNDUP((SUMIFS('ON Call_Call Out Activities'!$M:$M,'ON Call_Call Out Activities'!$F:$F,"Workdays",'ON Call_Call Out Activities'!$B:$B,CPY!B396)),1)</f>
        <v>0</v>
      </c>
      <c r="AA396" s="66"/>
      <c r="AB396" s="64">
        <f>ROUNDUP((SUMIFS('ON Call_Call Out Activities'!$L:$L,'ON Call_Call Out Activities'!$F:$F,"Call_Out",'ON Call_Call Out Activities'!$B:$B,CPY!B396)) *24,1)</f>
        <v>0</v>
      </c>
      <c r="AC396" s="63">
        <f>ROUNDUP((SUMIFS('ON Call_Call Out Activities'!$M:$M,'ON Call_Call Out Activities'!$F:$F,"Call_Out",'ON Call_Call Out Activities'!$B:$B,CPY!B396)),1)</f>
        <v>0</v>
      </c>
      <c r="AE396" s="65">
        <f>IF((SUMIF(Shift_allowance_Entries!$B:$B,CPY!$B396,Shift_allowance_Entries!$H:$H)) &gt; (SUMIF(Shift_allowance_Entries!$B:$B,CPY!$B396,Shift_allowance_Entries!$G:$G)),0,((SUMIF(Shift_allowance_Entries!$B:$B,CPY!$B396,Shift_allowance_Entries!$G:$G))-(SUMIF(Shift_allowance_Entries!$B:$B,CPY!$B396,Shift_allowance_Entries!$H:$H))))</f>
        <v>0</v>
      </c>
      <c r="AF396" s="63">
        <f>AE396*MD!$S$4</f>
        <v>0</v>
      </c>
    </row>
    <row r="397" spans="1:32" x14ac:dyDescent="0.25">
      <c r="A397" s="62">
        <v>395</v>
      </c>
      <c r="B397" s="62"/>
      <c r="C397" s="50" t="str">
        <f>IF(ISNA(VLOOKUP($B397,Summary!$B:$D,2,FALSE))=TRUE," ",VLOOKUP($B397,Summary!$B:$D,2,FALSE))</f>
        <v> </v>
      </c>
      <c r="D397" s="50" t="str">
        <f>IF(ISNA(VLOOKUP($B397,Summary!$B:$D,3,FALSE))=TRUE," ",VLOOKUP($B397,Summary!$B:$D,3,FALSE))</f>
        <v> </v>
      </c>
      <c r="E397" s="62"/>
      <c r="F397" s="62"/>
      <c r="G397" s="62"/>
      <c r="I397" s="63">
        <f t="shared" si="6"/>
        <v>0</v>
      </c>
      <c r="K397" s="64">
        <f>IF(E397="Support(L1_L2)",IF(NOT(ISBLANK(B397)),IF(NOT(ISBLANK(D397)),NETWORKDAYS('CPY TOC'!$F$5,'CPY TOC'!$G$5))))-L397</f>
        <v>0</v>
      </c>
      <c r="L397" s="64">
        <f>IF(E397="Support(L1_L2)",SUMIFS(Support_allowance_Entries!$G:$G,Support_allowance_Entries!$B:$B,CPY!B397),0)</f>
        <v>0</v>
      </c>
      <c r="M397" s="63" t="b">
        <f>IF($D397="D0",MD!$C$4*(K397),IF($D397="D1",MD!$C$5*(K397),IF($D397="D2",MD!$C$6*(K397),IF($D397="D3",MD!$C$7*(K397),IF($D397="D4",MD!$C$8*(K397),IF($D397="D5",MD!$C$9*(K397),IF($D397="M1",MD!$C$10*(K397),IF($D397="T1",MD!$C$11*(K397)))))))))</f>
        <v>0</v>
      </c>
      <c r="O397" s="65">
        <f>SUMIFS(Shift_allowance_Entries!$G:$G,Shift_allowance_Entries!$F:$F,"6:30AM-03:30PM",Shift_allowance_Entries!$B:$B,CPY!$B397)</f>
        <v>0</v>
      </c>
      <c r="P397" s="65">
        <f>SUMIFS(Shift_allowance_Entries!$G:$G,Shift_allowance_Entries!$F:$F,"1-9PM/2:30PM-11:30PM",Shift_allowance_Entries!$B:$B,CPY!$B397)</f>
        <v>0</v>
      </c>
      <c r="Q397" s="65">
        <f>SUMIFS(Shift_allowance_Entries!$G:$G,Shift_allowance_Entries!$F:$F,"11PM-7AM",Shift_allowance_Entries!$B:$B,CPY!$B397)</f>
        <v>0</v>
      </c>
      <c r="R397" s="63">
        <f>(CPY!O397*MD!$F$4)+(CPY!P397*MD!$F$5)+(CPY!Q397*MD!$F$6)</f>
        <v>0</v>
      </c>
      <c r="T397" s="64">
        <f>ROUNDUP((SUMIFS('OOH Activities'!$K:$K,'OOH Activities'!$F:$F,"Non_workdays",'OOH Activities'!$B:$B,CPY!B397)) *24,1)</f>
        <v>0</v>
      </c>
      <c r="U397" s="64">
        <f>ROUNDUP((SUMIFS('OOH Activities'!$K:$K,'OOH Activities'!$F:$F,"Workdays",'OOH Activities'!$B:$B,CPY!B397)) *24,1)</f>
        <v>0</v>
      </c>
      <c r="V397" s="63">
        <f>ROUNDUP((SUMIFS('OOH Activities'!$L:$L,'OOH Activities'!$B:$B,CPY!B397)),1)</f>
        <v>0</v>
      </c>
      <c r="X397" s="65">
        <f>ROUNDUP((SUMIFS('ON Call_Call Out Activities'!$L:$L,'ON Call_Call Out Activities'!$F:$F,"Workdays",'ON Call_Call Out Activities'!$B:$B,CPY!B397))*24,1)</f>
        <v>0</v>
      </c>
      <c r="Y397" s="64">
        <f>ROUNDUP((SUMIFS('ON Call_Call Out Activities'!$L:$L,'ON Call_Call Out Activities'!$F:$F,"Non_workdays",'ON Call_Call Out Activities'!$B:$B,CPY!B397)) *24,1)</f>
        <v>0</v>
      </c>
      <c r="Z397" s="63">
        <f>ROUNDUP((SUMIFS('ON Call_Call Out Activities'!$M:$M,'ON Call_Call Out Activities'!$F:$F,"Non_workdays",'ON Call_Call Out Activities'!$B:$B,CPY!B397)),1) + ROUNDUP((SUMIFS('ON Call_Call Out Activities'!$M:$M,'ON Call_Call Out Activities'!$F:$F,"Workdays",'ON Call_Call Out Activities'!$B:$B,CPY!B397)),1)</f>
        <v>0</v>
      </c>
      <c r="AA397" s="66"/>
      <c r="AB397" s="64">
        <f>ROUNDUP((SUMIFS('ON Call_Call Out Activities'!$L:$L,'ON Call_Call Out Activities'!$F:$F,"Call_Out",'ON Call_Call Out Activities'!$B:$B,CPY!B397)) *24,1)</f>
        <v>0</v>
      </c>
      <c r="AC397" s="63">
        <f>ROUNDUP((SUMIFS('ON Call_Call Out Activities'!$M:$M,'ON Call_Call Out Activities'!$F:$F,"Call_Out",'ON Call_Call Out Activities'!$B:$B,CPY!B397)),1)</f>
        <v>0</v>
      </c>
      <c r="AE397" s="65">
        <f>IF((SUMIF(Shift_allowance_Entries!$B:$B,CPY!$B397,Shift_allowance_Entries!$H:$H)) &gt; (SUMIF(Shift_allowance_Entries!$B:$B,CPY!$B397,Shift_allowance_Entries!$G:$G)),0,((SUMIF(Shift_allowance_Entries!$B:$B,CPY!$B397,Shift_allowance_Entries!$G:$G))-(SUMIF(Shift_allowance_Entries!$B:$B,CPY!$B397,Shift_allowance_Entries!$H:$H))))</f>
        <v>0</v>
      </c>
      <c r="AF397" s="63">
        <f>AE397*MD!$S$4</f>
        <v>0</v>
      </c>
    </row>
    <row r="398" spans="1:32" x14ac:dyDescent="0.25">
      <c r="A398" s="62">
        <v>396</v>
      </c>
      <c r="B398" s="62"/>
      <c r="C398" s="50" t="str">
        <f>IF(ISNA(VLOOKUP($B398,Summary!$B:$D,2,FALSE))=TRUE," ",VLOOKUP($B398,Summary!$B:$D,2,FALSE))</f>
        <v> </v>
      </c>
      <c r="D398" s="50" t="str">
        <f>IF(ISNA(VLOOKUP($B398,Summary!$B:$D,3,FALSE))=TRUE," ",VLOOKUP($B398,Summary!$B:$D,3,FALSE))</f>
        <v> </v>
      </c>
      <c r="E398" s="62"/>
      <c r="F398" s="62"/>
      <c r="G398" s="62"/>
      <c r="I398" s="63">
        <f t="shared" si="6"/>
        <v>0</v>
      </c>
      <c r="K398" s="64">
        <f>IF(E398="Support(L1_L2)",IF(NOT(ISBLANK(B398)),IF(NOT(ISBLANK(D398)),NETWORKDAYS('CPY TOC'!$F$5,'CPY TOC'!$G$5))))-L398</f>
        <v>0</v>
      </c>
      <c r="L398" s="64">
        <f>IF(E398="Support(L1_L2)",SUMIFS(Support_allowance_Entries!$G:$G,Support_allowance_Entries!$B:$B,CPY!B398),0)</f>
        <v>0</v>
      </c>
      <c r="M398" s="63" t="b">
        <f>IF($D398="D0",MD!$C$4*(K398),IF($D398="D1",MD!$C$5*(K398),IF($D398="D2",MD!$C$6*(K398),IF($D398="D3",MD!$C$7*(K398),IF($D398="D4",MD!$C$8*(K398),IF($D398="D5",MD!$C$9*(K398),IF($D398="M1",MD!$C$10*(K398),IF($D398="T1",MD!$C$11*(K398)))))))))</f>
        <v>0</v>
      </c>
      <c r="O398" s="65">
        <f>SUMIFS(Shift_allowance_Entries!$G:$G,Shift_allowance_Entries!$F:$F,"6:30AM-03:30PM",Shift_allowance_Entries!$B:$B,CPY!$B398)</f>
        <v>0</v>
      </c>
      <c r="P398" s="65">
        <f>SUMIFS(Shift_allowance_Entries!$G:$G,Shift_allowance_Entries!$F:$F,"1-9PM/2:30PM-11:30PM",Shift_allowance_Entries!$B:$B,CPY!$B398)</f>
        <v>0</v>
      </c>
      <c r="Q398" s="65">
        <f>SUMIFS(Shift_allowance_Entries!$G:$G,Shift_allowance_Entries!$F:$F,"11PM-7AM",Shift_allowance_Entries!$B:$B,CPY!$B398)</f>
        <v>0</v>
      </c>
      <c r="R398" s="63">
        <f>(CPY!O398*MD!$F$4)+(CPY!P398*MD!$F$5)+(CPY!Q398*MD!$F$6)</f>
        <v>0</v>
      </c>
      <c r="T398" s="64">
        <f>ROUNDUP((SUMIFS('OOH Activities'!$K:$K,'OOH Activities'!$F:$F,"Non_workdays",'OOH Activities'!$B:$B,CPY!B398)) *24,1)</f>
        <v>0</v>
      </c>
      <c r="U398" s="64">
        <f>ROUNDUP((SUMIFS('OOH Activities'!$K:$K,'OOH Activities'!$F:$F,"Workdays",'OOH Activities'!$B:$B,CPY!B398)) *24,1)</f>
        <v>0</v>
      </c>
      <c r="V398" s="63">
        <f>ROUNDUP((SUMIFS('OOH Activities'!$L:$L,'OOH Activities'!$B:$B,CPY!B398)),1)</f>
        <v>0</v>
      </c>
      <c r="X398" s="65">
        <f>ROUNDUP((SUMIFS('ON Call_Call Out Activities'!$L:$L,'ON Call_Call Out Activities'!$F:$F,"Workdays",'ON Call_Call Out Activities'!$B:$B,CPY!B398))*24,1)</f>
        <v>0</v>
      </c>
      <c r="Y398" s="64">
        <f>ROUNDUP((SUMIFS('ON Call_Call Out Activities'!$L:$L,'ON Call_Call Out Activities'!$F:$F,"Non_workdays",'ON Call_Call Out Activities'!$B:$B,CPY!B398)) *24,1)</f>
        <v>0</v>
      </c>
      <c r="Z398" s="63">
        <f>ROUNDUP((SUMIFS('ON Call_Call Out Activities'!$M:$M,'ON Call_Call Out Activities'!$F:$F,"Non_workdays",'ON Call_Call Out Activities'!$B:$B,CPY!B398)),1) + ROUNDUP((SUMIFS('ON Call_Call Out Activities'!$M:$M,'ON Call_Call Out Activities'!$F:$F,"Workdays",'ON Call_Call Out Activities'!$B:$B,CPY!B398)),1)</f>
        <v>0</v>
      </c>
      <c r="AA398" s="66"/>
      <c r="AB398" s="64">
        <f>ROUNDUP((SUMIFS('ON Call_Call Out Activities'!$L:$L,'ON Call_Call Out Activities'!$F:$F,"Call_Out",'ON Call_Call Out Activities'!$B:$B,CPY!B398)) *24,1)</f>
        <v>0</v>
      </c>
      <c r="AC398" s="63">
        <f>ROUNDUP((SUMIFS('ON Call_Call Out Activities'!$M:$M,'ON Call_Call Out Activities'!$F:$F,"Call_Out",'ON Call_Call Out Activities'!$B:$B,CPY!B398)),1)</f>
        <v>0</v>
      </c>
      <c r="AE398" s="65">
        <f>IF((SUMIF(Shift_allowance_Entries!$B:$B,CPY!$B398,Shift_allowance_Entries!$H:$H)) &gt; (SUMIF(Shift_allowance_Entries!$B:$B,CPY!$B398,Shift_allowance_Entries!$G:$G)),0,((SUMIF(Shift_allowance_Entries!$B:$B,CPY!$B398,Shift_allowance_Entries!$G:$G))-(SUMIF(Shift_allowance_Entries!$B:$B,CPY!$B398,Shift_allowance_Entries!$H:$H))))</f>
        <v>0</v>
      </c>
      <c r="AF398" s="63">
        <f>AE398*MD!$S$4</f>
        <v>0</v>
      </c>
    </row>
    <row r="399" spans="1:32" x14ac:dyDescent="0.25">
      <c r="A399" s="62">
        <v>397</v>
      </c>
      <c r="B399" s="62"/>
      <c r="C399" s="50" t="str">
        <f>IF(ISNA(VLOOKUP($B399,Summary!$B:$D,2,FALSE))=TRUE," ",VLOOKUP($B399,Summary!$B:$D,2,FALSE))</f>
        <v> </v>
      </c>
      <c r="D399" s="50" t="str">
        <f>IF(ISNA(VLOOKUP($B399,Summary!$B:$D,3,FALSE))=TRUE," ",VLOOKUP($B399,Summary!$B:$D,3,FALSE))</f>
        <v> </v>
      </c>
      <c r="E399" s="62"/>
      <c r="F399" s="62"/>
      <c r="G399" s="62"/>
      <c r="I399" s="63">
        <f t="shared" si="6"/>
        <v>0</v>
      </c>
      <c r="K399" s="64">
        <f>IF(E399="Support(L1_L2)",IF(NOT(ISBLANK(B399)),IF(NOT(ISBLANK(D399)),NETWORKDAYS('CPY TOC'!$F$5,'CPY TOC'!$G$5))))-L399</f>
        <v>0</v>
      </c>
      <c r="L399" s="64">
        <f>IF(E399="Support(L1_L2)",SUMIFS(Support_allowance_Entries!$G:$G,Support_allowance_Entries!$B:$B,CPY!B399),0)</f>
        <v>0</v>
      </c>
      <c r="M399" s="63" t="b">
        <f>IF($D399="D0",MD!$C$4*(K399),IF($D399="D1",MD!$C$5*(K399),IF($D399="D2",MD!$C$6*(K399),IF($D399="D3",MD!$C$7*(K399),IF($D399="D4",MD!$C$8*(K399),IF($D399="D5",MD!$C$9*(K399),IF($D399="M1",MD!$C$10*(K399),IF($D399="T1",MD!$C$11*(K399)))))))))</f>
        <v>0</v>
      </c>
      <c r="O399" s="65">
        <f>SUMIFS(Shift_allowance_Entries!$G:$G,Shift_allowance_Entries!$F:$F,"6:30AM-03:30PM",Shift_allowance_Entries!$B:$B,CPY!$B399)</f>
        <v>0</v>
      </c>
      <c r="P399" s="65">
        <f>SUMIFS(Shift_allowance_Entries!$G:$G,Shift_allowance_Entries!$F:$F,"1-9PM/2:30PM-11:30PM",Shift_allowance_Entries!$B:$B,CPY!$B399)</f>
        <v>0</v>
      </c>
      <c r="Q399" s="65">
        <f>SUMIFS(Shift_allowance_Entries!$G:$G,Shift_allowance_Entries!$F:$F,"11PM-7AM",Shift_allowance_Entries!$B:$B,CPY!$B399)</f>
        <v>0</v>
      </c>
      <c r="R399" s="63">
        <f>(CPY!O399*MD!$F$4)+(CPY!P399*MD!$F$5)+(CPY!Q399*MD!$F$6)</f>
        <v>0</v>
      </c>
      <c r="T399" s="64">
        <f>ROUNDUP((SUMIFS('OOH Activities'!$K:$K,'OOH Activities'!$F:$F,"Non_workdays",'OOH Activities'!$B:$B,CPY!B399)) *24,1)</f>
        <v>0</v>
      </c>
      <c r="U399" s="64">
        <f>ROUNDUP((SUMIFS('OOH Activities'!$K:$K,'OOH Activities'!$F:$F,"Workdays",'OOH Activities'!$B:$B,CPY!B399)) *24,1)</f>
        <v>0</v>
      </c>
      <c r="V399" s="63">
        <f>ROUNDUP((SUMIFS('OOH Activities'!$L:$L,'OOH Activities'!$B:$B,CPY!B399)),1)</f>
        <v>0</v>
      </c>
      <c r="X399" s="65">
        <f>ROUNDUP((SUMIFS('ON Call_Call Out Activities'!$L:$L,'ON Call_Call Out Activities'!$F:$F,"Workdays",'ON Call_Call Out Activities'!$B:$B,CPY!B399))*24,1)</f>
        <v>0</v>
      </c>
      <c r="Y399" s="64">
        <f>ROUNDUP((SUMIFS('ON Call_Call Out Activities'!$L:$L,'ON Call_Call Out Activities'!$F:$F,"Non_workdays",'ON Call_Call Out Activities'!$B:$B,CPY!B399)) *24,1)</f>
        <v>0</v>
      </c>
      <c r="Z399" s="63">
        <f>ROUNDUP((SUMIFS('ON Call_Call Out Activities'!$M:$M,'ON Call_Call Out Activities'!$F:$F,"Non_workdays",'ON Call_Call Out Activities'!$B:$B,CPY!B399)),1) + ROUNDUP((SUMIFS('ON Call_Call Out Activities'!$M:$M,'ON Call_Call Out Activities'!$F:$F,"Workdays",'ON Call_Call Out Activities'!$B:$B,CPY!B399)),1)</f>
        <v>0</v>
      </c>
      <c r="AA399" s="66"/>
      <c r="AB399" s="64">
        <f>ROUNDUP((SUMIFS('ON Call_Call Out Activities'!$L:$L,'ON Call_Call Out Activities'!$F:$F,"Call_Out",'ON Call_Call Out Activities'!$B:$B,CPY!B399)) *24,1)</f>
        <v>0</v>
      </c>
      <c r="AC399" s="63">
        <f>ROUNDUP((SUMIFS('ON Call_Call Out Activities'!$M:$M,'ON Call_Call Out Activities'!$F:$F,"Call_Out",'ON Call_Call Out Activities'!$B:$B,CPY!B399)),1)</f>
        <v>0</v>
      </c>
      <c r="AE399" s="65">
        <f>IF((SUMIF(Shift_allowance_Entries!$B:$B,CPY!$B399,Shift_allowance_Entries!$H:$H)) &gt; (SUMIF(Shift_allowance_Entries!$B:$B,CPY!$B399,Shift_allowance_Entries!$G:$G)),0,((SUMIF(Shift_allowance_Entries!$B:$B,CPY!$B399,Shift_allowance_Entries!$G:$G))-(SUMIF(Shift_allowance_Entries!$B:$B,CPY!$B399,Shift_allowance_Entries!$H:$H))))</f>
        <v>0</v>
      </c>
      <c r="AF399" s="63">
        <f>AE399*MD!$S$4</f>
        <v>0</v>
      </c>
    </row>
    <row r="400" spans="1:32" x14ac:dyDescent="0.25">
      <c r="A400" s="62">
        <v>398</v>
      </c>
      <c r="B400" s="62"/>
      <c r="C400" s="50" t="str">
        <f>IF(ISNA(VLOOKUP($B400,Summary!$B:$D,2,FALSE))=TRUE," ",VLOOKUP($B400,Summary!$B:$D,2,FALSE))</f>
        <v> </v>
      </c>
      <c r="D400" s="50" t="str">
        <f>IF(ISNA(VLOOKUP($B400,Summary!$B:$D,3,FALSE))=TRUE," ",VLOOKUP($B400,Summary!$B:$D,3,FALSE))</f>
        <v> </v>
      </c>
      <c r="E400" s="62"/>
      <c r="F400" s="62"/>
      <c r="G400" s="62"/>
      <c r="I400" s="63">
        <f t="shared" si="6"/>
        <v>0</v>
      </c>
      <c r="K400" s="64">
        <f>IF(E400="Support(L1_L2)",IF(NOT(ISBLANK(B400)),IF(NOT(ISBLANK(D400)),NETWORKDAYS('CPY TOC'!$F$5,'CPY TOC'!$G$5))))-L400</f>
        <v>0</v>
      </c>
      <c r="L400" s="64">
        <f>IF(E400="Support(L1_L2)",SUMIFS(Support_allowance_Entries!$G:$G,Support_allowance_Entries!$B:$B,CPY!B400),0)</f>
        <v>0</v>
      </c>
      <c r="M400" s="63" t="b">
        <f>IF($D400="D0",MD!$C$4*(K400),IF($D400="D1",MD!$C$5*(K400),IF($D400="D2",MD!$C$6*(K400),IF($D400="D3",MD!$C$7*(K400),IF($D400="D4",MD!$C$8*(K400),IF($D400="D5",MD!$C$9*(K400),IF($D400="M1",MD!$C$10*(K400),IF($D400="T1",MD!$C$11*(K400)))))))))</f>
        <v>0</v>
      </c>
      <c r="O400" s="65">
        <f>SUMIFS(Shift_allowance_Entries!$G:$G,Shift_allowance_Entries!$F:$F,"6:30AM-03:30PM",Shift_allowance_Entries!$B:$B,CPY!$B400)</f>
        <v>0</v>
      </c>
      <c r="P400" s="65">
        <f>SUMIFS(Shift_allowance_Entries!$G:$G,Shift_allowance_Entries!$F:$F,"1-9PM/2:30PM-11:30PM",Shift_allowance_Entries!$B:$B,CPY!$B400)</f>
        <v>0</v>
      </c>
      <c r="Q400" s="65">
        <f>SUMIFS(Shift_allowance_Entries!$G:$G,Shift_allowance_Entries!$F:$F,"11PM-7AM",Shift_allowance_Entries!$B:$B,CPY!$B400)</f>
        <v>0</v>
      </c>
      <c r="R400" s="63">
        <f>(CPY!O400*MD!$F$4)+(CPY!P400*MD!$F$5)+(CPY!Q400*MD!$F$6)</f>
        <v>0</v>
      </c>
      <c r="T400" s="64">
        <f>ROUNDUP((SUMIFS('OOH Activities'!$K:$K,'OOH Activities'!$F:$F,"Non_workdays",'OOH Activities'!$B:$B,CPY!B400)) *24,1)</f>
        <v>0</v>
      </c>
      <c r="U400" s="64">
        <f>ROUNDUP((SUMIFS('OOH Activities'!$K:$K,'OOH Activities'!$F:$F,"Workdays",'OOH Activities'!$B:$B,CPY!B400)) *24,1)</f>
        <v>0</v>
      </c>
      <c r="V400" s="63">
        <f>ROUNDUP((SUMIFS('OOH Activities'!$L:$L,'OOH Activities'!$B:$B,CPY!B400)),1)</f>
        <v>0</v>
      </c>
      <c r="X400" s="65">
        <f>ROUNDUP((SUMIFS('ON Call_Call Out Activities'!$L:$L,'ON Call_Call Out Activities'!$F:$F,"Workdays",'ON Call_Call Out Activities'!$B:$B,CPY!B400))*24,1)</f>
        <v>0</v>
      </c>
      <c r="Y400" s="64">
        <f>ROUNDUP((SUMIFS('ON Call_Call Out Activities'!$L:$L,'ON Call_Call Out Activities'!$F:$F,"Non_workdays",'ON Call_Call Out Activities'!$B:$B,CPY!B400)) *24,1)</f>
        <v>0</v>
      </c>
      <c r="Z400" s="63">
        <f>ROUNDUP((SUMIFS('ON Call_Call Out Activities'!$M:$M,'ON Call_Call Out Activities'!$F:$F,"Non_workdays",'ON Call_Call Out Activities'!$B:$B,CPY!B400)),1) + ROUNDUP((SUMIFS('ON Call_Call Out Activities'!$M:$M,'ON Call_Call Out Activities'!$F:$F,"Workdays",'ON Call_Call Out Activities'!$B:$B,CPY!B400)),1)</f>
        <v>0</v>
      </c>
      <c r="AA400" s="66"/>
      <c r="AB400" s="64">
        <f>ROUNDUP((SUMIFS('ON Call_Call Out Activities'!$L:$L,'ON Call_Call Out Activities'!$F:$F,"Call_Out",'ON Call_Call Out Activities'!$B:$B,CPY!B400)) *24,1)</f>
        <v>0</v>
      </c>
      <c r="AC400" s="63">
        <f>ROUNDUP((SUMIFS('ON Call_Call Out Activities'!$M:$M,'ON Call_Call Out Activities'!$F:$F,"Call_Out",'ON Call_Call Out Activities'!$B:$B,CPY!B400)),1)</f>
        <v>0</v>
      </c>
      <c r="AE400" s="65">
        <f>IF((SUMIF(Shift_allowance_Entries!$B:$B,CPY!$B400,Shift_allowance_Entries!$H:$H)) &gt; (SUMIF(Shift_allowance_Entries!$B:$B,CPY!$B400,Shift_allowance_Entries!$G:$G)),0,((SUMIF(Shift_allowance_Entries!$B:$B,CPY!$B400,Shift_allowance_Entries!$G:$G))-(SUMIF(Shift_allowance_Entries!$B:$B,CPY!$B400,Shift_allowance_Entries!$H:$H))))</f>
        <v>0</v>
      </c>
      <c r="AF400" s="63">
        <f>AE400*MD!$S$4</f>
        <v>0</v>
      </c>
    </row>
    <row r="401" spans="1:32" x14ac:dyDescent="0.25">
      <c r="A401" s="62">
        <v>399</v>
      </c>
      <c r="B401" s="62"/>
      <c r="C401" s="50" t="str">
        <f>IF(ISNA(VLOOKUP($B401,Summary!$B:$D,2,FALSE))=TRUE," ",VLOOKUP($B401,Summary!$B:$D,2,FALSE))</f>
        <v> </v>
      </c>
      <c r="D401" s="50" t="str">
        <f>IF(ISNA(VLOOKUP($B401,Summary!$B:$D,3,FALSE))=TRUE," ",VLOOKUP($B401,Summary!$B:$D,3,FALSE))</f>
        <v> </v>
      </c>
      <c r="E401" s="62"/>
      <c r="F401" s="62"/>
      <c r="G401" s="62"/>
      <c r="I401" s="63">
        <f t="shared" si="6"/>
        <v>0</v>
      </c>
      <c r="K401" s="64">
        <f>IF(E401="Support(L1_L2)",IF(NOT(ISBLANK(B401)),IF(NOT(ISBLANK(D401)),NETWORKDAYS('CPY TOC'!$F$5,'CPY TOC'!$G$5))))-L401</f>
        <v>0</v>
      </c>
      <c r="L401" s="64">
        <f>IF(E401="Support(L1_L2)",SUMIFS(Support_allowance_Entries!$G:$G,Support_allowance_Entries!$B:$B,CPY!B401),0)</f>
        <v>0</v>
      </c>
      <c r="M401" s="63" t="b">
        <f>IF($D401="D0",MD!$C$4*(K401),IF($D401="D1",MD!$C$5*(K401),IF($D401="D2",MD!$C$6*(K401),IF($D401="D3",MD!$C$7*(K401),IF($D401="D4",MD!$C$8*(K401),IF($D401="D5",MD!$C$9*(K401),IF($D401="M1",MD!$C$10*(K401),IF($D401="T1",MD!$C$11*(K401)))))))))</f>
        <v>0</v>
      </c>
      <c r="O401" s="65">
        <f>SUMIFS(Shift_allowance_Entries!$G:$G,Shift_allowance_Entries!$F:$F,"6:30AM-03:30PM",Shift_allowance_Entries!$B:$B,CPY!$B401)</f>
        <v>0</v>
      </c>
      <c r="P401" s="65">
        <f>SUMIFS(Shift_allowance_Entries!$G:$G,Shift_allowance_Entries!$F:$F,"1-9PM/2:30PM-11:30PM",Shift_allowance_Entries!$B:$B,CPY!$B401)</f>
        <v>0</v>
      </c>
      <c r="Q401" s="65">
        <f>SUMIFS(Shift_allowance_Entries!$G:$G,Shift_allowance_Entries!$F:$F,"11PM-7AM",Shift_allowance_Entries!$B:$B,CPY!$B401)</f>
        <v>0</v>
      </c>
      <c r="R401" s="63">
        <f>(CPY!O401*MD!$F$4)+(CPY!P401*MD!$F$5)+(CPY!Q401*MD!$F$6)</f>
        <v>0</v>
      </c>
      <c r="T401" s="64">
        <f>ROUNDUP((SUMIFS('OOH Activities'!$K:$K,'OOH Activities'!$F:$F,"Non_workdays",'OOH Activities'!$B:$B,CPY!B401)) *24,1)</f>
        <v>0</v>
      </c>
      <c r="U401" s="64">
        <f>ROUNDUP((SUMIFS('OOH Activities'!$K:$K,'OOH Activities'!$F:$F,"Workdays",'OOH Activities'!$B:$B,CPY!B401)) *24,1)</f>
        <v>0</v>
      </c>
      <c r="V401" s="63">
        <f>ROUNDUP((SUMIFS('OOH Activities'!$L:$L,'OOH Activities'!$B:$B,CPY!B401)),1)</f>
        <v>0</v>
      </c>
      <c r="X401" s="65">
        <f>ROUNDUP((SUMIFS('ON Call_Call Out Activities'!$L:$L,'ON Call_Call Out Activities'!$F:$F,"Workdays",'ON Call_Call Out Activities'!$B:$B,CPY!B401))*24,1)</f>
        <v>0</v>
      </c>
      <c r="Y401" s="64">
        <f>ROUNDUP((SUMIFS('ON Call_Call Out Activities'!$L:$L,'ON Call_Call Out Activities'!$F:$F,"Non_workdays",'ON Call_Call Out Activities'!$B:$B,CPY!B401)) *24,1)</f>
        <v>0</v>
      </c>
      <c r="Z401" s="63">
        <f>ROUNDUP((SUMIFS('ON Call_Call Out Activities'!$M:$M,'ON Call_Call Out Activities'!$F:$F,"Non_workdays",'ON Call_Call Out Activities'!$B:$B,CPY!B401)),1) + ROUNDUP((SUMIFS('ON Call_Call Out Activities'!$M:$M,'ON Call_Call Out Activities'!$F:$F,"Workdays",'ON Call_Call Out Activities'!$B:$B,CPY!B401)),1)</f>
        <v>0</v>
      </c>
      <c r="AA401" s="66"/>
      <c r="AB401" s="64">
        <f>ROUNDUP((SUMIFS('ON Call_Call Out Activities'!$L:$L,'ON Call_Call Out Activities'!$F:$F,"Call_Out",'ON Call_Call Out Activities'!$B:$B,CPY!B401)) *24,1)</f>
        <v>0</v>
      </c>
      <c r="AC401" s="63">
        <f>ROUNDUP((SUMIFS('ON Call_Call Out Activities'!$M:$M,'ON Call_Call Out Activities'!$F:$F,"Call_Out",'ON Call_Call Out Activities'!$B:$B,CPY!B401)),1)</f>
        <v>0</v>
      </c>
      <c r="AE401" s="65">
        <f>IF((SUMIF(Shift_allowance_Entries!$B:$B,CPY!$B401,Shift_allowance_Entries!$H:$H)) &gt; (SUMIF(Shift_allowance_Entries!$B:$B,CPY!$B401,Shift_allowance_Entries!$G:$G)),0,((SUMIF(Shift_allowance_Entries!$B:$B,CPY!$B401,Shift_allowance_Entries!$G:$G))-(SUMIF(Shift_allowance_Entries!$B:$B,CPY!$B401,Shift_allowance_Entries!$H:$H))))</f>
        <v>0</v>
      </c>
      <c r="AF401" s="63">
        <f>AE401*MD!$S$4</f>
        <v>0</v>
      </c>
    </row>
    <row r="402" spans="1:32" x14ac:dyDescent="0.25">
      <c r="A402" s="62">
        <v>400</v>
      </c>
      <c r="B402" s="62"/>
      <c r="C402" s="50" t="str">
        <f>IF(ISNA(VLOOKUP($B402,Summary!$B:$D,2,FALSE))=TRUE," ",VLOOKUP($B402,Summary!$B:$D,2,FALSE))</f>
        <v> </v>
      </c>
      <c r="D402" s="50" t="str">
        <f>IF(ISNA(VLOOKUP($B402,Summary!$B:$D,3,FALSE))=TRUE," ",VLOOKUP($B402,Summary!$B:$D,3,FALSE))</f>
        <v> </v>
      </c>
      <c r="E402" s="62"/>
      <c r="F402" s="62"/>
      <c r="G402" s="62"/>
      <c r="I402" s="63">
        <f t="shared" si="6"/>
        <v>0</v>
      </c>
      <c r="K402" s="64">
        <f>IF(E402="Support(L1_L2)",IF(NOT(ISBLANK(B402)),IF(NOT(ISBLANK(D402)),NETWORKDAYS('CPY TOC'!$F$5,'CPY TOC'!$G$5))))-L402</f>
        <v>0</v>
      </c>
      <c r="L402" s="64">
        <f>IF(E402="Support(L1_L2)",SUMIFS(Support_allowance_Entries!$G:$G,Support_allowance_Entries!$B:$B,CPY!B402),0)</f>
        <v>0</v>
      </c>
      <c r="M402" s="63" t="b">
        <f>IF($D402="D0",MD!$C$4*(K402),IF($D402="D1",MD!$C$5*(K402),IF($D402="D2",MD!$C$6*(K402),IF($D402="D3",MD!$C$7*(K402),IF($D402="D4",MD!$C$8*(K402),IF($D402="D5",MD!$C$9*(K402),IF($D402="M1",MD!$C$10*(K402),IF($D402="T1",MD!$C$11*(K402)))))))))</f>
        <v>0</v>
      </c>
      <c r="O402" s="65">
        <f>SUMIFS(Shift_allowance_Entries!$G:$G,Shift_allowance_Entries!$F:$F,"6:30AM-03:30PM",Shift_allowance_Entries!$B:$B,CPY!$B402)</f>
        <v>0</v>
      </c>
      <c r="P402" s="65">
        <f>SUMIFS(Shift_allowance_Entries!$G:$G,Shift_allowance_Entries!$F:$F,"1-9PM/2:30PM-11:30PM",Shift_allowance_Entries!$B:$B,CPY!$B402)</f>
        <v>0</v>
      </c>
      <c r="Q402" s="65">
        <f>SUMIFS(Shift_allowance_Entries!$G:$G,Shift_allowance_Entries!$F:$F,"11PM-7AM",Shift_allowance_Entries!$B:$B,CPY!$B402)</f>
        <v>0</v>
      </c>
      <c r="R402" s="63">
        <f>(CPY!O402*MD!$F$4)+(CPY!P402*MD!$F$5)+(CPY!Q402*MD!$F$6)</f>
        <v>0</v>
      </c>
      <c r="T402" s="64">
        <f>ROUNDUP((SUMIFS('OOH Activities'!$K:$K,'OOH Activities'!$F:$F,"Non_workdays",'OOH Activities'!$B:$B,CPY!B402)) *24,1)</f>
        <v>0</v>
      </c>
      <c r="U402" s="64">
        <f>ROUNDUP((SUMIFS('OOH Activities'!$K:$K,'OOH Activities'!$F:$F,"Workdays",'OOH Activities'!$B:$B,CPY!B402)) *24,1)</f>
        <v>0</v>
      </c>
      <c r="V402" s="63">
        <f>ROUNDUP((SUMIFS('OOH Activities'!$L:$L,'OOH Activities'!$B:$B,CPY!B402)),1)</f>
        <v>0</v>
      </c>
      <c r="X402" s="65">
        <f>ROUNDUP((SUMIFS('ON Call_Call Out Activities'!$L:$L,'ON Call_Call Out Activities'!$F:$F,"Workdays",'ON Call_Call Out Activities'!$B:$B,CPY!B402))*24,1)</f>
        <v>0</v>
      </c>
      <c r="Y402" s="64">
        <f>ROUNDUP((SUMIFS('ON Call_Call Out Activities'!$L:$L,'ON Call_Call Out Activities'!$F:$F,"Non_workdays",'ON Call_Call Out Activities'!$B:$B,CPY!B402)) *24,1)</f>
        <v>0</v>
      </c>
      <c r="Z402" s="63">
        <f>ROUNDUP((SUMIFS('ON Call_Call Out Activities'!$M:$M,'ON Call_Call Out Activities'!$F:$F,"Non_workdays",'ON Call_Call Out Activities'!$B:$B,CPY!B402)),1) + ROUNDUP((SUMIFS('ON Call_Call Out Activities'!$M:$M,'ON Call_Call Out Activities'!$F:$F,"Workdays",'ON Call_Call Out Activities'!$B:$B,CPY!B402)),1)</f>
        <v>0</v>
      </c>
      <c r="AA402" s="66"/>
      <c r="AB402" s="64">
        <f>ROUNDUP((SUMIFS('ON Call_Call Out Activities'!$L:$L,'ON Call_Call Out Activities'!$F:$F,"Call_Out",'ON Call_Call Out Activities'!$B:$B,CPY!B402)) *24,1)</f>
        <v>0</v>
      </c>
      <c r="AC402" s="63">
        <f>ROUNDUP((SUMIFS('ON Call_Call Out Activities'!$M:$M,'ON Call_Call Out Activities'!$F:$F,"Call_Out",'ON Call_Call Out Activities'!$B:$B,CPY!B402)),1)</f>
        <v>0</v>
      </c>
      <c r="AE402" s="65">
        <f>IF((SUMIF(Shift_allowance_Entries!$B:$B,CPY!$B402,Shift_allowance_Entries!$H:$H)) &gt; (SUMIF(Shift_allowance_Entries!$B:$B,CPY!$B402,Shift_allowance_Entries!$G:$G)),0,((SUMIF(Shift_allowance_Entries!$B:$B,CPY!$B402,Shift_allowance_Entries!$G:$G))-(SUMIF(Shift_allowance_Entries!$B:$B,CPY!$B402,Shift_allowance_Entries!$H:$H))))</f>
        <v>0</v>
      </c>
      <c r="AF402" s="63">
        <f>AE402*MD!$S$4</f>
        <v>0</v>
      </c>
    </row>
    <row r="403" spans="1:32" x14ac:dyDescent="0.25">
      <c r="A403" s="62">
        <v>401</v>
      </c>
      <c r="B403" s="62"/>
      <c r="C403" s="50" t="str">
        <f>IF(ISNA(VLOOKUP($B403,Summary!$B:$D,2,FALSE))=TRUE," ",VLOOKUP($B403,Summary!$B:$D,2,FALSE))</f>
        <v> </v>
      </c>
      <c r="D403" s="50" t="str">
        <f>IF(ISNA(VLOOKUP($B403,Summary!$B:$D,3,FALSE))=TRUE," ",VLOOKUP($B403,Summary!$B:$D,3,FALSE))</f>
        <v> </v>
      </c>
      <c r="E403" s="62"/>
      <c r="F403" s="62"/>
      <c r="G403" s="62"/>
      <c r="I403" s="63">
        <f t="shared" si="6"/>
        <v>0</v>
      </c>
      <c r="K403" s="64">
        <f>IF(E403="Support(L1_L2)",IF(NOT(ISBLANK(B403)),IF(NOT(ISBLANK(D403)),NETWORKDAYS('CPY TOC'!$F$5,'CPY TOC'!$G$5))))-L403</f>
        <v>0</v>
      </c>
      <c r="L403" s="64">
        <f>IF(E403="Support(L1_L2)",SUMIFS(Support_allowance_Entries!$G:$G,Support_allowance_Entries!$B:$B,CPY!B403),0)</f>
        <v>0</v>
      </c>
      <c r="M403" s="63" t="b">
        <f>IF($D403="D0",MD!$C$4*(K403),IF($D403="D1",MD!$C$5*(K403),IF($D403="D2",MD!$C$6*(K403),IF($D403="D3",MD!$C$7*(K403),IF($D403="D4",MD!$C$8*(K403),IF($D403="D5",MD!$C$9*(K403),IF($D403="M1",MD!$C$10*(K403),IF($D403="T1",MD!$C$11*(K403)))))))))</f>
        <v>0</v>
      </c>
      <c r="O403" s="65">
        <f>SUMIFS(Shift_allowance_Entries!$G:$G,Shift_allowance_Entries!$F:$F,"6:30AM-03:30PM",Shift_allowance_Entries!$B:$B,CPY!$B403)</f>
        <v>0</v>
      </c>
      <c r="P403" s="65">
        <f>SUMIFS(Shift_allowance_Entries!$G:$G,Shift_allowance_Entries!$F:$F,"1-9PM/2:30PM-11:30PM",Shift_allowance_Entries!$B:$B,CPY!$B403)</f>
        <v>0</v>
      </c>
      <c r="Q403" s="65">
        <f>SUMIFS(Shift_allowance_Entries!$G:$G,Shift_allowance_Entries!$F:$F,"11PM-7AM",Shift_allowance_Entries!$B:$B,CPY!$B403)</f>
        <v>0</v>
      </c>
      <c r="R403" s="63">
        <f>(CPY!O403*MD!$F$4)+(CPY!P403*MD!$F$5)+(CPY!Q403*MD!$F$6)</f>
        <v>0</v>
      </c>
      <c r="T403" s="64">
        <f>ROUNDUP((SUMIFS('OOH Activities'!$K:$K,'OOH Activities'!$F:$F,"Non_workdays",'OOH Activities'!$B:$B,CPY!B403)) *24,1)</f>
        <v>0</v>
      </c>
      <c r="U403" s="64">
        <f>ROUNDUP((SUMIFS('OOH Activities'!$K:$K,'OOH Activities'!$F:$F,"Workdays",'OOH Activities'!$B:$B,CPY!B403)) *24,1)</f>
        <v>0</v>
      </c>
      <c r="V403" s="63">
        <f>ROUNDUP((SUMIFS('OOH Activities'!$L:$L,'OOH Activities'!$B:$B,CPY!B403)),1)</f>
        <v>0</v>
      </c>
      <c r="X403" s="65">
        <f>ROUNDUP((SUMIFS('ON Call_Call Out Activities'!$L:$L,'ON Call_Call Out Activities'!$F:$F,"Workdays",'ON Call_Call Out Activities'!$B:$B,CPY!B403))*24,1)</f>
        <v>0</v>
      </c>
      <c r="Y403" s="64">
        <f>ROUNDUP((SUMIFS('ON Call_Call Out Activities'!$L:$L,'ON Call_Call Out Activities'!$F:$F,"Non_workdays",'ON Call_Call Out Activities'!$B:$B,CPY!B403)) *24,1)</f>
        <v>0</v>
      </c>
      <c r="Z403" s="63">
        <f>ROUNDUP((SUMIFS('ON Call_Call Out Activities'!$M:$M,'ON Call_Call Out Activities'!$F:$F,"Non_workdays",'ON Call_Call Out Activities'!$B:$B,CPY!B403)),1) + ROUNDUP((SUMIFS('ON Call_Call Out Activities'!$M:$M,'ON Call_Call Out Activities'!$F:$F,"Workdays",'ON Call_Call Out Activities'!$B:$B,CPY!B403)),1)</f>
        <v>0</v>
      </c>
      <c r="AA403" s="66"/>
      <c r="AB403" s="64">
        <f>ROUNDUP((SUMIFS('ON Call_Call Out Activities'!$L:$L,'ON Call_Call Out Activities'!$F:$F,"Call_Out",'ON Call_Call Out Activities'!$B:$B,CPY!B403)) *24,1)</f>
        <v>0</v>
      </c>
      <c r="AC403" s="63">
        <f>ROUNDUP((SUMIFS('ON Call_Call Out Activities'!$M:$M,'ON Call_Call Out Activities'!$F:$F,"Call_Out",'ON Call_Call Out Activities'!$B:$B,CPY!B403)),1)</f>
        <v>0</v>
      </c>
      <c r="AE403" s="65">
        <f>IF((SUMIF(Shift_allowance_Entries!$B:$B,CPY!$B403,Shift_allowance_Entries!$H:$H)) &gt; (SUMIF(Shift_allowance_Entries!$B:$B,CPY!$B403,Shift_allowance_Entries!$G:$G)),0,((SUMIF(Shift_allowance_Entries!$B:$B,CPY!$B403,Shift_allowance_Entries!$G:$G))-(SUMIF(Shift_allowance_Entries!$B:$B,CPY!$B403,Shift_allowance_Entries!$H:$H))))</f>
        <v>0</v>
      </c>
      <c r="AF403" s="63">
        <f>AE403*MD!$S$4</f>
        <v>0</v>
      </c>
    </row>
    <row r="404" spans="1:32" x14ac:dyDescent="0.25">
      <c r="A404" s="62">
        <v>402</v>
      </c>
      <c r="B404" s="62"/>
      <c r="C404" s="50" t="str">
        <f>IF(ISNA(VLOOKUP($B404,Summary!$B:$D,2,FALSE))=TRUE," ",VLOOKUP($B404,Summary!$B:$D,2,FALSE))</f>
        <v> </v>
      </c>
      <c r="D404" s="50" t="str">
        <f>IF(ISNA(VLOOKUP($B404,Summary!$B:$D,3,FALSE))=TRUE," ",VLOOKUP($B404,Summary!$B:$D,3,FALSE))</f>
        <v> </v>
      </c>
      <c r="E404" s="62"/>
      <c r="F404" s="62"/>
      <c r="G404" s="62"/>
      <c r="I404" s="63">
        <f t="shared" si="6"/>
        <v>0</v>
      </c>
      <c r="K404" s="64">
        <f>IF(E404="Support(L1_L2)",IF(NOT(ISBLANK(B404)),IF(NOT(ISBLANK(D404)),NETWORKDAYS('CPY TOC'!$F$5,'CPY TOC'!$G$5))))-L404</f>
        <v>0</v>
      </c>
      <c r="L404" s="64">
        <f>IF(E404="Support(L1_L2)",SUMIFS(Support_allowance_Entries!$G:$G,Support_allowance_Entries!$B:$B,CPY!B404),0)</f>
        <v>0</v>
      </c>
      <c r="M404" s="63" t="b">
        <f>IF($D404="D0",MD!$C$4*(K404),IF($D404="D1",MD!$C$5*(K404),IF($D404="D2",MD!$C$6*(K404),IF($D404="D3",MD!$C$7*(K404),IF($D404="D4",MD!$C$8*(K404),IF($D404="D5",MD!$C$9*(K404),IF($D404="M1",MD!$C$10*(K404),IF($D404="T1",MD!$C$11*(K404)))))))))</f>
        <v>0</v>
      </c>
      <c r="O404" s="65">
        <f>SUMIFS(Shift_allowance_Entries!$G:$G,Shift_allowance_Entries!$F:$F,"6:30AM-03:30PM",Shift_allowance_Entries!$B:$B,CPY!$B404)</f>
        <v>0</v>
      </c>
      <c r="P404" s="65">
        <f>SUMIFS(Shift_allowance_Entries!$G:$G,Shift_allowance_Entries!$F:$F,"1-9PM/2:30PM-11:30PM",Shift_allowance_Entries!$B:$B,CPY!$B404)</f>
        <v>0</v>
      </c>
      <c r="Q404" s="65">
        <f>SUMIFS(Shift_allowance_Entries!$G:$G,Shift_allowance_Entries!$F:$F,"11PM-7AM",Shift_allowance_Entries!$B:$B,CPY!$B404)</f>
        <v>0</v>
      </c>
      <c r="R404" s="63">
        <f>(CPY!O404*MD!$F$4)+(CPY!P404*MD!$F$5)+(CPY!Q404*MD!$F$6)</f>
        <v>0</v>
      </c>
      <c r="T404" s="64">
        <f>ROUNDUP((SUMIFS('OOH Activities'!$K:$K,'OOH Activities'!$F:$F,"Non_workdays",'OOH Activities'!$B:$B,CPY!B404)) *24,1)</f>
        <v>0</v>
      </c>
      <c r="U404" s="64">
        <f>ROUNDUP((SUMIFS('OOH Activities'!$K:$K,'OOH Activities'!$F:$F,"Workdays",'OOH Activities'!$B:$B,CPY!B404)) *24,1)</f>
        <v>0</v>
      </c>
      <c r="V404" s="63">
        <f>ROUNDUP((SUMIFS('OOH Activities'!$L:$L,'OOH Activities'!$B:$B,CPY!B404)),1)</f>
        <v>0</v>
      </c>
      <c r="X404" s="65">
        <f>ROUNDUP((SUMIFS('ON Call_Call Out Activities'!$L:$L,'ON Call_Call Out Activities'!$F:$F,"Workdays",'ON Call_Call Out Activities'!$B:$B,CPY!B404))*24,1)</f>
        <v>0</v>
      </c>
      <c r="Y404" s="64">
        <f>ROUNDUP((SUMIFS('ON Call_Call Out Activities'!$L:$L,'ON Call_Call Out Activities'!$F:$F,"Non_workdays",'ON Call_Call Out Activities'!$B:$B,CPY!B404)) *24,1)</f>
        <v>0</v>
      </c>
      <c r="Z404" s="63">
        <f>ROUNDUP((SUMIFS('ON Call_Call Out Activities'!$M:$M,'ON Call_Call Out Activities'!$F:$F,"Non_workdays",'ON Call_Call Out Activities'!$B:$B,CPY!B404)),1) + ROUNDUP((SUMIFS('ON Call_Call Out Activities'!$M:$M,'ON Call_Call Out Activities'!$F:$F,"Workdays",'ON Call_Call Out Activities'!$B:$B,CPY!B404)),1)</f>
        <v>0</v>
      </c>
      <c r="AA404" s="66"/>
      <c r="AB404" s="64">
        <f>ROUNDUP((SUMIFS('ON Call_Call Out Activities'!$L:$L,'ON Call_Call Out Activities'!$F:$F,"Call_Out",'ON Call_Call Out Activities'!$B:$B,CPY!B404)) *24,1)</f>
        <v>0</v>
      </c>
      <c r="AC404" s="63">
        <f>ROUNDUP((SUMIFS('ON Call_Call Out Activities'!$M:$M,'ON Call_Call Out Activities'!$F:$F,"Call_Out",'ON Call_Call Out Activities'!$B:$B,CPY!B404)),1)</f>
        <v>0</v>
      </c>
      <c r="AE404" s="65">
        <f>IF((SUMIF(Shift_allowance_Entries!$B:$B,CPY!$B404,Shift_allowance_Entries!$H:$H)) &gt; (SUMIF(Shift_allowance_Entries!$B:$B,CPY!$B404,Shift_allowance_Entries!$G:$G)),0,((SUMIF(Shift_allowance_Entries!$B:$B,CPY!$B404,Shift_allowance_Entries!$G:$G))-(SUMIF(Shift_allowance_Entries!$B:$B,CPY!$B404,Shift_allowance_Entries!$H:$H))))</f>
        <v>0</v>
      </c>
      <c r="AF404" s="63">
        <f>AE404*MD!$S$4</f>
        <v>0</v>
      </c>
    </row>
    <row r="405" spans="1:32" x14ac:dyDescent="0.25">
      <c r="A405" s="62">
        <v>403</v>
      </c>
      <c r="B405" s="62"/>
      <c r="C405" s="50" t="str">
        <f>IF(ISNA(VLOOKUP($B405,Summary!$B:$D,2,FALSE))=TRUE," ",VLOOKUP($B405,Summary!$B:$D,2,FALSE))</f>
        <v> </v>
      </c>
      <c r="D405" s="50" t="str">
        <f>IF(ISNA(VLOOKUP($B405,Summary!$B:$D,3,FALSE))=TRUE," ",VLOOKUP($B405,Summary!$B:$D,3,FALSE))</f>
        <v> </v>
      </c>
      <c r="E405" s="62"/>
      <c r="F405" s="62"/>
      <c r="G405" s="62"/>
      <c r="I405" s="63">
        <f t="shared" si="6"/>
        <v>0</v>
      </c>
      <c r="K405" s="64">
        <f>IF(E405="Support(L1_L2)",IF(NOT(ISBLANK(B405)),IF(NOT(ISBLANK(D405)),NETWORKDAYS('CPY TOC'!$F$5,'CPY TOC'!$G$5))))-L405</f>
        <v>0</v>
      </c>
      <c r="L405" s="64">
        <f>IF(E405="Support(L1_L2)",SUMIFS(Support_allowance_Entries!$G:$G,Support_allowance_Entries!$B:$B,CPY!B405),0)</f>
        <v>0</v>
      </c>
      <c r="M405" s="63" t="b">
        <f>IF($D405="D0",MD!$C$4*(K405),IF($D405="D1",MD!$C$5*(K405),IF($D405="D2",MD!$C$6*(K405),IF($D405="D3",MD!$C$7*(K405),IF($D405="D4",MD!$C$8*(K405),IF($D405="D5",MD!$C$9*(K405),IF($D405="M1",MD!$C$10*(K405),IF($D405="T1",MD!$C$11*(K405)))))))))</f>
        <v>0</v>
      </c>
      <c r="O405" s="65">
        <f>SUMIFS(Shift_allowance_Entries!$G:$G,Shift_allowance_Entries!$F:$F,"6:30AM-03:30PM",Shift_allowance_Entries!$B:$B,CPY!$B405)</f>
        <v>0</v>
      </c>
      <c r="P405" s="65">
        <f>SUMIFS(Shift_allowance_Entries!$G:$G,Shift_allowance_Entries!$F:$F,"1-9PM/2:30PM-11:30PM",Shift_allowance_Entries!$B:$B,CPY!$B405)</f>
        <v>0</v>
      </c>
      <c r="Q405" s="65">
        <f>SUMIFS(Shift_allowance_Entries!$G:$G,Shift_allowance_Entries!$F:$F,"11PM-7AM",Shift_allowance_Entries!$B:$B,CPY!$B405)</f>
        <v>0</v>
      </c>
      <c r="R405" s="63">
        <f>(CPY!O405*MD!$F$4)+(CPY!P405*MD!$F$5)+(CPY!Q405*MD!$F$6)</f>
        <v>0</v>
      </c>
      <c r="T405" s="64">
        <f>ROUNDUP((SUMIFS('OOH Activities'!$K:$K,'OOH Activities'!$F:$F,"Non_workdays",'OOH Activities'!$B:$B,CPY!B405)) *24,1)</f>
        <v>0</v>
      </c>
      <c r="U405" s="64">
        <f>ROUNDUP((SUMIFS('OOH Activities'!$K:$K,'OOH Activities'!$F:$F,"Workdays",'OOH Activities'!$B:$B,CPY!B405)) *24,1)</f>
        <v>0</v>
      </c>
      <c r="V405" s="63">
        <f>ROUNDUP((SUMIFS('OOH Activities'!$L:$L,'OOH Activities'!$B:$B,CPY!B405)),1)</f>
        <v>0</v>
      </c>
      <c r="X405" s="65">
        <f>ROUNDUP((SUMIFS('ON Call_Call Out Activities'!$L:$L,'ON Call_Call Out Activities'!$F:$F,"Workdays",'ON Call_Call Out Activities'!$B:$B,CPY!B405))*24,1)</f>
        <v>0</v>
      </c>
      <c r="Y405" s="64">
        <f>ROUNDUP((SUMIFS('ON Call_Call Out Activities'!$L:$L,'ON Call_Call Out Activities'!$F:$F,"Non_workdays",'ON Call_Call Out Activities'!$B:$B,CPY!B405)) *24,1)</f>
        <v>0</v>
      </c>
      <c r="Z405" s="63">
        <f>ROUNDUP((SUMIFS('ON Call_Call Out Activities'!$M:$M,'ON Call_Call Out Activities'!$F:$F,"Non_workdays",'ON Call_Call Out Activities'!$B:$B,CPY!B405)),1) + ROUNDUP((SUMIFS('ON Call_Call Out Activities'!$M:$M,'ON Call_Call Out Activities'!$F:$F,"Workdays",'ON Call_Call Out Activities'!$B:$B,CPY!B405)),1)</f>
        <v>0</v>
      </c>
      <c r="AA405" s="66"/>
      <c r="AB405" s="64">
        <f>ROUNDUP((SUMIFS('ON Call_Call Out Activities'!$L:$L,'ON Call_Call Out Activities'!$F:$F,"Call_Out",'ON Call_Call Out Activities'!$B:$B,CPY!B405)) *24,1)</f>
        <v>0</v>
      </c>
      <c r="AC405" s="63">
        <f>ROUNDUP((SUMIFS('ON Call_Call Out Activities'!$M:$M,'ON Call_Call Out Activities'!$F:$F,"Call_Out",'ON Call_Call Out Activities'!$B:$B,CPY!B405)),1)</f>
        <v>0</v>
      </c>
      <c r="AE405" s="65">
        <f>IF((SUMIF(Shift_allowance_Entries!$B:$B,CPY!$B405,Shift_allowance_Entries!$H:$H)) &gt; (SUMIF(Shift_allowance_Entries!$B:$B,CPY!$B405,Shift_allowance_Entries!$G:$G)),0,((SUMIF(Shift_allowance_Entries!$B:$B,CPY!$B405,Shift_allowance_Entries!$G:$G))-(SUMIF(Shift_allowance_Entries!$B:$B,CPY!$B405,Shift_allowance_Entries!$H:$H))))</f>
        <v>0</v>
      </c>
      <c r="AF405" s="63">
        <f>AE405*MD!$S$4</f>
        <v>0</v>
      </c>
    </row>
    <row r="406" spans="1:32" x14ac:dyDescent="0.25">
      <c r="A406" s="62">
        <v>404</v>
      </c>
      <c r="B406" s="62"/>
      <c r="C406" s="50" t="str">
        <f>IF(ISNA(VLOOKUP($B406,Summary!$B:$D,2,FALSE))=TRUE," ",VLOOKUP($B406,Summary!$B:$D,2,FALSE))</f>
        <v> </v>
      </c>
      <c r="D406" s="50" t="str">
        <f>IF(ISNA(VLOOKUP($B406,Summary!$B:$D,3,FALSE))=TRUE," ",VLOOKUP($B406,Summary!$B:$D,3,FALSE))</f>
        <v> </v>
      </c>
      <c r="E406" s="62"/>
      <c r="F406" s="62"/>
      <c r="G406" s="62"/>
      <c r="I406" s="63">
        <f t="shared" si="6"/>
        <v>0</v>
      </c>
      <c r="K406" s="64">
        <f>IF(E406="Support(L1_L2)",IF(NOT(ISBLANK(B406)),IF(NOT(ISBLANK(D406)),NETWORKDAYS('CPY TOC'!$F$5,'CPY TOC'!$G$5))))-L406</f>
        <v>0</v>
      </c>
      <c r="L406" s="64">
        <f>IF(E406="Support(L1_L2)",SUMIFS(Support_allowance_Entries!$G:$G,Support_allowance_Entries!$B:$B,CPY!B406),0)</f>
        <v>0</v>
      </c>
      <c r="M406" s="63" t="b">
        <f>IF($D406="D0",MD!$C$4*(K406),IF($D406="D1",MD!$C$5*(K406),IF($D406="D2",MD!$C$6*(K406),IF($D406="D3",MD!$C$7*(K406),IF($D406="D4",MD!$C$8*(K406),IF($D406="D5",MD!$C$9*(K406),IF($D406="M1",MD!$C$10*(K406),IF($D406="T1",MD!$C$11*(K406)))))))))</f>
        <v>0</v>
      </c>
      <c r="O406" s="65">
        <f>SUMIFS(Shift_allowance_Entries!$G:$G,Shift_allowance_Entries!$F:$F,"6:30AM-03:30PM",Shift_allowance_Entries!$B:$B,CPY!$B406)</f>
        <v>0</v>
      </c>
      <c r="P406" s="65">
        <f>SUMIFS(Shift_allowance_Entries!$G:$G,Shift_allowance_Entries!$F:$F,"1-9PM/2:30PM-11:30PM",Shift_allowance_Entries!$B:$B,CPY!$B406)</f>
        <v>0</v>
      </c>
      <c r="Q406" s="65">
        <f>SUMIFS(Shift_allowance_Entries!$G:$G,Shift_allowance_Entries!$F:$F,"11PM-7AM",Shift_allowance_Entries!$B:$B,CPY!$B406)</f>
        <v>0</v>
      </c>
      <c r="R406" s="63">
        <f>(CPY!O406*MD!$F$4)+(CPY!P406*MD!$F$5)+(CPY!Q406*MD!$F$6)</f>
        <v>0</v>
      </c>
      <c r="T406" s="64">
        <f>ROUNDUP((SUMIFS('OOH Activities'!$K:$K,'OOH Activities'!$F:$F,"Non_workdays",'OOH Activities'!$B:$B,CPY!B406)) *24,1)</f>
        <v>0</v>
      </c>
      <c r="U406" s="64">
        <f>ROUNDUP((SUMIFS('OOH Activities'!$K:$K,'OOH Activities'!$F:$F,"Workdays",'OOH Activities'!$B:$B,CPY!B406)) *24,1)</f>
        <v>0</v>
      </c>
      <c r="V406" s="63">
        <f>ROUNDUP((SUMIFS('OOH Activities'!$L:$L,'OOH Activities'!$B:$B,CPY!B406)),1)</f>
        <v>0</v>
      </c>
      <c r="X406" s="65">
        <f>ROUNDUP((SUMIFS('ON Call_Call Out Activities'!$L:$L,'ON Call_Call Out Activities'!$F:$F,"Workdays",'ON Call_Call Out Activities'!$B:$B,CPY!B406))*24,1)</f>
        <v>0</v>
      </c>
      <c r="Y406" s="64">
        <f>ROUNDUP((SUMIFS('ON Call_Call Out Activities'!$L:$L,'ON Call_Call Out Activities'!$F:$F,"Non_workdays",'ON Call_Call Out Activities'!$B:$B,CPY!B406)) *24,1)</f>
        <v>0</v>
      </c>
      <c r="Z406" s="63">
        <f>ROUNDUP((SUMIFS('ON Call_Call Out Activities'!$M:$M,'ON Call_Call Out Activities'!$F:$F,"Non_workdays",'ON Call_Call Out Activities'!$B:$B,CPY!B406)),1) + ROUNDUP((SUMIFS('ON Call_Call Out Activities'!$M:$M,'ON Call_Call Out Activities'!$F:$F,"Workdays",'ON Call_Call Out Activities'!$B:$B,CPY!B406)),1)</f>
        <v>0</v>
      </c>
      <c r="AA406" s="66"/>
      <c r="AB406" s="64">
        <f>ROUNDUP((SUMIFS('ON Call_Call Out Activities'!$L:$L,'ON Call_Call Out Activities'!$F:$F,"Call_Out",'ON Call_Call Out Activities'!$B:$B,CPY!B406)) *24,1)</f>
        <v>0</v>
      </c>
      <c r="AC406" s="63">
        <f>ROUNDUP((SUMIFS('ON Call_Call Out Activities'!$M:$M,'ON Call_Call Out Activities'!$F:$F,"Call_Out",'ON Call_Call Out Activities'!$B:$B,CPY!B406)),1)</f>
        <v>0</v>
      </c>
      <c r="AE406" s="65">
        <f>IF((SUMIF(Shift_allowance_Entries!$B:$B,CPY!$B406,Shift_allowance_Entries!$H:$H)) &gt; (SUMIF(Shift_allowance_Entries!$B:$B,CPY!$B406,Shift_allowance_Entries!$G:$G)),0,((SUMIF(Shift_allowance_Entries!$B:$B,CPY!$B406,Shift_allowance_Entries!$G:$G))-(SUMIF(Shift_allowance_Entries!$B:$B,CPY!$B406,Shift_allowance_Entries!$H:$H))))</f>
        <v>0</v>
      </c>
      <c r="AF406" s="63">
        <f>AE406*MD!$S$4</f>
        <v>0</v>
      </c>
    </row>
    <row r="407" spans="1:32" x14ac:dyDescent="0.25">
      <c r="A407" s="62">
        <v>405</v>
      </c>
      <c r="B407" s="62"/>
      <c r="C407" s="50" t="str">
        <f>IF(ISNA(VLOOKUP($B407,Summary!$B:$D,2,FALSE))=TRUE," ",VLOOKUP($B407,Summary!$B:$D,2,FALSE))</f>
        <v> </v>
      </c>
      <c r="D407" s="50" t="str">
        <f>IF(ISNA(VLOOKUP($B407,Summary!$B:$D,3,FALSE))=TRUE," ",VLOOKUP($B407,Summary!$B:$D,3,FALSE))</f>
        <v> </v>
      </c>
      <c r="E407" s="62"/>
      <c r="F407" s="62"/>
      <c r="G407" s="62"/>
      <c r="I407" s="63">
        <f t="shared" si="6"/>
        <v>0</v>
      </c>
      <c r="K407" s="64">
        <f>IF(E407="Support(L1_L2)",IF(NOT(ISBLANK(B407)),IF(NOT(ISBLANK(D407)),NETWORKDAYS('CPY TOC'!$F$5,'CPY TOC'!$G$5))))-L407</f>
        <v>0</v>
      </c>
      <c r="L407" s="64">
        <f>IF(E407="Support(L1_L2)",SUMIFS(Support_allowance_Entries!$G:$G,Support_allowance_Entries!$B:$B,CPY!B407),0)</f>
        <v>0</v>
      </c>
      <c r="M407" s="63" t="b">
        <f>IF($D407="D0",MD!$C$4*(K407),IF($D407="D1",MD!$C$5*(K407),IF($D407="D2",MD!$C$6*(K407),IF($D407="D3",MD!$C$7*(K407),IF($D407="D4",MD!$C$8*(K407),IF($D407="D5",MD!$C$9*(K407),IF($D407="M1",MD!$C$10*(K407),IF($D407="T1",MD!$C$11*(K407)))))))))</f>
        <v>0</v>
      </c>
      <c r="O407" s="65">
        <f>SUMIFS(Shift_allowance_Entries!$G:$G,Shift_allowance_Entries!$F:$F,"6:30AM-03:30PM",Shift_allowance_Entries!$B:$B,CPY!$B407)</f>
        <v>0</v>
      </c>
      <c r="P407" s="65">
        <f>SUMIFS(Shift_allowance_Entries!$G:$G,Shift_allowance_Entries!$F:$F,"1-9PM/2:30PM-11:30PM",Shift_allowance_Entries!$B:$B,CPY!$B407)</f>
        <v>0</v>
      </c>
      <c r="Q407" s="65">
        <f>SUMIFS(Shift_allowance_Entries!$G:$G,Shift_allowance_Entries!$F:$F,"11PM-7AM",Shift_allowance_Entries!$B:$B,CPY!$B407)</f>
        <v>0</v>
      </c>
      <c r="R407" s="63">
        <f>(CPY!O407*MD!$F$4)+(CPY!P407*MD!$F$5)+(CPY!Q407*MD!$F$6)</f>
        <v>0</v>
      </c>
      <c r="T407" s="64">
        <f>ROUNDUP((SUMIFS('OOH Activities'!$K:$K,'OOH Activities'!$F:$F,"Non_workdays",'OOH Activities'!$B:$B,CPY!B407)) *24,1)</f>
        <v>0</v>
      </c>
      <c r="U407" s="64">
        <f>ROUNDUP((SUMIFS('OOH Activities'!$K:$K,'OOH Activities'!$F:$F,"Workdays",'OOH Activities'!$B:$B,CPY!B407)) *24,1)</f>
        <v>0</v>
      </c>
      <c r="V407" s="63">
        <f>ROUNDUP((SUMIFS('OOH Activities'!$L:$L,'OOH Activities'!$B:$B,CPY!B407)),1)</f>
        <v>0</v>
      </c>
      <c r="X407" s="65">
        <f>ROUNDUP((SUMIFS('ON Call_Call Out Activities'!$L:$L,'ON Call_Call Out Activities'!$F:$F,"Workdays",'ON Call_Call Out Activities'!$B:$B,CPY!B407))*24,1)</f>
        <v>0</v>
      </c>
      <c r="Y407" s="64">
        <f>ROUNDUP((SUMIFS('ON Call_Call Out Activities'!$L:$L,'ON Call_Call Out Activities'!$F:$F,"Non_workdays",'ON Call_Call Out Activities'!$B:$B,CPY!B407)) *24,1)</f>
        <v>0</v>
      </c>
      <c r="Z407" s="63">
        <f>ROUNDUP((SUMIFS('ON Call_Call Out Activities'!$M:$M,'ON Call_Call Out Activities'!$F:$F,"Non_workdays",'ON Call_Call Out Activities'!$B:$B,CPY!B407)),1) + ROUNDUP((SUMIFS('ON Call_Call Out Activities'!$M:$M,'ON Call_Call Out Activities'!$F:$F,"Workdays",'ON Call_Call Out Activities'!$B:$B,CPY!B407)),1)</f>
        <v>0</v>
      </c>
      <c r="AA407" s="66"/>
      <c r="AB407" s="64">
        <f>ROUNDUP((SUMIFS('ON Call_Call Out Activities'!$L:$L,'ON Call_Call Out Activities'!$F:$F,"Call_Out",'ON Call_Call Out Activities'!$B:$B,CPY!B407)) *24,1)</f>
        <v>0</v>
      </c>
      <c r="AC407" s="63">
        <f>ROUNDUP((SUMIFS('ON Call_Call Out Activities'!$M:$M,'ON Call_Call Out Activities'!$F:$F,"Call_Out",'ON Call_Call Out Activities'!$B:$B,CPY!B407)),1)</f>
        <v>0</v>
      </c>
      <c r="AE407" s="65">
        <f>IF((SUMIF(Shift_allowance_Entries!$B:$B,CPY!$B407,Shift_allowance_Entries!$H:$H)) &gt; (SUMIF(Shift_allowance_Entries!$B:$B,CPY!$B407,Shift_allowance_Entries!$G:$G)),0,((SUMIF(Shift_allowance_Entries!$B:$B,CPY!$B407,Shift_allowance_Entries!$G:$G))-(SUMIF(Shift_allowance_Entries!$B:$B,CPY!$B407,Shift_allowance_Entries!$H:$H))))</f>
        <v>0</v>
      </c>
      <c r="AF407" s="63">
        <f>AE407*MD!$S$4</f>
        <v>0</v>
      </c>
    </row>
    <row r="408" spans="1:32" x14ac:dyDescent="0.25">
      <c r="A408" s="62">
        <v>406</v>
      </c>
      <c r="B408" s="62"/>
      <c r="C408" s="50" t="str">
        <f>IF(ISNA(VLOOKUP($B408,Summary!$B:$D,2,FALSE))=TRUE," ",VLOOKUP($B408,Summary!$B:$D,2,FALSE))</f>
        <v> </v>
      </c>
      <c r="D408" s="50" t="str">
        <f>IF(ISNA(VLOOKUP($B408,Summary!$B:$D,3,FALSE))=TRUE," ",VLOOKUP($B408,Summary!$B:$D,3,FALSE))</f>
        <v> </v>
      </c>
      <c r="E408" s="62"/>
      <c r="F408" s="62"/>
      <c r="G408" s="62"/>
      <c r="I408" s="63">
        <f t="shared" si="6"/>
        <v>0</v>
      </c>
      <c r="K408" s="64">
        <f>IF(E408="Support(L1_L2)",IF(NOT(ISBLANK(B408)),IF(NOT(ISBLANK(D408)),NETWORKDAYS('CPY TOC'!$F$5,'CPY TOC'!$G$5))))-L408</f>
        <v>0</v>
      </c>
      <c r="L408" s="64">
        <f>IF(E408="Support(L1_L2)",SUMIFS(Support_allowance_Entries!$G:$G,Support_allowance_Entries!$B:$B,CPY!B408),0)</f>
        <v>0</v>
      </c>
      <c r="M408" s="63" t="b">
        <f>IF($D408="D0",MD!$C$4*(K408),IF($D408="D1",MD!$C$5*(K408),IF($D408="D2",MD!$C$6*(K408),IF($D408="D3",MD!$C$7*(K408),IF($D408="D4",MD!$C$8*(K408),IF($D408="D5",MD!$C$9*(K408),IF($D408="M1",MD!$C$10*(K408),IF($D408="T1",MD!$C$11*(K408)))))))))</f>
        <v>0</v>
      </c>
      <c r="O408" s="65">
        <f>SUMIFS(Shift_allowance_Entries!$G:$G,Shift_allowance_Entries!$F:$F,"6:30AM-03:30PM",Shift_allowance_Entries!$B:$B,CPY!$B408)</f>
        <v>0</v>
      </c>
      <c r="P408" s="65">
        <f>SUMIFS(Shift_allowance_Entries!$G:$G,Shift_allowance_Entries!$F:$F,"1-9PM/2:30PM-11:30PM",Shift_allowance_Entries!$B:$B,CPY!$B408)</f>
        <v>0</v>
      </c>
      <c r="Q408" s="65">
        <f>SUMIFS(Shift_allowance_Entries!$G:$G,Shift_allowance_Entries!$F:$F,"11PM-7AM",Shift_allowance_Entries!$B:$B,CPY!$B408)</f>
        <v>0</v>
      </c>
      <c r="R408" s="63">
        <f>(CPY!O408*MD!$F$4)+(CPY!P408*MD!$F$5)+(CPY!Q408*MD!$F$6)</f>
        <v>0</v>
      </c>
      <c r="T408" s="64">
        <f>ROUNDUP((SUMIFS('OOH Activities'!$K:$K,'OOH Activities'!$F:$F,"Non_workdays",'OOH Activities'!$B:$B,CPY!B408)) *24,1)</f>
        <v>0</v>
      </c>
      <c r="U408" s="64">
        <f>ROUNDUP((SUMIFS('OOH Activities'!$K:$K,'OOH Activities'!$F:$F,"Workdays",'OOH Activities'!$B:$B,CPY!B408)) *24,1)</f>
        <v>0</v>
      </c>
      <c r="V408" s="63">
        <f>ROUNDUP((SUMIFS('OOH Activities'!$L:$L,'OOH Activities'!$B:$B,CPY!B408)),1)</f>
        <v>0</v>
      </c>
      <c r="X408" s="65">
        <f>ROUNDUP((SUMIFS('ON Call_Call Out Activities'!$L:$L,'ON Call_Call Out Activities'!$F:$F,"Workdays",'ON Call_Call Out Activities'!$B:$B,CPY!B408))*24,1)</f>
        <v>0</v>
      </c>
      <c r="Y408" s="64">
        <f>ROUNDUP((SUMIFS('ON Call_Call Out Activities'!$L:$L,'ON Call_Call Out Activities'!$F:$F,"Non_workdays",'ON Call_Call Out Activities'!$B:$B,CPY!B408)) *24,1)</f>
        <v>0</v>
      </c>
      <c r="Z408" s="63">
        <f>ROUNDUP((SUMIFS('ON Call_Call Out Activities'!$M:$M,'ON Call_Call Out Activities'!$F:$F,"Non_workdays",'ON Call_Call Out Activities'!$B:$B,CPY!B408)),1) + ROUNDUP((SUMIFS('ON Call_Call Out Activities'!$M:$M,'ON Call_Call Out Activities'!$F:$F,"Workdays",'ON Call_Call Out Activities'!$B:$B,CPY!B408)),1)</f>
        <v>0</v>
      </c>
      <c r="AA408" s="66"/>
      <c r="AB408" s="64">
        <f>ROUNDUP((SUMIFS('ON Call_Call Out Activities'!$L:$L,'ON Call_Call Out Activities'!$F:$F,"Call_Out",'ON Call_Call Out Activities'!$B:$B,CPY!B408)) *24,1)</f>
        <v>0</v>
      </c>
      <c r="AC408" s="63">
        <f>ROUNDUP((SUMIFS('ON Call_Call Out Activities'!$M:$M,'ON Call_Call Out Activities'!$F:$F,"Call_Out",'ON Call_Call Out Activities'!$B:$B,CPY!B408)),1)</f>
        <v>0</v>
      </c>
      <c r="AE408" s="65">
        <f>IF((SUMIF(Shift_allowance_Entries!$B:$B,CPY!$B408,Shift_allowance_Entries!$H:$H)) &gt; (SUMIF(Shift_allowance_Entries!$B:$B,CPY!$B408,Shift_allowance_Entries!$G:$G)),0,((SUMIF(Shift_allowance_Entries!$B:$B,CPY!$B408,Shift_allowance_Entries!$G:$G))-(SUMIF(Shift_allowance_Entries!$B:$B,CPY!$B408,Shift_allowance_Entries!$H:$H))))</f>
        <v>0</v>
      </c>
      <c r="AF408" s="63">
        <f>AE408*MD!$S$4</f>
        <v>0</v>
      </c>
    </row>
    <row r="409" spans="1:32" x14ac:dyDescent="0.25">
      <c r="A409" s="62">
        <v>407</v>
      </c>
      <c r="B409" s="62"/>
      <c r="C409" s="50" t="str">
        <f>IF(ISNA(VLOOKUP($B409,Summary!$B:$D,2,FALSE))=TRUE," ",VLOOKUP($B409,Summary!$B:$D,2,FALSE))</f>
        <v> </v>
      </c>
      <c r="D409" s="50" t="str">
        <f>IF(ISNA(VLOOKUP($B409,Summary!$B:$D,3,FALSE))=TRUE," ",VLOOKUP($B409,Summary!$B:$D,3,FALSE))</f>
        <v> </v>
      </c>
      <c r="E409" s="62"/>
      <c r="F409" s="62"/>
      <c r="G409" s="62"/>
      <c r="I409" s="63">
        <f t="shared" si="6"/>
        <v>0</v>
      </c>
      <c r="K409" s="64">
        <f>IF(E409="Support(L1_L2)",IF(NOT(ISBLANK(B409)),IF(NOT(ISBLANK(D409)),NETWORKDAYS('CPY TOC'!$F$5,'CPY TOC'!$G$5))))-L409</f>
        <v>0</v>
      </c>
      <c r="L409" s="64">
        <f>IF(E409="Support(L1_L2)",SUMIFS(Support_allowance_Entries!$G:$G,Support_allowance_Entries!$B:$B,CPY!B409),0)</f>
        <v>0</v>
      </c>
      <c r="M409" s="63" t="b">
        <f>IF($D409="D0",MD!$C$4*(K409),IF($D409="D1",MD!$C$5*(K409),IF($D409="D2",MD!$C$6*(K409),IF($D409="D3",MD!$C$7*(K409),IF($D409="D4",MD!$C$8*(K409),IF($D409="D5",MD!$C$9*(K409),IF($D409="M1",MD!$C$10*(K409),IF($D409="T1",MD!$C$11*(K409)))))))))</f>
        <v>0</v>
      </c>
      <c r="O409" s="65">
        <f>SUMIFS(Shift_allowance_Entries!$G:$G,Shift_allowance_Entries!$F:$F,"6:30AM-03:30PM",Shift_allowance_Entries!$B:$B,CPY!$B409)</f>
        <v>0</v>
      </c>
      <c r="P409" s="65">
        <f>SUMIFS(Shift_allowance_Entries!$G:$G,Shift_allowance_Entries!$F:$F,"1-9PM/2:30PM-11:30PM",Shift_allowance_Entries!$B:$B,CPY!$B409)</f>
        <v>0</v>
      </c>
      <c r="Q409" s="65">
        <f>SUMIFS(Shift_allowance_Entries!$G:$G,Shift_allowance_Entries!$F:$F,"11PM-7AM",Shift_allowance_Entries!$B:$B,CPY!$B409)</f>
        <v>0</v>
      </c>
      <c r="R409" s="63">
        <f>(CPY!O409*MD!$F$4)+(CPY!P409*MD!$F$5)+(CPY!Q409*MD!$F$6)</f>
        <v>0</v>
      </c>
      <c r="T409" s="64">
        <f>ROUNDUP((SUMIFS('OOH Activities'!$K:$K,'OOH Activities'!$F:$F,"Non_workdays",'OOH Activities'!$B:$B,CPY!B409)) *24,1)</f>
        <v>0</v>
      </c>
      <c r="U409" s="64">
        <f>ROUNDUP((SUMIFS('OOH Activities'!$K:$K,'OOH Activities'!$F:$F,"Workdays",'OOH Activities'!$B:$B,CPY!B409)) *24,1)</f>
        <v>0</v>
      </c>
      <c r="V409" s="63">
        <f>ROUNDUP((SUMIFS('OOH Activities'!$L:$L,'OOH Activities'!$B:$B,CPY!B409)),1)</f>
        <v>0</v>
      </c>
      <c r="X409" s="65">
        <f>ROUNDUP((SUMIFS('ON Call_Call Out Activities'!$L:$L,'ON Call_Call Out Activities'!$F:$F,"Workdays",'ON Call_Call Out Activities'!$B:$B,CPY!B409))*24,1)</f>
        <v>0</v>
      </c>
      <c r="Y409" s="64">
        <f>ROUNDUP((SUMIFS('ON Call_Call Out Activities'!$L:$L,'ON Call_Call Out Activities'!$F:$F,"Non_workdays",'ON Call_Call Out Activities'!$B:$B,CPY!B409)) *24,1)</f>
        <v>0</v>
      </c>
      <c r="Z409" s="63">
        <f>ROUNDUP((SUMIFS('ON Call_Call Out Activities'!$M:$M,'ON Call_Call Out Activities'!$F:$F,"Non_workdays",'ON Call_Call Out Activities'!$B:$B,CPY!B409)),1) + ROUNDUP((SUMIFS('ON Call_Call Out Activities'!$M:$M,'ON Call_Call Out Activities'!$F:$F,"Workdays",'ON Call_Call Out Activities'!$B:$B,CPY!B409)),1)</f>
        <v>0</v>
      </c>
      <c r="AA409" s="66"/>
      <c r="AB409" s="64">
        <f>ROUNDUP((SUMIFS('ON Call_Call Out Activities'!$L:$L,'ON Call_Call Out Activities'!$F:$F,"Call_Out",'ON Call_Call Out Activities'!$B:$B,CPY!B409)) *24,1)</f>
        <v>0</v>
      </c>
      <c r="AC409" s="63">
        <f>ROUNDUP((SUMIFS('ON Call_Call Out Activities'!$M:$M,'ON Call_Call Out Activities'!$F:$F,"Call_Out",'ON Call_Call Out Activities'!$B:$B,CPY!B409)),1)</f>
        <v>0</v>
      </c>
      <c r="AE409" s="65">
        <f>IF((SUMIF(Shift_allowance_Entries!$B:$B,CPY!$B409,Shift_allowance_Entries!$H:$H)) &gt; (SUMIF(Shift_allowance_Entries!$B:$B,CPY!$B409,Shift_allowance_Entries!$G:$G)),0,((SUMIF(Shift_allowance_Entries!$B:$B,CPY!$B409,Shift_allowance_Entries!$G:$G))-(SUMIF(Shift_allowance_Entries!$B:$B,CPY!$B409,Shift_allowance_Entries!$H:$H))))</f>
        <v>0</v>
      </c>
      <c r="AF409" s="63">
        <f>AE409*MD!$S$4</f>
        <v>0</v>
      </c>
    </row>
    <row r="410" spans="1:32" x14ac:dyDescent="0.25">
      <c r="A410" s="62">
        <v>408</v>
      </c>
      <c r="B410" s="62"/>
      <c r="C410" s="50" t="str">
        <f>IF(ISNA(VLOOKUP($B410,Summary!$B:$D,2,FALSE))=TRUE," ",VLOOKUP($B410,Summary!$B:$D,2,FALSE))</f>
        <v> </v>
      </c>
      <c r="D410" s="50" t="str">
        <f>IF(ISNA(VLOOKUP($B410,Summary!$B:$D,3,FALSE))=TRUE," ",VLOOKUP($B410,Summary!$B:$D,3,FALSE))</f>
        <v> </v>
      </c>
      <c r="E410" s="62"/>
      <c r="F410" s="62"/>
      <c r="G410" s="62"/>
      <c r="I410" s="63">
        <f t="shared" si="6"/>
        <v>0</v>
      </c>
      <c r="K410" s="64">
        <f>IF(E410="Support(L1_L2)",IF(NOT(ISBLANK(B410)),IF(NOT(ISBLANK(D410)),NETWORKDAYS('CPY TOC'!$F$5,'CPY TOC'!$G$5))))-L410</f>
        <v>0</v>
      </c>
      <c r="L410" s="64">
        <f>IF(E410="Support(L1_L2)",SUMIFS(Support_allowance_Entries!$G:$G,Support_allowance_Entries!$B:$B,CPY!B410),0)</f>
        <v>0</v>
      </c>
      <c r="M410" s="63" t="b">
        <f>IF($D410="D0",MD!$C$4*(K410),IF($D410="D1",MD!$C$5*(K410),IF($D410="D2",MD!$C$6*(K410),IF($D410="D3",MD!$C$7*(K410),IF($D410="D4",MD!$C$8*(K410),IF($D410="D5",MD!$C$9*(K410),IF($D410="M1",MD!$C$10*(K410),IF($D410="T1",MD!$C$11*(K410)))))))))</f>
        <v>0</v>
      </c>
      <c r="O410" s="65">
        <f>SUMIFS(Shift_allowance_Entries!$G:$G,Shift_allowance_Entries!$F:$F,"6:30AM-03:30PM",Shift_allowance_Entries!$B:$B,CPY!$B410)</f>
        <v>0</v>
      </c>
      <c r="P410" s="65">
        <f>SUMIFS(Shift_allowance_Entries!$G:$G,Shift_allowance_Entries!$F:$F,"1-9PM/2:30PM-11:30PM",Shift_allowance_Entries!$B:$B,CPY!$B410)</f>
        <v>0</v>
      </c>
      <c r="Q410" s="65">
        <f>SUMIFS(Shift_allowance_Entries!$G:$G,Shift_allowance_Entries!$F:$F,"11PM-7AM",Shift_allowance_Entries!$B:$B,CPY!$B410)</f>
        <v>0</v>
      </c>
      <c r="R410" s="63">
        <f>(CPY!O410*MD!$F$4)+(CPY!P410*MD!$F$5)+(CPY!Q410*MD!$F$6)</f>
        <v>0</v>
      </c>
      <c r="T410" s="64">
        <f>ROUNDUP((SUMIFS('OOH Activities'!$K:$K,'OOH Activities'!$F:$F,"Non_workdays",'OOH Activities'!$B:$B,CPY!B410)) *24,1)</f>
        <v>0</v>
      </c>
      <c r="U410" s="64">
        <f>ROUNDUP((SUMIFS('OOH Activities'!$K:$K,'OOH Activities'!$F:$F,"Workdays",'OOH Activities'!$B:$B,CPY!B410)) *24,1)</f>
        <v>0</v>
      </c>
      <c r="V410" s="63">
        <f>ROUNDUP((SUMIFS('OOH Activities'!$L:$L,'OOH Activities'!$B:$B,CPY!B410)),1)</f>
        <v>0</v>
      </c>
      <c r="X410" s="65">
        <f>ROUNDUP((SUMIFS('ON Call_Call Out Activities'!$L:$L,'ON Call_Call Out Activities'!$F:$F,"Workdays",'ON Call_Call Out Activities'!$B:$B,CPY!B410))*24,1)</f>
        <v>0</v>
      </c>
      <c r="Y410" s="64">
        <f>ROUNDUP((SUMIFS('ON Call_Call Out Activities'!$L:$L,'ON Call_Call Out Activities'!$F:$F,"Non_workdays",'ON Call_Call Out Activities'!$B:$B,CPY!B410)) *24,1)</f>
        <v>0</v>
      </c>
      <c r="Z410" s="63">
        <f>ROUNDUP((SUMIFS('ON Call_Call Out Activities'!$M:$M,'ON Call_Call Out Activities'!$F:$F,"Non_workdays",'ON Call_Call Out Activities'!$B:$B,CPY!B410)),1) + ROUNDUP((SUMIFS('ON Call_Call Out Activities'!$M:$M,'ON Call_Call Out Activities'!$F:$F,"Workdays",'ON Call_Call Out Activities'!$B:$B,CPY!B410)),1)</f>
        <v>0</v>
      </c>
      <c r="AA410" s="66"/>
      <c r="AB410" s="64">
        <f>ROUNDUP((SUMIFS('ON Call_Call Out Activities'!$L:$L,'ON Call_Call Out Activities'!$F:$F,"Call_Out",'ON Call_Call Out Activities'!$B:$B,CPY!B410)) *24,1)</f>
        <v>0</v>
      </c>
      <c r="AC410" s="63">
        <f>ROUNDUP((SUMIFS('ON Call_Call Out Activities'!$M:$M,'ON Call_Call Out Activities'!$F:$F,"Call_Out",'ON Call_Call Out Activities'!$B:$B,CPY!B410)),1)</f>
        <v>0</v>
      </c>
      <c r="AE410" s="65">
        <f>IF((SUMIF(Shift_allowance_Entries!$B:$B,CPY!$B410,Shift_allowance_Entries!$H:$H)) &gt; (SUMIF(Shift_allowance_Entries!$B:$B,CPY!$B410,Shift_allowance_Entries!$G:$G)),0,((SUMIF(Shift_allowance_Entries!$B:$B,CPY!$B410,Shift_allowance_Entries!$G:$G))-(SUMIF(Shift_allowance_Entries!$B:$B,CPY!$B410,Shift_allowance_Entries!$H:$H))))</f>
        <v>0</v>
      </c>
      <c r="AF410" s="63">
        <f>AE410*MD!$S$4</f>
        <v>0</v>
      </c>
    </row>
    <row r="411" spans="1:32" x14ac:dyDescent="0.25">
      <c r="A411" s="62">
        <v>409</v>
      </c>
      <c r="B411" s="62"/>
      <c r="C411" s="50" t="str">
        <f>IF(ISNA(VLOOKUP($B411,Summary!$B:$D,2,FALSE))=TRUE," ",VLOOKUP($B411,Summary!$B:$D,2,FALSE))</f>
        <v> </v>
      </c>
      <c r="D411" s="50" t="str">
        <f>IF(ISNA(VLOOKUP($B411,Summary!$B:$D,3,FALSE))=TRUE," ",VLOOKUP($B411,Summary!$B:$D,3,FALSE))</f>
        <v> </v>
      </c>
      <c r="E411" s="62"/>
      <c r="F411" s="62"/>
      <c r="G411" s="62"/>
      <c r="I411" s="63">
        <f t="shared" si="6"/>
        <v>0</v>
      </c>
      <c r="K411" s="64">
        <f>IF(E411="Support(L1_L2)",IF(NOT(ISBLANK(B411)),IF(NOT(ISBLANK(D411)),NETWORKDAYS('CPY TOC'!$F$5,'CPY TOC'!$G$5))))-L411</f>
        <v>0</v>
      </c>
      <c r="L411" s="64">
        <f>IF(E411="Support(L1_L2)",SUMIFS(Support_allowance_Entries!$G:$G,Support_allowance_Entries!$B:$B,CPY!B411),0)</f>
        <v>0</v>
      </c>
      <c r="M411" s="63" t="b">
        <f>IF($D411="D0",MD!$C$4*(K411),IF($D411="D1",MD!$C$5*(K411),IF($D411="D2",MD!$C$6*(K411),IF($D411="D3",MD!$C$7*(K411),IF($D411="D4",MD!$C$8*(K411),IF($D411="D5",MD!$C$9*(K411),IF($D411="M1",MD!$C$10*(K411),IF($D411="T1",MD!$C$11*(K411)))))))))</f>
        <v>0</v>
      </c>
      <c r="O411" s="65">
        <f>SUMIFS(Shift_allowance_Entries!$G:$G,Shift_allowance_Entries!$F:$F,"6:30AM-03:30PM",Shift_allowance_Entries!$B:$B,CPY!$B411)</f>
        <v>0</v>
      </c>
      <c r="P411" s="65">
        <f>SUMIFS(Shift_allowance_Entries!$G:$G,Shift_allowance_Entries!$F:$F,"1-9PM/2:30PM-11:30PM",Shift_allowance_Entries!$B:$B,CPY!$B411)</f>
        <v>0</v>
      </c>
      <c r="Q411" s="65">
        <f>SUMIFS(Shift_allowance_Entries!$G:$G,Shift_allowance_Entries!$F:$F,"11PM-7AM",Shift_allowance_Entries!$B:$B,CPY!$B411)</f>
        <v>0</v>
      </c>
      <c r="R411" s="63">
        <f>(CPY!O411*MD!$F$4)+(CPY!P411*MD!$F$5)+(CPY!Q411*MD!$F$6)</f>
        <v>0</v>
      </c>
      <c r="T411" s="64">
        <f>ROUNDUP((SUMIFS('OOH Activities'!$K:$K,'OOH Activities'!$F:$F,"Non_workdays",'OOH Activities'!$B:$B,CPY!B411)) *24,1)</f>
        <v>0</v>
      </c>
      <c r="U411" s="64">
        <f>ROUNDUP((SUMIFS('OOH Activities'!$K:$K,'OOH Activities'!$F:$F,"Workdays",'OOH Activities'!$B:$B,CPY!B411)) *24,1)</f>
        <v>0</v>
      </c>
      <c r="V411" s="63">
        <f>ROUNDUP((SUMIFS('OOH Activities'!$L:$L,'OOH Activities'!$B:$B,CPY!B411)),1)</f>
        <v>0</v>
      </c>
      <c r="X411" s="65">
        <f>ROUNDUP((SUMIFS('ON Call_Call Out Activities'!$L:$L,'ON Call_Call Out Activities'!$F:$F,"Workdays",'ON Call_Call Out Activities'!$B:$B,CPY!B411))*24,1)</f>
        <v>0</v>
      </c>
      <c r="Y411" s="64">
        <f>ROUNDUP((SUMIFS('ON Call_Call Out Activities'!$L:$L,'ON Call_Call Out Activities'!$F:$F,"Non_workdays",'ON Call_Call Out Activities'!$B:$B,CPY!B411)) *24,1)</f>
        <v>0</v>
      </c>
      <c r="Z411" s="63">
        <f>ROUNDUP((SUMIFS('ON Call_Call Out Activities'!$M:$M,'ON Call_Call Out Activities'!$F:$F,"Non_workdays",'ON Call_Call Out Activities'!$B:$B,CPY!B411)),1) + ROUNDUP((SUMIFS('ON Call_Call Out Activities'!$M:$M,'ON Call_Call Out Activities'!$F:$F,"Workdays",'ON Call_Call Out Activities'!$B:$B,CPY!B411)),1)</f>
        <v>0</v>
      </c>
      <c r="AA411" s="66"/>
      <c r="AB411" s="64">
        <f>ROUNDUP((SUMIFS('ON Call_Call Out Activities'!$L:$L,'ON Call_Call Out Activities'!$F:$F,"Call_Out",'ON Call_Call Out Activities'!$B:$B,CPY!B411)) *24,1)</f>
        <v>0</v>
      </c>
      <c r="AC411" s="63">
        <f>ROUNDUP((SUMIFS('ON Call_Call Out Activities'!$M:$M,'ON Call_Call Out Activities'!$F:$F,"Call_Out",'ON Call_Call Out Activities'!$B:$B,CPY!B411)),1)</f>
        <v>0</v>
      </c>
      <c r="AE411" s="65">
        <f>IF((SUMIF(Shift_allowance_Entries!$B:$B,CPY!$B411,Shift_allowance_Entries!$H:$H)) &gt; (SUMIF(Shift_allowance_Entries!$B:$B,CPY!$B411,Shift_allowance_Entries!$G:$G)),0,((SUMIF(Shift_allowance_Entries!$B:$B,CPY!$B411,Shift_allowance_Entries!$G:$G))-(SUMIF(Shift_allowance_Entries!$B:$B,CPY!$B411,Shift_allowance_Entries!$H:$H))))</f>
        <v>0</v>
      </c>
      <c r="AF411" s="63">
        <f>AE411*MD!$S$4</f>
        <v>0</v>
      </c>
    </row>
    <row r="412" spans="1:32" x14ac:dyDescent="0.25">
      <c r="A412" s="62">
        <v>410</v>
      </c>
      <c r="B412" s="62"/>
      <c r="C412" s="50" t="str">
        <f>IF(ISNA(VLOOKUP($B412,Summary!$B:$D,2,FALSE))=TRUE," ",VLOOKUP($B412,Summary!$B:$D,2,FALSE))</f>
        <v> </v>
      </c>
      <c r="D412" s="50" t="str">
        <f>IF(ISNA(VLOOKUP($B412,Summary!$B:$D,3,FALSE))=TRUE," ",VLOOKUP($B412,Summary!$B:$D,3,FALSE))</f>
        <v> </v>
      </c>
      <c r="E412" s="62"/>
      <c r="F412" s="62"/>
      <c r="G412" s="62"/>
      <c r="I412" s="63">
        <f t="shared" si="6"/>
        <v>0</v>
      </c>
      <c r="K412" s="64">
        <f>IF(E412="Support(L1_L2)",IF(NOT(ISBLANK(B412)),IF(NOT(ISBLANK(D412)),NETWORKDAYS('CPY TOC'!$F$5,'CPY TOC'!$G$5))))-L412</f>
        <v>0</v>
      </c>
      <c r="L412" s="64">
        <f>IF(E412="Support(L1_L2)",SUMIFS(Support_allowance_Entries!$G:$G,Support_allowance_Entries!$B:$B,CPY!B412),0)</f>
        <v>0</v>
      </c>
      <c r="M412" s="63" t="b">
        <f>IF($D412="D0",MD!$C$4*(K412),IF($D412="D1",MD!$C$5*(K412),IF($D412="D2",MD!$C$6*(K412),IF($D412="D3",MD!$C$7*(K412),IF($D412="D4",MD!$C$8*(K412),IF($D412="D5",MD!$C$9*(K412),IF($D412="M1",MD!$C$10*(K412),IF($D412="T1",MD!$C$11*(K412)))))))))</f>
        <v>0</v>
      </c>
      <c r="O412" s="65">
        <f>SUMIFS(Shift_allowance_Entries!$G:$G,Shift_allowance_Entries!$F:$F,"6:30AM-03:30PM",Shift_allowance_Entries!$B:$B,CPY!$B412)</f>
        <v>0</v>
      </c>
      <c r="P412" s="65">
        <f>SUMIFS(Shift_allowance_Entries!$G:$G,Shift_allowance_Entries!$F:$F,"1-9PM/2:30PM-11:30PM",Shift_allowance_Entries!$B:$B,CPY!$B412)</f>
        <v>0</v>
      </c>
      <c r="Q412" s="65">
        <f>SUMIFS(Shift_allowance_Entries!$G:$G,Shift_allowance_Entries!$F:$F,"11PM-7AM",Shift_allowance_Entries!$B:$B,CPY!$B412)</f>
        <v>0</v>
      </c>
      <c r="R412" s="63">
        <f>(CPY!O412*MD!$F$4)+(CPY!P412*MD!$F$5)+(CPY!Q412*MD!$F$6)</f>
        <v>0</v>
      </c>
      <c r="T412" s="64">
        <f>ROUNDUP((SUMIFS('OOH Activities'!$K:$K,'OOH Activities'!$F:$F,"Non_workdays",'OOH Activities'!$B:$B,CPY!B412)) *24,1)</f>
        <v>0</v>
      </c>
      <c r="U412" s="64">
        <f>ROUNDUP((SUMIFS('OOH Activities'!$K:$K,'OOH Activities'!$F:$F,"Workdays",'OOH Activities'!$B:$B,CPY!B412)) *24,1)</f>
        <v>0</v>
      </c>
      <c r="V412" s="63">
        <f>ROUNDUP((SUMIFS('OOH Activities'!$L:$L,'OOH Activities'!$B:$B,CPY!B412)),1)</f>
        <v>0</v>
      </c>
      <c r="X412" s="65">
        <f>ROUNDUP((SUMIFS('ON Call_Call Out Activities'!$L:$L,'ON Call_Call Out Activities'!$F:$F,"Workdays",'ON Call_Call Out Activities'!$B:$B,CPY!B412))*24,1)</f>
        <v>0</v>
      </c>
      <c r="Y412" s="64">
        <f>ROUNDUP((SUMIFS('ON Call_Call Out Activities'!$L:$L,'ON Call_Call Out Activities'!$F:$F,"Non_workdays",'ON Call_Call Out Activities'!$B:$B,CPY!B412)) *24,1)</f>
        <v>0</v>
      </c>
      <c r="Z412" s="63">
        <f>ROUNDUP((SUMIFS('ON Call_Call Out Activities'!$M:$M,'ON Call_Call Out Activities'!$F:$F,"Non_workdays",'ON Call_Call Out Activities'!$B:$B,CPY!B412)),1) + ROUNDUP((SUMIFS('ON Call_Call Out Activities'!$M:$M,'ON Call_Call Out Activities'!$F:$F,"Workdays",'ON Call_Call Out Activities'!$B:$B,CPY!B412)),1)</f>
        <v>0</v>
      </c>
      <c r="AA412" s="66"/>
      <c r="AB412" s="64">
        <f>ROUNDUP((SUMIFS('ON Call_Call Out Activities'!$L:$L,'ON Call_Call Out Activities'!$F:$F,"Call_Out",'ON Call_Call Out Activities'!$B:$B,CPY!B412)) *24,1)</f>
        <v>0</v>
      </c>
      <c r="AC412" s="63">
        <f>ROUNDUP((SUMIFS('ON Call_Call Out Activities'!$M:$M,'ON Call_Call Out Activities'!$F:$F,"Call_Out",'ON Call_Call Out Activities'!$B:$B,CPY!B412)),1)</f>
        <v>0</v>
      </c>
      <c r="AE412" s="65">
        <f>IF((SUMIF(Shift_allowance_Entries!$B:$B,CPY!$B412,Shift_allowance_Entries!$H:$H)) &gt; (SUMIF(Shift_allowance_Entries!$B:$B,CPY!$B412,Shift_allowance_Entries!$G:$G)),0,((SUMIF(Shift_allowance_Entries!$B:$B,CPY!$B412,Shift_allowance_Entries!$G:$G))-(SUMIF(Shift_allowance_Entries!$B:$B,CPY!$B412,Shift_allowance_Entries!$H:$H))))</f>
        <v>0</v>
      </c>
      <c r="AF412" s="63">
        <f>AE412*MD!$S$4</f>
        <v>0</v>
      </c>
    </row>
    <row r="413" spans="1:32" x14ac:dyDescent="0.25">
      <c r="A413" s="62">
        <v>411</v>
      </c>
      <c r="B413" s="62"/>
      <c r="C413" s="50" t="str">
        <f>IF(ISNA(VLOOKUP($B413,Summary!$B:$D,2,FALSE))=TRUE," ",VLOOKUP($B413,Summary!$B:$D,2,FALSE))</f>
        <v> </v>
      </c>
      <c r="D413" s="50" t="str">
        <f>IF(ISNA(VLOOKUP($B413,Summary!$B:$D,3,FALSE))=TRUE," ",VLOOKUP($B413,Summary!$B:$D,3,FALSE))</f>
        <v> </v>
      </c>
      <c r="E413" s="62"/>
      <c r="F413" s="62"/>
      <c r="G413" s="62"/>
      <c r="I413" s="63">
        <f t="shared" si="6"/>
        <v>0</v>
      </c>
      <c r="K413" s="64">
        <f>IF(E413="Support(L1_L2)",IF(NOT(ISBLANK(B413)),IF(NOT(ISBLANK(D413)),NETWORKDAYS('CPY TOC'!$F$5,'CPY TOC'!$G$5))))-L413</f>
        <v>0</v>
      </c>
      <c r="L413" s="64">
        <f>IF(E413="Support(L1_L2)",SUMIFS(Support_allowance_Entries!$G:$G,Support_allowance_Entries!$B:$B,CPY!B413),0)</f>
        <v>0</v>
      </c>
      <c r="M413" s="63" t="b">
        <f>IF($D413="D0",MD!$C$4*(K413),IF($D413="D1",MD!$C$5*(K413),IF($D413="D2",MD!$C$6*(K413),IF($D413="D3",MD!$C$7*(K413),IF($D413="D4",MD!$C$8*(K413),IF($D413="D5",MD!$C$9*(K413),IF($D413="M1",MD!$C$10*(K413),IF($D413="T1",MD!$C$11*(K413)))))))))</f>
        <v>0</v>
      </c>
      <c r="O413" s="65">
        <f>SUMIFS(Shift_allowance_Entries!$G:$G,Shift_allowance_Entries!$F:$F,"6:30AM-03:30PM",Shift_allowance_Entries!$B:$B,CPY!$B413)</f>
        <v>0</v>
      </c>
      <c r="P413" s="65">
        <f>SUMIFS(Shift_allowance_Entries!$G:$G,Shift_allowance_Entries!$F:$F,"1-9PM/2:30PM-11:30PM",Shift_allowance_Entries!$B:$B,CPY!$B413)</f>
        <v>0</v>
      </c>
      <c r="Q413" s="65">
        <f>SUMIFS(Shift_allowance_Entries!$G:$G,Shift_allowance_Entries!$F:$F,"11PM-7AM",Shift_allowance_Entries!$B:$B,CPY!$B413)</f>
        <v>0</v>
      </c>
      <c r="R413" s="63">
        <f>(CPY!O413*MD!$F$4)+(CPY!P413*MD!$F$5)+(CPY!Q413*MD!$F$6)</f>
        <v>0</v>
      </c>
      <c r="T413" s="64">
        <f>ROUNDUP((SUMIFS('OOH Activities'!$K:$K,'OOH Activities'!$F:$F,"Non_workdays",'OOH Activities'!$B:$B,CPY!B413)) *24,1)</f>
        <v>0</v>
      </c>
      <c r="U413" s="64">
        <f>ROUNDUP((SUMIFS('OOH Activities'!$K:$K,'OOH Activities'!$F:$F,"Workdays",'OOH Activities'!$B:$B,CPY!B413)) *24,1)</f>
        <v>0</v>
      </c>
      <c r="V413" s="63">
        <f>ROUNDUP((SUMIFS('OOH Activities'!$L:$L,'OOH Activities'!$B:$B,CPY!B413)),1)</f>
        <v>0</v>
      </c>
      <c r="X413" s="65">
        <f>ROUNDUP((SUMIFS('ON Call_Call Out Activities'!$L:$L,'ON Call_Call Out Activities'!$F:$F,"Workdays",'ON Call_Call Out Activities'!$B:$B,CPY!B413))*24,1)</f>
        <v>0</v>
      </c>
      <c r="Y413" s="64">
        <f>ROUNDUP((SUMIFS('ON Call_Call Out Activities'!$L:$L,'ON Call_Call Out Activities'!$F:$F,"Non_workdays",'ON Call_Call Out Activities'!$B:$B,CPY!B413)) *24,1)</f>
        <v>0</v>
      </c>
      <c r="Z413" s="63">
        <f>ROUNDUP((SUMIFS('ON Call_Call Out Activities'!$M:$M,'ON Call_Call Out Activities'!$F:$F,"Non_workdays",'ON Call_Call Out Activities'!$B:$B,CPY!B413)),1) + ROUNDUP((SUMIFS('ON Call_Call Out Activities'!$M:$M,'ON Call_Call Out Activities'!$F:$F,"Workdays",'ON Call_Call Out Activities'!$B:$B,CPY!B413)),1)</f>
        <v>0</v>
      </c>
      <c r="AA413" s="66"/>
      <c r="AB413" s="64">
        <f>ROUNDUP((SUMIFS('ON Call_Call Out Activities'!$L:$L,'ON Call_Call Out Activities'!$F:$F,"Call_Out",'ON Call_Call Out Activities'!$B:$B,CPY!B413)) *24,1)</f>
        <v>0</v>
      </c>
      <c r="AC413" s="63">
        <f>ROUNDUP((SUMIFS('ON Call_Call Out Activities'!$M:$M,'ON Call_Call Out Activities'!$F:$F,"Call_Out",'ON Call_Call Out Activities'!$B:$B,CPY!B413)),1)</f>
        <v>0</v>
      </c>
      <c r="AE413" s="65">
        <f>IF((SUMIF(Shift_allowance_Entries!$B:$B,CPY!$B413,Shift_allowance_Entries!$H:$H)) &gt; (SUMIF(Shift_allowance_Entries!$B:$B,CPY!$B413,Shift_allowance_Entries!$G:$G)),0,((SUMIF(Shift_allowance_Entries!$B:$B,CPY!$B413,Shift_allowance_Entries!$G:$G))-(SUMIF(Shift_allowance_Entries!$B:$B,CPY!$B413,Shift_allowance_Entries!$H:$H))))</f>
        <v>0</v>
      </c>
      <c r="AF413" s="63">
        <f>AE413*MD!$S$4</f>
        <v>0</v>
      </c>
    </row>
    <row r="414" spans="1:32" x14ac:dyDescent="0.25">
      <c r="A414" s="62">
        <v>412</v>
      </c>
      <c r="B414" s="62"/>
      <c r="C414" s="50" t="str">
        <f>IF(ISNA(VLOOKUP($B414,Summary!$B:$D,2,FALSE))=TRUE," ",VLOOKUP($B414,Summary!$B:$D,2,FALSE))</f>
        <v> </v>
      </c>
      <c r="D414" s="50" t="str">
        <f>IF(ISNA(VLOOKUP($B414,Summary!$B:$D,3,FALSE))=TRUE," ",VLOOKUP($B414,Summary!$B:$D,3,FALSE))</f>
        <v> </v>
      </c>
      <c r="E414" s="62"/>
      <c r="F414" s="62"/>
      <c r="G414" s="62"/>
      <c r="I414" s="63">
        <f t="shared" si="6"/>
        <v>0</v>
      </c>
      <c r="K414" s="64">
        <f>IF(E414="Support(L1_L2)",IF(NOT(ISBLANK(B414)),IF(NOT(ISBLANK(D414)),NETWORKDAYS('CPY TOC'!$F$5,'CPY TOC'!$G$5))))-L414</f>
        <v>0</v>
      </c>
      <c r="L414" s="64">
        <f>IF(E414="Support(L1_L2)",SUMIFS(Support_allowance_Entries!$G:$G,Support_allowance_Entries!$B:$B,CPY!B414),0)</f>
        <v>0</v>
      </c>
      <c r="M414" s="63" t="b">
        <f>IF($D414="D0",MD!$C$4*(K414),IF($D414="D1",MD!$C$5*(K414),IF($D414="D2",MD!$C$6*(K414),IF($D414="D3",MD!$C$7*(K414),IF($D414="D4",MD!$C$8*(K414),IF($D414="D5",MD!$C$9*(K414),IF($D414="M1",MD!$C$10*(K414),IF($D414="T1",MD!$C$11*(K414)))))))))</f>
        <v>0</v>
      </c>
      <c r="O414" s="65">
        <f>SUMIFS(Shift_allowance_Entries!$G:$G,Shift_allowance_Entries!$F:$F,"6:30AM-03:30PM",Shift_allowance_Entries!$B:$B,CPY!$B414)</f>
        <v>0</v>
      </c>
      <c r="P414" s="65">
        <f>SUMIFS(Shift_allowance_Entries!$G:$G,Shift_allowance_Entries!$F:$F,"1-9PM/2:30PM-11:30PM",Shift_allowance_Entries!$B:$B,CPY!$B414)</f>
        <v>0</v>
      </c>
      <c r="Q414" s="65">
        <f>SUMIFS(Shift_allowance_Entries!$G:$G,Shift_allowance_Entries!$F:$F,"11PM-7AM",Shift_allowance_Entries!$B:$B,CPY!$B414)</f>
        <v>0</v>
      </c>
      <c r="R414" s="63">
        <f>(CPY!O414*MD!$F$4)+(CPY!P414*MD!$F$5)+(CPY!Q414*MD!$F$6)</f>
        <v>0</v>
      </c>
      <c r="T414" s="64">
        <f>ROUNDUP((SUMIFS('OOH Activities'!$K:$K,'OOH Activities'!$F:$F,"Non_workdays",'OOH Activities'!$B:$B,CPY!B414)) *24,1)</f>
        <v>0</v>
      </c>
      <c r="U414" s="64">
        <f>ROUNDUP((SUMIFS('OOH Activities'!$K:$K,'OOH Activities'!$F:$F,"Workdays",'OOH Activities'!$B:$B,CPY!B414)) *24,1)</f>
        <v>0</v>
      </c>
      <c r="V414" s="63">
        <f>ROUNDUP((SUMIFS('OOH Activities'!$L:$L,'OOH Activities'!$B:$B,CPY!B414)),1)</f>
        <v>0</v>
      </c>
      <c r="X414" s="65">
        <f>ROUNDUP((SUMIFS('ON Call_Call Out Activities'!$L:$L,'ON Call_Call Out Activities'!$F:$F,"Workdays",'ON Call_Call Out Activities'!$B:$B,CPY!B414))*24,1)</f>
        <v>0</v>
      </c>
      <c r="Y414" s="64">
        <f>ROUNDUP((SUMIFS('ON Call_Call Out Activities'!$L:$L,'ON Call_Call Out Activities'!$F:$F,"Non_workdays",'ON Call_Call Out Activities'!$B:$B,CPY!B414)) *24,1)</f>
        <v>0</v>
      </c>
      <c r="Z414" s="63">
        <f>ROUNDUP((SUMIFS('ON Call_Call Out Activities'!$M:$M,'ON Call_Call Out Activities'!$F:$F,"Non_workdays",'ON Call_Call Out Activities'!$B:$B,CPY!B414)),1) + ROUNDUP((SUMIFS('ON Call_Call Out Activities'!$M:$M,'ON Call_Call Out Activities'!$F:$F,"Workdays",'ON Call_Call Out Activities'!$B:$B,CPY!B414)),1)</f>
        <v>0</v>
      </c>
      <c r="AA414" s="66"/>
      <c r="AB414" s="64">
        <f>ROUNDUP((SUMIFS('ON Call_Call Out Activities'!$L:$L,'ON Call_Call Out Activities'!$F:$F,"Call_Out",'ON Call_Call Out Activities'!$B:$B,CPY!B414)) *24,1)</f>
        <v>0</v>
      </c>
      <c r="AC414" s="63">
        <f>ROUNDUP((SUMIFS('ON Call_Call Out Activities'!$M:$M,'ON Call_Call Out Activities'!$F:$F,"Call_Out",'ON Call_Call Out Activities'!$B:$B,CPY!B414)),1)</f>
        <v>0</v>
      </c>
      <c r="AE414" s="65">
        <f>IF((SUMIF(Shift_allowance_Entries!$B:$B,CPY!$B414,Shift_allowance_Entries!$H:$H)) &gt; (SUMIF(Shift_allowance_Entries!$B:$B,CPY!$B414,Shift_allowance_Entries!$G:$G)),0,((SUMIF(Shift_allowance_Entries!$B:$B,CPY!$B414,Shift_allowance_Entries!$G:$G))-(SUMIF(Shift_allowance_Entries!$B:$B,CPY!$B414,Shift_allowance_Entries!$H:$H))))</f>
        <v>0</v>
      </c>
      <c r="AF414" s="63">
        <f>AE414*MD!$S$4</f>
        <v>0</v>
      </c>
    </row>
    <row r="415" spans="1:32" x14ac:dyDescent="0.25">
      <c r="A415" s="62">
        <v>413</v>
      </c>
      <c r="B415" s="62"/>
      <c r="C415" s="50" t="str">
        <f>IF(ISNA(VLOOKUP($B415,Summary!$B:$D,2,FALSE))=TRUE," ",VLOOKUP($B415,Summary!$B:$D,2,FALSE))</f>
        <v> </v>
      </c>
      <c r="D415" s="50" t="str">
        <f>IF(ISNA(VLOOKUP($B415,Summary!$B:$D,3,FALSE))=TRUE," ",VLOOKUP($B415,Summary!$B:$D,3,FALSE))</f>
        <v> </v>
      </c>
      <c r="E415" s="62"/>
      <c r="F415" s="62"/>
      <c r="G415" s="62"/>
      <c r="I415" s="63">
        <f t="shared" si="6"/>
        <v>0</v>
      </c>
      <c r="K415" s="64">
        <f>IF(E415="Support(L1_L2)",IF(NOT(ISBLANK(B415)),IF(NOT(ISBLANK(D415)),NETWORKDAYS('CPY TOC'!$F$5,'CPY TOC'!$G$5))))-L415</f>
        <v>0</v>
      </c>
      <c r="L415" s="64">
        <f>IF(E415="Support(L1_L2)",SUMIFS(Support_allowance_Entries!$G:$G,Support_allowance_Entries!$B:$B,CPY!B415),0)</f>
        <v>0</v>
      </c>
      <c r="M415" s="63" t="b">
        <f>IF($D415="D0",MD!$C$4*(K415),IF($D415="D1",MD!$C$5*(K415),IF($D415="D2",MD!$C$6*(K415),IF($D415="D3",MD!$C$7*(K415),IF($D415="D4",MD!$C$8*(K415),IF($D415="D5",MD!$C$9*(K415),IF($D415="M1",MD!$C$10*(K415),IF($D415="T1",MD!$C$11*(K415)))))))))</f>
        <v>0</v>
      </c>
      <c r="O415" s="65">
        <f>SUMIFS(Shift_allowance_Entries!$G:$G,Shift_allowance_Entries!$F:$F,"6:30AM-03:30PM",Shift_allowance_Entries!$B:$B,CPY!$B415)</f>
        <v>0</v>
      </c>
      <c r="P415" s="65">
        <f>SUMIFS(Shift_allowance_Entries!$G:$G,Shift_allowance_Entries!$F:$F,"1-9PM/2:30PM-11:30PM",Shift_allowance_Entries!$B:$B,CPY!$B415)</f>
        <v>0</v>
      </c>
      <c r="Q415" s="65">
        <f>SUMIFS(Shift_allowance_Entries!$G:$G,Shift_allowance_Entries!$F:$F,"11PM-7AM",Shift_allowance_Entries!$B:$B,CPY!$B415)</f>
        <v>0</v>
      </c>
      <c r="R415" s="63">
        <f>(CPY!O415*MD!$F$4)+(CPY!P415*MD!$F$5)+(CPY!Q415*MD!$F$6)</f>
        <v>0</v>
      </c>
      <c r="T415" s="64">
        <f>ROUNDUP((SUMIFS('OOH Activities'!$K:$K,'OOH Activities'!$F:$F,"Non_workdays",'OOH Activities'!$B:$B,CPY!B415)) *24,1)</f>
        <v>0</v>
      </c>
      <c r="U415" s="64">
        <f>ROUNDUP((SUMIFS('OOH Activities'!$K:$K,'OOH Activities'!$F:$F,"Workdays",'OOH Activities'!$B:$B,CPY!B415)) *24,1)</f>
        <v>0</v>
      </c>
      <c r="V415" s="63">
        <f>ROUNDUP((SUMIFS('OOH Activities'!$L:$L,'OOH Activities'!$B:$B,CPY!B415)),1)</f>
        <v>0</v>
      </c>
      <c r="X415" s="65">
        <f>ROUNDUP((SUMIFS('ON Call_Call Out Activities'!$L:$L,'ON Call_Call Out Activities'!$F:$F,"Workdays",'ON Call_Call Out Activities'!$B:$B,CPY!B415))*24,1)</f>
        <v>0</v>
      </c>
      <c r="Y415" s="64">
        <f>ROUNDUP((SUMIFS('ON Call_Call Out Activities'!$L:$L,'ON Call_Call Out Activities'!$F:$F,"Non_workdays",'ON Call_Call Out Activities'!$B:$B,CPY!B415)) *24,1)</f>
        <v>0</v>
      </c>
      <c r="Z415" s="63">
        <f>ROUNDUP((SUMIFS('ON Call_Call Out Activities'!$M:$M,'ON Call_Call Out Activities'!$F:$F,"Non_workdays",'ON Call_Call Out Activities'!$B:$B,CPY!B415)),1) + ROUNDUP((SUMIFS('ON Call_Call Out Activities'!$M:$M,'ON Call_Call Out Activities'!$F:$F,"Workdays",'ON Call_Call Out Activities'!$B:$B,CPY!B415)),1)</f>
        <v>0</v>
      </c>
      <c r="AA415" s="66"/>
      <c r="AB415" s="64">
        <f>ROUNDUP((SUMIFS('ON Call_Call Out Activities'!$L:$L,'ON Call_Call Out Activities'!$F:$F,"Call_Out",'ON Call_Call Out Activities'!$B:$B,CPY!B415)) *24,1)</f>
        <v>0</v>
      </c>
      <c r="AC415" s="63">
        <f>ROUNDUP((SUMIFS('ON Call_Call Out Activities'!$M:$M,'ON Call_Call Out Activities'!$F:$F,"Call_Out",'ON Call_Call Out Activities'!$B:$B,CPY!B415)),1)</f>
        <v>0</v>
      </c>
      <c r="AE415" s="65">
        <f>IF((SUMIF(Shift_allowance_Entries!$B:$B,CPY!$B415,Shift_allowance_Entries!$H:$H)) &gt; (SUMIF(Shift_allowance_Entries!$B:$B,CPY!$B415,Shift_allowance_Entries!$G:$G)),0,((SUMIF(Shift_allowance_Entries!$B:$B,CPY!$B415,Shift_allowance_Entries!$G:$G))-(SUMIF(Shift_allowance_Entries!$B:$B,CPY!$B415,Shift_allowance_Entries!$H:$H))))</f>
        <v>0</v>
      </c>
      <c r="AF415" s="63">
        <f>AE415*MD!$S$4</f>
        <v>0</v>
      </c>
    </row>
    <row r="416" spans="1:32" x14ac:dyDescent="0.25">
      <c r="A416" s="62">
        <v>414</v>
      </c>
      <c r="B416" s="62"/>
      <c r="C416" s="50" t="str">
        <f>IF(ISNA(VLOOKUP($B416,Summary!$B:$D,2,FALSE))=TRUE," ",VLOOKUP($B416,Summary!$B:$D,2,FALSE))</f>
        <v> </v>
      </c>
      <c r="D416" s="50" t="str">
        <f>IF(ISNA(VLOOKUP($B416,Summary!$B:$D,3,FALSE))=TRUE," ",VLOOKUP($B416,Summary!$B:$D,3,FALSE))</f>
        <v> </v>
      </c>
      <c r="E416" s="62"/>
      <c r="F416" s="62"/>
      <c r="G416" s="62"/>
      <c r="I416" s="63">
        <f t="shared" si="6"/>
        <v>0</v>
      </c>
      <c r="K416" s="64">
        <f>IF(E416="Support(L1_L2)",IF(NOT(ISBLANK(B416)),IF(NOT(ISBLANK(D416)),NETWORKDAYS('CPY TOC'!$F$5,'CPY TOC'!$G$5))))-L416</f>
        <v>0</v>
      </c>
      <c r="L416" s="64">
        <f>IF(E416="Support(L1_L2)",SUMIFS(Support_allowance_Entries!$G:$G,Support_allowance_Entries!$B:$B,CPY!B416),0)</f>
        <v>0</v>
      </c>
      <c r="M416" s="63" t="b">
        <f>IF($D416="D0",MD!$C$4*(K416),IF($D416="D1",MD!$C$5*(K416),IF($D416="D2",MD!$C$6*(K416),IF($D416="D3",MD!$C$7*(K416),IF($D416="D4",MD!$C$8*(K416),IF($D416="D5",MD!$C$9*(K416),IF($D416="M1",MD!$C$10*(K416),IF($D416="T1",MD!$C$11*(K416)))))))))</f>
        <v>0</v>
      </c>
      <c r="O416" s="65">
        <f>SUMIFS(Shift_allowance_Entries!$G:$G,Shift_allowance_Entries!$F:$F,"6:30AM-03:30PM",Shift_allowance_Entries!$B:$B,CPY!$B416)</f>
        <v>0</v>
      </c>
      <c r="P416" s="65">
        <f>SUMIFS(Shift_allowance_Entries!$G:$G,Shift_allowance_Entries!$F:$F,"1-9PM/2:30PM-11:30PM",Shift_allowance_Entries!$B:$B,CPY!$B416)</f>
        <v>0</v>
      </c>
      <c r="Q416" s="65">
        <f>SUMIFS(Shift_allowance_Entries!$G:$G,Shift_allowance_Entries!$F:$F,"11PM-7AM",Shift_allowance_Entries!$B:$B,CPY!$B416)</f>
        <v>0</v>
      </c>
      <c r="R416" s="63">
        <f>(CPY!O416*MD!$F$4)+(CPY!P416*MD!$F$5)+(CPY!Q416*MD!$F$6)</f>
        <v>0</v>
      </c>
      <c r="T416" s="64">
        <f>ROUNDUP((SUMIFS('OOH Activities'!$K:$K,'OOH Activities'!$F:$F,"Non_workdays",'OOH Activities'!$B:$B,CPY!B416)) *24,1)</f>
        <v>0</v>
      </c>
      <c r="U416" s="64">
        <f>ROUNDUP((SUMIFS('OOH Activities'!$K:$K,'OOH Activities'!$F:$F,"Workdays",'OOH Activities'!$B:$B,CPY!B416)) *24,1)</f>
        <v>0</v>
      </c>
      <c r="V416" s="63">
        <f>ROUNDUP((SUMIFS('OOH Activities'!$L:$L,'OOH Activities'!$B:$B,CPY!B416)),1)</f>
        <v>0</v>
      </c>
      <c r="X416" s="65">
        <f>ROUNDUP((SUMIFS('ON Call_Call Out Activities'!$L:$L,'ON Call_Call Out Activities'!$F:$F,"Workdays",'ON Call_Call Out Activities'!$B:$B,CPY!B416))*24,1)</f>
        <v>0</v>
      </c>
      <c r="Y416" s="64">
        <f>ROUNDUP((SUMIFS('ON Call_Call Out Activities'!$L:$L,'ON Call_Call Out Activities'!$F:$F,"Non_workdays",'ON Call_Call Out Activities'!$B:$B,CPY!B416)) *24,1)</f>
        <v>0</v>
      </c>
      <c r="Z416" s="63">
        <f>ROUNDUP((SUMIFS('ON Call_Call Out Activities'!$M:$M,'ON Call_Call Out Activities'!$F:$F,"Non_workdays",'ON Call_Call Out Activities'!$B:$B,CPY!B416)),1) + ROUNDUP((SUMIFS('ON Call_Call Out Activities'!$M:$M,'ON Call_Call Out Activities'!$F:$F,"Workdays",'ON Call_Call Out Activities'!$B:$B,CPY!B416)),1)</f>
        <v>0</v>
      </c>
      <c r="AA416" s="66"/>
      <c r="AB416" s="64">
        <f>ROUNDUP((SUMIFS('ON Call_Call Out Activities'!$L:$L,'ON Call_Call Out Activities'!$F:$F,"Call_Out",'ON Call_Call Out Activities'!$B:$B,CPY!B416)) *24,1)</f>
        <v>0</v>
      </c>
      <c r="AC416" s="63">
        <f>ROUNDUP((SUMIFS('ON Call_Call Out Activities'!$M:$M,'ON Call_Call Out Activities'!$F:$F,"Call_Out",'ON Call_Call Out Activities'!$B:$B,CPY!B416)),1)</f>
        <v>0</v>
      </c>
      <c r="AE416" s="65">
        <f>IF((SUMIF(Shift_allowance_Entries!$B:$B,CPY!$B416,Shift_allowance_Entries!$H:$H)) &gt; (SUMIF(Shift_allowance_Entries!$B:$B,CPY!$B416,Shift_allowance_Entries!$G:$G)),0,((SUMIF(Shift_allowance_Entries!$B:$B,CPY!$B416,Shift_allowance_Entries!$G:$G))-(SUMIF(Shift_allowance_Entries!$B:$B,CPY!$B416,Shift_allowance_Entries!$H:$H))))</f>
        <v>0</v>
      </c>
      <c r="AF416" s="63">
        <f>AE416*MD!$S$4</f>
        <v>0</v>
      </c>
    </row>
    <row r="417" spans="1:32" x14ac:dyDescent="0.25">
      <c r="A417" s="62">
        <v>415</v>
      </c>
      <c r="B417" s="62"/>
      <c r="C417" s="50" t="str">
        <f>IF(ISNA(VLOOKUP($B417,Summary!$B:$D,2,FALSE))=TRUE," ",VLOOKUP($B417,Summary!$B:$D,2,FALSE))</f>
        <v> </v>
      </c>
      <c r="D417" s="50" t="str">
        <f>IF(ISNA(VLOOKUP($B417,Summary!$B:$D,3,FALSE))=TRUE," ",VLOOKUP($B417,Summary!$B:$D,3,FALSE))</f>
        <v> </v>
      </c>
      <c r="E417" s="62"/>
      <c r="F417" s="62"/>
      <c r="G417" s="62"/>
      <c r="I417" s="63">
        <f t="shared" si="6"/>
        <v>0</v>
      </c>
      <c r="K417" s="64">
        <f>IF(E417="Support(L1_L2)",IF(NOT(ISBLANK(B417)),IF(NOT(ISBLANK(D417)),NETWORKDAYS('CPY TOC'!$F$5,'CPY TOC'!$G$5))))-L417</f>
        <v>0</v>
      </c>
      <c r="L417" s="64">
        <f>IF(E417="Support(L1_L2)",SUMIFS(Support_allowance_Entries!$G:$G,Support_allowance_Entries!$B:$B,CPY!B417),0)</f>
        <v>0</v>
      </c>
      <c r="M417" s="63" t="b">
        <f>IF($D417="D0",MD!$C$4*(K417),IF($D417="D1",MD!$C$5*(K417),IF($D417="D2",MD!$C$6*(K417),IF($D417="D3",MD!$C$7*(K417),IF($D417="D4",MD!$C$8*(K417),IF($D417="D5",MD!$C$9*(K417),IF($D417="M1",MD!$C$10*(K417),IF($D417="T1",MD!$C$11*(K417)))))))))</f>
        <v>0</v>
      </c>
      <c r="O417" s="65">
        <f>SUMIFS(Shift_allowance_Entries!$G:$G,Shift_allowance_Entries!$F:$F,"6:30AM-03:30PM",Shift_allowance_Entries!$B:$B,CPY!$B417)</f>
        <v>0</v>
      </c>
      <c r="P417" s="65">
        <f>SUMIFS(Shift_allowance_Entries!$G:$G,Shift_allowance_Entries!$F:$F,"1-9PM/2:30PM-11:30PM",Shift_allowance_Entries!$B:$B,CPY!$B417)</f>
        <v>0</v>
      </c>
      <c r="Q417" s="65">
        <f>SUMIFS(Shift_allowance_Entries!$G:$G,Shift_allowance_Entries!$F:$F,"11PM-7AM",Shift_allowance_Entries!$B:$B,CPY!$B417)</f>
        <v>0</v>
      </c>
      <c r="R417" s="63">
        <f>(CPY!O417*MD!$F$4)+(CPY!P417*MD!$F$5)+(CPY!Q417*MD!$F$6)</f>
        <v>0</v>
      </c>
      <c r="T417" s="64">
        <f>ROUNDUP((SUMIFS('OOH Activities'!$K:$K,'OOH Activities'!$F:$F,"Non_workdays",'OOH Activities'!$B:$B,CPY!B417)) *24,1)</f>
        <v>0</v>
      </c>
      <c r="U417" s="64">
        <f>ROUNDUP((SUMIFS('OOH Activities'!$K:$K,'OOH Activities'!$F:$F,"Workdays",'OOH Activities'!$B:$B,CPY!B417)) *24,1)</f>
        <v>0</v>
      </c>
      <c r="V417" s="63">
        <f>ROUNDUP((SUMIFS('OOH Activities'!$L:$L,'OOH Activities'!$B:$B,CPY!B417)),1)</f>
        <v>0</v>
      </c>
      <c r="X417" s="65">
        <f>ROUNDUP((SUMIFS('ON Call_Call Out Activities'!$L:$L,'ON Call_Call Out Activities'!$F:$F,"Workdays",'ON Call_Call Out Activities'!$B:$B,CPY!B417))*24,1)</f>
        <v>0</v>
      </c>
      <c r="Y417" s="64">
        <f>ROUNDUP((SUMIFS('ON Call_Call Out Activities'!$L:$L,'ON Call_Call Out Activities'!$F:$F,"Non_workdays",'ON Call_Call Out Activities'!$B:$B,CPY!B417)) *24,1)</f>
        <v>0</v>
      </c>
      <c r="Z417" s="63">
        <f>ROUNDUP((SUMIFS('ON Call_Call Out Activities'!$M:$M,'ON Call_Call Out Activities'!$F:$F,"Non_workdays",'ON Call_Call Out Activities'!$B:$B,CPY!B417)),1) + ROUNDUP((SUMIFS('ON Call_Call Out Activities'!$M:$M,'ON Call_Call Out Activities'!$F:$F,"Workdays",'ON Call_Call Out Activities'!$B:$B,CPY!B417)),1)</f>
        <v>0</v>
      </c>
      <c r="AA417" s="66"/>
      <c r="AB417" s="64">
        <f>ROUNDUP((SUMIFS('ON Call_Call Out Activities'!$L:$L,'ON Call_Call Out Activities'!$F:$F,"Call_Out",'ON Call_Call Out Activities'!$B:$B,CPY!B417)) *24,1)</f>
        <v>0</v>
      </c>
      <c r="AC417" s="63">
        <f>ROUNDUP((SUMIFS('ON Call_Call Out Activities'!$M:$M,'ON Call_Call Out Activities'!$F:$F,"Call_Out",'ON Call_Call Out Activities'!$B:$B,CPY!B417)),1)</f>
        <v>0</v>
      </c>
      <c r="AE417" s="65">
        <f>IF((SUMIF(Shift_allowance_Entries!$B:$B,CPY!$B417,Shift_allowance_Entries!$H:$H)) &gt; (SUMIF(Shift_allowance_Entries!$B:$B,CPY!$B417,Shift_allowance_Entries!$G:$G)),0,((SUMIF(Shift_allowance_Entries!$B:$B,CPY!$B417,Shift_allowance_Entries!$G:$G))-(SUMIF(Shift_allowance_Entries!$B:$B,CPY!$B417,Shift_allowance_Entries!$H:$H))))</f>
        <v>0</v>
      </c>
      <c r="AF417" s="63">
        <f>AE417*MD!$S$4</f>
        <v>0</v>
      </c>
    </row>
    <row r="418" spans="1:32" x14ac:dyDescent="0.25">
      <c r="A418" s="62">
        <v>416</v>
      </c>
      <c r="B418" s="62"/>
      <c r="C418" s="50" t="str">
        <f>IF(ISNA(VLOOKUP($B418,Summary!$B:$D,2,FALSE))=TRUE," ",VLOOKUP($B418,Summary!$B:$D,2,FALSE))</f>
        <v> </v>
      </c>
      <c r="D418" s="50" t="str">
        <f>IF(ISNA(VLOOKUP($B418,Summary!$B:$D,3,FALSE))=TRUE," ",VLOOKUP($B418,Summary!$B:$D,3,FALSE))</f>
        <v> </v>
      </c>
      <c r="E418" s="62"/>
      <c r="F418" s="62"/>
      <c r="G418" s="62"/>
      <c r="I418" s="63">
        <f t="shared" si="6"/>
        <v>0</v>
      </c>
      <c r="K418" s="64">
        <f>IF(E418="Support(L1_L2)",IF(NOT(ISBLANK(B418)),IF(NOT(ISBLANK(D418)),NETWORKDAYS('CPY TOC'!$F$5,'CPY TOC'!$G$5))))-L418</f>
        <v>0</v>
      </c>
      <c r="L418" s="64">
        <f>IF(E418="Support(L1_L2)",SUMIFS(Support_allowance_Entries!$G:$G,Support_allowance_Entries!$B:$B,CPY!B418),0)</f>
        <v>0</v>
      </c>
      <c r="M418" s="63" t="b">
        <f>IF($D418="D0",MD!$C$4*(K418),IF($D418="D1",MD!$C$5*(K418),IF($D418="D2",MD!$C$6*(K418),IF($D418="D3",MD!$C$7*(K418),IF($D418="D4",MD!$C$8*(K418),IF($D418="D5",MD!$C$9*(K418),IF($D418="M1",MD!$C$10*(K418),IF($D418="T1",MD!$C$11*(K418)))))))))</f>
        <v>0</v>
      </c>
      <c r="O418" s="65">
        <f>SUMIFS(Shift_allowance_Entries!$G:$G,Shift_allowance_Entries!$F:$F,"6:30AM-03:30PM",Shift_allowance_Entries!$B:$B,CPY!$B418)</f>
        <v>0</v>
      </c>
      <c r="P418" s="65">
        <f>SUMIFS(Shift_allowance_Entries!$G:$G,Shift_allowance_Entries!$F:$F,"1-9PM/2:30PM-11:30PM",Shift_allowance_Entries!$B:$B,CPY!$B418)</f>
        <v>0</v>
      </c>
      <c r="Q418" s="65">
        <f>SUMIFS(Shift_allowance_Entries!$G:$G,Shift_allowance_Entries!$F:$F,"11PM-7AM",Shift_allowance_Entries!$B:$B,CPY!$B418)</f>
        <v>0</v>
      </c>
      <c r="R418" s="63">
        <f>(CPY!O418*MD!$F$4)+(CPY!P418*MD!$F$5)+(CPY!Q418*MD!$F$6)</f>
        <v>0</v>
      </c>
      <c r="T418" s="64">
        <f>ROUNDUP((SUMIFS('OOH Activities'!$K:$K,'OOH Activities'!$F:$F,"Non_workdays",'OOH Activities'!$B:$B,CPY!B418)) *24,1)</f>
        <v>0</v>
      </c>
      <c r="U418" s="64">
        <f>ROUNDUP((SUMIFS('OOH Activities'!$K:$K,'OOH Activities'!$F:$F,"Workdays",'OOH Activities'!$B:$B,CPY!B418)) *24,1)</f>
        <v>0</v>
      </c>
      <c r="V418" s="63">
        <f>ROUNDUP((SUMIFS('OOH Activities'!$L:$L,'OOH Activities'!$B:$B,CPY!B418)),1)</f>
        <v>0</v>
      </c>
      <c r="X418" s="65">
        <f>ROUNDUP((SUMIFS('ON Call_Call Out Activities'!$L:$L,'ON Call_Call Out Activities'!$F:$F,"Workdays",'ON Call_Call Out Activities'!$B:$B,CPY!B418))*24,1)</f>
        <v>0</v>
      </c>
      <c r="Y418" s="64">
        <f>ROUNDUP((SUMIFS('ON Call_Call Out Activities'!$L:$L,'ON Call_Call Out Activities'!$F:$F,"Non_workdays",'ON Call_Call Out Activities'!$B:$B,CPY!B418)) *24,1)</f>
        <v>0</v>
      </c>
      <c r="Z418" s="63">
        <f>ROUNDUP((SUMIFS('ON Call_Call Out Activities'!$M:$M,'ON Call_Call Out Activities'!$F:$F,"Non_workdays",'ON Call_Call Out Activities'!$B:$B,CPY!B418)),1) + ROUNDUP((SUMIFS('ON Call_Call Out Activities'!$M:$M,'ON Call_Call Out Activities'!$F:$F,"Workdays",'ON Call_Call Out Activities'!$B:$B,CPY!B418)),1)</f>
        <v>0</v>
      </c>
      <c r="AA418" s="66"/>
      <c r="AB418" s="64">
        <f>ROUNDUP((SUMIFS('ON Call_Call Out Activities'!$L:$L,'ON Call_Call Out Activities'!$F:$F,"Call_Out",'ON Call_Call Out Activities'!$B:$B,CPY!B418)) *24,1)</f>
        <v>0</v>
      </c>
      <c r="AC418" s="63">
        <f>ROUNDUP((SUMIFS('ON Call_Call Out Activities'!$M:$M,'ON Call_Call Out Activities'!$F:$F,"Call_Out",'ON Call_Call Out Activities'!$B:$B,CPY!B418)),1)</f>
        <v>0</v>
      </c>
      <c r="AE418" s="65">
        <f>IF((SUMIF(Shift_allowance_Entries!$B:$B,CPY!$B418,Shift_allowance_Entries!$H:$H)) &gt; (SUMIF(Shift_allowance_Entries!$B:$B,CPY!$B418,Shift_allowance_Entries!$G:$G)),0,((SUMIF(Shift_allowance_Entries!$B:$B,CPY!$B418,Shift_allowance_Entries!$G:$G))-(SUMIF(Shift_allowance_Entries!$B:$B,CPY!$B418,Shift_allowance_Entries!$H:$H))))</f>
        <v>0</v>
      </c>
      <c r="AF418" s="63">
        <f>AE418*MD!$S$4</f>
        <v>0</v>
      </c>
    </row>
    <row r="419" spans="1:32" x14ac:dyDescent="0.25">
      <c r="A419" s="62">
        <v>417</v>
      </c>
      <c r="B419" s="62"/>
      <c r="C419" s="50" t="str">
        <f>IF(ISNA(VLOOKUP($B419,Summary!$B:$D,2,FALSE))=TRUE," ",VLOOKUP($B419,Summary!$B:$D,2,FALSE))</f>
        <v> </v>
      </c>
      <c r="D419" s="50" t="str">
        <f>IF(ISNA(VLOOKUP($B419,Summary!$B:$D,3,FALSE))=TRUE," ",VLOOKUP($B419,Summary!$B:$D,3,FALSE))</f>
        <v> </v>
      </c>
      <c r="E419" s="62"/>
      <c r="F419" s="62"/>
      <c r="G419" s="62"/>
      <c r="I419" s="63">
        <f t="shared" si="6"/>
        <v>0</v>
      </c>
      <c r="K419" s="64">
        <f>IF(E419="Support(L1_L2)",IF(NOT(ISBLANK(B419)),IF(NOT(ISBLANK(D419)),NETWORKDAYS('CPY TOC'!$F$5,'CPY TOC'!$G$5))))-L419</f>
        <v>0</v>
      </c>
      <c r="L419" s="64">
        <f>IF(E419="Support(L1_L2)",SUMIFS(Support_allowance_Entries!$G:$G,Support_allowance_Entries!$B:$B,CPY!B419),0)</f>
        <v>0</v>
      </c>
      <c r="M419" s="63" t="b">
        <f>IF($D419="D0",MD!$C$4*(K419),IF($D419="D1",MD!$C$5*(K419),IF($D419="D2",MD!$C$6*(K419),IF($D419="D3",MD!$C$7*(K419),IF($D419="D4",MD!$C$8*(K419),IF($D419="D5",MD!$C$9*(K419),IF($D419="M1",MD!$C$10*(K419),IF($D419="T1",MD!$C$11*(K419)))))))))</f>
        <v>0</v>
      </c>
      <c r="O419" s="65">
        <f>SUMIFS(Shift_allowance_Entries!$G:$G,Shift_allowance_Entries!$F:$F,"6:30AM-03:30PM",Shift_allowance_Entries!$B:$B,CPY!$B419)</f>
        <v>0</v>
      </c>
      <c r="P419" s="65">
        <f>SUMIFS(Shift_allowance_Entries!$G:$G,Shift_allowance_Entries!$F:$F,"1-9PM/2:30PM-11:30PM",Shift_allowance_Entries!$B:$B,CPY!$B419)</f>
        <v>0</v>
      </c>
      <c r="Q419" s="65">
        <f>SUMIFS(Shift_allowance_Entries!$G:$G,Shift_allowance_Entries!$F:$F,"11PM-7AM",Shift_allowance_Entries!$B:$B,CPY!$B419)</f>
        <v>0</v>
      </c>
      <c r="R419" s="63">
        <f>(CPY!O419*MD!$F$4)+(CPY!P419*MD!$F$5)+(CPY!Q419*MD!$F$6)</f>
        <v>0</v>
      </c>
      <c r="T419" s="64">
        <f>ROUNDUP((SUMIFS('OOH Activities'!$K:$K,'OOH Activities'!$F:$F,"Non_workdays",'OOH Activities'!$B:$B,CPY!B419)) *24,1)</f>
        <v>0</v>
      </c>
      <c r="U419" s="64">
        <f>ROUNDUP((SUMIFS('OOH Activities'!$K:$K,'OOH Activities'!$F:$F,"Workdays",'OOH Activities'!$B:$B,CPY!B419)) *24,1)</f>
        <v>0</v>
      </c>
      <c r="V419" s="63">
        <f>ROUNDUP((SUMIFS('OOH Activities'!$L:$L,'OOH Activities'!$B:$B,CPY!B419)),1)</f>
        <v>0</v>
      </c>
      <c r="X419" s="65">
        <f>ROUNDUP((SUMIFS('ON Call_Call Out Activities'!$L:$L,'ON Call_Call Out Activities'!$F:$F,"Workdays",'ON Call_Call Out Activities'!$B:$B,CPY!B419))*24,1)</f>
        <v>0</v>
      </c>
      <c r="Y419" s="64">
        <f>ROUNDUP((SUMIFS('ON Call_Call Out Activities'!$L:$L,'ON Call_Call Out Activities'!$F:$F,"Non_workdays",'ON Call_Call Out Activities'!$B:$B,CPY!B419)) *24,1)</f>
        <v>0</v>
      </c>
      <c r="Z419" s="63">
        <f>ROUNDUP((SUMIFS('ON Call_Call Out Activities'!$M:$M,'ON Call_Call Out Activities'!$F:$F,"Non_workdays",'ON Call_Call Out Activities'!$B:$B,CPY!B419)),1) + ROUNDUP((SUMIFS('ON Call_Call Out Activities'!$M:$M,'ON Call_Call Out Activities'!$F:$F,"Workdays",'ON Call_Call Out Activities'!$B:$B,CPY!B419)),1)</f>
        <v>0</v>
      </c>
      <c r="AA419" s="66"/>
      <c r="AB419" s="64">
        <f>ROUNDUP((SUMIFS('ON Call_Call Out Activities'!$L:$L,'ON Call_Call Out Activities'!$F:$F,"Call_Out",'ON Call_Call Out Activities'!$B:$B,CPY!B419)) *24,1)</f>
        <v>0</v>
      </c>
      <c r="AC419" s="63">
        <f>ROUNDUP((SUMIFS('ON Call_Call Out Activities'!$M:$M,'ON Call_Call Out Activities'!$F:$F,"Call_Out",'ON Call_Call Out Activities'!$B:$B,CPY!B419)),1)</f>
        <v>0</v>
      </c>
      <c r="AE419" s="65">
        <f>IF((SUMIF(Shift_allowance_Entries!$B:$B,CPY!$B419,Shift_allowance_Entries!$H:$H)) &gt; (SUMIF(Shift_allowance_Entries!$B:$B,CPY!$B419,Shift_allowance_Entries!$G:$G)),0,((SUMIF(Shift_allowance_Entries!$B:$B,CPY!$B419,Shift_allowance_Entries!$G:$G))-(SUMIF(Shift_allowance_Entries!$B:$B,CPY!$B419,Shift_allowance_Entries!$H:$H))))</f>
        <v>0</v>
      </c>
      <c r="AF419" s="63">
        <f>AE419*MD!$S$4</f>
        <v>0</v>
      </c>
    </row>
    <row r="420" spans="1:32" x14ac:dyDescent="0.25">
      <c r="A420" s="62">
        <v>418</v>
      </c>
      <c r="B420" s="62"/>
      <c r="C420" s="50" t="str">
        <f>IF(ISNA(VLOOKUP($B420,Summary!$B:$D,2,FALSE))=TRUE," ",VLOOKUP($B420,Summary!$B:$D,2,FALSE))</f>
        <v> </v>
      </c>
      <c r="D420" s="50" t="str">
        <f>IF(ISNA(VLOOKUP($B420,Summary!$B:$D,3,FALSE))=TRUE," ",VLOOKUP($B420,Summary!$B:$D,3,FALSE))</f>
        <v> </v>
      </c>
      <c r="E420" s="62"/>
      <c r="F420" s="62"/>
      <c r="G420" s="62"/>
      <c r="I420" s="63">
        <f t="shared" si="6"/>
        <v>0</v>
      </c>
      <c r="K420" s="64">
        <f>IF(E420="Support(L1_L2)",IF(NOT(ISBLANK(B420)),IF(NOT(ISBLANK(D420)),NETWORKDAYS('CPY TOC'!$F$5,'CPY TOC'!$G$5))))-L420</f>
        <v>0</v>
      </c>
      <c r="L420" s="64">
        <f>IF(E420="Support(L1_L2)",SUMIFS(Support_allowance_Entries!$G:$G,Support_allowance_Entries!$B:$B,CPY!B420),0)</f>
        <v>0</v>
      </c>
      <c r="M420" s="63" t="b">
        <f>IF($D420="D0",MD!$C$4*(K420),IF($D420="D1",MD!$C$5*(K420),IF($D420="D2",MD!$C$6*(K420),IF($D420="D3",MD!$C$7*(K420),IF($D420="D4",MD!$C$8*(K420),IF($D420="D5",MD!$C$9*(K420),IF($D420="M1",MD!$C$10*(K420),IF($D420="T1",MD!$C$11*(K420)))))))))</f>
        <v>0</v>
      </c>
      <c r="O420" s="65">
        <f>SUMIFS(Shift_allowance_Entries!$G:$G,Shift_allowance_Entries!$F:$F,"6:30AM-03:30PM",Shift_allowance_Entries!$B:$B,CPY!$B420)</f>
        <v>0</v>
      </c>
      <c r="P420" s="65">
        <f>SUMIFS(Shift_allowance_Entries!$G:$G,Shift_allowance_Entries!$F:$F,"1-9PM/2:30PM-11:30PM",Shift_allowance_Entries!$B:$B,CPY!$B420)</f>
        <v>0</v>
      </c>
      <c r="Q420" s="65">
        <f>SUMIFS(Shift_allowance_Entries!$G:$G,Shift_allowance_Entries!$F:$F,"11PM-7AM",Shift_allowance_Entries!$B:$B,CPY!$B420)</f>
        <v>0</v>
      </c>
      <c r="R420" s="63">
        <f>(CPY!O420*MD!$F$4)+(CPY!P420*MD!$F$5)+(CPY!Q420*MD!$F$6)</f>
        <v>0</v>
      </c>
      <c r="T420" s="64">
        <f>ROUNDUP((SUMIFS('OOH Activities'!$K:$K,'OOH Activities'!$F:$F,"Non_workdays",'OOH Activities'!$B:$B,CPY!B420)) *24,1)</f>
        <v>0</v>
      </c>
      <c r="U420" s="64">
        <f>ROUNDUP((SUMIFS('OOH Activities'!$K:$K,'OOH Activities'!$F:$F,"Workdays",'OOH Activities'!$B:$B,CPY!B420)) *24,1)</f>
        <v>0</v>
      </c>
      <c r="V420" s="63">
        <f>ROUNDUP((SUMIFS('OOH Activities'!$L:$L,'OOH Activities'!$B:$B,CPY!B420)),1)</f>
        <v>0</v>
      </c>
      <c r="X420" s="65">
        <f>ROUNDUP((SUMIFS('ON Call_Call Out Activities'!$L:$L,'ON Call_Call Out Activities'!$F:$F,"Workdays",'ON Call_Call Out Activities'!$B:$B,CPY!B420))*24,1)</f>
        <v>0</v>
      </c>
      <c r="Y420" s="64">
        <f>ROUNDUP((SUMIFS('ON Call_Call Out Activities'!$L:$L,'ON Call_Call Out Activities'!$F:$F,"Non_workdays",'ON Call_Call Out Activities'!$B:$B,CPY!B420)) *24,1)</f>
        <v>0</v>
      </c>
      <c r="Z420" s="63">
        <f>ROUNDUP((SUMIFS('ON Call_Call Out Activities'!$M:$M,'ON Call_Call Out Activities'!$F:$F,"Non_workdays",'ON Call_Call Out Activities'!$B:$B,CPY!B420)),1) + ROUNDUP((SUMIFS('ON Call_Call Out Activities'!$M:$M,'ON Call_Call Out Activities'!$F:$F,"Workdays",'ON Call_Call Out Activities'!$B:$B,CPY!B420)),1)</f>
        <v>0</v>
      </c>
      <c r="AA420" s="66"/>
      <c r="AB420" s="64">
        <f>ROUNDUP((SUMIFS('ON Call_Call Out Activities'!$L:$L,'ON Call_Call Out Activities'!$F:$F,"Call_Out",'ON Call_Call Out Activities'!$B:$B,CPY!B420)) *24,1)</f>
        <v>0</v>
      </c>
      <c r="AC420" s="63">
        <f>ROUNDUP((SUMIFS('ON Call_Call Out Activities'!$M:$M,'ON Call_Call Out Activities'!$F:$F,"Call_Out",'ON Call_Call Out Activities'!$B:$B,CPY!B420)),1)</f>
        <v>0</v>
      </c>
      <c r="AE420" s="65">
        <f>IF((SUMIF(Shift_allowance_Entries!$B:$B,CPY!$B420,Shift_allowance_Entries!$H:$H)) &gt; (SUMIF(Shift_allowance_Entries!$B:$B,CPY!$B420,Shift_allowance_Entries!$G:$G)),0,((SUMIF(Shift_allowance_Entries!$B:$B,CPY!$B420,Shift_allowance_Entries!$G:$G))-(SUMIF(Shift_allowance_Entries!$B:$B,CPY!$B420,Shift_allowance_Entries!$H:$H))))</f>
        <v>0</v>
      </c>
      <c r="AF420" s="63">
        <f>AE420*MD!$S$4</f>
        <v>0</v>
      </c>
    </row>
    <row r="421" spans="1:32" x14ac:dyDescent="0.25">
      <c r="A421" s="62">
        <v>419</v>
      </c>
      <c r="B421" s="62"/>
      <c r="C421" s="50" t="str">
        <f>IF(ISNA(VLOOKUP($B421,Summary!$B:$D,2,FALSE))=TRUE," ",VLOOKUP($B421,Summary!$B:$D,2,FALSE))</f>
        <v> </v>
      </c>
      <c r="D421" s="50" t="str">
        <f>IF(ISNA(VLOOKUP($B421,Summary!$B:$D,3,FALSE))=TRUE," ",VLOOKUP($B421,Summary!$B:$D,3,FALSE))</f>
        <v> </v>
      </c>
      <c r="E421" s="62"/>
      <c r="F421" s="62"/>
      <c r="G421" s="62"/>
      <c r="I421" s="63">
        <f t="shared" si="6"/>
        <v>0</v>
      </c>
      <c r="K421" s="64">
        <f>IF(E421="Support(L1_L2)",IF(NOT(ISBLANK(B421)),IF(NOT(ISBLANK(D421)),NETWORKDAYS('CPY TOC'!$F$5,'CPY TOC'!$G$5))))-L421</f>
        <v>0</v>
      </c>
      <c r="L421" s="64">
        <f>IF(E421="Support(L1_L2)",SUMIFS(Support_allowance_Entries!$G:$G,Support_allowance_Entries!$B:$B,CPY!B421),0)</f>
        <v>0</v>
      </c>
      <c r="M421" s="63" t="b">
        <f>IF($D421="D0",MD!$C$4*(K421),IF($D421="D1",MD!$C$5*(K421),IF($D421="D2",MD!$C$6*(K421),IF($D421="D3",MD!$C$7*(K421),IF($D421="D4",MD!$C$8*(K421),IF($D421="D5",MD!$C$9*(K421),IF($D421="M1",MD!$C$10*(K421),IF($D421="T1",MD!$C$11*(K421)))))))))</f>
        <v>0</v>
      </c>
      <c r="O421" s="65">
        <f>SUMIFS(Shift_allowance_Entries!$G:$G,Shift_allowance_Entries!$F:$F,"6:30AM-03:30PM",Shift_allowance_Entries!$B:$B,CPY!$B421)</f>
        <v>0</v>
      </c>
      <c r="P421" s="65">
        <f>SUMIFS(Shift_allowance_Entries!$G:$G,Shift_allowance_Entries!$F:$F,"1-9PM/2:30PM-11:30PM",Shift_allowance_Entries!$B:$B,CPY!$B421)</f>
        <v>0</v>
      </c>
      <c r="Q421" s="65">
        <f>SUMIFS(Shift_allowance_Entries!$G:$G,Shift_allowance_Entries!$F:$F,"11PM-7AM",Shift_allowance_Entries!$B:$B,CPY!$B421)</f>
        <v>0</v>
      </c>
      <c r="R421" s="63">
        <f>(CPY!O421*MD!$F$4)+(CPY!P421*MD!$F$5)+(CPY!Q421*MD!$F$6)</f>
        <v>0</v>
      </c>
      <c r="T421" s="64">
        <f>ROUNDUP((SUMIFS('OOH Activities'!$K:$K,'OOH Activities'!$F:$F,"Non_workdays",'OOH Activities'!$B:$B,CPY!B421)) *24,1)</f>
        <v>0</v>
      </c>
      <c r="U421" s="64">
        <f>ROUNDUP((SUMIFS('OOH Activities'!$K:$K,'OOH Activities'!$F:$F,"Workdays",'OOH Activities'!$B:$B,CPY!B421)) *24,1)</f>
        <v>0</v>
      </c>
      <c r="V421" s="63">
        <f>ROUNDUP((SUMIFS('OOH Activities'!$L:$L,'OOH Activities'!$B:$B,CPY!B421)),1)</f>
        <v>0</v>
      </c>
      <c r="X421" s="65">
        <f>ROUNDUP((SUMIFS('ON Call_Call Out Activities'!$L:$L,'ON Call_Call Out Activities'!$F:$F,"Workdays",'ON Call_Call Out Activities'!$B:$B,CPY!B421))*24,1)</f>
        <v>0</v>
      </c>
      <c r="Y421" s="64">
        <f>ROUNDUP((SUMIFS('ON Call_Call Out Activities'!$L:$L,'ON Call_Call Out Activities'!$F:$F,"Non_workdays",'ON Call_Call Out Activities'!$B:$B,CPY!B421)) *24,1)</f>
        <v>0</v>
      </c>
      <c r="Z421" s="63">
        <f>ROUNDUP((SUMIFS('ON Call_Call Out Activities'!$M:$M,'ON Call_Call Out Activities'!$F:$F,"Non_workdays",'ON Call_Call Out Activities'!$B:$B,CPY!B421)),1) + ROUNDUP((SUMIFS('ON Call_Call Out Activities'!$M:$M,'ON Call_Call Out Activities'!$F:$F,"Workdays",'ON Call_Call Out Activities'!$B:$B,CPY!B421)),1)</f>
        <v>0</v>
      </c>
      <c r="AA421" s="66"/>
      <c r="AB421" s="64">
        <f>ROUNDUP((SUMIFS('ON Call_Call Out Activities'!$L:$L,'ON Call_Call Out Activities'!$F:$F,"Call_Out",'ON Call_Call Out Activities'!$B:$B,CPY!B421)) *24,1)</f>
        <v>0</v>
      </c>
      <c r="AC421" s="63">
        <f>ROUNDUP((SUMIFS('ON Call_Call Out Activities'!$M:$M,'ON Call_Call Out Activities'!$F:$F,"Call_Out",'ON Call_Call Out Activities'!$B:$B,CPY!B421)),1)</f>
        <v>0</v>
      </c>
      <c r="AE421" s="65">
        <f>IF((SUMIF(Shift_allowance_Entries!$B:$B,CPY!$B421,Shift_allowance_Entries!$H:$H)) &gt; (SUMIF(Shift_allowance_Entries!$B:$B,CPY!$B421,Shift_allowance_Entries!$G:$G)),0,((SUMIF(Shift_allowance_Entries!$B:$B,CPY!$B421,Shift_allowance_Entries!$G:$G))-(SUMIF(Shift_allowance_Entries!$B:$B,CPY!$B421,Shift_allowance_Entries!$H:$H))))</f>
        <v>0</v>
      </c>
      <c r="AF421" s="63">
        <f>AE421*MD!$S$4</f>
        <v>0</v>
      </c>
    </row>
    <row r="422" spans="1:32" x14ac:dyDescent="0.25">
      <c r="A422" s="62">
        <v>420</v>
      </c>
      <c r="B422" s="62"/>
      <c r="C422" s="50" t="str">
        <f>IF(ISNA(VLOOKUP($B422,Summary!$B:$D,2,FALSE))=TRUE," ",VLOOKUP($B422,Summary!$B:$D,2,FALSE))</f>
        <v> </v>
      </c>
      <c r="D422" s="50" t="str">
        <f>IF(ISNA(VLOOKUP($B422,Summary!$B:$D,3,FALSE))=TRUE," ",VLOOKUP($B422,Summary!$B:$D,3,FALSE))</f>
        <v> </v>
      </c>
      <c r="E422" s="62"/>
      <c r="F422" s="62"/>
      <c r="G422" s="62"/>
      <c r="I422" s="63">
        <f t="shared" si="6"/>
        <v>0</v>
      </c>
      <c r="K422" s="64">
        <f>IF(E422="Support(L1_L2)",IF(NOT(ISBLANK(B422)),IF(NOT(ISBLANK(D422)),NETWORKDAYS('CPY TOC'!$F$5,'CPY TOC'!$G$5))))-L422</f>
        <v>0</v>
      </c>
      <c r="L422" s="64">
        <f>IF(E422="Support(L1_L2)",SUMIFS(Support_allowance_Entries!$G:$G,Support_allowance_Entries!$B:$B,CPY!B422),0)</f>
        <v>0</v>
      </c>
      <c r="M422" s="63" t="b">
        <f>IF($D422="D0",MD!$C$4*(K422),IF($D422="D1",MD!$C$5*(K422),IF($D422="D2",MD!$C$6*(K422),IF($D422="D3",MD!$C$7*(K422),IF($D422="D4",MD!$C$8*(K422),IF($D422="D5",MD!$C$9*(K422),IF($D422="M1",MD!$C$10*(K422),IF($D422="T1",MD!$C$11*(K422)))))))))</f>
        <v>0</v>
      </c>
      <c r="O422" s="65">
        <f>SUMIFS(Shift_allowance_Entries!$G:$G,Shift_allowance_Entries!$F:$F,"6:30AM-03:30PM",Shift_allowance_Entries!$B:$B,CPY!$B422)</f>
        <v>0</v>
      </c>
      <c r="P422" s="65">
        <f>SUMIFS(Shift_allowance_Entries!$G:$G,Shift_allowance_Entries!$F:$F,"1-9PM/2:30PM-11:30PM",Shift_allowance_Entries!$B:$B,CPY!$B422)</f>
        <v>0</v>
      </c>
      <c r="Q422" s="65">
        <f>SUMIFS(Shift_allowance_Entries!$G:$G,Shift_allowance_Entries!$F:$F,"11PM-7AM",Shift_allowance_Entries!$B:$B,CPY!$B422)</f>
        <v>0</v>
      </c>
      <c r="R422" s="63">
        <f>(CPY!O422*MD!$F$4)+(CPY!P422*MD!$F$5)+(CPY!Q422*MD!$F$6)</f>
        <v>0</v>
      </c>
      <c r="T422" s="64">
        <f>ROUNDUP((SUMIFS('OOH Activities'!$K:$K,'OOH Activities'!$F:$F,"Non_workdays",'OOH Activities'!$B:$B,CPY!B422)) *24,1)</f>
        <v>0</v>
      </c>
      <c r="U422" s="64">
        <f>ROUNDUP((SUMIFS('OOH Activities'!$K:$K,'OOH Activities'!$F:$F,"Workdays",'OOH Activities'!$B:$B,CPY!B422)) *24,1)</f>
        <v>0</v>
      </c>
      <c r="V422" s="63">
        <f>ROUNDUP((SUMIFS('OOH Activities'!$L:$L,'OOH Activities'!$B:$B,CPY!B422)),1)</f>
        <v>0</v>
      </c>
      <c r="X422" s="65">
        <f>ROUNDUP((SUMIFS('ON Call_Call Out Activities'!$L:$L,'ON Call_Call Out Activities'!$F:$F,"Workdays",'ON Call_Call Out Activities'!$B:$B,CPY!B422))*24,1)</f>
        <v>0</v>
      </c>
      <c r="Y422" s="64">
        <f>ROUNDUP((SUMIFS('ON Call_Call Out Activities'!$L:$L,'ON Call_Call Out Activities'!$F:$F,"Non_workdays",'ON Call_Call Out Activities'!$B:$B,CPY!B422)) *24,1)</f>
        <v>0</v>
      </c>
      <c r="Z422" s="63">
        <f>ROUNDUP((SUMIFS('ON Call_Call Out Activities'!$M:$M,'ON Call_Call Out Activities'!$F:$F,"Non_workdays",'ON Call_Call Out Activities'!$B:$B,CPY!B422)),1) + ROUNDUP((SUMIFS('ON Call_Call Out Activities'!$M:$M,'ON Call_Call Out Activities'!$F:$F,"Workdays",'ON Call_Call Out Activities'!$B:$B,CPY!B422)),1)</f>
        <v>0</v>
      </c>
      <c r="AA422" s="66"/>
      <c r="AB422" s="64">
        <f>ROUNDUP((SUMIFS('ON Call_Call Out Activities'!$L:$L,'ON Call_Call Out Activities'!$F:$F,"Call_Out",'ON Call_Call Out Activities'!$B:$B,CPY!B422)) *24,1)</f>
        <v>0</v>
      </c>
      <c r="AC422" s="63">
        <f>ROUNDUP((SUMIFS('ON Call_Call Out Activities'!$M:$M,'ON Call_Call Out Activities'!$F:$F,"Call_Out",'ON Call_Call Out Activities'!$B:$B,CPY!B422)),1)</f>
        <v>0</v>
      </c>
      <c r="AE422" s="65">
        <f>IF((SUMIF(Shift_allowance_Entries!$B:$B,CPY!$B422,Shift_allowance_Entries!$H:$H)) &gt; (SUMIF(Shift_allowance_Entries!$B:$B,CPY!$B422,Shift_allowance_Entries!$G:$G)),0,((SUMIF(Shift_allowance_Entries!$B:$B,CPY!$B422,Shift_allowance_Entries!$G:$G))-(SUMIF(Shift_allowance_Entries!$B:$B,CPY!$B422,Shift_allowance_Entries!$H:$H))))</f>
        <v>0</v>
      </c>
      <c r="AF422" s="63">
        <f>AE422*MD!$S$4</f>
        <v>0</v>
      </c>
    </row>
    <row r="423" spans="1:32" x14ac:dyDescent="0.25">
      <c r="A423" s="62">
        <v>421</v>
      </c>
      <c r="B423" s="62"/>
      <c r="C423" s="50" t="str">
        <f>IF(ISNA(VLOOKUP($B423,Summary!$B:$D,2,FALSE))=TRUE," ",VLOOKUP($B423,Summary!$B:$D,2,FALSE))</f>
        <v> </v>
      </c>
      <c r="D423" s="50" t="str">
        <f>IF(ISNA(VLOOKUP($B423,Summary!$B:$D,3,FALSE))=TRUE," ",VLOOKUP($B423,Summary!$B:$D,3,FALSE))</f>
        <v> </v>
      </c>
      <c r="E423" s="62"/>
      <c r="F423" s="62"/>
      <c r="G423" s="62"/>
      <c r="I423" s="63">
        <f t="shared" si="6"/>
        <v>0</v>
      </c>
      <c r="K423" s="64">
        <f>IF(E423="Support(L1_L2)",IF(NOT(ISBLANK(B423)),IF(NOT(ISBLANK(D423)),NETWORKDAYS('CPY TOC'!$F$5,'CPY TOC'!$G$5))))-L423</f>
        <v>0</v>
      </c>
      <c r="L423" s="64">
        <f>IF(E423="Support(L1_L2)",SUMIFS(Support_allowance_Entries!$G:$G,Support_allowance_Entries!$B:$B,CPY!B423),0)</f>
        <v>0</v>
      </c>
      <c r="M423" s="63" t="b">
        <f>IF($D423="D0",MD!$C$4*(K423),IF($D423="D1",MD!$C$5*(K423),IF($D423="D2",MD!$C$6*(K423),IF($D423="D3",MD!$C$7*(K423),IF($D423="D4",MD!$C$8*(K423),IF($D423="D5",MD!$C$9*(K423),IF($D423="M1",MD!$C$10*(K423),IF($D423="T1",MD!$C$11*(K423)))))))))</f>
        <v>0</v>
      </c>
      <c r="O423" s="65">
        <f>SUMIFS(Shift_allowance_Entries!$G:$G,Shift_allowance_Entries!$F:$F,"6:30AM-03:30PM",Shift_allowance_Entries!$B:$B,CPY!$B423)</f>
        <v>0</v>
      </c>
      <c r="P423" s="65">
        <f>SUMIFS(Shift_allowance_Entries!$G:$G,Shift_allowance_Entries!$F:$F,"1-9PM/2:30PM-11:30PM",Shift_allowance_Entries!$B:$B,CPY!$B423)</f>
        <v>0</v>
      </c>
      <c r="Q423" s="65">
        <f>SUMIFS(Shift_allowance_Entries!$G:$G,Shift_allowance_Entries!$F:$F,"11PM-7AM",Shift_allowance_Entries!$B:$B,CPY!$B423)</f>
        <v>0</v>
      </c>
      <c r="R423" s="63">
        <f>(CPY!O423*MD!$F$4)+(CPY!P423*MD!$F$5)+(CPY!Q423*MD!$F$6)</f>
        <v>0</v>
      </c>
      <c r="T423" s="64">
        <f>ROUNDUP((SUMIFS('OOH Activities'!$K:$K,'OOH Activities'!$F:$F,"Non_workdays",'OOH Activities'!$B:$B,CPY!B423)) *24,1)</f>
        <v>0</v>
      </c>
      <c r="U423" s="64">
        <f>ROUNDUP((SUMIFS('OOH Activities'!$K:$K,'OOH Activities'!$F:$F,"Workdays",'OOH Activities'!$B:$B,CPY!B423)) *24,1)</f>
        <v>0</v>
      </c>
      <c r="V423" s="63">
        <f>ROUNDUP((SUMIFS('OOH Activities'!$L:$L,'OOH Activities'!$B:$B,CPY!B423)),1)</f>
        <v>0</v>
      </c>
      <c r="X423" s="65">
        <f>ROUNDUP((SUMIFS('ON Call_Call Out Activities'!$L:$L,'ON Call_Call Out Activities'!$F:$F,"Workdays",'ON Call_Call Out Activities'!$B:$B,CPY!B423))*24,1)</f>
        <v>0</v>
      </c>
      <c r="Y423" s="64">
        <f>ROUNDUP((SUMIFS('ON Call_Call Out Activities'!$L:$L,'ON Call_Call Out Activities'!$F:$F,"Non_workdays",'ON Call_Call Out Activities'!$B:$B,CPY!B423)) *24,1)</f>
        <v>0</v>
      </c>
      <c r="Z423" s="63">
        <f>ROUNDUP((SUMIFS('ON Call_Call Out Activities'!$M:$M,'ON Call_Call Out Activities'!$F:$F,"Non_workdays",'ON Call_Call Out Activities'!$B:$B,CPY!B423)),1) + ROUNDUP((SUMIFS('ON Call_Call Out Activities'!$M:$M,'ON Call_Call Out Activities'!$F:$F,"Workdays",'ON Call_Call Out Activities'!$B:$B,CPY!B423)),1)</f>
        <v>0</v>
      </c>
      <c r="AA423" s="66"/>
      <c r="AB423" s="64">
        <f>ROUNDUP((SUMIFS('ON Call_Call Out Activities'!$L:$L,'ON Call_Call Out Activities'!$F:$F,"Call_Out",'ON Call_Call Out Activities'!$B:$B,CPY!B423)) *24,1)</f>
        <v>0</v>
      </c>
      <c r="AC423" s="63">
        <f>ROUNDUP((SUMIFS('ON Call_Call Out Activities'!$M:$M,'ON Call_Call Out Activities'!$F:$F,"Call_Out",'ON Call_Call Out Activities'!$B:$B,CPY!B423)),1)</f>
        <v>0</v>
      </c>
      <c r="AE423" s="65">
        <f>IF((SUMIF(Shift_allowance_Entries!$B:$B,CPY!$B423,Shift_allowance_Entries!$H:$H)) &gt; (SUMIF(Shift_allowance_Entries!$B:$B,CPY!$B423,Shift_allowance_Entries!$G:$G)),0,((SUMIF(Shift_allowance_Entries!$B:$B,CPY!$B423,Shift_allowance_Entries!$G:$G))-(SUMIF(Shift_allowance_Entries!$B:$B,CPY!$B423,Shift_allowance_Entries!$H:$H))))</f>
        <v>0</v>
      </c>
      <c r="AF423" s="63">
        <f>AE423*MD!$S$4</f>
        <v>0</v>
      </c>
    </row>
    <row r="424" spans="1:32" x14ac:dyDescent="0.25">
      <c r="A424" s="62">
        <v>422</v>
      </c>
      <c r="B424" s="62"/>
      <c r="C424" s="50" t="str">
        <f>IF(ISNA(VLOOKUP($B424,Summary!$B:$D,2,FALSE))=TRUE," ",VLOOKUP($B424,Summary!$B:$D,2,FALSE))</f>
        <v> </v>
      </c>
      <c r="D424" s="50" t="str">
        <f>IF(ISNA(VLOOKUP($B424,Summary!$B:$D,3,FALSE))=TRUE," ",VLOOKUP($B424,Summary!$B:$D,3,FALSE))</f>
        <v> </v>
      </c>
      <c r="E424" s="62"/>
      <c r="F424" s="62"/>
      <c r="G424" s="62"/>
      <c r="I424" s="63">
        <f t="shared" si="6"/>
        <v>0</v>
      </c>
      <c r="K424" s="64">
        <f>IF(E424="Support(L1_L2)",IF(NOT(ISBLANK(B424)),IF(NOT(ISBLANK(D424)),NETWORKDAYS('CPY TOC'!$F$5,'CPY TOC'!$G$5))))-L424</f>
        <v>0</v>
      </c>
      <c r="L424" s="64">
        <f>IF(E424="Support(L1_L2)",SUMIFS(Support_allowance_Entries!$G:$G,Support_allowance_Entries!$B:$B,CPY!B424),0)</f>
        <v>0</v>
      </c>
      <c r="M424" s="63" t="b">
        <f>IF($D424="D0",MD!$C$4*(K424),IF($D424="D1",MD!$C$5*(K424),IF($D424="D2",MD!$C$6*(K424),IF($D424="D3",MD!$C$7*(K424),IF($D424="D4",MD!$C$8*(K424),IF($D424="D5",MD!$C$9*(K424),IF($D424="M1",MD!$C$10*(K424),IF($D424="T1",MD!$C$11*(K424)))))))))</f>
        <v>0</v>
      </c>
      <c r="O424" s="65">
        <f>SUMIFS(Shift_allowance_Entries!$G:$G,Shift_allowance_Entries!$F:$F,"6:30AM-03:30PM",Shift_allowance_Entries!$B:$B,CPY!$B424)</f>
        <v>0</v>
      </c>
      <c r="P424" s="65">
        <f>SUMIFS(Shift_allowance_Entries!$G:$G,Shift_allowance_Entries!$F:$F,"1-9PM/2:30PM-11:30PM",Shift_allowance_Entries!$B:$B,CPY!$B424)</f>
        <v>0</v>
      </c>
      <c r="Q424" s="65">
        <f>SUMIFS(Shift_allowance_Entries!$G:$G,Shift_allowance_Entries!$F:$F,"11PM-7AM",Shift_allowance_Entries!$B:$B,CPY!$B424)</f>
        <v>0</v>
      </c>
      <c r="R424" s="63">
        <f>(CPY!O424*MD!$F$4)+(CPY!P424*MD!$F$5)+(CPY!Q424*MD!$F$6)</f>
        <v>0</v>
      </c>
      <c r="T424" s="64">
        <f>ROUNDUP((SUMIFS('OOH Activities'!$K:$K,'OOH Activities'!$F:$F,"Non_workdays",'OOH Activities'!$B:$B,CPY!B424)) *24,1)</f>
        <v>0</v>
      </c>
      <c r="U424" s="64">
        <f>ROUNDUP((SUMIFS('OOH Activities'!$K:$K,'OOH Activities'!$F:$F,"Workdays",'OOH Activities'!$B:$B,CPY!B424)) *24,1)</f>
        <v>0</v>
      </c>
      <c r="V424" s="63">
        <f>ROUNDUP((SUMIFS('OOH Activities'!$L:$L,'OOH Activities'!$B:$B,CPY!B424)),1)</f>
        <v>0</v>
      </c>
      <c r="X424" s="65">
        <f>ROUNDUP((SUMIFS('ON Call_Call Out Activities'!$L:$L,'ON Call_Call Out Activities'!$F:$F,"Workdays",'ON Call_Call Out Activities'!$B:$B,CPY!B424))*24,1)</f>
        <v>0</v>
      </c>
      <c r="Y424" s="64">
        <f>ROUNDUP((SUMIFS('ON Call_Call Out Activities'!$L:$L,'ON Call_Call Out Activities'!$F:$F,"Non_workdays",'ON Call_Call Out Activities'!$B:$B,CPY!B424)) *24,1)</f>
        <v>0</v>
      </c>
      <c r="Z424" s="63">
        <f>ROUNDUP((SUMIFS('ON Call_Call Out Activities'!$M:$M,'ON Call_Call Out Activities'!$F:$F,"Non_workdays",'ON Call_Call Out Activities'!$B:$B,CPY!B424)),1) + ROUNDUP((SUMIFS('ON Call_Call Out Activities'!$M:$M,'ON Call_Call Out Activities'!$F:$F,"Workdays",'ON Call_Call Out Activities'!$B:$B,CPY!B424)),1)</f>
        <v>0</v>
      </c>
      <c r="AA424" s="66"/>
      <c r="AB424" s="64">
        <f>ROUNDUP((SUMIFS('ON Call_Call Out Activities'!$L:$L,'ON Call_Call Out Activities'!$F:$F,"Call_Out",'ON Call_Call Out Activities'!$B:$B,CPY!B424)) *24,1)</f>
        <v>0</v>
      </c>
      <c r="AC424" s="63">
        <f>ROUNDUP((SUMIFS('ON Call_Call Out Activities'!$M:$M,'ON Call_Call Out Activities'!$F:$F,"Call_Out",'ON Call_Call Out Activities'!$B:$B,CPY!B424)),1)</f>
        <v>0</v>
      </c>
      <c r="AE424" s="65">
        <f>IF((SUMIF(Shift_allowance_Entries!$B:$B,CPY!$B424,Shift_allowance_Entries!$H:$H)) &gt; (SUMIF(Shift_allowance_Entries!$B:$B,CPY!$B424,Shift_allowance_Entries!$G:$G)),0,((SUMIF(Shift_allowance_Entries!$B:$B,CPY!$B424,Shift_allowance_Entries!$G:$G))-(SUMIF(Shift_allowance_Entries!$B:$B,CPY!$B424,Shift_allowance_Entries!$H:$H))))</f>
        <v>0</v>
      </c>
      <c r="AF424" s="63">
        <f>AE424*MD!$S$4</f>
        <v>0</v>
      </c>
    </row>
    <row r="425" spans="1:32" x14ac:dyDescent="0.25">
      <c r="A425" s="62">
        <v>423</v>
      </c>
      <c r="B425" s="62"/>
      <c r="C425" s="50" t="str">
        <f>IF(ISNA(VLOOKUP($B425,Summary!$B:$D,2,FALSE))=TRUE," ",VLOOKUP($B425,Summary!$B:$D,2,FALSE))</f>
        <v> </v>
      </c>
      <c r="D425" s="50" t="str">
        <f>IF(ISNA(VLOOKUP($B425,Summary!$B:$D,3,FALSE))=TRUE," ",VLOOKUP($B425,Summary!$B:$D,3,FALSE))</f>
        <v> </v>
      </c>
      <c r="E425" s="62"/>
      <c r="F425" s="62"/>
      <c r="G425" s="62"/>
      <c r="I425" s="63">
        <f t="shared" si="6"/>
        <v>0</v>
      </c>
      <c r="K425" s="64">
        <f>IF(E425="Support(L1_L2)",IF(NOT(ISBLANK(B425)),IF(NOT(ISBLANK(D425)),NETWORKDAYS('CPY TOC'!$F$5,'CPY TOC'!$G$5))))-L425</f>
        <v>0</v>
      </c>
      <c r="L425" s="64">
        <f>IF(E425="Support(L1_L2)",SUMIFS(Support_allowance_Entries!$G:$G,Support_allowance_Entries!$B:$B,CPY!B425),0)</f>
        <v>0</v>
      </c>
      <c r="M425" s="63" t="b">
        <f>IF($D425="D0",MD!$C$4*(K425),IF($D425="D1",MD!$C$5*(K425),IF($D425="D2",MD!$C$6*(K425),IF($D425="D3",MD!$C$7*(K425),IF($D425="D4",MD!$C$8*(K425),IF($D425="D5",MD!$C$9*(K425),IF($D425="M1",MD!$C$10*(K425),IF($D425="T1",MD!$C$11*(K425)))))))))</f>
        <v>0</v>
      </c>
      <c r="O425" s="65">
        <f>SUMIFS(Shift_allowance_Entries!$G:$G,Shift_allowance_Entries!$F:$F,"6:30AM-03:30PM",Shift_allowance_Entries!$B:$B,CPY!$B425)</f>
        <v>0</v>
      </c>
      <c r="P425" s="65">
        <f>SUMIFS(Shift_allowance_Entries!$G:$G,Shift_allowance_Entries!$F:$F,"1-9PM/2:30PM-11:30PM",Shift_allowance_Entries!$B:$B,CPY!$B425)</f>
        <v>0</v>
      </c>
      <c r="Q425" s="65">
        <f>SUMIFS(Shift_allowance_Entries!$G:$G,Shift_allowance_Entries!$F:$F,"11PM-7AM",Shift_allowance_Entries!$B:$B,CPY!$B425)</f>
        <v>0</v>
      </c>
      <c r="R425" s="63">
        <f>(CPY!O425*MD!$F$4)+(CPY!P425*MD!$F$5)+(CPY!Q425*MD!$F$6)</f>
        <v>0</v>
      </c>
      <c r="T425" s="64">
        <f>ROUNDUP((SUMIFS('OOH Activities'!$K:$K,'OOH Activities'!$F:$F,"Non_workdays",'OOH Activities'!$B:$B,CPY!B425)) *24,1)</f>
        <v>0</v>
      </c>
      <c r="U425" s="64">
        <f>ROUNDUP((SUMIFS('OOH Activities'!$K:$K,'OOH Activities'!$F:$F,"Workdays",'OOH Activities'!$B:$B,CPY!B425)) *24,1)</f>
        <v>0</v>
      </c>
      <c r="V425" s="63">
        <f>ROUNDUP((SUMIFS('OOH Activities'!$L:$L,'OOH Activities'!$B:$B,CPY!B425)),1)</f>
        <v>0</v>
      </c>
      <c r="X425" s="65">
        <f>ROUNDUP((SUMIFS('ON Call_Call Out Activities'!$L:$L,'ON Call_Call Out Activities'!$F:$F,"Workdays",'ON Call_Call Out Activities'!$B:$B,CPY!B425))*24,1)</f>
        <v>0</v>
      </c>
      <c r="Y425" s="64">
        <f>ROUNDUP((SUMIFS('ON Call_Call Out Activities'!$L:$L,'ON Call_Call Out Activities'!$F:$F,"Non_workdays",'ON Call_Call Out Activities'!$B:$B,CPY!B425)) *24,1)</f>
        <v>0</v>
      </c>
      <c r="Z425" s="63">
        <f>ROUNDUP((SUMIFS('ON Call_Call Out Activities'!$M:$M,'ON Call_Call Out Activities'!$F:$F,"Non_workdays",'ON Call_Call Out Activities'!$B:$B,CPY!B425)),1) + ROUNDUP((SUMIFS('ON Call_Call Out Activities'!$M:$M,'ON Call_Call Out Activities'!$F:$F,"Workdays",'ON Call_Call Out Activities'!$B:$B,CPY!B425)),1)</f>
        <v>0</v>
      </c>
      <c r="AA425" s="66"/>
      <c r="AB425" s="64">
        <f>ROUNDUP((SUMIFS('ON Call_Call Out Activities'!$L:$L,'ON Call_Call Out Activities'!$F:$F,"Call_Out",'ON Call_Call Out Activities'!$B:$B,CPY!B425)) *24,1)</f>
        <v>0</v>
      </c>
      <c r="AC425" s="63">
        <f>ROUNDUP((SUMIFS('ON Call_Call Out Activities'!$M:$M,'ON Call_Call Out Activities'!$F:$F,"Call_Out",'ON Call_Call Out Activities'!$B:$B,CPY!B425)),1)</f>
        <v>0</v>
      </c>
      <c r="AE425" s="65">
        <f>IF((SUMIF(Shift_allowance_Entries!$B:$B,CPY!$B425,Shift_allowance_Entries!$H:$H)) &gt; (SUMIF(Shift_allowance_Entries!$B:$B,CPY!$B425,Shift_allowance_Entries!$G:$G)),0,((SUMIF(Shift_allowance_Entries!$B:$B,CPY!$B425,Shift_allowance_Entries!$G:$G))-(SUMIF(Shift_allowance_Entries!$B:$B,CPY!$B425,Shift_allowance_Entries!$H:$H))))</f>
        <v>0</v>
      </c>
      <c r="AF425" s="63">
        <f>AE425*MD!$S$4</f>
        <v>0</v>
      </c>
    </row>
    <row r="426" spans="1:32" x14ac:dyDescent="0.25">
      <c r="A426" s="62">
        <v>424</v>
      </c>
      <c r="B426" s="62"/>
      <c r="C426" s="50" t="str">
        <f>IF(ISNA(VLOOKUP($B426,Summary!$B:$D,2,FALSE))=TRUE," ",VLOOKUP($B426,Summary!$B:$D,2,FALSE))</f>
        <v> </v>
      </c>
      <c r="D426" s="50" t="str">
        <f>IF(ISNA(VLOOKUP($B426,Summary!$B:$D,3,FALSE))=TRUE," ",VLOOKUP($B426,Summary!$B:$D,3,FALSE))</f>
        <v> </v>
      </c>
      <c r="E426" s="62"/>
      <c r="F426" s="62"/>
      <c r="G426" s="62"/>
      <c r="I426" s="63">
        <f t="shared" si="6"/>
        <v>0</v>
      </c>
      <c r="K426" s="64">
        <f>IF(E426="Support(L1_L2)",IF(NOT(ISBLANK(B426)),IF(NOT(ISBLANK(D426)),NETWORKDAYS('CPY TOC'!$F$5,'CPY TOC'!$G$5))))-L426</f>
        <v>0</v>
      </c>
      <c r="L426" s="64">
        <f>IF(E426="Support(L1_L2)",SUMIFS(Support_allowance_Entries!$G:$G,Support_allowance_Entries!$B:$B,CPY!B426),0)</f>
        <v>0</v>
      </c>
      <c r="M426" s="63" t="b">
        <f>IF($D426="D0",MD!$C$4*(K426),IF($D426="D1",MD!$C$5*(K426),IF($D426="D2",MD!$C$6*(K426),IF($D426="D3",MD!$C$7*(K426),IF($D426="D4",MD!$C$8*(K426),IF($D426="D5",MD!$C$9*(K426),IF($D426="M1",MD!$C$10*(K426),IF($D426="T1",MD!$C$11*(K426)))))))))</f>
        <v>0</v>
      </c>
      <c r="O426" s="65">
        <f>SUMIFS(Shift_allowance_Entries!$G:$G,Shift_allowance_Entries!$F:$F,"6:30AM-03:30PM",Shift_allowance_Entries!$B:$B,CPY!$B426)</f>
        <v>0</v>
      </c>
      <c r="P426" s="65">
        <f>SUMIFS(Shift_allowance_Entries!$G:$G,Shift_allowance_Entries!$F:$F,"1-9PM/2:30PM-11:30PM",Shift_allowance_Entries!$B:$B,CPY!$B426)</f>
        <v>0</v>
      </c>
      <c r="Q426" s="65">
        <f>SUMIFS(Shift_allowance_Entries!$G:$G,Shift_allowance_Entries!$F:$F,"11PM-7AM",Shift_allowance_Entries!$B:$B,CPY!$B426)</f>
        <v>0</v>
      </c>
      <c r="R426" s="63">
        <f>(CPY!O426*MD!$F$4)+(CPY!P426*MD!$F$5)+(CPY!Q426*MD!$F$6)</f>
        <v>0</v>
      </c>
      <c r="T426" s="64">
        <f>ROUNDUP((SUMIFS('OOH Activities'!$K:$K,'OOH Activities'!$F:$F,"Non_workdays",'OOH Activities'!$B:$B,CPY!B426)) *24,1)</f>
        <v>0</v>
      </c>
      <c r="U426" s="64">
        <f>ROUNDUP((SUMIFS('OOH Activities'!$K:$K,'OOH Activities'!$F:$F,"Workdays",'OOH Activities'!$B:$B,CPY!B426)) *24,1)</f>
        <v>0</v>
      </c>
      <c r="V426" s="63">
        <f>ROUNDUP((SUMIFS('OOH Activities'!$L:$L,'OOH Activities'!$B:$B,CPY!B426)),1)</f>
        <v>0</v>
      </c>
      <c r="X426" s="65">
        <f>ROUNDUP((SUMIFS('ON Call_Call Out Activities'!$L:$L,'ON Call_Call Out Activities'!$F:$F,"Workdays",'ON Call_Call Out Activities'!$B:$B,CPY!B426))*24,1)</f>
        <v>0</v>
      </c>
      <c r="Y426" s="64">
        <f>ROUNDUP((SUMIFS('ON Call_Call Out Activities'!$L:$L,'ON Call_Call Out Activities'!$F:$F,"Non_workdays",'ON Call_Call Out Activities'!$B:$B,CPY!B426)) *24,1)</f>
        <v>0</v>
      </c>
      <c r="Z426" s="63">
        <f>ROUNDUP((SUMIFS('ON Call_Call Out Activities'!$M:$M,'ON Call_Call Out Activities'!$F:$F,"Non_workdays",'ON Call_Call Out Activities'!$B:$B,CPY!B426)),1) + ROUNDUP((SUMIFS('ON Call_Call Out Activities'!$M:$M,'ON Call_Call Out Activities'!$F:$F,"Workdays",'ON Call_Call Out Activities'!$B:$B,CPY!B426)),1)</f>
        <v>0</v>
      </c>
      <c r="AA426" s="66"/>
      <c r="AB426" s="64">
        <f>ROUNDUP((SUMIFS('ON Call_Call Out Activities'!$L:$L,'ON Call_Call Out Activities'!$F:$F,"Call_Out",'ON Call_Call Out Activities'!$B:$B,CPY!B426)) *24,1)</f>
        <v>0</v>
      </c>
      <c r="AC426" s="63">
        <f>ROUNDUP((SUMIFS('ON Call_Call Out Activities'!$M:$M,'ON Call_Call Out Activities'!$F:$F,"Call_Out",'ON Call_Call Out Activities'!$B:$B,CPY!B426)),1)</f>
        <v>0</v>
      </c>
      <c r="AE426" s="65">
        <f>IF((SUMIF(Shift_allowance_Entries!$B:$B,CPY!$B426,Shift_allowance_Entries!$H:$H)) &gt; (SUMIF(Shift_allowance_Entries!$B:$B,CPY!$B426,Shift_allowance_Entries!$G:$G)),0,((SUMIF(Shift_allowance_Entries!$B:$B,CPY!$B426,Shift_allowance_Entries!$G:$G))-(SUMIF(Shift_allowance_Entries!$B:$B,CPY!$B426,Shift_allowance_Entries!$H:$H))))</f>
        <v>0</v>
      </c>
      <c r="AF426" s="63">
        <f>AE426*MD!$S$4</f>
        <v>0</v>
      </c>
    </row>
    <row r="427" spans="1:32" x14ac:dyDescent="0.25">
      <c r="A427" s="62">
        <v>425</v>
      </c>
      <c r="B427" s="62"/>
      <c r="C427" s="50" t="str">
        <f>IF(ISNA(VLOOKUP($B427,Summary!$B:$D,2,FALSE))=TRUE," ",VLOOKUP($B427,Summary!$B:$D,2,FALSE))</f>
        <v> </v>
      </c>
      <c r="D427" s="50" t="str">
        <f>IF(ISNA(VLOOKUP($B427,Summary!$B:$D,3,FALSE))=TRUE," ",VLOOKUP($B427,Summary!$B:$D,3,FALSE))</f>
        <v> </v>
      </c>
      <c r="E427" s="62"/>
      <c r="F427" s="62"/>
      <c r="G427" s="62"/>
      <c r="I427" s="63">
        <f t="shared" si="6"/>
        <v>0</v>
      </c>
      <c r="K427" s="64">
        <f>IF(E427="Support(L1_L2)",IF(NOT(ISBLANK(B427)),IF(NOT(ISBLANK(D427)),NETWORKDAYS('CPY TOC'!$F$5,'CPY TOC'!$G$5))))-L427</f>
        <v>0</v>
      </c>
      <c r="L427" s="64">
        <f>IF(E427="Support(L1_L2)",SUMIFS(Support_allowance_Entries!$G:$G,Support_allowance_Entries!$B:$B,CPY!B427),0)</f>
        <v>0</v>
      </c>
      <c r="M427" s="63" t="b">
        <f>IF($D427="D0",MD!$C$4*(K427),IF($D427="D1",MD!$C$5*(K427),IF($D427="D2",MD!$C$6*(K427),IF($D427="D3",MD!$C$7*(K427),IF($D427="D4",MD!$C$8*(K427),IF($D427="D5",MD!$C$9*(K427),IF($D427="M1",MD!$C$10*(K427),IF($D427="T1",MD!$C$11*(K427)))))))))</f>
        <v>0</v>
      </c>
      <c r="O427" s="65">
        <f>SUMIFS(Shift_allowance_Entries!$G:$G,Shift_allowance_Entries!$F:$F,"6:30AM-03:30PM",Shift_allowance_Entries!$B:$B,CPY!$B427)</f>
        <v>0</v>
      </c>
      <c r="P427" s="65">
        <f>SUMIFS(Shift_allowance_Entries!$G:$G,Shift_allowance_Entries!$F:$F,"1-9PM/2:30PM-11:30PM",Shift_allowance_Entries!$B:$B,CPY!$B427)</f>
        <v>0</v>
      </c>
      <c r="Q427" s="65">
        <f>SUMIFS(Shift_allowance_Entries!$G:$G,Shift_allowance_Entries!$F:$F,"11PM-7AM",Shift_allowance_Entries!$B:$B,CPY!$B427)</f>
        <v>0</v>
      </c>
      <c r="R427" s="63">
        <f>(CPY!O427*MD!$F$4)+(CPY!P427*MD!$F$5)+(CPY!Q427*MD!$F$6)</f>
        <v>0</v>
      </c>
      <c r="T427" s="64">
        <f>ROUNDUP((SUMIFS('OOH Activities'!$K:$K,'OOH Activities'!$F:$F,"Non_workdays",'OOH Activities'!$B:$B,CPY!B427)) *24,1)</f>
        <v>0</v>
      </c>
      <c r="U427" s="64">
        <f>ROUNDUP((SUMIFS('OOH Activities'!$K:$K,'OOH Activities'!$F:$F,"Workdays",'OOH Activities'!$B:$B,CPY!B427)) *24,1)</f>
        <v>0</v>
      </c>
      <c r="V427" s="63">
        <f>ROUNDUP((SUMIFS('OOH Activities'!$L:$L,'OOH Activities'!$B:$B,CPY!B427)),1)</f>
        <v>0</v>
      </c>
      <c r="X427" s="65">
        <f>ROUNDUP((SUMIFS('ON Call_Call Out Activities'!$L:$L,'ON Call_Call Out Activities'!$F:$F,"Workdays",'ON Call_Call Out Activities'!$B:$B,CPY!B427))*24,1)</f>
        <v>0</v>
      </c>
      <c r="Y427" s="64">
        <f>ROUNDUP((SUMIFS('ON Call_Call Out Activities'!$L:$L,'ON Call_Call Out Activities'!$F:$F,"Non_workdays",'ON Call_Call Out Activities'!$B:$B,CPY!B427)) *24,1)</f>
        <v>0</v>
      </c>
      <c r="Z427" s="63">
        <f>ROUNDUP((SUMIFS('ON Call_Call Out Activities'!$M:$M,'ON Call_Call Out Activities'!$F:$F,"Non_workdays",'ON Call_Call Out Activities'!$B:$B,CPY!B427)),1) + ROUNDUP((SUMIFS('ON Call_Call Out Activities'!$M:$M,'ON Call_Call Out Activities'!$F:$F,"Workdays",'ON Call_Call Out Activities'!$B:$B,CPY!B427)),1)</f>
        <v>0</v>
      </c>
      <c r="AA427" s="66"/>
      <c r="AB427" s="64">
        <f>ROUNDUP((SUMIFS('ON Call_Call Out Activities'!$L:$L,'ON Call_Call Out Activities'!$F:$F,"Call_Out",'ON Call_Call Out Activities'!$B:$B,CPY!B427)) *24,1)</f>
        <v>0</v>
      </c>
      <c r="AC427" s="63">
        <f>ROUNDUP((SUMIFS('ON Call_Call Out Activities'!$M:$M,'ON Call_Call Out Activities'!$F:$F,"Call_Out",'ON Call_Call Out Activities'!$B:$B,CPY!B427)),1)</f>
        <v>0</v>
      </c>
      <c r="AE427" s="65">
        <f>IF((SUMIF(Shift_allowance_Entries!$B:$B,CPY!$B427,Shift_allowance_Entries!$H:$H)) &gt; (SUMIF(Shift_allowance_Entries!$B:$B,CPY!$B427,Shift_allowance_Entries!$G:$G)),0,((SUMIF(Shift_allowance_Entries!$B:$B,CPY!$B427,Shift_allowance_Entries!$G:$G))-(SUMIF(Shift_allowance_Entries!$B:$B,CPY!$B427,Shift_allowance_Entries!$H:$H))))</f>
        <v>0</v>
      </c>
      <c r="AF427" s="63">
        <f>AE427*MD!$S$4</f>
        <v>0</v>
      </c>
    </row>
    <row r="428" spans="1:32" x14ac:dyDescent="0.25">
      <c r="A428" s="62">
        <v>426</v>
      </c>
      <c r="B428" s="62"/>
      <c r="C428" s="50" t="str">
        <f>IF(ISNA(VLOOKUP($B428,Summary!$B:$D,2,FALSE))=TRUE," ",VLOOKUP($B428,Summary!$B:$D,2,FALSE))</f>
        <v> </v>
      </c>
      <c r="D428" s="50" t="str">
        <f>IF(ISNA(VLOOKUP($B428,Summary!$B:$D,3,FALSE))=TRUE," ",VLOOKUP($B428,Summary!$B:$D,3,FALSE))</f>
        <v> </v>
      </c>
      <c r="E428" s="62"/>
      <c r="F428" s="62"/>
      <c r="G428" s="62"/>
      <c r="I428" s="63">
        <f t="shared" si="6"/>
        <v>0</v>
      </c>
      <c r="K428" s="64">
        <f>IF(E428="Support(L1_L2)",IF(NOT(ISBLANK(B428)),IF(NOT(ISBLANK(D428)),NETWORKDAYS('CPY TOC'!$F$5,'CPY TOC'!$G$5))))-L428</f>
        <v>0</v>
      </c>
      <c r="L428" s="64">
        <f>IF(E428="Support(L1_L2)",SUMIFS(Support_allowance_Entries!$G:$G,Support_allowance_Entries!$B:$B,CPY!B428),0)</f>
        <v>0</v>
      </c>
      <c r="M428" s="63" t="b">
        <f>IF($D428="D0",MD!$C$4*(K428),IF($D428="D1",MD!$C$5*(K428),IF($D428="D2",MD!$C$6*(K428),IF($D428="D3",MD!$C$7*(K428),IF($D428="D4",MD!$C$8*(K428),IF($D428="D5",MD!$C$9*(K428),IF($D428="M1",MD!$C$10*(K428),IF($D428="T1",MD!$C$11*(K428)))))))))</f>
        <v>0</v>
      </c>
      <c r="O428" s="65">
        <f>SUMIFS(Shift_allowance_Entries!$G:$G,Shift_allowance_Entries!$F:$F,"6:30AM-03:30PM",Shift_allowance_Entries!$B:$B,CPY!$B428)</f>
        <v>0</v>
      </c>
      <c r="P428" s="65">
        <f>SUMIFS(Shift_allowance_Entries!$G:$G,Shift_allowance_Entries!$F:$F,"1-9PM/2:30PM-11:30PM",Shift_allowance_Entries!$B:$B,CPY!$B428)</f>
        <v>0</v>
      </c>
      <c r="Q428" s="65">
        <f>SUMIFS(Shift_allowance_Entries!$G:$G,Shift_allowance_Entries!$F:$F,"11PM-7AM",Shift_allowance_Entries!$B:$B,CPY!$B428)</f>
        <v>0</v>
      </c>
      <c r="R428" s="63">
        <f>(CPY!O428*MD!$F$4)+(CPY!P428*MD!$F$5)+(CPY!Q428*MD!$F$6)</f>
        <v>0</v>
      </c>
      <c r="T428" s="64">
        <f>ROUNDUP((SUMIFS('OOH Activities'!$K:$K,'OOH Activities'!$F:$F,"Non_workdays",'OOH Activities'!$B:$B,CPY!B428)) *24,1)</f>
        <v>0</v>
      </c>
      <c r="U428" s="64">
        <f>ROUNDUP((SUMIFS('OOH Activities'!$K:$K,'OOH Activities'!$F:$F,"Workdays",'OOH Activities'!$B:$B,CPY!B428)) *24,1)</f>
        <v>0</v>
      </c>
      <c r="V428" s="63">
        <f>ROUNDUP((SUMIFS('OOH Activities'!$L:$L,'OOH Activities'!$B:$B,CPY!B428)),1)</f>
        <v>0</v>
      </c>
      <c r="X428" s="65">
        <f>ROUNDUP((SUMIFS('ON Call_Call Out Activities'!$L:$L,'ON Call_Call Out Activities'!$F:$F,"Workdays",'ON Call_Call Out Activities'!$B:$B,CPY!B428))*24,1)</f>
        <v>0</v>
      </c>
      <c r="Y428" s="64">
        <f>ROUNDUP((SUMIFS('ON Call_Call Out Activities'!$L:$L,'ON Call_Call Out Activities'!$F:$F,"Non_workdays",'ON Call_Call Out Activities'!$B:$B,CPY!B428)) *24,1)</f>
        <v>0</v>
      </c>
      <c r="Z428" s="63">
        <f>ROUNDUP((SUMIFS('ON Call_Call Out Activities'!$M:$M,'ON Call_Call Out Activities'!$F:$F,"Non_workdays",'ON Call_Call Out Activities'!$B:$B,CPY!B428)),1) + ROUNDUP((SUMIFS('ON Call_Call Out Activities'!$M:$M,'ON Call_Call Out Activities'!$F:$F,"Workdays",'ON Call_Call Out Activities'!$B:$B,CPY!B428)),1)</f>
        <v>0</v>
      </c>
      <c r="AA428" s="66"/>
      <c r="AB428" s="64">
        <f>ROUNDUP((SUMIFS('ON Call_Call Out Activities'!$L:$L,'ON Call_Call Out Activities'!$F:$F,"Call_Out",'ON Call_Call Out Activities'!$B:$B,CPY!B428)) *24,1)</f>
        <v>0</v>
      </c>
      <c r="AC428" s="63">
        <f>ROUNDUP((SUMIFS('ON Call_Call Out Activities'!$M:$M,'ON Call_Call Out Activities'!$F:$F,"Call_Out",'ON Call_Call Out Activities'!$B:$B,CPY!B428)),1)</f>
        <v>0</v>
      </c>
      <c r="AE428" s="65">
        <f>IF((SUMIF(Shift_allowance_Entries!$B:$B,CPY!$B428,Shift_allowance_Entries!$H:$H)) &gt; (SUMIF(Shift_allowance_Entries!$B:$B,CPY!$B428,Shift_allowance_Entries!$G:$G)),0,((SUMIF(Shift_allowance_Entries!$B:$B,CPY!$B428,Shift_allowance_Entries!$G:$G))-(SUMIF(Shift_allowance_Entries!$B:$B,CPY!$B428,Shift_allowance_Entries!$H:$H))))</f>
        <v>0</v>
      </c>
      <c r="AF428" s="63">
        <f>AE428*MD!$S$4</f>
        <v>0</v>
      </c>
    </row>
    <row r="429" spans="1:32" x14ac:dyDescent="0.25">
      <c r="A429" s="62">
        <v>427</v>
      </c>
      <c r="B429" s="62"/>
      <c r="C429" s="50" t="str">
        <f>IF(ISNA(VLOOKUP($B429,Summary!$B:$D,2,FALSE))=TRUE," ",VLOOKUP($B429,Summary!$B:$D,2,FALSE))</f>
        <v> </v>
      </c>
      <c r="D429" s="50" t="str">
        <f>IF(ISNA(VLOOKUP($B429,Summary!$B:$D,3,FALSE))=TRUE," ",VLOOKUP($B429,Summary!$B:$D,3,FALSE))</f>
        <v> </v>
      </c>
      <c r="E429" s="62"/>
      <c r="F429" s="62"/>
      <c r="G429" s="62"/>
      <c r="I429" s="63">
        <f t="shared" si="6"/>
        <v>0</v>
      </c>
      <c r="K429" s="64">
        <f>IF(E429="Support(L1_L2)",IF(NOT(ISBLANK(B429)),IF(NOT(ISBLANK(D429)),NETWORKDAYS('CPY TOC'!$F$5,'CPY TOC'!$G$5))))-L429</f>
        <v>0</v>
      </c>
      <c r="L429" s="64">
        <f>IF(E429="Support(L1_L2)",SUMIFS(Support_allowance_Entries!$G:$G,Support_allowance_Entries!$B:$B,CPY!B429),0)</f>
        <v>0</v>
      </c>
      <c r="M429" s="63" t="b">
        <f>IF($D429="D0",MD!$C$4*(K429),IF($D429="D1",MD!$C$5*(K429),IF($D429="D2",MD!$C$6*(K429),IF($D429="D3",MD!$C$7*(K429),IF($D429="D4",MD!$C$8*(K429),IF($D429="D5",MD!$C$9*(K429),IF($D429="M1",MD!$C$10*(K429),IF($D429="T1",MD!$C$11*(K429)))))))))</f>
        <v>0</v>
      </c>
      <c r="O429" s="65">
        <f>SUMIFS(Shift_allowance_Entries!$G:$G,Shift_allowance_Entries!$F:$F,"6:30AM-03:30PM",Shift_allowance_Entries!$B:$B,CPY!$B429)</f>
        <v>0</v>
      </c>
      <c r="P429" s="65">
        <f>SUMIFS(Shift_allowance_Entries!$G:$G,Shift_allowance_Entries!$F:$F,"1-9PM/2:30PM-11:30PM",Shift_allowance_Entries!$B:$B,CPY!$B429)</f>
        <v>0</v>
      </c>
      <c r="Q429" s="65">
        <f>SUMIFS(Shift_allowance_Entries!$G:$G,Shift_allowance_Entries!$F:$F,"11PM-7AM",Shift_allowance_Entries!$B:$B,CPY!$B429)</f>
        <v>0</v>
      </c>
      <c r="R429" s="63">
        <f>(CPY!O429*MD!$F$4)+(CPY!P429*MD!$F$5)+(CPY!Q429*MD!$F$6)</f>
        <v>0</v>
      </c>
      <c r="T429" s="64">
        <f>ROUNDUP((SUMIFS('OOH Activities'!$K:$K,'OOH Activities'!$F:$F,"Non_workdays",'OOH Activities'!$B:$B,CPY!B429)) *24,1)</f>
        <v>0</v>
      </c>
      <c r="U429" s="64">
        <f>ROUNDUP((SUMIFS('OOH Activities'!$K:$K,'OOH Activities'!$F:$F,"Workdays",'OOH Activities'!$B:$B,CPY!B429)) *24,1)</f>
        <v>0</v>
      </c>
      <c r="V429" s="63">
        <f>ROUNDUP((SUMIFS('OOH Activities'!$L:$L,'OOH Activities'!$B:$B,CPY!B429)),1)</f>
        <v>0</v>
      </c>
      <c r="X429" s="65">
        <f>ROUNDUP((SUMIFS('ON Call_Call Out Activities'!$L:$L,'ON Call_Call Out Activities'!$F:$F,"Workdays",'ON Call_Call Out Activities'!$B:$B,CPY!B429))*24,1)</f>
        <v>0</v>
      </c>
      <c r="Y429" s="64">
        <f>ROUNDUP((SUMIFS('ON Call_Call Out Activities'!$L:$L,'ON Call_Call Out Activities'!$F:$F,"Non_workdays",'ON Call_Call Out Activities'!$B:$B,CPY!B429)) *24,1)</f>
        <v>0</v>
      </c>
      <c r="Z429" s="63">
        <f>ROUNDUP((SUMIFS('ON Call_Call Out Activities'!$M:$M,'ON Call_Call Out Activities'!$F:$F,"Non_workdays",'ON Call_Call Out Activities'!$B:$B,CPY!B429)),1) + ROUNDUP((SUMIFS('ON Call_Call Out Activities'!$M:$M,'ON Call_Call Out Activities'!$F:$F,"Workdays",'ON Call_Call Out Activities'!$B:$B,CPY!B429)),1)</f>
        <v>0</v>
      </c>
      <c r="AA429" s="66"/>
      <c r="AB429" s="64">
        <f>ROUNDUP((SUMIFS('ON Call_Call Out Activities'!$L:$L,'ON Call_Call Out Activities'!$F:$F,"Call_Out",'ON Call_Call Out Activities'!$B:$B,CPY!B429)) *24,1)</f>
        <v>0</v>
      </c>
      <c r="AC429" s="63">
        <f>ROUNDUP((SUMIFS('ON Call_Call Out Activities'!$M:$M,'ON Call_Call Out Activities'!$F:$F,"Call_Out",'ON Call_Call Out Activities'!$B:$B,CPY!B429)),1)</f>
        <v>0</v>
      </c>
      <c r="AE429" s="65">
        <f>IF((SUMIF(Shift_allowance_Entries!$B:$B,CPY!$B429,Shift_allowance_Entries!$H:$H)) &gt; (SUMIF(Shift_allowance_Entries!$B:$B,CPY!$B429,Shift_allowance_Entries!$G:$G)),0,((SUMIF(Shift_allowance_Entries!$B:$B,CPY!$B429,Shift_allowance_Entries!$G:$G))-(SUMIF(Shift_allowance_Entries!$B:$B,CPY!$B429,Shift_allowance_Entries!$H:$H))))</f>
        <v>0</v>
      </c>
      <c r="AF429" s="63">
        <f>AE429*MD!$S$4</f>
        <v>0</v>
      </c>
    </row>
    <row r="430" spans="1:32" x14ac:dyDescent="0.25">
      <c r="A430" s="62">
        <v>428</v>
      </c>
      <c r="B430" s="62"/>
      <c r="C430" s="50" t="str">
        <f>IF(ISNA(VLOOKUP($B430,Summary!$B:$D,2,FALSE))=TRUE," ",VLOOKUP($B430,Summary!$B:$D,2,FALSE))</f>
        <v> </v>
      </c>
      <c r="D430" s="50" t="str">
        <f>IF(ISNA(VLOOKUP($B430,Summary!$B:$D,3,FALSE))=TRUE," ",VLOOKUP($B430,Summary!$B:$D,3,FALSE))</f>
        <v> </v>
      </c>
      <c r="E430" s="62"/>
      <c r="F430" s="62"/>
      <c r="G430" s="62"/>
      <c r="I430" s="63">
        <f t="shared" si="6"/>
        <v>0</v>
      </c>
      <c r="K430" s="64">
        <f>IF(E430="Support(L1_L2)",IF(NOT(ISBLANK(B430)),IF(NOT(ISBLANK(D430)),NETWORKDAYS('CPY TOC'!$F$5,'CPY TOC'!$G$5))))-L430</f>
        <v>0</v>
      </c>
      <c r="L430" s="64">
        <f>IF(E430="Support(L1_L2)",SUMIFS(Support_allowance_Entries!$G:$G,Support_allowance_Entries!$B:$B,CPY!B430),0)</f>
        <v>0</v>
      </c>
      <c r="M430" s="63" t="b">
        <f>IF($D430="D0",MD!$C$4*(K430),IF($D430="D1",MD!$C$5*(K430),IF($D430="D2",MD!$C$6*(K430),IF($D430="D3",MD!$C$7*(K430),IF($D430="D4",MD!$C$8*(K430),IF($D430="D5",MD!$C$9*(K430),IF($D430="M1",MD!$C$10*(K430),IF($D430="T1",MD!$C$11*(K430)))))))))</f>
        <v>0</v>
      </c>
      <c r="O430" s="65">
        <f>SUMIFS(Shift_allowance_Entries!$G:$G,Shift_allowance_Entries!$F:$F,"6:30AM-03:30PM",Shift_allowance_Entries!$B:$B,CPY!$B430)</f>
        <v>0</v>
      </c>
      <c r="P430" s="65">
        <f>SUMIFS(Shift_allowance_Entries!$G:$G,Shift_allowance_Entries!$F:$F,"1-9PM/2:30PM-11:30PM",Shift_allowance_Entries!$B:$B,CPY!$B430)</f>
        <v>0</v>
      </c>
      <c r="Q430" s="65">
        <f>SUMIFS(Shift_allowance_Entries!$G:$G,Shift_allowance_Entries!$F:$F,"11PM-7AM",Shift_allowance_Entries!$B:$B,CPY!$B430)</f>
        <v>0</v>
      </c>
      <c r="R430" s="63">
        <f>(CPY!O430*MD!$F$4)+(CPY!P430*MD!$F$5)+(CPY!Q430*MD!$F$6)</f>
        <v>0</v>
      </c>
      <c r="T430" s="64">
        <f>ROUNDUP((SUMIFS('OOH Activities'!$K:$K,'OOH Activities'!$F:$F,"Non_workdays",'OOH Activities'!$B:$B,CPY!B430)) *24,1)</f>
        <v>0</v>
      </c>
      <c r="U430" s="64">
        <f>ROUNDUP((SUMIFS('OOH Activities'!$K:$K,'OOH Activities'!$F:$F,"Workdays",'OOH Activities'!$B:$B,CPY!B430)) *24,1)</f>
        <v>0</v>
      </c>
      <c r="V430" s="63">
        <f>ROUNDUP((SUMIFS('OOH Activities'!$L:$L,'OOH Activities'!$B:$B,CPY!B430)),1)</f>
        <v>0</v>
      </c>
      <c r="X430" s="65">
        <f>ROUNDUP((SUMIFS('ON Call_Call Out Activities'!$L:$L,'ON Call_Call Out Activities'!$F:$F,"Workdays",'ON Call_Call Out Activities'!$B:$B,CPY!B430))*24,1)</f>
        <v>0</v>
      </c>
      <c r="Y430" s="64">
        <f>ROUNDUP((SUMIFS('ON Call_Call Out Activities'!$L:$L,'ON Call_Call Out Activities'!$F:$F,"Non_workdays",'ON Call_Call Out Activities'!$B:$B,CPY!B430)) *24,1)</f>
        <v>0</v>
      </c>
      <c r="Z430" s="63">
        <f>ROUNDUP((SUMIFS('ON Call_Call Out Activities'!$M:$M,'ON Call_Call Out Activities'!$F:$F,"Non_workdays",'ON Call_Call Out Activities'!$B:$B,CPY!B430)),1) + ROUNDUP((SUMIFS('ON Call_Call Out Activities'!$M:$M,'ON Call_Call Out Activities'!$F:$F,"Workdays",'ON Call_Call Out Activities'!$B:$B,CPY!B430)),1)</f>
        <v>0</v>
      </c>
      <c r="AA430" s="66"/>
      <c r="AB430" s="64">
        <f>ROUNDUP((SUMIFS('ON Call_Call Out Activities'!$L:$L,'ON Call_Call Out Activities'!$F:$F,"Call_Out",'ON Call_Call Out Activities'!$B:$B,CPY!B430)) *24,1)</f>
        <v>0</v>
      </c>
      <c r="AC430" s="63">
        <f>ROUNDUP((SUMIFS('ON Call_Call Out Activities'!$M:$M,'ON Call_Call Out Activities'!$F:$F,"Call_Out",'ON Call_Call Out Activities'!$B:$B,CPY!B430)),1)</f>
        <v>0</v>
      </c>
      <c r="AE430" s="65">
        <f>IF((SUMIF(Shift_allowance_Entries!$B:$B,CPY!$B430,Shift_allowance_Entries!$H:$H)) &gt; (SUMIF(Shift_allowance_Entries!$B:$B,CPY!$B430,Shift_allowance_Entries!$G:$G)),0,((SUMIF(Shift_allowance_Entries!$B:$B,CPY!$B430,Shift_allowance_Entries!$G:$G))-(SUMIF(Shift_allowance_Entries!$B:$B,CPY!$B430,Shift_allowance_Entries!$H:$H))))</f>
        <v>0</v>
      </c>
      <c r="AF430" s="63">
        <f>AE430*MD!$S$4</f>
        <v>0</v>
      </c>
    </row>
    <row r="431" spans="1:32" x14ac:dyDescent="0.25">
      <c r="A431" s="62">
        <v>429</v>
      </c>
      <c r="B431" s="62"/>
      <c r="C431" s="50" t="str">
        <f>IF(ISNA(VLOOKUP($B431,Summary!$B:$D,2,FALSE))=TRUE," ",VLOOKUP($B431,Summary!$B:$D,2,FALSE))</f>
        <v> </v>
      </c>
      <c r="D431" s="50" t="str">
        <f>IF(ISNA(VLOOKUP($B431,Summary!$B:$D,3,FALSE))=TRUE," ",VLOOKUP($B431,Summary!$B:$D,3,FALSE))</f>
        <v> </v>
      </c>
      <c r="E431" s="62"/>
      <c r="F431" s="62"/>
      <c r="G431" s="62"/>
      <c r="I431" s="63">
        <f t="shared" si="6"/>
        <v>0</v>
      </c>
      <c r="K431" s="64">
        <f>IF(E431="Support(L1_L2)",IF(NOT(ISBLANK(B431)),IF(NOT(ISBLANK(D431)),NETWORKDAYS('CPY TOC'!$F$5,'CPY TOC'!$G$5))))-L431</f>
        <v>0</v>
      </c>
      <c r="L431" s="64">
        <f>IF(E431="Support(L1_L2)",SUMIFS(Support_allowance_Entries!$G:$G,Support_allowance_Entries!$B:$B,CPY!B431),0)</f>
        <v>0</v>
      </c>
      <c r="M431" s="63" t="b">
        <f>IF($D431="D0",MD!$C$4*(K431),IF($D431="D1",MD!$C$5*(K431),IF($D431="D2",MD!$C$6*(K431),IF($D431="D3",MD!$C$7*(K431),IF($D431="D4",MD!$C$8*(K431),IF($D431="D5",MD!$C$9*(K431),IF($D431="M1",MD!$C$10*(K431),IF($D431="T1",MD!$C$11*(K431)))))))))</f>
        <v>0</v>
      </c>
      <c r="O431" s="65">
        <f>SUMIFS(Shift_allowance_Entries!$G:$G,Shift_allowance_Entries!$F:$F,"6:30AM-03:30PM",Shift_allowance_Entries!$B:$B,CPY!$B431)</f>
        <v>0</v>
      </c>
      <c r="P431" s="65">
        <f>SUMIFS(Shift_allowance_Entries!$G:$G,Shift_allowance_Entries!$F:$F,"1-9PM/2:30PM-11:30PM",Shift_allowance_Entries!$B:$B,CPY!$B431)</f>
        <v>0</v>
      </c>
      <c r="Q431" s="65">
        <f>SUMIFS(Shift_allowance_Entries!$G:$G,Shift_allowance_Entries!$F:$F,"11PM-7AM",Shift_allowance_Entries!$B:$B,CPY!$B431)</f>
        <v>0</v>
      </c>
      <c r="R431" s="63">
        <f>(CPY!O431*MD!$F$4)+(CPY!P431*MD!$F$5)+(CPY!Q431*MD!$F$6)</f>
        <v>0</v>
      </c>
      <c r="T431" s="64">
        <f>ROUNDUP((SUMIFS('OOH Activities'!$K:$K,'OOH Activities'!$F:$F,"Non_workdays",'OOH Activities'!$B:$B,CPY!B431)) *24,1)</f>
        <v>0</v>
      </c>
      <c r="U431" s="64">
        <f>ROUNDUP((SUMIFS('OOH Activities'!$K:$K,'OOH Activities'!$F:$F,"Workdays",'OOH Activities'!$B:$B,CPY!B431)) *24,1)</f>
        <v>0</v>
      </c>
      <c r="V431" s="63">
        <f>ROUNDUP((SUMIFS('OOH Activities'!$L:$L,'OOH Activities'!$B:$B,CPY!B431)),1)</f>
        <v>0</v>
      </c>
      <c r="X431" s="65">
        <f>ROUNDUP((SUMIFS('ON Call_Call Out Activities'!$L:$L,'ON Call_Call Out Activities'!$F:$F,"Workdays",'ON Call_Call Out Activities'!$B:$B,CPY!B431))*24,1)</f>
        <v>0</v>
      </c>
      <c r="Y431" s="64">
        <f>ROUNDUP((SUMIFS('ON Call_Call Out Activities'!$L:$L,'ON Call_Call Out Activities'!$F:$F,"Non_workdays",'ON Call_Call Out Activities'!$B:$B,CPY!B431)) *24,1)</f>
        <v>0</v>
      </c>
      <c r="Z431" s="63">
        <f>ROUNDUP((SUMIFS('ON Call_Call Out Activities'!$M:$M,'ON Call_Call Out Activities'!$F:$F,"Non_workdays",'ON Call_Call Out Activities'!$B:$B,CPY!B431)),1) + ROUNDUP((SUMIFS('ON Call_Call Out Activities'!$M:$M,'ON Call_Call Out Activities'!$F:$F,"Workdays",'ON Call_Call Out Activities'!$B:$B,CPY!B431)),1)</f>
        <v>0</v>
      </c>
      <c r="AA431" s="66"/>
      <c r="AB431" s="64">
        <f>ROUNDUP((SUMIFS('ON Call_Call Out Activities'!$L:$L,'ON Call_Call Out Activities'!$F:$F,"Call_Out",'ON Call_Call Out Activities'!$B:$B,CPY!B431)) *24,1)</f>
        <v>0</v>
      </c>
      <c r="AC431" s="63">
        <f>ROUNDUP((SUMIFS('ON Call_Call Out Activities'!$M:$M,'ON Call_Call Out Activities'!$F:$F,"Call_Out",'ON Call_Call Out Activities'!$B:$B,CPY!B431)),1)</f>
        <v>0</v>
      </c>
      <c r="AE431" s="65">
        <f>IF((SUMIF(Shift_allowance_Entries!$B:$B,CPY!$B431,Shift_allowance_Entries!$H:$H)) &gt; (SUMIF(Shift_allowance_Entries!$B:$B,CPY!$B431,Shift_allowance_Entries!$G:$G)),0,((SUMIF(Shift_allowance_Entries!$B:$B,CPY!$B431,Shift_allowance_Entries!$G:$G))-(SUMIF(Shift_allowance_Entries!$B:$B,CPY!$B431,Shift_allowance_Entries!$H:$H))))</f>
        <v>0</v>
      </c>
      <c r="AF431" s="63">
        <f>AE431*MD!$S$4</f>
        <v>0</v>
      </c>
    </row>
    <row r="432" spans="1:32" x14ac:dyDescent="0.25">
      <c r="A432" s="62">
        <v>430</v>
      </c>
      <c r="B432" s="62"/>
      <c r="C432" s="50" t="str">
        <f>IF(ISNA(VLOOKUP($B432,Summary!$B:$D,2,FALSE))=TRUE," ",VLOOKUP($B432,Summary!$B:$D,2,FALSE))</f>
        <v> </v>
      </c>
      <c r="D432" s="50" t="str">
        <f>IF(ISNA(VLOOKUP($B432,Summary!$B:$D,3,FALSE))=TRUE," ",VLOOKUP($B432,Summary!$B:$D,3,FALSE))</f>
        <v> </v>
      </c>
      <c r="E432" s="62"/>
      <c r="F432" s="62"/>
      <c r="G432" s="62"/>
      <c r="I432" s="63">
        <f t="shared" si="6"/>
        <v>0</v>
      </c>
      <c r="K432" s="64">
        <f>IF(E432="Support(L1_L2)",IF(NOT(ISBLANK(B432)),IF(NOT(ISBLANK(D432)),NETWORKDAYS('CPY TOC'!$F$5,'CPY TOC'!$G$5))))-L432</f>
        <v>0</v>
      </c>
      <c r="L432" s="64">
        <f>IF(E432="Support(L1_L2)",SUMIFS(Support_allowance_Entries!$G:$G,Support_allowance_Entries!$B:$B,CPY!B432),0)</f>
        <v>0</v>
      </c>
      <c r="M432" s="63" t="b">
        <f>IF($D432="D0",MD!$C$4*(K432),IF($D432="D1",MD!$C$5*(K432),IF($D432="D2",MD!$C$6*(K432),IF($D432="D3",MD!$C$7*(K432),IF($D432="D4",MD!$C$8*(K432),IF($D432="D5",MD!$C$9*(K432),IF($D432="M1",MD!$C$10*(K432),IF($D432="T1",MD!$C$11*(K432)))))))))</f>
        <v>0</v>
      </c>
      <c r="O432" s="65">
        <f>SUMIFS(Shift_allowance_Entries!$G:$G,Shift_allowance_Entries!$F:$F,"6:30AM-03:30PM",Shift_allowance_Entries!$B:$B,CPY!$B432)</f>
        <v>0</v>
      </c>
      <c r="P432" s="65">
        <f>SUMIFS(Shift_allowance_Entries!$G:$G,Shift_allowance_Entries!$F:$F,"1-9PM/2:30PM-11:30PM",Shift_allowance_Entries!$B:$B,CPY!$B432)</f>
        <v>0</v>
      </c>
      <c r="Q432" s="65">
        <f>SUMIFS(Shift_allowance_Entries!$G:$G,Shift_allowance_Entries!$F:$F,"11PM-7AM",Shift_allowance_Entries!$B:$B,CPY!$B432)</f>
        <v>0</v>
      </c>
      <c r="R432" s="63">
        <f>(CPY!O432*MD!$F$4)+(CPY!P432*MD!$F$5)+(CPY!Q432*MD!$F$6)</f>
        <v>0</v>
      </c>
      <c r="T432" s="64">
        <f>ROUNDUP((SUMIFS('OOH Activities'!$K:$K,'OOH Activities'!$F:$F,"Non_workdays",'OOH Activities'!$B:$B,CPY!B432)) *24,1)</f>
        <v>0</v>
      </c>
      <c r="U432" s="64">
        <f>ROUNDUP((SUMIFS('OOH Activities'!$K:$K,'OOH Activities'!$F:$F,"Workdays",'OOH Activities'!$B:$B,CPY!B432)) *24,1)</f>
        <v>0</v>
      </c>
      <c r="V432" s="63">
        <f>ROUNDUP((SUMIFS('OOH Activities'!$L:$L,'OOH Activities'!$B:$B,CPY!B432)),1)</f>
        <v>0</v>
      </c>
      <c r="X432" s="65">
        <f>ROUNDUP((SUMIFS('ON Call_Call Out Activities'!$L:$L,'ON Call_Call Out Activities'!$F:$F,"Workdays",'ON Call_Call Out Activities'!$B:$B,CPY!B432))*24,1)</f>
        <v>0</v>
      </c>
      <c r="Y432" s="64">
        <f>ROUNDUP((SUMIFS('ON Call_Call Out Activities'!$L:$L,'ON Call_Call Out Activities'!$F:$F,"Non_workdays",'ON Call_Call Out Activities'!$B:$B,CPY!B432)) *24,1)</f>
        <v>0</v>
      </c>
      <c r="Z432" s="63">
        <f>ROUNDUP((SUMIFS('ON Call_Call Out Activities'!$M:$M,'ON Call_Call Out Activities'!$F:$F,"Non_workdays",'ON Call_Call Out Activities'!$B:$B,CPY!B432)),1) + ROUNDUP((SUMIFS('ON Call_Call Out Activities'!$M:$M,'ON Call_Call Out Activities'!$F:$F,"Workdays",'ON Call_Call Out Activities'!$B:$B,CPY!B432)),1)</f>
        <v>0</v>
      </c>
      <c r="AA432" s="66"/>
      <c r="AB432" s="64">
        <f>ROUNDUP((SUMIFS('ON Call_Call Out Activities'!$L:$L,'ON Call_Call Out Activities'!$F:$F,"Call_Out",'ON Call_Call Out Activities'!$B:$B,CPY!B432)) *24,1)</f>
        <v>0</v>
      </c>
      <c r="AC432" s="63">
        <f>ROUNDUP((SUMIFS('ON Call_Call Out Activities'!$M:$M,'ON Call_Call Out Activities'!$F:$F,"Call_Out",'ON Call_Call Out Activities'!$B:$B,CPY!B432)),1)</f>
        <v>0</v>
      </c>
      <c r="AE432" s="65">
        <f>IF((SUMIF(Shift_allowance_Entries!$B:$B,CPY!$B432,Shift_allowance_Entries!$H:$H)) &gt; (SUMIF(Shift_allowance_Entries!$B:$B,CPY!$B432,Shift_allowance_Entries!$G:$G)),0,((SUMIF(Shift_allowance_Entries!$B:$B,CPY!$B432,Shift_allowance_Entries!$G:$G))-(SUMIF(Shift_allowance_Entries!$B:$B,CPY!$B432,Shift_allowance_Entries!$H:$H))))</f>
        <v>0</v>
      </c>
      <c r="AF432" s="63">
        <f>AE432*MD!$S$4</f>
        <v>0</v>
      </c>
    </row>
    <row r="433" spans="1:32" x14ac:dyDescent="0.25">
      <c r="A433" s="62">
        <v>431</v>
      </c>
      <c r="B433" s="62"/>
      <c r="C433" s="50" t="str">
        <f>IF(ISNA(VLOOKUP($B433,Summary!$B:$D,2,FALSE))=TRUE," ",VLOOKUP($B433,Summary!$B:$D,2,FALSE))</f>
        <v> </v>
      </c>
      <c r="D433" s="50" t="str">
        <f>IF(ISNA(VLOOKUP($B433,Summary!$B:$D,3,FALSE))=TRUE," ",VLOOKUP($B433,Summary!$B:$D,3,FALSE))</f>
        <v> </v>
      </c>
      <c r="E433" s="62"/>
      <c r="F433" s="62"/>
      <c r="G433" s="62"/>
      <c r="I433" s="63">
        <f t="shared" si="6"/>
        <v>0</v>
      </c>
      <c r="K433" s="64">
        <f>IF(E433="Support(L1_L2)",IF(NOT(ISBLANK(B433)),IF(NOT(ISBLANK(D433)),NETWORKDAYS('CPY TOC'!$F$5,'CPY TOC'!$G$5))))-L433</f>
        <v>0</v>
      </c>
      <c r="L433" s="64">
        <f>IF(E433="Support(L1_L2)",SUMIFS(Support_allowance_Entries!$G:$G,Support_allowance_Entries!$B:$B,CPY!B433),0)</f>
        <v>0</v>
      </c>
      <c r="M433" s="63" t="b">
        <f>IF($D433="D0",MD!$C$4*(K433),IF($D433="D1",MD!$C$5*(K433),IF($D433="D2",MD!$C$6*(K433),IF($D433="D3",MD!$C$7*(K433),IF($D433="D4",MD!$C$8*(K433),IF($D433="D5",MD!$C$9*(K433),IF($D433="M1",MD!$C$10*(K433),IF($D433="T1",MD!$C$11*(K433)))))))))</f>
        <v>0</v>
      </c>
      <c r="O433" s="65">
        <f>SUMIFS(Shift_allowance_Entries!$G:$G,Shift_allowance_Entries!$F:$F,"6:30AM-03:30PM",Shift_allowance_Entries!$B:$B,CPY!$B433)</f>
        <v>0</v>
      </c>
      <c r="P433" s="65">
        <f>SUMIFS(Shift_allowance_Entries!$G:$G,Shift_allowance_Entries!$F:$F,"1-9PM/2:30PM-11:30PM",Shift_allowance_Entries!$B:$B,CPY!$B433)</f>
        <v>0</v>
      </c>
      <c r="Q433" s="65">
        <f>SUMIFS(Shift_allowance_Entries!$G:$G,Shift_allowance_Entries!$F:$F,"11PM-7AM",Shift_allowance_Entries!$B:$B,CPY!$B433)</f>
        <v>0</v>
      </c>
      <c r="R433" s="63">
        <f>(CPY!O433*MD!$F$4)+(CPY!P433*MD!$F$5)+(CPY!Q433*MD!$F$6)</f>
        <v>0</v>
      </c>
      <c r="T433" s="64">
        <f>ROUNDUP((SUMIFS('OOH Activities'!$K:$K,'OOH Activities'!$F:$F,"Non_workdays",'OOH Activities'!$B:$B,CPY!B433)) *24,1)</f>
        <v>0</v>
      </c>
      <c r="U433" s="64">
        <f>ROUNDUP((SUMIFS('OOH Activities'!$K:$K,'OOH Activities'!$F:$F,"Workdays",'OOH Activities'!$B:$B,CPY!B433)) *24,1)</f>
        <v>0</v>
      </c>
      <c r="V433" s="63">
        <f>ROUNDUP((SUMIFS('OOH Activities'!$L:$L,'OOH Activities'!$B:$B,CPY!B433)),1)</f>
        <v>0</v>
      </c>
      <c r="X433" s="65">
        <f>ROUNDUP((SUMIFS('ON Call_Call Out Activities'!$L:$L,'ON Call_Call Out Activities'!$F:$F,"Workdays",'ON Call_Call Out Activities'!$B:$B,CPY!B433))*24,1)</f>
        <v>0</v>
      </c>
      <c r="Y433" s="64">
        <f>ROUNDUP((SUMIFS('ON Call_Call Out Activities'!$L:$L,'ON Call_Call Out Activities'!$F:$F,"Non_workdays",'ON Call_Call Out Activities'!$B:$B,CPY!B433)) *24,1)</f>
        <v>0</v>
      </c>
      <c r="Z433" s="63">
        <f>ROUNDUP((SUMIFS('ON Call_Call Out Activities'!$M:$M,'ON Call_Call Out Activities'!$F:$F,"Non_workdays",'ON Call_Call Out Activities'!$B:$B,CPY!B433)),1) + ROUNDUP((SUMIFS('ON Call_Call Out Activities'!$M:$M,'ON Call_Call Out Activities'!$F:$F,"Workdays",'ON Call_Call Out Activities'!$B:$B,CPY!B433)),1)</f>
        <v>0</v>
      </c>
      <c r="AA433" s="66"/>
      <c r="AB433" s="64">
        <f>ROUNDUP((SUMIFS('ON Call_Call Out Activities'!$L:$L,'ON Call_Call Out Activities'!$F:$F,"Call_Out",'ON Call_Call Out Activities'!$B:$B,CPY!B433)) *24,1)</f>
        <v>0</v>
      </c>
      <c r="AC433" s="63">
        <f>ROUNDUP((SUMIFS('ON Call_Call Out Activities'!$M:$M,'ON Call_Call Out Activities'!$F:$F,"Call_Out",'ON Call_Call Out Activities'!$B:$B,CPY!B433)),1)</f>
        <v>0</v>
      </c>
      <c r="AE433" s="65">
        <f>IF((SUMIF(Shift_allowance_Entries!$B:$B,CPY!$B433,Shift_allowance_Entries!$H:$H)) &gt; (SUMIF(Shift_allowance_Entries!$B:$B,CPY!$B433,Shift_allowance_Entries!$G:$G)),0,((SUMIF(Shift_allowance_Entries!$B:$B,CPY!$B433,Shift_allowance_Entries!$G:$G))-(SUMIF(Shift_allowance_Entries!$B:$B,CPY!$B433,Shift_allowance_Entries!$H:$H))))</f>
        <v>0</v>
      </c>
      <c r="AF433" s="63">
        <f>AE433*MD!$S$4</f>
        <v>0</v>
      </c>
    </row>
    <row r="434" spans="1:32" x14ac:dyDescent="0.25">
      <c r="A434" s="62">
        <v>432</v>
      </c>
      <c r="B434" s="62"/>
      <c r="C434" s="50" t="str">
        <f>IF(ISNA(VLOOKUP($B434,Summary!$B:$D,2,FALSE))=TRUE," ",VLOOKUP($B434,Summary!$B:$D,2,FALSE))</f>
        <v> </v>
      </c>
      <c r="D434" s="50" t="str">
        <f>IF(ISNA(VLOOKUP($B434,Summary!$B:$D,3,FALSE))=TRUE," ",VLOOKUP($B434,Summary!$B:$D,3,FALSE))</f>
        <v> </v>
      </c>
      <c r="E434" s="62"/>
      <c r="F434" s="62"/>
      <c r="G434" s="62"/>
      <c r="I434" s="63">
        <f t="shared" si="6"/>
        <v>0</v>
      </c>
      <c r="K434" s="64">
        <f>IF(E434="Support(L1_L2)",IF(NOT(ISBLANK(B434)),IF(NOT(ISBLANK(D434)),NETWORKDAYS('CPY TOC'!$F$5,'CPY TOC'!$G$5))))-L434</f>
        <v>0</v>
      </c>
      <c r="L434" s="64">
        <f>IF(E434="Support(L1_L2)",SUMIFS(Support_allowance_Entries!$G:$G,Support_allowance_Entries!$B:$B,CPY!B434),0)</f>
        <v>0</v>
      </c>
      <c r="M434" s="63" t="b">
        <f>IF($D434="D0",MD!$C$4*(K434),IF($D434="D1",MD!$C$5*(K434),IF($D434="D2",MD!$C$6*(K434),IF($D434="D3",MD!$C$7*(K434),IF($D434="D4",MD!$C$8*(K434),IF($D434="D5",MD!$C$9*(K434),IF($D434="M1",MD!$C$10*(K434),IF($D434="T1",MD!$C$11*(K434)))))))))</f>
        <v>0</v>
      </c>
      <c r="O434" s="65">
        <f>SUMIFS(Shift_allowance_Entries!$G:$G,Shift_allowance_Entries!$F:$F,"6:30AM-03:30PM",Shift_allowance_Entries!$B:$B,CPY!$B434)</f>
        <v>0</v>
      </c>
      <c r="P434" s="65">
        <f>SUMIFS(Shift_allowance_Entries!$G:$G,Shift_allowance_Entries!$F:$F,"1-9PM/2:30PM-11:30PM",Shift_allowance_Entries!$B:$B,CPY!$B434)</f>
        <v>0</v>
      </c>
      <c r="Q434" s="65">
        <f>SUMIFS(Shift_allowance_Entries!$G:$G,Shift_allowance_Entries!$F:$F,"11PM-7AM",Shift_allowance_Entries!$B:$B,CPY!$B434)</f>
        <v>0</v>
      </c>
      <c r="R434" s="63">
        <f>(CPY!O434*MD!$F$4)+(CPY!P434*MD!$F$5)+(CPY!Q434*MD!$F$6)</f>
        <v>0</v>
      </c>
      <c r="T434" s="64">
        <f>ROUNDUP((SUMIFS('OOH Activities'!$K:$K,'OOH Activities'!$F:$F,"Non_workdays",'OOH Activities'!$B:$B,CPY!B434)) *24,1)</f>
        <v>0</v>
      </c>
      <c r="U434" s="64">
        <f>ROUNDUP((SUMIFS('OOH Activities'!$K:$K,'OOH Activities'!$F:$F,"Workdays",'OOH Activities'!$B:$B,CPY!B434)) *24,1)</f>
        <v>0</v>
      </c>
      <c r="V434" s="63">
        <f>ROUNDUP((SUMIFS('OOH Activities'!$L:$L,'OOH Activities'!$B:$B,CPY!B434)),1)</f>
        <v>0</v>
      </c>
      <c r="X434" s="65">
        <f>ROUNDUP((SUMIFS('ON Call_Call Out Activities'!$L:$L,'ON Call_Call Out Activities'!$F:$F,"Workdays",'ON Call_Call Out Activities'!$B:$B,CPY!B434))*24,1)</f>
        <v>0</v>
      </c>
      <c r="Y434" s="64">
        <f>ROUNDUP((SUMIFS('ON Call_Call Out Activities'!$L:$L,'ON Call_Call Out Activities'!$F:$F,"Non_workdays",'ON Call_Call Out Activities'!$B:$B,CPY!B434)) *24,1)</f>
        <v>0</v>
      </c>
      <c r="Z434" s="63">
        <f>ROUNDUP((SUMIFS('ON Call_Call Out Activities'!$M:$M,'ON Call_Call Out Activities'!$F:$F,"Non_workdays",'ON Call_Call Out Activities'!$B:$B,CPY!B434)),1) + ROUNDUP((SUMIFS('ON Call_Call Out Activities'!$M:$M,'ON Call_Call Out Activities'!$F:$F,"Workdays",'ON Call_Call Out Activities'!$B:$B,CPY!B434)),1)</f>
        <v>0</v>
      </c>
      <c r="AA434" s="66"/>
      <c r="AB434" s="64">
        <f>ROUNDUP((SUMIFS('ON Call_Call Out Activities'!$L:$L,'ON Call_Call Out Activities'!$F:$F,"Call_Out",'ON Call_Call Out Activities'!$B:$B,CPY!B434)) *24,1)</f>
        <v>0</v>
      </c>
      <c r="AC434" s="63">
        <f>ROUNDUP((SUMIFS('ON Call_Call Out Activities'!$M:$M,'ON Call_Call Out Activities'!$F:$F,"Call_Out",'ON Call_Call Out Activities'!$B:$B,CPY!B434)),1)</f>
        <v>0</v>
      </c>
      <c r="AE434" s="65">
        <f>IF((SUMIF(Shift_allowance_Entries!$B:$B,CPY!$B434,Shift_allowance_Entries!$H:$H)) &gt; (SUMIF(Shift_allowance_Entries!$B:$B,CPY!$B434,Shift_allowance_Entries!$G:$G)),0,((SUMIF(Shift_allowance_Entries!$B:$B,CPY!$B434,Shift_allowance_Entries!$G:$G))-(SUMIF(Shift_allowance_Entries!$B:$B,CPY!$B434,Shift_allowance_Entries!$H:$H))))</f>
        <v>0</v>
      </c>
      <c r="AF434" s="63">
        <f>AE434*MD!$S$4</f>
        <v>0</v>
      </c>
    </row>
    <row r="435" spans="1:32" x14ac:dyDescent="0.25">
      <c r="A435" s="62">
        <v>433</v>
      </c>
      <c r="B435" s="62"/>
      <c r="C435" s="50" t="str">
        <f>IF(ISNA(VLOOKUP($B435,Summary!$B:$D,2,FALSE))=TRUE," ",VLOOKUP($B435,Summary!$B:$D,2,FALSE))</f>
        <v> </v>
      </c>
      <c r="D435" s="50" t="str">
        <f>IF(ISNA(VLOOKUP($B435,Summary!$B:$D,3,FALSE))=TRUE," ",VLOOKUP($B435,Summary!$B:$D,3,FALSE))</f>
        <v> </v>
      </c>
      <c r="E435" s="62"/>
      <c r="F435" s="62"/>
      <c r="G435" s="62"/>
      <c r="I435" s="63">
        <f t="shared" si="6"/>
        <v>0</v>
      </c>
      <c r="K435" s="64">
        <f>IF(E435="Support(L1_L2)",IF(NOT(ISBLANK(B435)),IF(NOT(ISBLANK(D435)),NETWORKDAYS('CPY TOC'!$F$5,'CPY TOC'!$G$5))))-L435</f>
        <v>0</v>
      </c>
      <c r="L435" s="64">
        <f>IF(E435="Support(L1_L2)",SUMIFS(Support_allowance_Entries!$G:$G,Support_allowance_Entries!$B:$B,CPY!B435),0)</f>
        <v>0</v>
      </c>
      <c r="M435" s="63" t="b">
        <f>IF($D435="D0",MD!$C$4*(K435),IF($D435="D1",MD!$C$5*(K435),IF($D435="D2",MD!$C$6*(K435),IF($D435="D3",MD!$C$7*(K435),IF($D435="D4",MD!$C$8*(K435),IF($D435="D5",MD!$C$9*(K435),IF($D435="M1",MD!$C$10*(K435),IF($D435="T1",MD!$C$11*(K435)))))))))</f>
        <v>0</v>
      </c>
      <c r="O435" s="65">
        <f>SUMIFS(Shift_allowance_Entries!$G:$G,Shift_allowance_Entries!$F:$F,"6:30AM-03:30PM",Shift_allowance_Entries!$B:$B,CPY!$B435)</f>
        <v>0</v>
      </c>
      <c r="P435" s="65">
        <f>SUMIFS(Shift_allowance_Entries!$G:$G,Shift_allowance_Entries!$F:$F,"1-9PM/2:30PM-11:30PM",Shift_allowance_Entries!$B:$B,CPY!$B435)</f>
        <v>0</v>
      </c>
      <c r="Q435" s="65">
        <f>SUMIFS(Shift_allowance_Entries!$G:$G,Shift_allowance_Entries!$F:$F,"11PM-7AM",Shift_allowance_Entries!$B:$B,CPY!$B435)</f>
        <v>0</v>
      </c>
      <c r="R435" s="63">
        <f>(CPY!O435*MD!$F$4)+(CPY!P435*MD!$F$5)+(CPY!Q435*MD!$F$6)</f>
        <v>0</v>
      </c>
      <c r="T435" s="64">
        <f>ROUNDUP((SUMIFS('OOH Activities'!$K:$K,'OOH Activities'!$F:$F,"Non_workdays",'OOH Activities'!$B:$B,CPY!B435)) *24,1)</f>
        <v>0</v>
      </c>
      <c r="U435" s="64">
        <f>ROUNDUP((SUMIFS('OOH Activities'!$K:$K,'OOH Activities'!$F:$F,"Workdays",'OOH Activities'!$B:$B,CPY!B435)) *24,1)</f>
        <v>0</v>
      </c>
      <c r="V435" s="63">
        <f>ROUNDUP((SUMIFS('OOH Activities'!$L:$L,'OOH Activities'!$B:$B,CPY!B435)),1)</f>
        <v>0</v>
      </c>
      <c r="X435" s="65">
        <f>ROUNDUP((SUMIFS('ON Call_Call Out Activities'!$L:$L,'ON Call_Call Out Activities'!$F:$F,"Workdays",'ON Call_Call Out Activities'!$B:$B,CPY!B435))*24,1)</f>
        <v>0</v>
      </c>
      <c r="Y435" s="64">
        <f>ROUNDUP((SUMIFS('ON Call_Call Out Activities'!$L:$L,'ON Call_Call Out Activities'!$F:$F,"Non_workdays",'ON Call_Call Out Activities'!$B:$B,CPY!B435)) *24,1)</f>
        <v>0</v>
      </c>
      <c r="Z435" s="63">
        <f>ROUNDUP((SUMIFS('ON Call_Call Out Activities'!$M:$M,'ON Call_Call Out Activities'!$F:$F,"Non_workdays",'ON Call_Call Out Activities'!$B:$B,CPY!B435)),1) + ROUNDUP((SUMIFS('ON Call_Call Out Activities'!$M:$M,'ON Call_Call Out Activities'!$F:$F,"Workdays",'ON Call_Call Out Activities'!$B:$B,CPY!B435)),1)</f>
        <v>0</v>
      </c>
      <c r="AA435" s="66"/>
      <c r="AB435" s="64">
        <f>ROUNDUP((SUMIFS('ON Call_Call Out Activities'!$L:$L,'ON Call_Call Out Activities'!$F:$F,"Call_Out",'ON Call_Call Out Activities'!$B:$B,CPY!B435)) *24,1)</f>
        <v>0</v>
      </c>
      <c r="AC435" s="63">
        <f>ROUNDUP((SUMIFS('ON Call_Call Out Activities'!$M:$M,'ON Call_Call Out Activities'!$F:$F,"Call_Out",'ON Call_Call Out Activities'!$B:$B,CPY!B435)),1)</f>
        <v>0</v>
      </c>
      <c r="AE435" s="65">
        <f>IF((SUMIF(Shift_allowance_Entries!$B:$B,CPY!$B435,Shift_allowance_Entries!$H:$H)) &gt; (SUMIF(Shift_allowance_Entries!$B:$B,CPY!$B435,Shift_allowance_Entries!$G:$G)),0,((SUMIF(Shift_allowance_Entries!$B:$B,CPY!$B435,Shift_allowance_Entries!$G:$G))-(SUMIF(Shift_allowance_Entries!$B:$B,CPY!$B435,Shift_allowance_Entries!$H:$H))))</f>
        <v>0</v>
      </c>
      <c r="AF435" s="63">
        <f>AE435*MD!$S$4</f>
        <v>0</v>
      </c>
    </row>
    <row r="436" spans="1:32" x14ac:dyDescent="0.25">
      <c r="A436" s="62">
        <v>434</v>
      </c>
      <c r="B436" s="62"/>
      <c r="C436" s="50" t="str">
        <f>IF(ISNA(VLOOKUP($B436,Summary!$B:$D,2,FALSE))=TRUE," ",VLOOKUP($B436,Summary!$B:$D,2,FALSE))</f>
        <v> </v>
      </c>
      <c r="D436" s="50" t="str">
        <f>IF(ISNA(VLOOKUP($B436,Summary!$B:$D,3,FALSE))=TRUE," ",VLOOKUP($B436,Summary!$B:$D,3,FALSE))</f>
        <v> </v>
      </c>
      <c r="E436" s="62"/>
      <c r="F436" s="62"/>
      <c r="G436" s="62"/>
      <c r="I436" s="63">
        <f t="shared" si="6"/>
        <v>0</v>
      </c>
      <c r="K436" s="64">
        <f>IF(E436="Support(L1_L2)",IF(NOT(ISBLANK(B436)),IF(NOT(ISBLANK(D436)),NETWORKDAYS('CPY TOC'!$F$5,'CPY TOC'!$G$5))))-L436</f>
        <v>0</v>
      </c>
      <c r="L436" s="64">
        <f>IF(E436="Support(L1_L2)",SUMIFS(Support_allowance_Entries!$G:$G,Support_allowance_Entries!$B:$B,CPY!B436),0)</f>
        <v>0</v>
      </c>
      <c r="M436" s="63" t="b">
        <f>IF($D436="D0",MD!$C$4*(K436),IF($D436="D1",MD!$C$5*(K436),IF($D436="D2",MD!$C$6*(K436),IF($D436="D3",MD!$C$7*(K436),IF($D436="D4",MD!$C$8*(K436),IF($D436="D5",MD!$C$9*(K436),IF($D436="M1",MD!$C$10*(K436),IF($D436="T1",MD!$C$11*(K436)))))))))</f>
        <v>0</v>
      </c>
      <c r="O436" s="65">
        <f>SUMIFS(Shift_allowance_Entries!$G:$G,Shift_allowance_Entries!$F:$F,"6:30AM-03:30PM",Shift_allowance_Entries!$B:$B,CPY!$B436)</f>
        <v>0</v>
      </c>
      <c r="P436" s="65">
        <f>SUMIFS(Shift_allowance_Entries!$G:$G,Shift_allowance_Entries!$F:$F,"1-9PM/2:30PM-11:30PM",Shift_allowance_Entries!$B:$B,CPY!$B436)</f>
        <v>0</v>
      </c>
      <c r="Q436" s="65">
        <f>SUMIFS(Shift_allowance_Entries!$G:$G,Shift_allowance_Entries!$F:$F,"11PM-7AM",Shift_allowance_Entries!$B:$B,CPY!$B436)</f>
        <v>0</v>
      </c>
      <c r="R436" s="63">
        <f>(CPY!O436*MD!$F$4)+(CPY!P436*MD!$F$5)+(CPY!Q436*MD!$F$6)</f>
        <v>0</v>
      </c>
      <c r="T436" s="64">
        <f>ROUNDUP((SUMIFS('OOH Activities'!$K:$K,'OOH Activities'!$F:$F,"Non_workdays",'OOH Activities'!$B:$B,CPY!B436)) *24,1)</f>
        <v>0</v>
      </c>
      <c r="U436" s="64">
        <f>ROUNDUP((SUMIFS('OOH Activities'!$K:$K,'OOH Activities'!$F:$F,"Workdays",'OOH Activities'!$B:$B,CPY!B436)) *24,1)</f>
        <v>0</v>
      </c>
      <c r="V436" s="63">
        <f>ROUNDUP((SUMIFS('OOH Activities'!$L:$L,'OOH Activities'!$B:$B,CPY!B436)),1)</f>
        <v>0</v>
      </c>
      <c r="X436" s="65">
        <f>ROUNDUP((SUMIFS('ON Call_Call Out Activities'!$L:$L,'ON Call_Call Out Activities'!$F:$F,"Workdays",'ON Call_Call Out Activities'!$B:$B,CPY!B436))*24,1)</f>
        <v>0</v>
      </c>
      <c r="Y436" s="64">
        <f>ROUNDUP((SUMIFS('ON Call_Call Out Activities'!$L:$L,'ON Call_Call Out Activities'!$F:$F,"Non_workdays",'ON Call_Call Out Activities'!$B:$B,CPY!B436)) *24,1)</f>
        <v>0</v>
      </c>
      <c r="Z436" s="63">
        <f>ROUNDUP((SUMIFS('ON Call_Call Out Activities'!$M:$M,'ON Call_Call Out Activities'!$F:$F,"Non_workdays",'ON Call_Call Out Activities'!$B:$B,CPY!B436)),1) + ROUNDUP((SUMIFS('ON Call_Call Out Activities'!$M:$M,'ON Call_Call Out Activities'!$F:$F,"Workdays",'ON Call_Call Out Activities'!$B:$B,CPY!B436)),1)</f>
        <v>0</v>
      </c>
      <c r="AA436" s="66"/>
      <c r="AB436" s="64">
        <f>ROUNDUP((SUMIFS('ON Call_Call Out Activities'!$L:$L,'ON Call_Call Out Activities'!$F:$F,"Call_Out",'ON Call_Call Out Activities'!$B:$B,CPY!B436)) *24,1)</f>
        <v>0</v>
      </c>
      <c r="AC436" s="63">
        <f>ROUNDUP((SUMIFS('ON Call_Call Out Activities'!$M:$M,'ON Call_Call Out Activities'!$F:$F,"Call_Out",'ON Call_Call Out Activities'!$B:$B,CPY!B436)),1)</f>
        <v>0</v>
      </c>
      <c r="AE436" s="65">
        <f>IF((SUMIF(Shift_allowance_Entries!$B:$B,CPY!$B436,Shift_allowance_Entries!$H:$H)) &gt; (SUMIF(Shift_allowance_Entries!$B:$B,CPY!$B436,Shift_allowance_Entries!$G:$G)),0,((SUMIF(Shift_allowance_Entries!$B:$B,CPY!$B436,Shift_allowance_Entries!$G:$G))-(SUMIF(Shift_allowance_Entries!$B:$B,CPY!$B436,Shift_allowance_Entries!$H:$H))))</f>
        <v>0</v>
      </c>
      <c r="AF436" s="63">
        <f>AE436*MD!$S$4</f>
        <v>0</v>
      </c>
    </row>
    <row r="437" spans="1:32" x14ac:dyDescent="0.25">
      <c r="A437" s="62">
        <v>435</v>
      </c>
      <c r="B437" s="62"/>
      <c r="C437" s="50" t="str">
        <f>IF(ISNA(VLOOKUP($B437,Summary!$B:$D,2,FALSE))=TRUE," ",VLOOKUP($B437,Summary!$B:$D,2,FALSE))</f>
        <v> </v>
      </c>
      <c r="D437" s="50" t="str">
        <f>IF(ISNA(VLOOKUP($B437,Summary!$B:$D,3,FALSE))=TRUE," ",VLOOKUP($B437,Summary!$B:$D,3,FALSE))</f>
        <v> </v>
      </c>
      <c r="E437" s="62"/>
      <c r="F437" s="62"/>
      <c r="G437" s="62"/>
      <c r="I437" s="63">
        <f t="shared" si="6"/>
        <v>0</v>
      </c>
      <c r="K437" s="64">
        <f>IF(E437="Support(L1_L2)",IF(NOT(ISBLANK(B437)),IF(NOT(ISBLANK(D437)),NETWORKDAYS('CPY TOC'!$F$5,'CPY TOC'!$G$5))))-L437</f>
        <v>0</v>
      </c>
      <c r="L437" s="64">
        <f>IF(E437="Support(L1_L2)",SUMIFS(Support_allowance_Entries!$G:$G,Support_allowance_Entries!$B:$B,CPY!B437),0)</f>
        <v>0</v>
      </c>
      <c r="M437" s="63" t="b">
        <f>IF($D437="D0",MD!$C$4*(K437),IF($D437="D1",MD!$C$5*(K437),IF($D437="D2",MD!$C$6*(K437),IF($D437="D3",MD!$C$7*(K437),IF($D437="D4",MD!$C$8*(K437),IF($D437="D5",MD!$C$9*(K437),IF($D437="M1",MD!$C$10*(K437),IF($D437="T1",MD!$C$11*(K437)))))))))</f>
        <v>0</v>
      </c>
      <c r="O437" s="65">
        <f>SUMIFS(Shift_allowance_Entries!$G:$G,Shift_allowance_Entries!$F:$F,"6:30AM-03:30PM",Shift_allowance_Entries!$B:$B,CPY!$B437)</f>
        <v>0</v>
      </c>
      <c r="P437" s="65">
        <f>SUMIFS(Shift_allowance_Entries!$G:$G,Shift_allowance_Entries!$F:$F,"1-9PM/2:30PM-11:30PM",Shift_allowance_Entries!$B:$B,CPY!$B437)</f>
        <v>0</v>
      </c>
      <c r="Q437" s="65">
        <f>SUMIFS(Shift_allowance_Entries!$G:$G,Shift_allowance_Entries!$F:$F,"11PM-7AM",Shift_allowance_Entries!$B:$B,CPY!$B437)</f>
        <v>0</v>
      </c>
      <c r="R437" s="63">
        <f>(CPY!O437*MD!$F$4)+(CPY!P437*MD!$F$5)+(CPY!Q437*MD!$F$6)</f>
        <v>0</v>
      </c>
      <c r="T437" s="64">
        <f>ROUNDUP((SUMIFS('OOH Activities'!$K:$K,'OOH Activities'!$F:$F,"Non_workdays",'OOH Activities'!$B:$B,CPY!B437)) *24,1)</f>
        <v>0</v>
      </c>
      <c r="U437" s="64">
        <f>ROUNDUP((SUMIFS('OOH Activities'!$K:$K,'OOH Activities'!$F:$F,"Workdays",'OOH Activities'!$B:$B,CPY!B437)) *24,1)</f>
        <v>0</v>
      </c>
      <c r="V437" s="63">
        <f>ROUNDUP((SUMIFS('OOH Activities'!$L:$L,'OOH Activities'!$B:$B,CPY!B437)),1)</f>
        <v>0</v>
      </c>
      <c r="X437" s="65">
        <f>ROUNDUP((SUMIFS('ON Call_Call Out Activities'!$L:$L,'ON Call_Call Out Activities'!$F:$F,"Workdays",'ON Call_Call Out Activities'!$B:$B,CPY!B437))*24,1)</f>
        <v>0</v>
      </c>
      <c r="Y437" s="64">
        <f>ROUNDUP((SUMIFS('ON Call_Call Out Activities'!$L:$L,'ON Call_Call Out Activities'!$F:$F,"Non_workdays",'ON Call_Call Out Activities'!$B:$B,CPY!B437)) *24,1)</f>
        <v>0</v>
      </c>
      <c r="Z437" s="63">
        <f>ROUNDUP((SUMIFS('ON Call_Call Out Activities'!$M:$M,'ON Call_Call Out Activities'!$F:$F,"Non_workdays",'ON Call_Call Out Activities'!$B:$B,CPY!B437)),1) + ROUNDUP((SUMIFS('ON Call_Call Out Activities'!$M:$M,'ON Call_Call Out Activities'!$F:$F,"Workdays",'ON Call_Call Out Activities'!$B:$B,CPY!B437)),1)</f>
        <v>0</v>
      </c>
      <c r="AA437" s="66"/>
      <c r="AB437" s="64">
        <f>ROUNDUP((SUMIFS('ON Call_Call Out Activities'!$L:$L,'ON Call_Call Out Activities'!$F:$F,"Call_Out",'ON Call_Call Out Activities'!$B:$B,CPY!B437)) *24,1)</f>
        <v>0</v>
      </c>
      <c r="AC437" s="63">
        <f>ROUNDUP((SUMIFS('ON Call_Call Out Activities'!$M:$M,'ON Call_Call Out Activities'!$F:$F,"Call_Out",'ON Call_Call Out Activities'!$B:$B,CPY!B437)),1)</f>
        <v>0</v>
      </c>
      <c r="AE437" s="65">
        <f>IF((SUMIF(Shift_allowance_Entries!$B:$B,CPY!$B437,Shift_allowance_Entries!$H:$H)) &gt; (SUMIF(Shift_allowance_Entries!$B:$B,CPY!$B437,Shift_allowance_Entries!$G:$G)),0,((SUMIF(Shift_allowance_Entries!$B:$B,CPY!$B437,Shift_allowance_Entries!$G:$G))-(SUMIF(Shift_allowance_Entries!$B:$B,CPY!$B437,Shift_allowance_Entries!$H:$H))))</f>
        <v>0</v>
      </c>
      <c r="AF437" s="63">
        <f>AE437*MD!$S$4</f>
        <v>0</v>
      </c>
    </row>
    <row r="438" spans="1:32" x14ac:dyDescent="0.25">
      <c r="A438" s="62">
        <v>436</v>
      </c>
      <c r="B438" s="62"/>
      <c r="C438" s="50" t="str">
        <f>IF(ISNA(VLOOKUP($B438,Summary!$B:$D,2,FALSE))=TRUE," ",VLOOKUP($B438,Summary!$B:$D,2,FALSE))</f>
        <v> </v>
      </c>
      <c r="D438" s="50" t="str">
        <f>IF(ISNA(VLOOKUP($B438,Summary!$B:$D,3,FALSE))=TRUE," ",VLOOKUP($B438,Summary!$B:$D,3,FALSE))</f>
        <v> </v>
      </c>
      <c r="E438" s="62"/>
      <c r="F438" s="62"/>
      <c r="G438" s="62"/>
      <c r="I438" s="63">
        <f t="shared" si="6"/>
        <v>0</v>
      </c>
      <c r="K438" s="64">
        <f>IF(E438="Support(L1_L2)",IF(NOT(ISBLANK(B438)),IF(NOT(ISBLANK(D438)),NETWORKDAYS('CPY TOC'!$F$5,'CPY TOC'!$G$5))))-L438</f>
        <v>0</v>
      </c>
      <c r="L438" s="64">
        <f>IF(E438="Support(L1_L2)",SUMIFS(Support_allowance_Entries!$G:$G,Support_allowance_Entries!$B:$B,CPY!B438),0)</f>
        <v>0</v>
      </c>
      <c r="M438" s="63" t="b">
        <f>IF($D438="D0",MD!$C$4*(K438),IF($D438="D1",MD!$C$5*(K438),IF($D438="D2",MD!$C$6*(K438),IF($D438="D3",MD!$C$7*(K438),IF($D438="D4",MD!$C$8*(K438),IF($D438="D5",MD!$C$9*(K438),IF($D438="M1",MD!$C$10*(K438),IF($D438="T1",MD!$C$11*(K438)))))))))</f>
        <v>0</v>
      </c>
      <c r="O438" s="65">
        <f>SUMIFS(Shift_allowance_Entries!$G:$G,Shift_allowance_Entries!$F:$F,"6:30AM-03:30PM",Shift_allowance_Entries!$B:$B,CPY!$B438)</f>
        <v>0</v>
      </c>
      <c r="P438" s="65">
        <f>SUMIFS(Shift_allowance_Entries!$G:$G,Shift_allowance_Entries!$F:$F,"1-9PM/2:30PM-11:30PM",Shift_allowance_Entries!$B:$B,CPY!$B438)</f>
        <v>0</v>
      </c>
      <c r="Q438" s="65">
        <f>SUMIFS(Shift_allowance_Entries!$G:$G,Shift_allowance_Entries!$F:$F,"11PM-7AM",Shift_allowance_Entries!$B:$B,CPY!$B438)</f>
        <v>0</v>
      </c>
      <c r="R438" s="63">
        <f>(CPY!O438*MD!$F$4)+(CPY!P438*MD!$F$5)+(CPY!Q438*MD!$F$6)</f>
        <v>0</v>
      </c>
      <c r="T438" s="64">
        <f>ROUNDUP((SUMIFS('OOH Activities'!$K:$K,'OOH Activities'!$F:$F,"Non_workdays",'OOH Activities'!$B:$B,CPY!B438)) *24,1)</f>
        <v>0</v>
      </c>
      <c r="U438" s="64">
        <f>ROUNDUP((SUMIFS('OOH Activities'!$K:$K,'OOH Activities'!$F:$F,"Workdays",'OOH Activities'!$B:$B,CPY!B438)) *24,1)</f>
        <v>0</v>
      </c>
      <c r="V438" s="63">
        <f>ROUNDUP((SUMIFS('OOH Activities'!$L:$L,'OOH Activities'!$B:$B,CPY!B438)),1)</f>
        <v>0</v>
      </c>
      <c r="X438" s="65">
        <f>ROUNDUP((SUMIFS('ON Call_Call Out Activities'!$L:$L,'ON Call_Call Out Activities'!$F:$F,"Workdays",'ON Call_Call Out Activities'!$B:$B,CPY!B438))*24,1)</f>
        <v>0</v>
      </c>
      <c r="Y438" s="64">
        <f>ROUNDUP((SUMIFS('ON Call_Call Out Activities'!$L:$L,'ON Call_Call Out Activities'!$F:$F,"Non_workdays",'ON Call_Call Out Activities'!$B:$B,CPY!B438)) *24,1)</f>
        <v>0</v>
      </c>
      <c r="Z438" s="63">
        <f>ROUNDUP((SUMIFS('ON Call_Call Out Activities'!$M:$M,'ON Call_Call Out Activities'!$F:$F,"Non_workdays",'ON Call_Call Out Activities'!$B:$B,CPY!B438)),1) + ROUNDUP((SUMIFS('ON Call_Call Out Activities'!$M:$M,'ON Call_Call Out Activities'!$F:$F,"Workdays",'ON Call_Call Out Activities'!$B:$B,CPY!B438)),1)</f>
        <v>0</v>
      </c>
      <c r="AA438" s="66"/>
      <c r="AB438" s="64">
        <f>ROUNDUP((SUMIFS('ON Call_Call Out Activities'!$L:$L,'ON Call_Call Out Activities'!$F:$F,"Call_Out",'ON Call_Call Out Activities'!$B:$B,CPY!B438)) *24,1)</f>
        <v>0</v>
      </c>
      <c r="AC438" s="63">
        <f>ROUNDUP((SUMIFS('ON Call_Call Out Activities'!$M:$M,'ON Call_Call Out Activities'!$F:$F,"Call_Out",'ON Call_Call Out Activities'!$B:$B,CPY!B438)),1)</f>
        <v>0</v>
      </c>
      <c r="AE438" s="65">
        <f>IF((SUMIF(Shift_allowance_Entries!$B:$B,CPY!$B438,Shift_allowance_Entries!$H:$H)) &gt; (SUMIF(Shift_allowance_Entries!$B:$B,CPY!$B438,Shift_allowance_Entries!$G:$G)),0,((SUMIF(Shift_allowance_Entries!$B:$B,CPY!$B438,Shift_allowance_Entries!$G:$G))-(SUMIF(Shift_allowance_Entries!$B:$B,CPY!$B438,Shift_allowance_Entries!$H:$H))))</f>
        <v>0</v>
      </c>
      <c r="AF438" s="63">
        <f>AE438*MD!$S$4</f>
        <v>0</v>
      </c>
    </row>
    <row r="439" spans="1:32" x14ac:dyDescent="0.25">
      <c r="A439" s="62">
        <v>437</v>
      </c>
      <c r="B439" s="62"/>
      <c r="C439" s="50" t="str">
        <f>IF(ISNA(VLOOKUP($B439,Summary!$B:$D,2,FALSE))=TRUE," ",VLOOKUP($B439,Summary!$B:$D,2,FALSE))</f>
        <v> </v>
      </c>
      <c r="D439" s="50" t="str">
        <f>IF(ISNA(VLOOKUP($B439,Summary!$B:$D,3,FALSE))=TRUE," ",VLOOKUP($B439,Summary!$B:$D,3,FALSE))</f>
        <v> </v>
      </c>
      <c r="E439" s="62"/>
      <c r="F439" s="62"/>
      <c r="G439" s="62"/>
      <c r="I439" s="63">
        <f t="shared" si="6"/>
        <v>0</v>
      </c>
      <c r="K439" s="64">
        <f>IF(E439="Support(L1_L2)",IF(NOT(ISBLANK(B439)),IF(NOT(ISBLANK(D439)),NETWORKDAYS('CPY TOC'!$F$5,'CPY TOC'!$G$5))))-L439</f>
        <v>0</v>
      </c>
      <c r="L439" s="64">
        <f>IF(E439="Support(L1_L2)",SUMIFS(Support_allowance_Entries!$G:$G,Support_allowance_Entries!$B:$B,CPY!B439),0)</f>
        <v>0</v>
      </c>
      <c r="M439" s="63" t="b">
        <f>IF($D439="D0",MD!$C$4*(K439),IF($D439="D1",MD!$C$5*(K439),IF($D439="D2",MD!$C$6*(K439),IF($D439="D3",MD!$C$7*(K439),IF($D439="D4",MD!$C$8*(K439),IF($D439="D5",MD!$C$9*(K439),IF($D439="M1",MD!$C$10*(K439),IF($D439="T1",MD!$C$11*(K439)))))))))</f>
        <v>0</v>
      </c>
      <c r="O439" s="65">
        <f>SUMIFS(Shift_allowance_Entries!$G:$G,Shift_allowance_Entries!$F:$F,"6:30AM-03:30PM",Shift_allowance_Entries!$B:$B,CPY!$B439)</f>
        <v>0</v>
      </c>
      <c r="P439" s="65">
        <f>SUMIFS(Shift_allowance_Entries!$G:$G,Shift_allowance_Entries!$F:$F,"1-9PM/2:30PM-11:30PM",Shift_allowance_Entries!$B:$B,CPY!$B439)</f>
        <v>0</v>
      </c>
      <c r="Q439" s="65">
        <f>SUMIFS(Shift_allowance_Entries!$G:$G,Shift_allowance_Entries!$F:$F,"11PM-7AM",Shift_allowance_Entries!$B:$B,CPY!$B439)</f>
        <v>0</v>
      </c>
      <c r="R439" s="63">
        <f>(CPY!O439*MD!$F$4)+(CPY!P439*MD!$F$5)+(CPY!Q439*MD!$F$6)</f>
        <v>0</v>
      </c>
      <c r="T439" s="64">
        <f>ROUNDUP((SUMIFS('OOH Activities'!$K:$K,'OOH Activities'!$F:$F,"Non_workdays",'OOH Activities'!$B:$B,CPY!B439)) *24,1)</f>
        <v>0</v>
      </c>
      <c r="U439" s="64">
        <f>ROUNDUP((SUMIFS('OOH Activities'!$K:$K,'OOH Activities'!$F:$F,"Workdays",'OOH Activities'!$B:$B,CPY!B439)) *24,1)</f>
        <v>0</v>
      </c>
      <c r="V439" s="63">
        <f>ROUNDUP((SUMIFS('OOH Activities'!$L:$L,'OOH Activities'!$B:$B,CPY!B439)),1)</f>
        <v>0</v>
      </c>
      <c r="X439" s="65">
        <f>ROUNDUP((SUMIFS('ON Call_Call Out Activities'!$L:$L,'ON Call_Call Out Activities'!$F:$F,"Workdays",'ON Call_Call Out Activities'!$B:$B,CPY!B439))*24,1)</f>
        <v>0</v>
      </c>
      <c r="Y439" s="64">
        <f>ROUNDUP((SUMIFS('ON Call_Call Out Activities'!$L:$L,'ON Call_Call Out Activities'!$F:$F,"Non_workdays",'ON Call_Call Out Activities'!$B:$B,CPY!B439)) *24,1)</f>
        <v>0</v>
      </c>
      <c r="Z439" s="63">
        <f>ROUNDUP((SUMIFS('ON Call_Call Out Activities'!$M:$M,'ON Call_Call Out Activities'!$F:$F,"Non_workdays",'ON Call_Call Out Activities'!$B:$B,CPY!B439)),1) + ROUNDUP((SUMIFS('ON Call_Call Out Activities'!$M:$M,'ON Call_Call Out Activities'!$F:$F,"Workdays",'ON Call_Call Out Activities'!$B:$B,CPY!B439)),1)</f>
        <v>0</v>
      </c>
      <c r="AA439" s="66"/>
      <c r="AB439" s="64">
        <f>ROUNDUP((SUMIFS('ON Call_Call Out Activities'!$L:$L,'ON Call_Call Out Activities'!$F:$F,"Call_Out",'ON Call_Call Out Activities'!$B:$B,CPY!B439)) *24,1)</f>
        <v>0</v>
      </c>
      <c r="AC439" s="63">
        <f>ROUNDUP((SUMIFS('ON Call_Call Out Activities'!$M:$M,'ON Call_Call Out Activities'!$F:$F,"Call_Out",'ON Call_Call Out Activities'!$B:$B,CPY!B439)),1)</f>
        <v>0</v>
      </c>
      <c r="AE439" s="65">
        <f>IF((SUMIF(Shift_allowance_Entries!$B:$B,CPY!$B439,Shift_allowance_Entries!$H:$H)) &gt; (SUMIF(Shift_allowance_Entries!$B:$B,CPY!$B439,Shift_allowance_Entries!$G:$G)),0,((SUMIF(Shift_allowance_Entries!$B:$B,CPY!$B439,Shift_allowance_Entries!$G:$G))-(SUMIF(Shift_allowance_Entries!$B:$B,CPY!$B439,Shift_allowance_Entries!$H:$H))))</f>
        <v>0</v>
      </c>
      <c r="AF439" s="63">
        <f>AE439*MD!$S$4</f>
        <v>0</v>
      </c>
    </row>
    <row r="440" spans="1:32" x14ac:dyDescent="0.25">
      <c r="A440" s="62">
        <v>438</v>
      </c>
      <c r="B440" s="62"/>
      <c r="C440" s="50" t="str">
        <f>IF(ISNA(VLOOKUP($B440,Summary!$B:$D,2,FALSE))=TRUE," ",VLOOKUP($B440,Summary!$B:$D,2,FALSE))</f>
        <v> </v>
      </c>
      <c r="D440" s="50" t="str">
        <f>IF(ISNA(VLOOKUP($B440,Summary!$B:$D,3,FALSE))=TRUE," ",VLOOKUP($B440,Summary!$B:$D,3,FALSE))</f>
        <v> </v>
      </c>
      <c r="E440" s="62"/>
      <c r="F440" s="62"/>
      <c r="G440" s="62"/>
      <c r="I440" s="63">
        <f t="shared" si="6"/>
        <v>0</v>
      </c>
      <c r="K440" s="64">
        <f>IF(E440="Support(L1_L2)",IF(NOT(ISBLANK(B440)),IF(NOT(ISBLANK(D440)),NETWORKDAYS('CPY TOC'!$F$5,'CPY TOC'!$G$5))))-L440</f>
        <v>0</v>
      </c>
      <c r="L440" s="64">
        <f>IF(E440="Support(L1_L2)",SUMIFS(Support_allowance_Entries!$G:$G,Support_allowance_Entries!$B:$B,CPY!B440),0)</f>
        <v>0</v>
      </c>
      <c r="M440" s="63" t="b">
        <f>IF($D440="D0",MD!$C$4*(K440),IF($D440="D1",MD!$C$5*(K440),IF($D440="D2",MD!$C$6*(K440),IF($D440="D3",MD!$C$7*(K440),IF($D440="D4",MD!$C$8*(K440),IF($D440="D5",MD!$C$9*(K440),IF($D440="M1",MD!$C$10*(K440),IF($D440="T1",MD!$C$11*(K440)))))))))</f>
        <v>0</v>
      </c>
      <c r="O440" s="65">
        <f>SUMIFS(Shift_allowance_Entries!$G:$G,Shift_allowance_Entries!$F:$F,"6:30AM-03:30PM",Shift_allowance_Entries!$B:$B,CPY!$B440)</f>
        <v>0</v>
      </c>
      <c r="P440" s="65">
        <f>SUMIFS(Shift_allowance_Entries!$G:$G,Shift_allowance_Entries!$F:$F,"1-9PM/2:30PM-11:30PM",Shift_allowance_Entries!$B:$B,CPY!$B440)</f>
        <v>0</v>
      </c>
      <c r="Q440" s="65">
        <f>SUMIFS(Shift_allowance_Entries!$G:$G,Shift_allowance_Entries!$F:$F,"11PM-7AM",Shift_allowance_Entries!$B:$B,CPY!$B440)</f>
        <v>0</v>
      </c>
      <c r="R440" s="63">
        <f>(CPY!O440*MD!$F$4)+(CPY!P440*MD!$F$5)+(CPY!Q440*MD!$F$6)</f>
        <v>0</v>
      </c>
      <c r="T440" s="64">
        <f>ROUNDUP((SUMIFS('OOH Activities'!$K:$K,'OOH Activities'!$F:$F,"Non_workdays",'OOH Activities'!$B:$B,CPY!B440)) *24,1)</f>
        <v>0</v>
      </c>
      <c r="U440" s="64">
        <f>ROUNDUP((SUMIFS('OOH Activities'!$K:$K,'OOH Activities'!$F:$F,"Workdays",'OOH Activities'!$B:$B,CPY!B440)) *24,1)</f>
        <v>0</v>
      </c>
      <c r="V440" s="63">
        <f>ROUNDUP((SUMIFS('OOH Activities'!$L:$L,'OOH Activities'!$B:$B,CPY!B440)),1)</f>
        <v>0</v>
      </c>
      <c r="X440" s="65">
        <f>ROUNDUP((SUMIFS('ON Call_Call Out Activities'!$L:$L,'ON Call_Call Out Activities'!$F:$F,"Workdays",'ON Call_Call Out Activities'!$B:$B,CPY!B440))*24,1)</f>
        <v>0</v>
      </c>
      <c r="Y440" s="64">
        <f>ROUNDUP((SUMIFS('ON Call_Call Out Activities'!$L:$L,'ON Call_Call Out Activities'!$F:$F,"Non_workdays",'ON Call_Call Out Activities'!$B:$B,CPY!B440)) *24,1)</f>
        <v>0</v>
      </c>
      <c r="Z440" s="63">
        <f>ROUNDUP((SUMIFS('ON Call_Call Out Activities'!$M:$M,'ON Call_Call Out Activities'!$F:$F,"Non_workdays",'ON Call_Call Out Activities'!$B:$B,CPY!B440)),1) + ROUNDUP((SUMIFS('ON Call_Call Out Activities'!$M:$M,'ON Call_Call Out Activities'!$F:$F,"Workdays",'ON Call_Call Out Activities'!$B:$B,CPY!B440)),1)</f>
        <v>0</v>
      </c>
      <c r="AA440" s="66"/>
      <c r="AB440" s="64">
        <f>ROUNDUP((SUMIFS('ON Call_Call Out Activities'!$L:$L,'ON Call_Call Out Activities'!$F:$F,"Call_Out",'ON Call_Call Out Activities'!$B:$B,CPY!B440)) *24,1)</f>
        <v>0</v>
      </c>
      <c r="AC440" s="63">
        <f>ROUNDUP((SUMIFS('ON Call_Call Out Activities'!$M:$M,'ON Call_Call Out Activities'!$F:$F,"Call_Out",'ON Call_Call Out Activities'!$B:$B,CPY!B440)),1)</f>
        <v>0</v>
      </c>
      <c r="AE440" s="65">
        <f>IF((SUMIF(Shift_allowance_Entries!$B:$B,CPY!$B440,Shift_allowance_Entries!$H:$H)) &gt; (SUMIF(Shift_allowance_Entries!$B:$B,CPY!$B440,Shift_allowance_Entries!$G:$G)),0,((SUMIF(Shift_allowance_Entries!$B:$B,CPY!$B440,Shift_allowance_Entries!$G:$G))-(SUMIF(Shift_allowance_Entries!$B:$B,CPY!$B440,Shift_allowance_Entries!$H:$H))))</f>
        <v>0</v>
      </c>
      <c r="AF440" s="63">
        <f>AE440*MD!$S$4</f>
        <v>0</v>
      </c>
    </row>
    <row r="441" spans="1:32" x14ac:dyDescent="0.25">
      <c r="A441" s="62">
        <v>439</v>
      </c>
      <c r="B441" s="62"/>
      <c r="C441" s="50" t="str">
        <f>IF(ISNA(VLOOKUP($B441,Summary!$B:$D,2,FALSE))=TRUE," ",VLOOKUP($B441,Summary!$B:$D,2,FALSE))</f>
        <v> </v>
      </c>
      <c r="D441" s="50" t="str">
        <f>IF(ISNA(VLOOKUP($B441,Summary!$B:$D,3,FALSE))=TRUE," ",VLOOKUP($B441,Summary!$B:$D,3,FALSE))</f>
        <v> </v>
      </c>
      <c r="E441" s="62"/>
      <c r="F441" s="62"/>
      <c r="G441" s="62"/>
      <c r="I441" s="63">
        <f t="shared" si="6"/>
        <v>0</v>
      </c>
      <c r="K441" s="64">
        <f>IF(E441="Support(L1_L2)",IF(NOT(ISBLANK(B441)),IF(NOT(ISBLANK(D441)),NETWORKDAYS('CPY TOC'!$F$5,'CPY TOC'!$G$5))))-L441</f>
        <v>0</v>
      </c>
      <c r="L441" s="64">
        <f>IF(E441="Support(L1_L2)",SUMIFS(Support_allowance_Entries!$G:$G,Support_allowance_Entries!$B:$B,CPY!B441),0)</f>
        <v>0</v>
      </c>
      <c r="M441" s="63" t="b">
        <f>IF($D441="D0",MD!$C$4*(K441),IF($D441="D1",MD!$C$5*(K441),IF($D441="D2",MD!$C$6*(K441),IF($D441="D3",MD!$C$7*(K441),IF($D441="D4",MD!$C$8*(K441),IF($D441="D5",MD!$C$9*(K441),IF($D441="M1",MD!$C$10*(K441),IF($D441="T1",MD!$C$11*(K441)))))))))</f>
        <v>0</v>
      </c>
      <c r="O441" s="65">
        <f>SUMIFS(Shift_allowance_Entries!$G:$G,Shift_allowance_Entries!$F:$F,"6:30AM-03:30PM",Shift_allowance_Entries!$B:$B,CPY!$B441)</f>
        <v>0</v>
      </c>
      <c r="P441" s="65">
        <f>SUMIFS(Shift_allowance_Entries!$G:$G,Shift_allowance_Entries!$F:$F,"1-9PM/2:30PM-11:30PM",Shift_allowance_Entries!$B:$B,CPY!$B441)</f>
        <v>0</v>
      </c>
      <c r="Q441" s="65">
        <f>SUMIFS(Shift_allowance_Entries!$G:$G,Shift_allowance_Entries!$F:$F,"11PM-7AM",Shift_allowance_Entries!$B:$B,CPY!$B441)</f>
        <v>0</v>
      </c>
      <c r="R441" s="63">
        <f>(CPY!O441*MD!$F$4)+(CPY!P441*MD!$F$5)+(CPY!Q441*MD!$F$6)</f>
        <v>0</v>
      </c>
      <c r="T441" s="64">
        <f>ROUNDUP((SUMIFS('OOH Activities'!$K:$K,'OOH Activities'!$F:$F,"Non_workdays",'OOH Activities'!$B:$B,CPY!B441)) *24,1)</f>
        <v>0</v>
      </c>
      <c r="U441" s="64">
        <f>ROUNDUP((SUMIFS('OOH Activities'!$K:$K,'OOH Activities'!$F:$F,"Workdays",'OOH Activities'!$B:$B,CPY!B441)) *24,1)</f>
        <v>0</v>
      </c>
      <c r="V441" s="63">
        <f>ROUNDUP((SUMIFS('OOH Activities'!$L:$L,'OOH Activities'!$B:$B,CPY!B441)),1)</f>
        <v>0</v>
      </c>
      <c r="X441" s="65">
        <f>ROUNDUP((SUMIFS('ON Call_Call Out Activities'!$L:$L,'ON Call_Call Out Activities'!$F:$F,"Workdays",'ON Call_Call Out Activities'!$B:$B,CPY!B441))*24,1)</f>
        <v>0</v>
      </c>
      <c r="Y441" s="64">
        <f>ROUNDUP((SUMIFS('ON Call_Call Out Activities'!$L:$L,'ON Call_Call Out Activities'!$F:$F,"Non_workdays",'ON Call_Call Out Activities'!$B:$B,CPY!B441)) *24,1)</f>
        <v>0</v>
      </c>
      <c r="Z441" s="63">
        <f>ROUNDUP((SUMIFS('ON Call_Call Out Activities'!$M:$M,'ON Call_Call Out Activities'!$F:$F,"Non_workdays",'ON Call_Call Out Activities'!$B:$B,CPY!B441)),1) + ROUNDUP((SUMIFS('ON Call_Call Out Activities'!$M:$M,'ON Call_Call Out Activities'!$F:$F,"Workdays",'ON Call_Call Out Activities'!$B:$B,CPY!B441)),1)</f>
        <v>0</v>
      </c>
      <c r="AA441" s="66"/>
      <c r="AB441" s="64">
        <f>ROUNDUP((SUMIFS('ON Call_Call Out Activities'!$L:$L,'ON Call_Call Out Activities'!$F:$F,"Call_Out",'ON Call_Call Out Activities'!$B:$B,CPY!B441)) *24,1)</f>
        <v>0</v>
      </c>
      <c r="AC441" s="63">
        <f>ROUNDUP((SUMIFS('ON Call_Call Out Activities'!$M:$M,'ON Call_Call Out Activities'!$F:$F,"Call_Out",'ON Call_Call Out Activities'!$B:$B,CPY!B441)),1)</f>
        <v>0</v>
      </c>
      <c r="AE441" s="65">
        <f>IF((SUMIF(Shift_allowance_Entries!$B:$B,CPY!$B441,Shift_allowance_Entries!$H:$H)) &gt; (SUMIF(Shift_allowance_Entries!$B:$B,CPY!$B441,Shift_allowance_Entries!$G:$G)),0,((SUMIF(Shift_allowance_Entries!$B:$B,CPY!$B441,Shift_allowance_Entries!$G:$G))-(SUMIF(Shift_allowance_Entries!$B:$B,CPY!$B441,Shift_allowance_Entries!$H:$H))))</f>
        <v>0</v>
      </c>
      <c r="AF441" s="63">
        <f>AE441*MD!$S$4</f>
        <v>0</v>
      </c>
    </row>
    <row r="442" spans="1:32" x14ac:dyDescent="0.25">
      <c r="A442" s="62">
        <v>440</v>
      </c>
      <c r="B442" s="62"/>
      <c r="C442" s="50" t="str">
        <f>IF(ISNA(VLOOKUP($B442,Summary!$B:$D,2,FALSE))=TRUE," ",VLOOKUP($B442,Summary!$B:$D,2,FALSE))</f>
        <v> </v>
      </c>
      <c r="D442" s="50" t="str">
        <f>IF(ISNA(VLOOKUP($B442,Summary!$B:$D,3,FALSE))=TRUE," ",VLOOKUP($B442,Summary!$B:$D,3,FALSE))</f>
        <v> </v>
      </c>
      <c r="E442" s="62"/>
      <c r="F442" s="62"/>
      <c r="G442" s="62"/>
      <c r="I442" s="63">
        <f t="shared" si="6"/>
        <v>0</v>
      </c>
      <c r="K442" s="64">
        <f>IF(E442="Support(L1_L2)",IF(NOT(ISBLANK(B442)),IF(NOT(ISBLANK(D442)),NETWORKDAYS('CPY TOC'!$F$5,'CPY TOC'!$G$5))))-L442</f>
        <v>0</v>
      </c>
      <c r="L442" s="64">
        <f>IF(E442="Support(L1_L2)",SUMIFS(Support_allowance_Entries!$G:$G,Support_allowance_Entries!$B:$B,CPY!B442),0)</f>
        <v>0</v>
      </c>
      <c r="M442" s="63" t="b">
        <f>IF($D442="D0",MD!$C$4*(K442),IF($D442="D1",MD!$C$5*(K442),IF($D442="D2",MD!$C$6*(K442),IF($D442="D3",MD!$C$7*(K442),IF($D442="D4",MD!$C$8*(K442),IF($D442="D5",MD!$C$9*(K442),IF($D442="M1",MD!$C$10*(K442),IF($D442="T1",MD!$C$11*(K442)))))))))</f>
        <v>0</v>
      </c>
      <c r="O442" s="65">
        <f>SUMIFS(Shift_allowance_Entries!$G:$G,Shift_allowance_Entries!$F:$F,"6:30AM-03:30PM",Shift_allowance_Entries!$B:$B,CPY!$B442)</f>
        <v>0</v>
      </c>
      <c r="P442" s="65">
        <f>SUMIFS(Shift_allowance_Entries!$G:$G,Shift_allowance_Entries!$F:$F,"1-9PM/2:30PM-11:30PM",Shift_allowance_Entries!$B:$B,CPY!$B442)</f>
        <v>0</v>
      </c>
      <c r="Q442" s="65">
        <f>SUMIFS(Shift_allowance_Entries!$G:$G,Shift_allowance_Entries!$F:$F,"11PM-7AM",Shift_allowance_Entries!$B:$B,CPY!$B442)</f>
        <v>0</v>
      </c>
      <c r="R442" s="63">
        <f>(CPY!O442*MD!$F$4)+(CPY!P442*MD!$F$5)+(CPY!Q442*MD!$F$6)</f>
        <v>0</v>
      </c>
      <c r="T442" s="64">
        <f>ROUNDUP((SUMIFS('OOH Activities'!$K:$K,'OOH Activities'!$F:$F,"Non_workdays",'OOH Activities'!$B:$B,CPY!B442)) *24,1)</f>
        <v>0</v>
      </c>
      <c r="U442" s="64">
        <f>ROUNDUP((SUMIFS('OOH Activities'!$K:$K,'OOH Activities'!$F:$F,"Workdays",'OOH Activities'!$B:$B,CPY!B442)) *24,1)</f>
        <v>0</v>
      </c>
      <c r="V442" s="63">
        <f>ROUNDUP((SUMIFS('OOH Activities'!$L:$L,'OOH Activities'!$B:$B,CPY!B442)),1)</f>
        <v>0</v>
      </c>
      <c r="X442" s="65">
        <f>ROUNDUP((SUMIFS('ON Call_Call Out Activities'!$L:$L,'ON Call_Call Out Activities'!$F:$F,"Workdays",'ON Call_Call Out Activities'!$B:$B,CPY!B442))*24,1)</f>
        <v>0</v>
      </c>
      <c r="Y442" s="64">
        <f>ROUNDUP((SUMIFS('ON Call_Call Out Activities'!$L:$L,'ON Call_Call Out Activities'!$F:$F,"Non_workdays",'ON Call_Call Out Activities'!$B:$B,CPY!B442)) *24,1)</f>
        <v>0</v>
      </c>
      <c r="Z442" s="63">
        <f>ROUNDUP((SUMIFS('ON Call_Call Out Activities'!$M:$M,'ON Call_Call Out Activities'!$F:$F,"Non_workdays",'ON Call_Call Out Activities'!$B:$B,CPY!B442)),1) + ROUNDUP((SUMIFS('ON Call_Call Out Activities'!$M:$M,'ON Call_Call Out Activities'!$F:$F,"Workdays",'ON Call_Call Out Activities'!$B:$B,CPY!B442)),1)</f>
        <v>0</v>
      </c>
      <c r="AA442" s="66"/>
      <c r="AB442" s="64">
        <f>ROUNDUP((SUMIFS('ON Call_Call Out Activities'!$L:$L,'ON Call_Call Out Activities'!$F:$F,"Call_Out",'ON Call_Call Out Activities'!$B:$B,CPY!B442)) *24,1)</f>
        <v>0</v>
      </c>
      <c r="AC442" s="63">
        <f>ROUNDUP((SUMIFS('ON Call_Call Out Activities'!$M:$M,'ON Call_Call Out Activities'!$F:$F,"Call_Out",'ON Call_Call Out Activities'!$B:$B,CPY!B442)),1)</f>
        <v>0</v>
      </c>
      <c r="AE442" s="65">
        <f>IF((SUMIF(Shift_allowance_Entries!$B:$B,CPY!$B442,Shift_allowance_Entries!$H:$H)) &gt; (SUMIF(Shift_allowance_Entries!$B:$B,CPY!$B442,Shift_allowance_Entries!$G:$G)),0,((SUMIF(Shift_allowance_Entries!$B:$B,CPY!$B442,Shift_allowance_Entries!$G:$G))-(SUMIF(Shift_allowance_Entries!$B:$B,CPY!$B442,Shift_allowance_Entries!$H:$H))))</f>
        <v>0</v>
      </c>
      <c r="AF442" s="63">
        <f>AE442*MD!$S$4</f>
        <v>0</v>
      </c>
    </row>
    <row r="443" spans="1:32" x14ac:dyDescent="0.25">
      <c r="A443" s="62">
        <v>441</v>
      </c>
      <c r="B443" s="62"/>
      <c r="C443" s="50" t="str">
        <f>IF(ISNA(VLOOKUP($B443,Summary!$B:$D,2,FALSE))=TRUE," ",VLOOKUP($B443,Summary!$B:$D,2,FALSE))</f>
        <v> </v>
      </c>
      <c r="D443" s="50" t="str">
        <f>IF(ISNA(VLOOKUP($B443,Summary!$B:$D,3,FALSE))=TRUE," ",VLOOKUP($B443,Summary!$B:$D,3,FALSE))</f>
        <v> </v>
      </c>
      <c r="E443" s="62"/>
      <c r="F443" s="62"/>
      <c r="G443" s="62"/>
      <c r="I443" s="63">
        <f t="shared" si="6"/>
        <v>0</v>
      </c>
      <c r="K443" s="64">
        <f>IF(E443="Support(L1_L2)",IF(NOT(ISBLANK(B443)),IF(NOT(ISBLANK(D443)),NETWORKDAYS('CPY TOC'!$F$5,'CPY TOC'!$G$5))))-L443</f>
        <v>0</v>
      </c>
      <c r="L443" s="64">
        <f>IF(E443="Support(L1_L2)",SUMIFS(Support_allowance_Entries!$G:$G,Support_allowance_Entries!$B:$B,CPY!B443),0)</f>
        <v>0</v>
      </c>
      <c r="M443" s="63" t="b">
        <f>IF($D443="D0",MD!$C$4*(K443),IF($D443="D1",MD!$C$5*(K443),IF($D443="D2",MD!$C$6*(K443),IF($D443="D3",MD!$C$7*(K443),IF($D443="D4",MD!$C$8*(K443),IF($D443="D5",MD!$C$9*(K443),IF($D443="M1",MD!$C$10*(K443),IF($D443="T1",MD!$C$11*(K443)))))))))</f>
        <v>0</v>
      </c>
      <c r="O443" s="65">
        <f>SUMIFS(Shift_allowance_Entries!$G:$G,Shift_allowance_Entries!$F:$F,"6:30AM-03:30PM",Shift_allowance_Entries!$B:$B,CPY!$B443)</f>
        <v>0</v>
      </c>
      <c r="P443" s="65">
        <f>SUMIFS(Shift_allowance_Entries!$G:$G,Shift_allowance_Entries!$F:$F,"1-9PM/2:30PM-11:30PM",Shift_allowance_Entries!$B:$B,CPY!$B443)</f>
        <v>0</v>
      </c>
      <c r="Q443" s="65">
        <f>SUMIFS(Shift_allowance_Entries!$G:$G,Shift_allowance_Entries!$F:$F,"11PM-7AM",Shift_allowance_Entries!$B:$B,CPY!$B443)</f>
        <v>0</v>
      </c>
      <c r="R443" s="63">
        <f>(CPY!O443*MD!$F$4)+(CPY!P443*MD!$F$5)+(CPY!Q443*MD!$F$6)</f>
        <v>0</v>
      </c>
      <c r="T443" s="64">
        <f>ROUNDUP((SUMIFS('OOH Activities'!$K:$K,'OOH Activities'!$F:$F,"Non_workdays",'OOH Activities'!$B:$B,CPY!B443)) *24,1)</f>
        <v>0</v>
      </c>
      <c r="U443" s="64">
        <f>ROUNDUP((SUMIFS('OOH Activities'!$K:$K,'OOH Activities'!$F:$F,"Workdays",'OOH Activities'!$B:$B,CPY!B443)) *24,1)</f>
        <v>0</v>
      </c>
      <c r="V443" s="63">
        <f>ROUNDUP((SUMIFS('OOH Activities'!$L:$L,'OOH Activities'!$B:$B,CPY!B443)),1)</f>
        <v>0</v>
      </c>
      <c r="X443" s="65">
        <f>ROUNDUP((SUMIFS('ON Call_Call Out Activities'!$L:$L,'ON Call_Call Out Activities'!$F:$F,"Workdays",'ON Call_Call Out Activities'!$B:$B,CPY!B443))*24,1)</f>
        <v>0</v>
      </c>
      <c r="Y443" s="64">
        <f>ROUNDUP((SUMIFS('ON Call_Call Out Activities'!$L:$L,'ON Call_Call Out Activities'!$F:$F,"Non_workdays",'ON Call_Call Out Activities'!$B:$B,CPY!B443)) *24,1)</f>
        <v>0</v>
      </c>
      <c r="Z443" s="63">
        <f>ROUNDUP((SUMIFS('ON Call_Call Out Activities'!$M:$M,'ON Call_Call Out Activities'!$F:$F,"Non_workdays",'ON Call_Call Out Activities'!$B:$B,CPY!B443)),1) + ROUNDUP((SUMIFS('ON Call_Call Out Activities'!$M:$M,'ON Call_Call Out Activities'!$F:$F,"Workdays",'ON Call_Call Out Activities'!$B:$B,CPY!B443)),1)</f>
        <v>0</v>
      </c>
      <c r="AA443" s="66"/>
      <c r="AB443" s="64">
        <f>ROUNDUP((SUMIFS('ON Call_Call Out Activities'!$L:$L,'ON Call_Call Out Activities'!$F:$F,"Call_Out",'ON Call_Call Out Activities'!$B:$B,CPY!B443)) *24,1)</f>
        <v>0</v>
      </c>
      <c r="AC443" s="63">
        <f>ROUNDUP((SUMIFS('ON Call_Call Out Activities'!$M:$M,'ON Call_Call Out Activities'!$F:$F,"Call_Out",'ON Call_Call Out Activities'!$B:$B,CPY!B443)),1)</f>
        <v>0</v>
      </c>
      <c r="AE443" s="65">
        <f>IF((SUMIF(Shift_allowance_Entries!$B:$B,CPY!$B443,Shift_allowance_Entries!$H:$H)) &gt; (SUMIF(Shift_allowance_Entries!$B:$B,CPY!$B443,Shift_allowance_Entries!$G:$G)),0,((SUMIF(Shift_allowance_Entries!$B:$B,CPY!$B443,Shift_allowance_Entries!$G:$G))-(SUMIF(Shift_allowance_Entries!$B:$B,CPY!$B443,Shift_allowance_Entries!$H:$H))))</f>
        <v>0</v>
      </c>
      <c r="AF443" s="63">
        <f>AE443*MD!$S$4</f>
        <v>0</v>
      </c>
    </row>
    <row r="444" spans="1:32" x14ac:dyDescent="0.25">
      <c r="A444" s="62">
        <v>442</v>
      </c>
      <c r="B444" s="62"/>
      <c r="C444" s="50" t="str">
        <f>IF(ISNA(VLOOKUP($B444,Summary!$B:$D,2,FALSE))=TRUE," ",VLOOKUP($B444,Summary!$B:$D,2,FALSE))</f>
        <v> </v>
      </c>
      <c r="D444" s="50" t="str">
        <f>IF(ISNA(VLOOKUP($B444,Summary!$B:$D,3,FALSE))=TRUE," ",VLOOKUP($B444,Summary!$B:$D,3,FALSE))</f>
        <v> </v>
      </c>
      <c r="E444" s="62"/>
      <c r="F444" s="62"/>
      <c r="G444" s="62"/>
      <c r="I444" s="63">
        <f t="shared" si="6"/>
        <v>0</v>
      </c>
      <c r="K444" s="64">
        <f>IF(E444="Support(L1_L2)",IF(NOT(ISBLANK(B444)),IF(NOT(ISBLANK(D444)),NETWORKDAYS('CPY TOC'!$F$5,'CPY TOC'!$G$5))))-L444</f>
        <v>0</v>
      </c>
      <c r="L444" s="64">
        <f>IF(E444="Support(L1_L2)",SUMIFS(Support_allowance_Entries!$G:$G,Support_allowance_Entries!$B:$B,CPY!B444),0)</f>
        <v>0</v>
      </c>
      <c r="M444" s="63" t="b">
        <f>IF($D444="D0",MD!$C$4*(K444),IF($D444="D1",MD!$C$5*(K444),IF($D444="D2",MD!$C$6*(K444),IF($D444="D3",MD!$C$7*(K444),IF($D444="D4",MD!$C$8*(K444),IF($D444="D5",MD!$C$9*(K444),IF($D444="M1",MD!$C$10*(K444),IF($D444="T1",MD!$C$11*(K444)))))))))</f>
        <v>0</v>
      </c>
      <c r="O444" s="65">
        <f>SUMIFS(Shift_allowance_Entries!$G:$G,Shift_allowance_Entries!$F:$F,"6:30AM-03:30PM",Shift_allowance_Entries!$B:$B,CPY!$B444)</f>
        <v>0</v>
      </c>
      <c r="P444" s="65">
        <f>SUMIFS(Shift_allowance_Entries!$G:$G,Shift_allowance_Entries!$F:$F,"1-9PM/2:30PM-11:30PM",Shift_allowance_Entries!$B:$B,CPY!$B444)</f>
        <v>0</v>
      </c>
      <c r="Q444" s="65">
        <f>SUMIFS(Shift_allowance_Entries!$G:$G,Shift_allowance_Entries!$F:$F,"11PM-7AM",Shift_allowance_Entries!$B:$B,CPY!$B444)</f>
        <v>0</v>
      </c>
      <c r="R444" s="63">
        <f>(CPY!O444*MD!$F$4)+(CPY!P444*MD!$F$5)+(CPY!Q444*MD!$F$6)</f>
        <v>0</v>
      </c>
      <c r="T444" s="64">
        <f>ROUNDUP((SUMIFS('OOH Activities'!$K:$K,'OOH Activities'!$F:$F,"Non_workdays",'OOH Activities'!$B:$B,CPY!B444)) *24,1)</f>
        <v>0</v>
      </c>
      <c r="U444" s="64">
        <f>ROUNDUP((SUMIFS('OOH Activities'!$K:$K,'OOH Activities'!$F:$F,"Workdays",'OOH Activities'!$B:$B,CPY!B444)) *24,1)</f>
        <v>0</v>
      </c>
      <c r="V444" s="63">
        <f>ROUNDUP((SUMIFS('OOH Activities'!$L:$L,'OOH Activities'!$B:$B,CPY!B444)),1)</f>
        <v>0</v>
      </c>
      <c r="X444" s="65">
        <f>ROUNDUP((SUMIFS('ON Call_Call Out Activities'!$L:$L,'ON Call_Call Out Activities'!$F:$F,"Workdays",'ON Call_Call Out Activities'!$B:$B,CPY!B444))*24,1)</f>
        <v>0</v>
      </c>
      <c r="Y444" s="64">
        <f>ROUNDUP((SUMIFS('ON Call_Call Out Activities'!$L:$L,'ON Call_Call Out Activities'!$F:$F,"Non_workdays",'ON Call_Call Out Activities'!$B:$B,CPY!B444)) *24,1)</f>
        <v>0</v>
      </c>
      <c r="Z444" s="63">
        <f>ROUNDUP((SUMIFS('ON Call_Call Out Activities'!$M:$M,'ON Call_Call Out Activities'!$F:$F,"Non_workdays",'ON Call_Call Out Activities'!$B:$B,CPY!B444)),1) + ROUNDUP((SUMIFS('ON Call_Call Out Activities'!$M:$M,'ON Call_Call Out Activities'!$F:$F,"Workdays",'ON Call_Call Out Activities'!$B:$B,CPY!B444)),1)</f>
        <v>0</v>
      </c>
      <c r="AA444" s="66"/>
      <c r="AB444" s="64">
        <f>ROUNDUP((SUMIFS('ON Call_Call Out Activities'!$L:$L,'ON Call_Call Out Activities'!$F:$F,"Call_Out",'ON Call_Call Out Activities'!$B:$B,CPY!B444)) *24,1)</f>
        <v>0</v>
      </c>
      <c r="AC444" s="63">
        <f>ROUNDUP((SUMIFS('ON Call_Call Out Activities'!$M:$M,'ON Call_Call Out Activities'!$F:$F,"Call_Out",'ON Call_Call Out Activities'!$B:$B,CPY!B444)),1)</f>
        <v>0</v>
      </c>
      <c r="AE444" s="65">
        <f>IF((SUMIF(Shift_allowance_Entries!$B:$B,CPY!$B444,Shift_allowance_Entries!$H:$H)) &gt; (SUMIF(Shift_allowance_Entries!$B:$B,CPY!$B444,Shift_allowance_Entries!$G:$G)),0,((SUMIF(Shift_allowance_Entries!$B:$B,CPY!$B444,Shift_allowance_Entries!$G:$G))-(SUMIF(Shift_allowance_Entries!$B:$B,CPY!$B444,Shift_allowance_Entries!$H:$H))))</f>
        <v>0</v>
      </c>
      <c r="AF444" s="63">
        <f>AE444*MD!$S$4</f>
        <v>0</v>
      </c>
    </row>
    <row r="445" spans="1:32" x14ac:dyDescent="0.25">
      <c r="A445" s="62">
        <v>443</v>
      </c>
      <c r="B445" s="62"/>
      <c r="C445" s="50" t="str">
        <f>IF(ISNA(VLOOKUP($B445,Summary!$B:$D,2,FALSE))=TRUE," ",VLOOKUP($B445,Summary!$B:$D,2,FALSE))</f>
        <v> </v>
      </c>
      <c r="D445" s="50" t="str">
        <f>IF(ISNA(VLOOKUP($B445,Summary!$B:$D,3,FALSE))=TRUE," ",VLOOKUP($B445,Summary!$B:$D,3,FALSE))</f>
        <v> </v>
      </c>
      <c r="E445" s="62"/>
      <c r="F445" s="62"/>
      <c r="G445" s="62"/>
      <c r="I445" s="63">
        <f t="shared" si="6"/>
        <v>0</v>
      </c>
      <c r="K445" s="64">
        <f>IF(E445="Support(L1_L2)",IF(NOT(ISBLANK(B445)),IF(NOT(ISBLANK(D445)),NETWORKDAYS('CPY TOC'!$F$5,'CPY TOC'!$G$5))))-L445</f>
        <v>0</v>
      </c>
      <c r="L445" s="64">
        <f>IF(E445="Support(L1_L2)",SUMIFS(Support_allowance_Entries!$G:$G,Support_allowance_Entries!$B:$B,CPY!B445),0)</f>
        <v>0</v>
      </c>
      <c r="M445" s="63" t="b">
        <f>IF($D445="D0",MD!$C$4*(K445),IF($D445="D1",MD!$C$5*(K445),IF($D445="D2",MD!$C$6*(K445),IF($D445="D3",MD!$C$7*(K445),IF($D445="D4",MD!$C$8*(K445),IF($D445="D5",MD!$C$9*(K445),IF($D445="M1",MD!$C$10*(K445),IF($D445="T1",MD!$C$11*(K445)))))))))</f>
        <v>0</v>
      </c>
      <c r="O445" s="65">
        <f>SUMIFS(Shift_allowance_Entries!$G:$G,Shift_allowance_Entries!$F:$F,"6:30AM-03:30PM",Shift_allowance_Entries!$B:$B,CPY!$B445)</f>
        <v>0</v>
      </c>
      <c r="P445" s="65">
        <f>SUMIFS(Shift_allowance_Entries!$G:$G,Shift_allowance_Entries!$F:$F,"1-9PM/2:30PM-11:30PM",Shift_allowance_Entries!$B:$B,CPY!$B445)</f>
        <v>0</v>
      </c>
      <c r="Q445" s="65">
        <f>SUMIFS(Shift_allowance_Entries!$G:$G,Shift_allowance_Entries!$F:$F,"11PM-7AM",Shift_allowance_Entries!$B:$B,CPY!$B445)</f>
        <v>0</v>
      </c>
      <c r="R445" s="63">
        <f>(CPY!O445*MD!$F$4)+(CPY!P445*MD!$F$5)+(CPY!Q445*MD!$F$6)</f>
        <v>0</v>
      </c>
      <c r="T445" s="64">
        <f>ROUNDUP((SUMIFS('OOH Activities'!$K:$K,'OOH Activities'!$F:$F,"Non_workdays",'OOH Activities'!$B:$B,CPY!B445)) *24,1)</f>
        <v>0</v>
      </c>
      <c r="U445" s="64">
        <f>ROUNDUP((SUMIFS('OOH Activities'!$K:$K,'OOH Activities'!$F:$F,"Workdays",'OOH Activities'!$B:$B,CPY!B445)) *24,1)</f>
        <v>0</v>
      </c>
      <c r="V445" s="63">
        <f>ROUNDUP((SUMIFS('OOH Activities'!$L:$L,'OOH Activities'!$B:$B,CPY!B445)),1)</f>
        <v>0</v>
      </c>
      <c r="X445" s="65">
        <f>ROUNDUP((SUMIFS('ON Call_Call Out Activities'!$L:$L,'ON Call_Call Out Activities'!$F:$F,"Workdays",'ON Call_Call Out Activities'!$B:$B,CPY!B445))*24,1)</f>
        <v>0</v>
      </c>
      <c r="Y445" s="64">
        <f>ROUNDUP((SUMIFS('ON Call_Call Out Activities'!$L:$L,'ON Call_Call Out Activities'!$F:$F,"Non_workdays",'ON Call_Call Out Activities'!$B:$B,CPY!B445)) *24,1)</f>
        <v>0</v>
      </c>
      <c r="Z445" s="63">
        <f>ROUNDUP((SUMIFS('ON Call_Call Out Activities'!$M:$M,'ON Call_Call Out Activities'!$F:$F,"Non_workdays",'ON Call_Call Out Activities'!$B:$B,CPY!B445)),1) + ROUNDUP((SUMIFS('ON Call_Call Out Activities'!$M:$M,'ON Call_Call Out Activities'!$F:$F,"Workdays",'ON Call_Call Out Activities'!$B:$B,CPY!B445)),1)</f>
        <v>0</v>
      </c>
      <c r="AA445" s="66"/>
      <c r="AB445" s="64">
        <f>ROUNDUP((SUMIFS('ON Call_Call Out Activities'!$L:$L,'ON Call_Call Out Activities'!$F:$F,"Call_Out",'ON Call_Call Out Activities'!$B:$B,CPY!B445)) *24,1)</f>
        <v>0</v>
      </c>
      <c r="AC445" s="63">
        <f>ROUNDUP((SUMIFS('ON Call_Call Out Activities'!$M:$M,'ON Call_Call Out Activities'!$F:$F,"Call_Out",'ON Call_Call Out Activities'!$B:$B,CPY!B445)),1)</f>
        <v>0</v>
      </c>
      <c r="AE445" s="65">
        <f>IF((SUMIF(Shift_allowance_Entries!$B:$B,CPY!$B445,Shift_allowance_Entries!$H:$H)) &gt; (SUMIF(Shift_allowance_Entries!$B:$B,CPY!$B445,Shift_allowance_Entries!$G:$G)),0,((SUMIF(Shift_allowance_Entries!$B:$B,CPY!$B445,Shift_allowance_Entries!$G:$G))-(SUMIF(Shift_allowance_Entries!$B:$B,CPY!$B445,Shift_allowance_Entries!$H:$H))))</f>
        <v>0</v>
      </c>
      <c r="AF445" s="63">
        <f>AE445*MD!$S$4</f>
        <v>0</v>
      </c>
    </row>
    <row r="446" spans="1:32" x14ac:dyDescent="0.25">
      <c r="A446" s="62">
        <v>444</v>
      </c>
      <c r="B446" s="62"/>
      <c r="C446" s="50" t="str">
        <f>IF(ISNA(VLOOKUP($B446,Summary!$B:$D,2,FALSE))=TRUE," ",VLOOKUP($B446,Summary!$B:$D,2,FALSE))</f>
        <v> </v>
      </c>
      <c r="D446" s="50" t="str">
        <f>IF(ISNA(VLOOKUP($B446,Summary!$B:$D,3,FALSE))=TRUE," ",VLOOKUP($B446,Summary!$B:$D,3,FALSE))</f>
        <v> </v>
      </c>
      <c r="E446" s="62"/>
      <c r="F446" s="62"/>
      <c r="G446" s="62"/>
      <c r="I446" s="63">
        <f t="shared" si="6"/>
        <v>0</v>
      </c>
      <c r="K446" s="64">
        <f>IF(E446="Support(L1_L2)",IF(NOT(ISBLANK(B446)),IF(NOT(ISBLANK(D446)),NETWORKDAYS('CPY TOC'!$F$5,'CPY TOC'!$G$5))))-L446</f>
        <v>0</v>
      </c>
      <c r="L446" s="64">
        <f>IF(E446="Support(L1_L2)",SUMIFS(Support_allowance_Entries!$G:$G,Support_allowance_Entries!$B:$B,CPY!B446),0)</f>
        <v>0</v>
      </c>
      <c r="M446" s="63" t="b">
        <f>IF($D446="D0",MD!$C$4*(K446),IF($D446="D1",MD!$C$5*(K446),IF($D446="D2",MD!$C$6*(K446),IF($D446="D3",MD!$C$7*(K446),IF($D446="D4",MD!$C$8*(K446),IF($D446="D5",MD!$C$9*(K446),IF($D446="M1",MD!$C$10*(K446),IF($D446="T1",MD!$C$11*(K446)))))))))</f>
        <v>0</v>
      </c>
      <c r="O446" s="65">
        <f>SUMIFS(Shift_allowance_Entries!$G:$G,Shift_allowance_Entries!$F:$F,"6:30AM-03:30PM",Shift_allowance_Entries!$B:$B,CPY!$B446)</f>
        <v>0</v>
      </c>
      <c r="P446" s="65">
        <f>SUMIFS(Shift_allowance_Entries!$G:$G,Shift_allowance_Entries!$F:$F,"1-9PM/2:30PM-11:30PM",Shift_allowance_Entries!$B:$B,CPY!$B446)</f>
        <v>0</v>
      </c>
      <c r="Q446" s="65">
        <f>SUMIFS(Shift_allowance_Entries!$G:$G,Shift_allowance_Entries!$F:$F,"11PM-7AM",Shift_allowance_Entries!$B:$B,CPY!$B446)</f>
        <v>0</v>
      </c>
      <c r="R446" s="63">
        <f>(CPY!O446*MD!$F$4)+(CPY!P446*MD!$F$5)+(CPY!Q446*MD!$F$6)</f>
        <v>0</v>
      </c>
      <c r="T446" s="64">
        <f>ROUNDUP((SUMIFS('OOH Activities'!$K:$K,'OOH Activities'!$F:$F,"Non_workdays",'OOH Activities'!$B:$B,CPY!B446)) *24,1)</f>
        <v>0</v>
      </c>
      <c r="U446" s="64">
        <f>ROUNDUP((SUMIFS('OOH Activities'!$K:$K,'OOH Activities'!$F:$F,"Workdays",'OOH Activities'!$B:$B,CPY!B446)) *24,1)</f>
        <v>0</v>
      </c>
      <c r="V446" s="63">
        <f>ROUNDUP((SUMIFS('OOH Activities'!$L:$L,'OOH Activities'!$B:$B,CPY!B446)),1)</f>
        <v>0</v>
      </c>
      <c r="X446" s="65">
        <f>ROUNDUP((SUMIFS('ON Call_Call Out Activities'!$L:$L,'ON Call_Call Out Activities'!$F:$F,"Workdays",'ON Call_Call Out Activities'!$B:$B,CPY!B446))*24,1)</f>
        <v>0</v>
      </c>
      <c r="Y446" s="64">
        <f>ROUNDUP((SUMIFS('ON Call_Call Out Activities'!$L:$L,'ON Call_Call Out Activities'!$F:$F,"Non_workdays",'ON Call_Call Out Activities'!$B:$B,CPY!B446)) *24,1)</f>
        <v>0</v>
      </c>
      <c r="Z446" s="63">
        <f>ROUNDUP((SUMIFS('ON Call_Call Out Activities'!$M:$M,'ON Call_Call Out Activities'!$F:$F,"Non_workdays",'ON Call_Call Out Activities'!$B:$B,CPY!B446)),1) + ROUNDUP((SUMIFS('ON Call_Call Out Activities'!$M:$M,'ON Call_Call Out Activities'!$F:$F,"Workdays",'ON Call_Call Out Activities'!$B:$B,CPY!B446)),1)</f>
        <v>0</v>
      </c>
      <c r="AA446" s="66"/>
      <c r="AB446" s="64">
        <f>ROUNDUP((SUMIFS('ON Call_Call Out Activities'!$L:$L,'ON Call_Call Out Activities'!$F:$F,"Call_Out",'ON Call_Call Out Activities'!$B:$B,CPY!B446)) *24,1)</f>
        <v>0</v>
      </c>
      <c r="AC446" s="63">
        <f>ROUNDUP((SUMIFS('ON Call_Call Out Activities'!$M:$M,'ON Call_Call Out Activities'!$F:$F,"Call_Out",'ON Call_Call Out Activities'!$B:$B,CPY!B446)),1)</f>
        <v>0</v>
      </c>
      <c r="AE446" s="65">
        <f>IF((SUMIF(Shift_allowance_Entries!$B:$B,CPY!$B446,Shift_allowance_Entries!$H:$H)) &gt; (SUMIF(Shift_allowance_Entries!$B:$B,CPY!$B446,Shift_allowance_Entries!$G:$G)),0,((SUMIF(Shift_allowance_Entries!$B:$B,CPY!$B446,Shift_allowance_Entries!$G:$G))-(SUMIF(Shift_allowance_Entries!$B:$B,CPY!$B446,Shift_allowance_Entries!$H:$H))))</f>
        <v>0</v>
      </c>
      <c r="AF446" s="63">
        <f>AE446*MD!$S$4</f>
        <v>0</v>
      </c>
    </row>
    <row r="447" spans="1:32" x14ac:dyDescent="0.25">
      <c r="A447" s="62">
        <v>445</v>
      </c>
      <c r="B447" s="62"/>
      <c r="C447" s="50" t="str">
        <f>IF(ISNA(VLOOKUP($B447,Summary!$B:$D,2,FALSE))=TRUE," ",VLOOKUP($B447,Summary!$B:$D,2,FALSE))</f>
        <v> </v>
      </c>
      <c r="D447" s="50" t="str">
        <f>IF(ISNA(VLOOKUP($B447,Summary!$B:$D,3,FALSE))=TRUE," ",VLOOKUP($B447,Summary!$B:$D,3,FALSE))</f>
        <v> </v>
      </c>
      <c r="E447" s="62"/>
      <c r="F447" s="62"/>
      <c r="G447" s="62"/>
      <c r="I447" s="63">
        <f t="shared" si="6"/>
        <v>0</v>
      </c>
      <c r="K447" s="64">
        <f>IF(E447="Support(L1_L2)",IF(NOT(ISBLANK(B447)),IF(NOT(ISBLANK(D447)),NETWORKDAYS('CPY TOC'!$F$5,'CPY TOC'!$G$5))))-L447</f>
        <v>0</v>
      </c>
      <c r="L447" s="64">
        <f>IF(E447="Support(L1_L2)",SUMIFS(Support_allowance_Entries!$G:$G,Support_allowance_Entries!$B:$B,CPY!B447),0)</f>
        <v>0</v>
      </c>
      <c r="M447" s="63" t="b">
        <f>IF($D447="D0",MD!$C$4*(K447),IF($D447="D1",MD!$C$5*(K447),IF($D447="D2",MD!$C$6*(K447),IF($D447="D3",MD!$C$7*(K447),IF($D447="D4",MD!$C$8*(K447),IF($D447="D5",MD!$C$9*(K447),IF($D447="M1",MD!$C$10*(K447),IF($D447="T1",MD!$C$11*(K447)))))))))</f>
        <v>0</v>
      </c>
      <c r="O447" s="65">
        <f>SUMIFS(Shift_allowance_Entries!$G:$G,Shift_allowance_Entries!$F:$F,"6:30AM-03:30PM",Shift_allowance_Entries!$B:$B,CPY!$B447)</f>
        <v>0</v>
      </c>
      <c r="P447" s="65">
        <f>SUMIFS(Shift_allowance_Entries!$G:$G,Shift_allowance_Entries!$F:$F,"1-9PM/2:30PM-11:30PM",Shift_allowance_Entries!$B:$B,CPY!$B447)</f>
        <v>0</v>
      </c>
      <c r="Q447" s="65">
        <f>SUMIFS(Shift_allowance_Entries!$G:$G,Shift_allowance_Entries!$F:$F,"11PM-7AM",Shift_allowance_Entries!$B:$B,CPY!$B447)</f>
        <v>0</v>
      </c>
      <c r="R447" s="63">
        <f>(CPY!O447*MD!$F$4)+(CPY!P447*MD!$F$5)+(CPY!Q447*MD!$F$6)</f>
        <v>0</v>
      </c>
      <c r="T447" s="64">
        <f>ROUNDUP((SUMIFS('OOH Activities'!$K:$K,'OOH Activities'!$F:$F,"Non_workdays",'OOH Activities'!$B:$B,CPY!B447)) *24,1)</f>
        <v>0</v>
      </c>
      <c r="U447" s="64">
        <f>ROUNDUP((SUMIFS('OOH Activities'!$K:$K,'OOH Activities'!$F:$F,"Workdays",'OOH Activities'!$B:$B,CPY!B447)) *24,1)</f>
        <v>0</v>
      </c>
      <c r="V447" s="63">
        <f>ROUNDUP((SUMIFS('OOH Activities'!$L:$L,'OOH Activities'!$B:$B,CPY!B447)),1)</f>
        <v>0</v>
      </c>
      <c r="X447" s="65">
        <f>ROUNDUP((SUMIFS('ON Call_Call Out Activities'!$L:$L,'ON Call_Call Out Activities'!$F:$F,"Workdays",'ON Call_Call Out Activities'!$B:$B,CPY!B447))*24,1)</f>
        <v>0</v>
      </c>
      <c r="Y447" s="64">
        <f>ROUNDUP((SUMIFS('ON Call_Call Out Activities'!$L:$L,'ON Call_Call Out Activities'!$F:$F,"Non_workdays",'ON Call_Call Out Activities'!$B:$B,CPY!B447)) *24,1)</f>
        <v>0</v>
      </c>
      <c r="Z447" s="63">
        <f>ROUNDUP((SUMIFS('ON Call_Call Out Activities'!$M:$M,'ON Call_Call Out Activities'!$F:$F,"Non_workdays",'ON Call_Call Out Activities'!$B:$B,CPY!B447)),1) + ROUNDUP((SUMIFS('ON Call_Call Out Activities'!$M:$M,'ON Call_Call Out Activities'!$F:$F,"Workdays",'ON Call_Call Out Activities'!$B:$B,CPY!B447)),1)</f>
        <v>0</v>
      </c>
      <c r="AA447" s="66"/>
      <c r="AB447" s="64">
        <f>ROUNDUP((SUMIFS('ON Call_Call Out Activities'!$L:$L,'ON Call_Call Out Activities'!$F:$F,"Call_Out",'ON Call_Call Out Activities'!$B:$B,CPY!B447)) *24,1)</f>
        <v>0</v>
      </c>
      <c r="AC447" s="63">
        <f>ROUNDUP((SUMIFS('ON Call_Call Out Activities'!$M:$M,'ON Call_Call Out Activities'!$F:$F,"Call_Out",'ON Call_Call Out Activities'!$B:$B,CPY!B447)),1)</f>
        <v>0</v>
      </c>
      <c r="AE447" s="65">
        <f>IF((SUMIF(Shift_allowance_Entries!$B:$B,CPY!$B447,Shift_allowance_Entries!$H:$H)) &gt; (SUMIF(Shift_allowance_Entries!$B:$B,CPY!$B447,Shift_allowance_Entries!$G:$G)),0,((SUMIF(Shift_allowance_Entries!$B:$B,CPY!$B447,Shift_allowance_Entries!$G:$G))-(SUMIF(Shift_allowance_Entries!$B:$B,CPY!$B447,Shift_allowance_Entries!$H:$H))))</f>
        <v>0</v>
      </c>
      <c r="AF447" s="63">
        <f>AE447*MD!$S$4</f>
        <v>0</v>
      </c>
    </row>
    <row r="448" spans="1:32" x14ac:dyDescent="0.25">
      <c r="A448" s="62">
        <v>446</v>
      </c>
      <c r="B448" s="62"/>
      <c r="C448" s="50" t="str">
        <f>IF(ISNA(VLOOKUP($B448,Summary!$B:$D,2,FALSE))=TRUE," ",VLOOKUP($B448,Summary!$B:$D,2,FALSE))</f>
        <v> </v>
      </c>
      <c r="D448" s="50" t="str">
        <f>IF(ISNA(VLOOKUP($B448,Summary!$B:$D,3,FALSE))=TRUE," ",VLOOKUP($B448,Summary!$B:$D,3,FALSE))</f>
        <v> </v>
      </c>
      <c r="E448" s="62"/>
      <c r="F448" s="62"/>
      <c r="G448" s="62"/>
      <c r="I448" s="63">
        <f t="shared" si="6"/>
        <v>0</v>
      </c>
      <c r="K448" s="64">
        <f>IF(E448="Support(L1_L2)",IF(NOT(ISBLANK(B448)),IF(NOT(ISBLANK(D448)),NETWORKDAYS('CPY TOC'!$F$5,'CPY TOC'!$G$5))))-L448</f>
        <v>0</v>
      </c>
      <c r="L448" s="64">
        <f>IF(E448="Support(L1_L2)",SUMIFS(Support_allowance_Entries!$G:$G,Support_allowance_Entries!$B:$B,CPY!B448),0)</f>
        <v>0</v>
      </c>
      <c r="M448" s="63" t="b">
        <f>IF($D448="D0",MD!$C$4*(K448),IF($D448="D1",MD!$C$5*(K448),IF($D448="D2",MD!$C$6*(K448),IF($D448="D3",MD!$C$7*(K448),IF($D448="D4",MD!$C$8*(K448),IF($D448="D5",MD!$C$9*(K448),IF($D448="M1",MD!$C$10*(K448),IF($D448="T1",MD!$C$11*(K448)))))))))</f>
        <v>0</v>
      </c>
      <c r="O448" s="65">
        <f>SUMIFS(Shift_allowance_Entries!$G:$G,Shift_allowance_Entries!$F:$F,"6:30AM-03:30PM",Shift_allowance_Entries!$B:$B,CPY!$B448)</f>
        <v>0</v>
      </c>
      <c r="P448" s="65">
        <f>SUMIFS(Shift_allowance_Entries!$G:$G,Shift_allowance_Entries!$F:$F,"1-9PM/2:30PM-11:30PM",Shift_allowance_Entries!$B:$B,CPY!$B448)</f>
        <v>0</v>
      </c>
      <c r="Q448" s="65">
        <f>SUMIFS(Shift_allowance_Entries!$G:$G,Shift_allowance_Entries!$F:$F,"11PM-7AM",Shift_allowance_Entries!$B:$B,CPY!$B448)</f>
        <v>0</v>
      </c>
      <c r="R448" s="63">
        <f>(CPY!O448*MD!$F$4)+(CPY!P448*MD!$F$5)+(CPY!Q448*MD!$F$6)</f>
        <v>0</v>
      </c>
      <c r="T448" s="64">
        <f>ROUNDUP((SUMIFS('OOH Activities'!$K:$K,'OOH Activities'!$F:$F,"Non_workdays",'OOH Activities'!$B:$B,CPY!B448)) *24,1)</f>
        <v>0</v>
      </c>
      <c r="U448" s="64">
        <f>ROUNDUP((SUMIFS('OOH Activities'!$K:$K,'OOH Activities'!$F:$F,"Workdays",'OOH Activities'!$B:$B,CPY!B448)) *24,1)</f>
        <v>0</v>
      </c>
      <c r="V448" s="63">
        <f>ROUNDUP((SUMIFS('OOH Activities'!$L:$L,'OOH Activities'!$B:$B,CPY!B448)),1)</f>
        <v>0</v>
      </c>
      <c r="X448" s="65">
        <f>ROUNDUP((SUMIFS('ON Call_Call Out Activities'!$L:$L,'ON Call_Call Out Activities'!$F:$F,"Workdays",'ON Call_Call Out Activities'!$B:$B,CPY!B448))*24,1)</f>
        <v>0</v>
      </c>
      <c r="Y448" s="64">
        <f>ROUNDUP((SUMIFS('ON Call_Call Out Activities'!$L:$L,'ON Call_Call Out Activities'!$F:$F,"Non_workdays",'ON Call_Call Out Activities'!$B:$B,CPY!B448)) *24,1)</f>
        <v>0</v>
      </c>
      <c r="Z448" s="63">
        <f>ROUNDUP((SUMIFS('ON Call_Call Out Activities'!$M:$M,'ON Call_Call Out Activities'!$F:$F,"Non_workdays",'ON Call_Call Out Activities'!$B:$B,CPY!B448)),1) + ROUNDUP((SUMIFS('ON Call_Call Out Activities'!$M:$M,'ON Call_Call Out Activities'!$F:$F,"Workdays",'ON Call_Call Out Activities'!$B:$B,CPY!B448)),1)</f>
        <v>0</v>
      </c>
      <c r="AA448" s="66"/>
      <c r="AB448" s="64">
        <f>ROUNDUP((SUMIFS('ON Call_Call Out Activities'!$L:$L,'ON Call_Call Out Activities'!$F:$F,"Call_Out",'ON Call_Call Out Activities'!$B:$B,CPY!B448)) *24,1)</f>
        <v>0</v>
      </c>
      <c r="AC448" s="63">
        <f>ROUNDUP((SUMIFS('ON Call_Call Out Activities'!$M:$M,'ON Call_Call Out Activities'!$F:$F,"Call_Out",'ON Call_Call Out Activities'!$B:$B,CPY!B448)),1)</f>
        <v>0</v>
      </c>
      <c r="AE448" s="65">
        <f>IF((SUMIF(Shift_allowance_Entries!$B:$B,CPY!$B448,Shift_allowance_Entries!$H:$H)) &gt; (SUMIF(Shift_allowance_Entries!$B:$B,CPY!$B448,Shift_allowance_Entries!$G:$G)),0,((SUMIF(Shift_allowance_Entries!$B:$B,CPY!$B448,Shift_allowance_Entries!$G:$G))-(SUMIF(Shift_allowance_Entries!$B:$B,CPY!$B448,Shift_allowance_Entries!$H:$H))))</f>
        <v>0</v>
      </c>
      <c r="AF448" s="63">
        <f>AE448*MD!$S$4</f>
        <v>0</v>
      </c>
    </row>
    <row r="449" spans="1:32" x14ac:dyDescent="0.25">
      <c r="A449" s="62">
        <v>447</v>
      </c>
      <c r="B449" s="62"/>
      <c r="C449" s="50" t="str">
        <f>IF(ISNA(VLOOKUP($B449,Summary!$B:$D,2,FALSE))=TRUE," ",VLOOKUP($B449,Summary!$B:$D,2,FALSE))</f>
        <v> </v>
      </c>
      <c r="D449" s="50" t="str">
        <f>IF(ISNA(VLOOKUP($B449,Summary!$B:$D,3,FALSE))=TRUE," ",VLOOKUP($B449,Summary!$B:$D,3,FALSE))</f>
        <v> </v>
      </c>
      <c r="E449" s="62"/>
      <c r="F449" s="62"/>
      <c r="G449" s="62"/>
      <c r="I449" s="63">
        <f t="shared" si="6"/>
        <v>0</v>
      </c>
      <c r="K449" s="64">
        <f>IF(E449="Support(L1_L2)",IF(NOT(ISBLANK(B449)),IF(NOT(ISBLANK(D449)),NETWORKDAYS('CPY TOC'!$F$5,'CPY TOC'!$G$5))))-L449</f>
        <v>0</v>
      </c>
      <c r="L449" s="64">
        <f>IF(E449="Support(L1_L2)",SUMIFS(Support_allowance_Entries!$G:$G,Support_allowance_Entries!$B:$B,CPY!B449),0)</f>
        <v>0</v>
      </c>
      <c r="M449" s="63" t="b">
        <f>IF($D449="D0",MD!$C$4*(K449),IF($D449="D1",MD!$C$5*(K449),IF($D449="D2",MD!$C$6*(K449),IF($D449="D3",MD!$C$7*(K449),IF($D449="D4",MD!$C$8*(K449),IF($D449="D5",MD!$C$9*(K449),IF($D449="M1",MD!$C$10*(K449),IF($D449="T1",MD!$C$11*(K449)))))))))</f>
        <v>0</v>
      </c>
      <c r="O449" s="65">
        <f>SUMIFS(Shift_allowance_Entries!$G:$G,Shift_allowance_Entries!$F:$F,"6:30AM-03:30PM",Shift_allowance_Entries!$B:$B,CPY!$B449)</f>
        <v>0</v>
      </c>
      <c r="P449" s="65">
        <f>SUMIFS(Shift_allowance_Entries!$G:$G,Shift_allowance_Entries!$F:$F,"1-9PM/2:30PM-11:30PM",Shift_allowance_Entries!$B:$B,CPY!$B449)</f>
        <v>0</v>
      </c>
      <c r="Q449" s="65">
        <f>SUMIFS(Shift_allowance_Entries!$G:$G,Shift_allowance_Entries!$F:$F,"11PM-7AM",Shift_allowance_Entries!$B:$B,CPY!$B449)</f>
        <v>0</v>
      </c>
      <c r="R449" s="63">
        <f>(CPY!O449*MD!$F$4)+(CPY!P449*MD!$F$5)+(CPY!Q449*MD!$F$6)</f>
        <v>0</v>
      </c>
      <c r="T449" s="64">
        <f>ROUNDUP((SUMIFS('OOH Activities'!$K:$K,'OOH Activities'!$F:$F,"Non_workdays",'OOH Activities'!$B:$B,CPY!B449)) *24,1)</f>
        <v>0</v>
      </c>
      <c r="U449" s="64">
        <f>ROUNDUP((SUMIFS('OOH Activities'!$K:$K,'OOH Activities'!$F:$F,"Workdays",'OOH Activities'!$B:$B,CPY!B449)) *24,1)</f>
        <v>0</v>
      </c>
      <c r="V449" s="63">
        <f>ROUNDUP((SUMIFS('OOH Activities'!$L:$L,'OOH Activities'!$B:$B,CPY!B449)),1)</f>
        <v>0</v>
      </c>
      <c r="X449" s="65">
        <f>ROUNDUP((SUMIFS('ON Call_Call Out Activities'!$L:$L,'ON Call_Call Out Activities'!$F:$F,"Workdays",'ON Call_Call Out Activities'!$B:$B,CPY!B449))*24,1)</f>
        <v>0</v>
      </c>
      <c r="Y449" s="64">
        <f>ROUNDUP((SUMIFS('ON Call_Call Out Activities'!$L:$L,'ON Call_Call Out Activities'!$F:$F,"Non_workdays",'ON Call_Call Out Activities'!$B:$B,CPY!B449)) *24,1)</f>
        <v>0</v>
      </c>
      <c r="Z449" s="63">
        <f>ROUNDUP((SUMIFS('ON Call_Call Out Activities'!$M:$M,'ON Call_Call Out Activities'!$F:$F,"Non_workdays",'ON Call_Call Out Activities'!$B:$B,CPY!B449)),1) + ROUNDUP((SUMIFS('ON Call_Call Out Activities'!$M:$M,'ON Call_Call Out Activities'!$F:$F,"Workdays",'ON Call_Call Out Activities'!$B:$B,CPY!B449)),1)</f>
        <v>0</v>
      </c>
      <c r="AA449" s="66"/>
      <c r="AB449" s="64">
        <f>ROUNDUP((SUMIFS('ON Call_Call Out Activities'!$L:$L,'ON Call_Call Out Activities'!$F:$F,"Call_Out",'ON Call_Call Out Activities'!$B:$B,CPY!B449)) *24,1)</f>
        <v>0</v>
      </c>
      <c r="AC449" s="63">
        <f>ROUNDUP((SUMIFS('ON Call_Call Out Activities'!$M:$M,'ON Call_Call Out Activities'!$F:$F,"Call_Out",'ON Call_Call Out Activities'!$B:$B,CPY!B449)),1)</f>
        <v>0</v>
      </c>
      <c r="AE449" s="65">
        <f>IF((SUMIF(Shift_allowance_Entries!$B:$B,CPY!$B449,Shift_allowance_Entries!$H:$H)) &gt; (SUMIF(Shift_allowance_Entries!$B:$B,CPY!$B449,Shift_allowance_Entries!$G:$G)),0,((SUMIF(Shift_allowance_Entries!$B:$B,CPY!$B449,Shift_allowance_Entries!$G:$G))-(SUMIF(Shift_allowance_Entries!$B:$B,CPY!$B449,Shift_allowance_Entries!$H:$H))))</f>
        <v>0</v>
      </c>
      <c r="AF449" s="63">
        <f>AE449*MD!$S$4</f>
        <v>0</v>
      </c>
    </row>
    <row r="450" spans="1:32" x14ac:dyDescent="0.25">
      <c r="A450" s="62">
        <v>448</v>
      </c>
      <c r="B450" s="62"/>
      <c r="C450" s="50" t="str">
        <f>IF(ISNA(VLOOKUP($B450,Summary!$B:$D,2,FALSE))=TRUE," ",VLOOKUP($B450,Summary!$B:$D,2,FALSE))</f>
        <v> </v>
      </c>
      <c r="D450" s="50" t="str">
        <f>IF(ISNA(VLOOKUP($B450,Summary!$B:$D,3,FALSE))=TRUE," ",VLOOKUP($B450,Summary!$B:$D,3,FALSE))</f>
        <v> </v>
      </c>
      <c r="E450" s="62"/>
      <c r="F450" s="62"/>
      <c r="G450" s="62"/>
      <c r="I450" s="63">
        <f t="shared" si="6"/>
        <v>0</v>
      </c>
      <c r="K450" s="64">
        <f>IF(E450="Support(L1_L2)",IF(NOT(ISBLANK(B450)),IF(NOT(ISBLANK(D450)),NETWORKDAYS('CPY TOC'!$F$5,'CPY TOC'!$G$5))))-L450</f>
        <v>0</v>
      </c>
      <c r="L450" s="64">
        <f>IF(E450="Support(L1_L2)",SUMIFS(Support_allowance_Entries!$G:$G,Support_allowance_Entries!$B:$B,CPY!B450),0)</f>
        <v>0</v>
      </c>
      <c r="M450" s="63" t="b">
        <f>IF($D450="D0",MD!$C$4*(K450),IF($D450="D1",MD!$C$5*(K450),IF($D450="D2",MD!$C$6*(K450),IF($D450="D3",MD!$C$7*(K450),IF($D450="D4",MD!$C$8*(K450),IF($D450="D5",MD!$C$9*(K450),IF($D450="M1",MD!$C$10*(K450),IF($D450="T1",MD!$C$11*(K450)))))))))</f>
        <v>0</v>
      </c>
      <c r="O450" s="65">
        <f>SUMIFS(Shift_allowance_Entries!$G:$G,Shift_allowance_Entries!$F:$F,"6:30AM-03:30PM",Shift_allowance_Entries!$B:$B,CPY!$B450)</f>
        <v>0</v>
      </c>
      <c r="P450" s="65">
        <f>SUMIFS(Shift_allowance_Entries!$G:$G,Shift_allowance_Entries!$F:$F,"1-9PM/2:30PM-11:30PM",Shift_allowance_Entries!$B:$B,CPY!$B450)</f>
        <v>0</v>
      </c>
      <c r="Q450" s="65">
        <f>SUMIFS(Shift_allowance_Entries!$G:$G,Shift_allowance_Entries!$F:$F,"11PM-7AM",Shift_allowance_Entries!$B:$B,CPY!$B450)</f>
        <v>0</v>
      </c>
      <c r="R450" s="63">
        <f>(CPY!O450*MD!$F$4)+(CPY!P450*MD!$F$5)+(CPY!Q450*MD!$F$6)</f>
        <v>0</v>
      </c>
      <c r="T450" s="64">
        <f>ROUNDUP((SUMIFS('OOH Activities'!$K:$K,'OOH Activities'!$F:$F,"Non_workdays",'OOH Activities'!$B:$B,CPY!B450)) *24,1)</f>
        <v>0</v>
      </c>
      <c r="U450" s="64">
        <f>ROUNDUP((SUMIFS('OOH Activities'!$K:$K,'OOH Activities'!$F:$F,"Workdays",'OOH Activities'!$B:$B,CPY!B450)) *24,1)</f>
        <v>0</v>
      </c>
      <c r="V450" s="63">
        <f>ROUNDUP((SUMIFS('OOH Activities'!$L:$L,'OOH Activities'!$B:$B,CPY!B450)),1)</f>
        <v>0</v>
      </c>
      <c r="X450" s="65">
        <f>ROUNDUP((SUMIFS('ON Call_Call Out Activities'!$L:$L,'ON Call_Call Out Activities'!$F:$F,"Workdays",'ON Call_Call Out Activities'!$B:$B,CPY!B450))*24,1)</f>
        <v>0</v>
      </c>
      <c r="Y450" s="64">
        <f>ROUNDUP((SUMIFS('ON Call_Call Out Activities'!$L:$L,'ON Call_Call Out Activities'!$F:$F,"Non_workdays",'ON Call_Call Out Activities'!$B:$B,CPY!B450)) *24,1)</f>
        <v>0</v>
      </c>
      <c r="Z450" s="63">
        <f>ROUNDUP((SUMIFS('ON Call_Call Out Activities'!$M:$M,'ON Call_Call Out Activities'!$F:$F,"Non_workdays",'ON Call_Call Out Activities'!$B:$B,CPY!B450)),1) + ROUNDUP((SUMIFS('ON Call_Call Out Activities'!$M:$M,'ON Call_Call Out Activities'!$F:$F,"Workdays",'ON Call_Call Out Activities'!$B:$B,CPY!B450)),1)</f>
        <v>0</v>
      </c>
      <c r="AA450" s="66"/>
      <c r="AB450" s="64">
        <f>ROUNDUP((SUMIFS('ON Call_Call Out Activities'!$L:$L,'ON Call_Call Out Activities'!$F:$F,"Call_Out",'ON Call_Call Out Activities'!$B:$B,CPY!B450)) *24,1)</f>
        <v>0</v>
      </c>
      <c r="AC450" s="63">
        <f>ROUNDUP((SUMIFS('ON Call_Call Out Activities'!$M:$M,'ON Call_Call Out Activities'!$F:$F,"Call_Out",'ON Call_Call Out Activities'!$B:$B,CPY!B450)),1)</f>
        <v>0</v>
      </c>
      <c r="AE450" s="65">
        <f>IF((SUMIF(Shift_allowance_Entries!$B:$B,CPY!$B450,Shift_allowance_Entries!$H:$H)) &gt; (SUMIF(Shift_allowance_Entries!$B:$B,CPY!$B450,Shift_allowance_Entries!$G:$G)),0,((SUMIF(Shift_allowance_Entries!$B:$B,CPY!$B450,Shift_allowance_Entries!$G:$G))-(SUMIF(Shift_allowance_Entries!$B:$B,CPY!$B450,Shift_allowance_Entries!$H:$H))))</f>
        <v>0</v>
      </c>
      <c r="AF450" s="63">
        <f>AE450*MD!$S$4</f>
        <v>0</v>
      </c>
    </row>
    <row r="451" spans="1:32" x14ac:dyDescent="0.25">
      <c r="A451" s="62">
        <v>449</v>
      </c>
      <c r="B451" s="62"/>
      <c r="C451" s="50" t="str">
        <f>IF(ISNA(VLOOKUP($B451,Summary!$B:$D,2,FALSE))=TRUE," ",VLOOKUP($B451,Summary!$B:$D,2,FALSE))</f>
        <v> </v>
      </c>
      <c r="D451" s="50" t="str">
        <f>IF(ISNA(VLOOKUP($B451,Summary!$B:$D,3,FALSE))=TRUE," ",VLOOKUP($B451,Summary!$B:$D,3,FALSE))</f>
        <v> </v>
      </c>
      <c r="E451" s="62"/>
      <c r="F451" s="62"/>
      <c r="G451" s="62"/>
      <c r="I451" s="63">
        <f t="shared" ref="I451:I500" si="7">M451+R451+V451+Z451+AC451+AF451</f>
        <v>0</v>
      </c>
      <c r="K451" s="64">
        <f>IF(E451="Support(L1_L2)",IF(NOT(ISBLANK(B451)),IF(NOT(ISBLANK(D451)),NETWORKDAYS('CPY TOC'!$F$5,'CPY TOC'!$G$5))))-L451</f>
        <v>0</v>
      </c>
      <c r="L451" s="64">
        <f>IF(E451="Support(L1_L2)",SUMIFS(Support_allowance_Entries!$G:$G,Support_allowance_Entries!$B:$B,CPY!B451),0)</f>
        <v>0</v>
      </c>
      <c r="M451" s="63" t="b">
        <f>IF($D451="D0",MD!$C$4*(K451),IF($D451="D1",MD!$C$5*(K451),IF($D451="D2",MD!$C$6*(K451),IF($D451="D3",MD!$C$7*(K451),IF($D451="D4",MD!$C$8*(K451),IF($D451="D5",MD!$C$9*(K451),IF($D451="M1",MD!$C$10*(K451),IF($D451="T1",MD!$C$11*(K451)))))))))</f>
        <v>0</v>
      </c>
      <c r="O451" s="65">
        <f>SUMIFS(Shift_allowance_Entries!$G:$G,Shift_allowance_Entries!$F:$F,"6:30AM-03:30PM",Shift_allowance_Entries!$B:$B,CPY!$B451)</f>
        <v>0</v>
      </c>
      <c r="P451" s="65">
        <f>SUMIFS(Shift_allowance_Entries!$G:$G,Shift_allowance_Entries!$F:$F,"1-9PM/2:30PM-11:30PM",Shift_allowance_Entries!$B:$B,CPY!$B451)</f>
        <v>0</v>
      </c>
      <c r="Q451" s="65">
        <f>SUMIFS(Shift_allowance_Entries!$G:$G,Shift_allowance_Entries!$F:$F,"11PM-7AM",Shift_allowance_Entries!$B:$B,CPY!$B451)</f>
        <v>0</v>
      </c>
      <c r="R451" s="63">
        <f>(CPY!O451*MD!$F$4)+(CPY!P451*MD!$F$5)+(CPY!Q451*MD!$F$6)</f>
        <v>0</v>
      </c>
      <c r="T451" s="64">
        <f>ROUNDUP((SUMIFS('OOH Activities'!$K:$K,'OOH Activities'!$F:$F,"Non_workdays",'OOH Activities'!$B:$B,CPY!B451)) *24,1)</f>
        <v>0</v>
      </c>
      <c r="U451" s="64">
        <f>ROUNDUP((SUMIFS('OOH Activities'!$K:$K,'OOH Activities'!$F:$F,"Workdays",'OOH Activities'!$B:$B,CPY!B451)) *24,1)</f>
        <v>0</v>
      </c>
      <c r="V451" s="63">
        <f>ROUNDUP((SUMIFS('OOH Activities'!$L:$L,'OOH Activities'!$B:$B,CPY!B451)),1)</f>
        <v>0</v>
      </c>
      <c r="X451" s="65">
        <f>ROUNDUP((SUMIFS('ON Call_Call Out Activities'!$L:$L,'ON Call_Call Out Activities'!$F:$F,"Workdays",'ON Call_Call Out Activities'!$B:$B,CPY!B451))*24,1)</f>
        <v>0</v>
      </c>
      <c r="Y451" s="64">
        <f>ROUNDUP((SUMIFS('ON Call_Call Out Activities'!$L:$L,'ON Call_Call Out Activities'!$F:$F,"Non_workdays",'ON Call_Call Out Activities'!$B:$B,CPY!B451)) *24,1)</f>
        <v>0</v>
      </c>
      <c r="Z451" s="63">
        <f>ROUNDUP((SUMIFS('ON Call_Call Out Activities'!$M:$M,'ON Call_Call Out Activities'!$F:$F,"Non_workdays",'ON Call_Call Out Activities'!$B:$B,CPY!B451)),1) + ROUNDUP((SUMIFS('ON Call_Call Out Activities'!$M:$M,'ON Call_Call Out Activities'!$F:$F,"Workdays",'ON Call_Call Out Activities'!$B:$B,CPY!B451)),1)</f>
        <v>0</v>
      </c>
      <c r="AA451" s="66"/>
      <c r="AB451" s="64">
        <f>ROUNDUP((SUMIFS('ON Call_Call Out Activities'!$L:$L,'ON Call_Call Out Activities'!$F:$F,"Call_Out",'ON Call_Call Out Activities'!$B:$B,CPY!B451)) *24,1)</f>
        <v>0</v>
      </c>
      <c r="AC451" s="63">
        <f>ROUNDUP((SUMIFS('ON Call_Call Out Activities'!$M:$M,'ON Call_Call Out Activities'!$F:$F,"Call_Out",'ON Call_Call Out Activities'!$B:$B,CPY!B451)),1)</f>
        <v>0</v>
      </c>
      <c r="AE451" s="65">
        <f>IF((SUMIF(Shift_allowance_Entries!$B:$B,CPY!$B451,Shift_allowance_Entries!$H:$H)) &gt; (SUMIF(Shift_allowance_Entries!$B:$B,CPY!$B451,Shift_allowance_Entries!$G:$G)),0,((SUMIF(Shift_allowance_Entries!$B:$B,CPY!$B451,Shift_allowance_Entries!$G:$G))-(SUMIF(Shift_allowance_Entries!$B:$B,CPY!$B451,Shift_allowance_Entries!$H:$H))))</f>
        <v>0</v>
      </c>
      <c r="AF451" s="63">
        <f>AE451*MD!$S$4</f>
        <v>0</v>
      </c>
    </row>
    <row r="452" spans="1:32" x14ac:dyDescent="0.25">
      <c r="A452" s="62">
        <v>450</v>
      </c>
      <c r="B452" s="62"/>
      <c r="C452" s="50" t="str">
        <f>IF(ISNA(VLOOKUP($B452,Summary!$B:$D,2,FALSE))=TRUE," ",VLOOKUP($B452,Summary!$B:$D,2,FALSE))</f>
        <v> </v>
      </c>
      <c r="D452" s="50" t="str">
        <f>IF(ISNA(VLOOKUP($B452,Summary!$B:$D,3,FALSE))=TRUE," ",VLOOKUP($B452,Summary!$B:$D,3,FALSE))</f>
        <v> </v>
      </c>
      <c r="E452" s="62"/>
      <c r="F452" s="62"/>
      <c r="G452" s="62"/>
      <c r="I452" s="63">
        <f t="shared" si="7"/>
        <v>0</v>
      </c>
      <c r="K452" s="64">
        <f>IF(E452="Support(L1_L2)",IF(NOT(ISBLANK(B452)),IF(NOT(ISBLANK(D452)),NETWORKDAYS('CPY TOC'!$F$5,'CPY TOC'!$G$5))))-L452</f>
        <v>0</v>
      </c>
      <c r="L452" s="64">
        <f>IF(E452="Support(L1_L2)",SUMIFS(Support_allowance_Entries!$G:$G,Support_allowance_Entries!$B:$B,CPY!B452),0)</f>
        <v>0</v>
      </c>
      <c r="M452" s="63" t="b">
        <f>IF($D452="D0",MD!$C$4*(K452),IF($D452="D1",MD!$C$5*(K452),IF($D452="D2",MD!$C$6*(K452),IF($D452="D3",MD!$C$7*(K452),IF($D452="D4",MD!$C$8*(K452),IF($D452="D5",MD!$C$9*(K452),IF($D452="M1",MD!$C$10*(K452),IF($D452="T1",MD!$C$11*(K452)))))))))</f>
        <v>0</v>
      </c>
      <c r="O452" s="65">
        <f>SUMIFS(Shift_allowance_Entries!$G:$G,Shift_allowance_Entries!$F:$F,"6:30AM-03:30PM",Shift_allowance_Entries!$B:$B,CPY!$B452)</f>
        <v>0</v>
      </c>
      <c r="P452" s="65">
        <f>SUMIFS(Shift_allowance_Entries!$G:$G,Shift_allowance_Entries!$F:$F,"1-9PM/2:30PM-11:30PM",Shift_allowance_Entries!$B:$B,CPY!$B452)</f>
        <v>0</v>
      </c>
      <c r="Q452" s="65">
        <f>SUMIFS(Shift_allowance_Entries!$G:$G,Shift_allowance_Entries!$F:$F,"11PM-7AM",Shift_allowance_Entries!$B:$B,CPY!$B452)</f>
        <v>0</v>
      </c>
      <c r="R452" s="63">
        <f>(CPY!O452*MD!$F$4)+(CPY!P452*MD!$F$5)+(CPY!Q452*MD!$F$6)</f>
        <v>0</v>
      </c>
      <c r="T452" s="64">
        <f>ROUNDUP((SUMIFS('OOH Activities'!$K:$K,'OOH Activities'!$F:$F,"Non_workdays",'OOH Activities'!$B:$B,CPY!B452)) *24,1)</f>
        <v>0</v>
      </c>
      <c r="U452" s="64">
        <f>ROUNDUP((SUMIFS('OOH Activities'!$K:$K,'OOH Activities'!$F:$F,"Workdays",'OOH Activities'!$B:$B,CPY!B452)) *24,1)</f>
        <v>0</v>
      </c>
      <c r="V452" s="63">
        <f>ROUNDUP((SUMIFS('OOH Activities'!$L:$L,'OOH Activities'!$B:$B,CPY!B452)),1)</f>
        <v>0</v>
      </c>
      <c r="X452" s="65">
        <f>ROUNDUP((SUMIFS('ON Call_Call Out Activities'!$L:$L,'ON Call_Call Out Activities'!$F:$F,"Workdays",'ON Call_Call Out Activities'!$B:$B,CPY!B452))*24,1)</f>
        <v>0</v>
      </c>
      <c r="Y452" s="64">
        <f>ROUNDUP((SUMIFS('ON Call_Call Out Activities'!$L:$L,'ON Call_Call Out Activities'!$F:$F,"Non_workdays",'ON Call_Call Out Activities'!$B:$B,CPY!B452)) *24,1)</f>
        <v>0</v>
      </c>
      <c r="Z452" s="63">
        <f>ROUNDUP((SUMIFS('ON Call_Call Out Activities'!$M:$M,'ON Call_Call Out Activities'!$F:$F,"Non_workdays",'ON Call_Call Out Activities'!$B:$B,CPY!B452)),1) + ROUNDUP((SUMIFS('ON Call_Call Out Activities'!$M:$M,'ON Call_Call Out Activities'!$F:$F,"Workdays",'ON Call_Call Out Activities'!$B:$B,CPY!B452)),1)</f>
        <v>0</v>
      </c>
      <c r="AA452" s="66"/>
      <c r="AB452" s="64">
        <f>ROUNDUP((SUMIFS('ON Call_Call Out Activities'!$L:$L,'ON Call_Call Out Activities'!$F:$F,"Call_Out",'ON Call_Call Out Activities'!$B:$B,CPY!B452)) *24,1)</f>
        <v>0</v>
      </c>
      <c r="AC452" s="63">
        <f>ROUNDUP((SUMIFS('ON Call_Call Out Activities'!$M:$M,'ON Call_Call Out Activities'!$F:$F,"Call_Out",'ON Call_Call Out Activities'!$B:$B,CPY!B452)),1)</f>
        <v>0</v>
      </c>
      <c r="AE452" s="65">
        <f>IF((SUMIF(Shift_allowance_Entries!$B:$B,CPY!$B452,Shift_allowance_Entries!$H:$H)) &gt; (SUMIF(Shift_allowance_Entries!$B:$B,CPY!$B452,Shift_allowance_Entries!$G:$G)),0,((SUMIF(Shift_allowance_Entries!$B:$B,CPY!$B452,Shift_allowance_Entries!$G:$G))-(SUMIF(Shift_allowance_Entries!$B:$B,CPY!$B452,Shift_allowance_Entries!$H:$H))))</f>
        <v>0</v>
      </c>
      <c r="AF452" s="63">
        <f>AE452*MD!$S$4</f>
        <v>0</v>
      </c>
    </row>
    <row r="453" spans="1:32" x14ac:dyDescent="0.25">
      <c r="A453" s="62">
        <v>451</v>
      </c>
      <c r="B453" s="62"/>
      <c r="C453" s="50" t="str">
        <f>IF(ISNA(VLOOKUP($B453,Summary!$B:$D,2,FALSE))=TRUE," ",VLOOKUP($B453,Summary!$B:$D,2,FALSE))</f>
        <v> </v>
      </c>
      <c r="D453" s="50" t="str">
        <f>IF(ISNA(VLOOKUP($B453,Summary!$B:$D,3,FALSE))=TRUE," ",VLOOKUP($B453,Summary!$B:$D,3,FALSE))</f>
        <v> </v>
      </c>
      <c r="E453" s="62"/>
      <c r="F453" s="62"/>
      <c r="G453" s="62"/>
      <c r="I453" s="63">
        <f t="shared" si="7"/>
        <v>0</v>
      </c>
      <c r="K453" s="64">
        <f>IF(E453="Support(L1_L2)",IF(NOT(ISBLANK(B453)),IF(NOT(ISBLANK(D453)),NETWORKDAYS('CPY TOC'!$F$5,'CPY TOC'!$G$5))))-L453</f>
        <v>0</v>
      </c>
      <c r="L453" s="64">
        <f>IF(E453="Support(L1_L2)",SUMIFS(Support_allowance_Entries!$G:$G,Support_allowance_Entries!$B:$B,CPY!B453),0)</f>
        <v>0</v>
      </c>
      <c r="M453" s="63" t="b">
        <f>IF($D453="D0",MD!$C$4*(K453),IF($D453="D1",MD!$C$5*(K453),IF($D453="D2",MD!$C$6*(K453),IF($D453="D3",MD!$C$7*(K453),IF($D453="D4",MD!$C$8*(K453),IF($D453="D5",MD!$C$9*(K453),IF($D453="M1",MD!$C$10*(K453),IF($D453="T1",MD!$C$11*(K453)))))))))</f>
        <v>0</v>
      </c>
      <c r="O453" s="65">
        <f>SUMIFS(Shift_allowance_Entries!$G:$G,Shift_allowance_Entries!$F:$F,"6:30AM-03:30PM",Shift_allowance_Entries!$B:$B,CPY!$B453)</f>
        <v>0</v>
      </c>
      <c r="P453" s="65">
        <f>SUMIFS(Shift_allowance_Entries!$G:$G,Shift_allowance_Entries!$F:$F,"1-9PM/2:30PM-11:30PM",Shift_allowance_Entries!$B:$B,CPY!$B453)</f>
        <v>0</v>
      </c>
      <c r="Q453" s="65">
        <f>SUMIFS(Shift_allowance_Entries!$G:$G,Shift_allowance_Entries!$F:$F,"11PM-7AM",Shift_allowance_Entries!$B:$B,CPY!$B453)</f>
        <v>0</v>
      </c>
      <c r="R453" s="63">
        <f>(CPY!O453*MD!$F$4)+(CPY!P453*MD!$F$5)+(CPY!Q453*MD!$F$6)</f>
        <v>0</v>
      </c>
      <c r="T453" s="64">
        <f>ROUNDUP((SUMIFS('OOH Activities'!$K:$K,'OOH Activities'!$F:$F,"Non_workdays",'OOH Activities'!$B:$B,CPY!B453)) *24,1)</f>
        <v>0</v>
      </c>
      <c r="U453" s="64">
        <f>ROUNDUP((SUMIFS('OOH Activities'!$K:$K,'OOH Activities'!$F:$F,"Workdays",'OOH Activities'!$B:$B,CPY!B453)) *24,1)</f>
        <v>0</v>
      </c>
      <c r="V453" s="63">
        <f>ROUNDUP((SUMIFS('OOH Activities'!$L:$L,'OOH Activities'!$B:$B,CPY!B453)),1)</f>
        <v>0</v>
      </c>
      <c r="X453" s="65">
        <f>ROUNDUP((SUMIFS('ON Call_Call Out Activities'!$L:$L,'ON Call_Call Out Activities'!$F:$F,"Workdays",'ON Call_Call Out Activities'!$B:$B,CPY!B453))*24,1)</f>
        <v>0</v>
      </c>
      <c r="Y453" s="64">
        <f>ROUNDUP((SUMIFS('ON Call_Call Out Activities'!$L:$L,'ON Call_Call Out Activities'!$F:$F,"Non_workdays",'ON Call_Call Out Activities'!$B:$B,CPY!B453)) *24,1)</f>
        <v>0</v>
      </c>
      <c r="Z453" s="63">
        <f>ROUNDUP((SUMIFS('ON Call_Call Out Activities'!$M:$M,'ON Call_Call Out Activities'!$F:$F,"Non_workdays",'ON Call_Call Out Activities'!$B:$B,CPY!B453)),1) + ROUNDUP((SUMIFS('ON Call_Call Out Activities'!$M:$M,'ON Call_Call Out Activities'!$F:$F,"Workdays",'ON Call_Call Out Activities'!$B:$B,CPY!B453)),1)</f>
        <v>0</v>
      </c>
      <c r="AA453" s="66"/>
      <c r="AB453" s="64">
        <f>ROUNDUP((SUMIFS('ON Call_Call Out Activities'!$L:$L,'ON Call_Call Out Activities'!$F:$F,"Call_Out",'ON Call_Call Out Activities'!$B:$B,CPY!B453)) *24,1)</f>
        <v>0</v>
      </c>
      <c r="AC453" s="63">
        <f>ROUNDUP((SUMIFS('ON Call_Call Out Activities'!$M:$M,'ON Call_Call Out Activities'!$F:$F,"Call_Out",'ON Call_Call Out Activities'!$B:$B,CPY!B453)),1)</f>
        <v>0</v>
      </c>
      <c r="AE453" s="65">
        <f>IF((SUMIF(Shift_allowance_Entries!$B:$B,CPY!$B453,Shift_allowance_Entries!$H:$H)) &gt; (SUMIF(Shift_allowance_Entries!$B:$B,CPY!$B453,Shift_allowance_Entries!$G:$G)),0,((SUMIF(Shift_allowance_Entries!$B:$B,CPY!$B453,Shift_allowance_Entries!$G:$G))-(SUMIF(Shift_allowance_Entries!$B:$B,CPY!$B453,Shift_allowance_Entries!$H:$H))))</f>
        <v>0</v>
      </c>
      <c r="AF453" s="63">
        <f>AE453*MD!$S$4</f>
        <v>0</v>
      </c>
    </row>
    <row r="454" spans="1:32" x14ac:dyDescent="0.25">
      <c r="A454" s="62">
        <v>452</v>
      </c>
      <c r="B454" s="62"/>
      <c r="C454" s="50" t="str">
        <f>IF(ISNA(VLOOKUP($B454,Summary!$B:$D,2,FALSE))=TRUE," ",VLOOKUP($B454,Summary!$B:$D,2,FALSE))</f>
        <v> </v>
      </c>
      <c r="D454" s="50" t="str">
        <f>IF(ISNA(VLOOKUP($B454,Summary!$B:$D,3,FALSE))=TRUE," ",VLOOKUP($B454,Summary!$B:$D,3,FALSE))</f>
        <v> </v>
      </c>
      <c r="E454" s="62"/>
      <c r="F454" s="62"/>
      <c r="G454" s="62"/>
      <c r="I454" s="63">
        <f t="shared" si="7"/>
        <v>0</v>
      </c>
      <c r="K454" s="64">
        <f>IF(E454="Support(L1_L2)",IF(NOT(ISBLANK(B454)),IF(NOT(ISBLANK(D454)),NETWORKDAYS('CPY TOC'!$F$5,'CPY TOC'!$G$5))))-L454</f>
        <v>0</v>
      </c>
      <c r="L454" s="64">
        <f>IF(E454="Support(L1_L2)",SUMIFS(Support_allowance_Entries!$G:$G,Support_allowance_Entries!$B:$B,CPY!B454),0)</f>
        <v>0</v>
      </c>
      <c r="M454" s="63" t="b">
        <f>IF($D454="D0",MD!$C$4*(K454),IF($D454="D1",MD!$C$5*(K454),IF($D454="D2",MD!$C$6*(K454),IF($D454="D3",MD!$C$7*(K454),IF($D454="D4",MD!$C$8*(K454),IF($D454="D5",MD!$C$9*(K454),IF($D454="M1",MD!$C$10*(K454),IF($D454="T1",MD!$C$11*(K454)))))))))</f>
        <v>0</v>
      </c>
      <c r="O454" s="65">
        <f>SUMIFS(Shift_allowance_Entries!$G:$G,Shift_allowance_Entries!$F:$F,"6:30AM-03:30PM",Shift_allowance_Entries!$B:$B,CPY!$B454)</f>
        <v>0</v>
      </c>
      <c r="P454" s="65">
        <f>SUMIFS(Shift_allowance_Entries!$G:$G,Shift_allowance_Entries!$F:$F,"1-9PM/2:30PM-11:30PM",Shift_allowance_Entries!$B:$B,CPY!$B454)</f>
        <v>0</v>
      </c>
      <c r="Q454" s="65">
        <f>SUMIFS(Shift_allowance_Entries!$G:$G,Shift_allowance_Entries!$F:$F,"11PM-7AM",Shift_allowance_Entries!$B:$B,CPY!$B454)</f>
        <v>0</v>
      </c>
      <c r="R454" s="63">
        <f>(CPY!O454*MD!$F$4)+(CPY!P454*MD!$F$5)+(CPY!Q454*MD!$F$6)</f>
        <v>0</v>
      </c>
      <c r="T454" s="64">
        <f>ROUNDUP((SUMIFS('OOH Activities'!$K:$K,'OOH Activities'!$F:$F,"Non_workdays",'OOH Activities'!$B:$B,CPY!B454)) *24,1)</f>
        <v>0</v>
      </c>
      <c r="U454" s="64">
        <f>ROUNDUP((SUMIFS('OOH Activities'!$K:$K,'OOH Activities'!$F:$F,"Workdays",'OOH Activities'!$B:$B,CPY!B454)) *24,1)</f>
        <v>0</v>
      </c>
      <c r="V454" s="63">
        <f>ROUNDUP((SUMIFS('OOH Activities'!$L:$L,'OOH Activities'!$B:$B,CPY!B454)),1)</f>
        <v>0</v>
      </c>
      <c r="X454" s="65">
        <f>ROUNDUP((SUMIFS('ON Call_Call Out Activities'!$L:$L,'ON Call_Call Out Activities'!$F:$F,"Workdays",'ON Call_Call Out Activities'!$B:$B,CPY!B454))*24,1)</f>
        <v>0</v>
      </c>
      <c r="Y454" s="64">
        <f>ROUNDUP((SUMIFS('ON Call_Call Out Activities'!$L:$L,'ON Call_Call Out Activities'!$F:$F,"Non_workdays",'ON Call_Call Out Activities'!$B:$B,CPY!B454)) *24,1)</f>
        <v>0</v>
      </c>
      <c r="Z454" s="63">
        <f>ROUNDUP((SUMIFS('ON Call_Call Out Activities'!$M:$M,'ON Call_Call Out Activities'!$F:$F,"Non_workdays",'ON Call_Call Out Activities'!$B:$B,CPY!B454)),1) + ROUNDUP((SUMIFS('ON Call_Call Out Activities'!$M:$M,'ON Call_Call Out Activities'!$F:$F,"Workdays",'ON Call_Call Out Activities'!$B:$B,CPY!B454)),1)</f>
        <v>0</v>
      </c>
      <c r="AA454" s="66"/>
      <c r="AB454" s="64">
        <f>ROUNDUP((SUMIFS('ON Call_Call Out Activities'!$L:$L,'ON Call_Call Out Activities'!$F:$F,"Call_Out",'ON Call_Call Out Activities'!$B:$B,CPY!B454)) *24,1)</f>
        <v>0</v>
      </c>
      <c r="AC454" s="63">
        <f>ROUNDUP((SUMIFS('ON Call_Call Out Activities'!$M:$M,'ON Call_Call Out Activities'!$F:$F,"Call_Out",'ON Call_Call Out Activities'!$B:$B,CPY!B454)),1)</f>
        <v>0</v>
      </c>
      <c r="AE454" s="65">
        <f>IF((SUMIF(Shift_allowance_Entries!$B:$B,CPY!$B454,Shift_allowance_Entries!$H:$H)) &gt; (SUMIF(Shift_allowance_Entries!$B:$B,CPY!$B454,Shift_allowance_Entries!$G:$G)),0,((SUMIF(Shift_allowance_Entries!$B:$B,CPY!$B454,Shift_allowance_Entries!$G:$G))-(SUMIF(Shift_allowance_Entries!$B:$B,CPY!$B454,Shift_allowance_Entries!$H:$H))))</f>
        <v>0</v>
      </c>
      <c r="AF454" s="63">
        <f>AE454*MD!$S$4</f>
        <v>0</v>
      </c>
    </row>
    <row r="455" spans="1:32" x14ac:dyDescent="0.25">
      <c r="A455" s="62">
        <v>453</v>
      </c>
      <c r="B455" s="62"/>
      <c r="C455" s="50" t="str">
        <f>IF(ISNA(VLOOKUP($B455,Summary!$B:$D,2,FALSE))=TRUE," ",VLOOKUP($B455,Summary!$B:$D,2,FALSE))</f>
        <v> </v>
      </c>
      <c r="D455" s="50" t="str">
        <f>IF(ISNA(VLOOKUP($B455,Summary!$B:$D,3,FALSE))=TRUE," ",VLOOKUP($B455,Summary!$B:$D,3,FALSE))</f>
        <v> </v>
      </c>
      <c r="E455" s="62"/>
      <c r="F455" s="62"/>
      <c r="G455" s="62"/>
      <c r="I455" s="63">
        <f t="shared" si="7"/>
        <v>0</v>
      </c>
      <c r="K455" s="64">
        <f>IF(E455="Support(L1_L2)",IF(NOT(ISBLANK(B455)),IF(NOT(ISBLANK(D455)),NETWORKDAYS('CPY TOC'!$F$5,'CPY TOC'!$G$5))))-L455</f>
        <v>0</v>
      </c>
      <c r="L455" s="64">
        <f>IF(E455="Support(L1_L2)",SUMIFS(Support_allowance_Entries!$G:$G,Support_allowance_Entries!$B:$B,CPY!B455),0)</f>
        <v>0</v>
      </c>
      <c r="M455" s="63" t="b">
        <f>IF($D455="D0",MD!$C$4*(K455),IF($D455="D1",MD!$C$5*(K455),IF($D455="D2",MD!$C$6*(K455),IF($D455="D3",MD!$C$7*(K455),IF($D455="D4",MD!$C$8*(K455),IF($D455="D5",MD!$C$9*(K455),IF($D455="M1",MD!$C$10*(K455),IF($D455="T1",MD!$C$11*(K455)))))))))</f>
        <v>0</v>
      </c>
      <c r="O455" s="65">
        <f>SUMIFS(Shift_allowance_Entries!$G:$G,Shift_allowance_Entries!$F:$F,"6:30AM-03:30PM",Shift_allowance_Entries!$B:$B,CPY!$B455)</f>
        <v>0</v>
      </c>
      <c r="P455" s="65">
        <f>SUMIFS(Shift_allowance_Entries!$G:$G,Shift_allowance_Entries!$F:$F,"1-9PM/2:30PM-11:30PM",Shift_allowance_Entries!$B:$B,CPY!$B455)</f>
        <v>0</v>
      </c>
      <c r="Q455" s="65">
        <f>SUMIFS(Shift_allowance_Entries!$G:$G,Shift_allowance_Entries!$F:$F,"11PM-7AM",Shift_allowance_Entries!$B:$B,CPY!$B455)</f>
        <v>0</v>
      </c>
      <c r="R455" s="63">
        <f>(CPY!O455*MD!$F$4)+(CPY!P455*MD!$F$5)+(CPY!Q455*MD!$F$6)</f>
        <v>0</v>
      </c>
      <c r="T455" s="64">
        <f>ROUNDUP((SUMIFS('OOH Activities'!$K:$K,'OOH Activities'!$F:$F,"Non_workdays",'OOH Activities'!$B:$B,CPY!B455)) *24,1)</f>
        <v>0</v>
      </c>
      <c r="U455" s="64">
        <f>ROUNDUP((SUMIFS('OOH Activities'!$K:$K,'OOH Activities'!$F:$F,"Workdays",'OOH Activities'!$B:$B,CPY!B455)) *24,1)</f>
        <v>0</v>
      </c>
      <c r="V455" s="63">
        <f>ROUNDUP((SUMIFS('OOH Activities'!$L:$L,'OOH Activities'!$B:$B,CPY!B455)),1)</f>
        <v>0</v>
      </c>
      <c r="X455" s="65">
        <f>ROUNDUP((SUMIFS('ON Call_Call Out Activities'!$L:$L,'ON Call_Call Out Activities'!$F:$F,"Workdays",'ON Call_Call Out Activities'!$B:$B,CPY!B455))*24,1)</f>
        <v>0</v>
      </c>
      <c r="Y455" s="64">
        <f>ROUNDUP((SUMIFS('ON Call_Call Out Activities'!$L:$L,'ON Call_Call Out Activities'!$F:$F,"Non_workdays",'ON Call_Call Out Activities'!$B:$B,CPY!B455)) *24,1)</f>
        <v>0</v>
      </c>
      <c r="Z455" s="63">
        <f>ROUNDUP((SUMIFS('ON Call_Call Out Activities'!$M:$M,'ON Call_Call Out Activities'!$F:$F,"Non_workdays",'ON Call_Call Out Activities'!$B:$B,CPY!B455)),1) + ROUNDUP((SUMIFS('ON Call_Call Out Activities'!$M:$M,'ON Call_Call Out Activities'!$F:$F,"Workdays",'ON Call_Call Out Activities'!$B:$B,CPY!B455)),1)</f>
        <v>0</v>
      </c>
      <c r="AA455" s="66"/>
      <c r="AB455" s="64">
        <f>ROUNDUP((SUMIFS('ON Call_Call Out Activities'!$L:$L,'ON Call_Call Out Activities'!$F:$F,"Call_Out",'ON Call_Call Out Activities'!$B:$B,CPY!B455)) *24,1)</f>
        <v>0</v>
      </c>
      <c r="AC455" s="63">
        <f>ROUNDUP((SUMIFS('ON Call_Call Out Activities'!$M:$M,'ON Call_Call Out Activities'!$F:$F,"Call_Out",'ON Call_Call Out Activities'!$B:$B,CPY!B455)),1)</f>
        <v>0</v>
      </c>
      <c r="AE455" s="65">
        <f>IF((SUMIF(Shift_allowance_Entries!$B:$B,CPY!$B455,Shift_allowance_Entries!$H:$H)) &gt; (SUMIF(Shift_allowance_Entries!$B:$B,CPY!$B455,Shift_allowance_Entries!$G:$G)),0,((SUMIF(Shift_allowance_Entries!$B:$B,CPY!$B455,Shift_allowance_Entries!$G:$G))-(SUMIF(Shift_allowance_Entries!$B:$B,CPY!$B455,Shift_allowance_Entries!$H:$H))))</f>
        <v>0</v>
      </c>
      <c r="AF455" s="63">
        <f>AE455*MD!$S$4</f>
        <v>0</v>
      </c>
    </row>
    <row r="456" spans="1:32" x14ac:dyDescent="0.25">
      <c r="A456" s="62">
        <v>454</v>
      </c>
      <c r="B456" s="62"/>
      <c r="C456" s="50" t="str">
        <f>IF(ISNA(VLOOKUP($B456,Summary!$B:$D,2,FALSE))=TRUE," ",VLOOKUP($B456,Summary!$B:$D,2,FALSE))</f>
        <v> </v>
      </c>
      <c r="D456" s="50" t="str">
        <f>IF(ISNA(VLOOKUP($B456,Summary!$B:$D,3,FALSE))=TRUE," ",VLOOKUP($B456,Summary!$B:$D,3,FALSE))</f>
        <v> </v>
      </c>
      <c r="E456" s="62"/>
      <c r="F456" s="62"/>
      <c r="G456" s="62"/>
      <c r="I456" s="63">
        <f t="shared" si="7"/>
        <v>0</v>
      </c>
      <c r="K456" s="64">
        <f>IF(E456="Support(L1_L2)",IF(NOT(ISBLANK(B456)),IF(NOT(ISBLANK(D456)),NETWORKDAYS('CPY TOC'!$F$5,'CPY TOC'!$G$5))))-L456</f>
        <v>0</v>
      </c>
      <c r="L456" s="64">
        <f>IF(E456="Support(L1_L2)",SUMIFS(Support_allowance_Entries!$G:$G,Support_allowance_Entries!$B:$B,CPY!B456),0)</f>
        <v>0</v>
      </c>
      <c r="M456" s="63" t="b">
        <f>IF($D456="D0",MD!$C$4*(K456),IF($D456="D1",MD!$C$5*(K456),IF($D456="D2",MD!$C$6*(K456),IF($D456="D3",MD!$C$7*(K456),IF($D456="D4",MD!$C$8*(K456),IF($D456="D5",MD!$C$9*(K456),IF($D456="M1",MD!$C$10*(K456),IF($D456="T1",MD!$C$11*(K456)))))))))</f>
        <v>0</v>
      </c>
      <c r="O456" s="65">
        <f>SUMIFS(Shift_allowance_Entries!$G:$G,Shift_allowance_Entries!$F:$F,"6:30AM-03:30PM",Shift_allowance_Entries!$B:$B,CPY!$B456)</f>
        <v>0</v>
      </c>
      <c r="P456" s="65">
        <f>SUMIFS(Shift_allowance_Entries!$G:$G,Shift_allowance_Entries!$F:$F,"1-9PM/2:30PM-11:30PM",Shift_allowance_Entries!$B:$B,CPY!$B456)</f>
        <v>0</v>
      </c>
      <c r="Q456" s="65">
        <f>SUMIFS(Shift_allowance_Entries!$G:$G,Shift_allowance_Entries!$F:$F,"11PM-7AM",Shift_allowance_Entries!$B:$B,CPY!$B456)</f>
        <v>0</v>
      </c>
      <c r="R456" s="63">
        <f>(CPY!O456*MD!$F$4)+(CPY!P456*MD!$F$5)+(CPY!Q456*MD!$F$6)</f>
        <v>0</v>
      </c>
      <c r="T456" s="64">
        <f>ROUNDUP((SUMIFS('OOH Activities'!$K:$K,'OOH Activities'!$F:$F,"Non_workdays",'OOH Activities'!$B:$B,CPY!B456)) *24,1)</f>
        <v>0</v>
      </c>
      <c r="U456" s="64">
        <f>ROUNDUP((SUMIFS('OOH Activities'!$K:$K,'OOH Activities'!$F:$F,"Workdays",'OOH Activities'!$B:$B,CPY!B456)) *24,1)</f>
        <v>0</v>
      </c>
      <c r="V456" s="63">
        <f>ROUNDUP((SUMIFS('OOH Activities'!$L:$L,'OOH Activities'!$B:$B,CPY!B456)),1)</f>
        <v>0</v>
      </c>
      <c r="X456" s="65">
        <f>ROUNDUP((SUMIFS('ON Call_Call Out Activities'!$L:$L,'ON Call_Call Out Activities'!$F:$F,"Workdays",'ON Call_Call Out Activities'!$B:$B,CPY!B456))*24,1)</f>
        <v>0</v>
      </c>
      <c r="Y456" s="64">
        <f>ROUNDUP((SUMIFS('ON Call_Call Out Activities'!$L:$L,'ON Call_Call Out Activities'!$F:$F,"Non_workdays",'ON Call_Call Out Activities'!$B:$B,CPY!B456)) *24,1)</f>
        <v>0</v>
      </c>
      <c r="Z456" s="63">
        <f>ROUNDUP((SUMIFS('ON Call_Call Out Activities'!$M:$M,'ON Call_Call Out Activities'!$F:$F,"Non_workdays",'ON Call_Call Out Activities'!$B:$B,CPY!B456)),1) + ROUNDUP((SUMIFS('ON Call_Call Out Activities'!$M:$M,'ON Call_Call Out Activities'!$F:$F,"Workdays",'ON Call_Call Out Activities'!$B:$B,CPY!B456)),1)</f>
        <v>0</v>
      </c>
      <c r="AA456" s="66"/>
      <c r="AB456" s="64">
        <f>ROUNDUP((SUMIFS('ON Call_Call Out Activities'!$L:$L,'ON Call_Call Out Activities'!$F:$F,"Call_Out",'ON Call_Call Out Activities'!$B:$B,CPY!B456)) *24,1)</f>
        <v>0</v>
      </c>
      <c r="AC456" s="63">
        <f>ROUNDUP((SUMIFS('ON Call_Call Out Activities'!$M:$M,'ON Call_Call Out Activities'!$F:$F,"Call_Out",'ON Call_Call Out Activities'!$B:$B,CPY!B456)),1)</f>
        <v>0</v>
      </c>
      <c r="AE456" s="65">
        <f>IF((SUMIF(Shift_allowance_Entries!$B:$B,CPY!$B456,Shift_allowance_Entries!$H:$H)) &gt; (SUMIF(Shift_allowance_Entries!$B:$B,CPY!$B456,Shift_allowance_Entries!$G:$G)),0,((SUMIF(Shift_allowance_Entries!$B:$B,CPY!$B456,Shift_allowance_Entries!$G:$G))-(SUMIF(Shift_allowance_Entries!$B:$B,CPY!$B456,Shift_allowance_Entries!$H:$H))))</f>
        <v>0</v>
      </c>
      <c r="AF456" s="63">
        <f>AE456*MD!$S$4</f>
        <v>0</v>
      </c>
    </row>
    <row r="457" spans="1:32" x14ac:dyDescent="0.25">
      <c r="A457" s="62">
        <v>455</v>
      </c>
      <c r="B457" s="62"/>
      <c r="C457" s="50" t="str">
        <f>IF(ISNA(VLOOKUP($B457,Summary!$B:$D,2,FALSE))=TRUE," ",VLOOKUP($B457,Summary!$B:$D,2,FALSE))</f>
        <v> </v>
      </c>
      <c r="D457" s="50" t="str">
        <f>IF(ISNA(VLOOKUP($B457,Summary!$B:$D,3,FALSE))=TRUE," ",VLOOKUP($B457,Summary!$B:$D,3,FALSE))</f>
        <v> </v>
      </c>
      <c r="E457" s="62"/>
      <c r="F457" s="62"/>
      <c r="G457" s="62"/>
      <c r="I457" s="63">
        <f t="shared" si="7"/>
        <v>0</v>
      </c>
      <c r="K457" s="64">
        <f>IF(E457="Support(L1_L2)",IF(NOT(ISBLANK(B457)),IF(NOT(ISBLANK(D457)),NETWORKDAYS('CPY TOC'!$F$5,'CPY TOC'!$G$5))))-L457</f>
        <v>0</v>
      </c>
      <c r="L457" s="64">
        <f>IF(E457="Support(L1_L2)",SUMIFS(Support_allowance_Entries!$G:$G,Support_allowance_Entries!$B:$B,CPY!B457),0)</f>
        <v>0</v>
      </c>
      <c r="M457" s="63" t="b">
        <f>IF($D457="D0",MD!$C$4*(K457),IF($D457="D1",MD!$C$5*(K457),IF($D457="D2",MD!$C$6*(K457),IF($D457="D3",MD!$C$7*(K457),IF($D457="D4",MD!$C$8*(K457),IF($D457="D5",MD!$C$9*(K457),IF($D457="M1",MD!$C$10*(K457),IF($D457="T1",MD!$C$11*(K457)))))))))</f>
        <v>0</v>
      </c>
      <c r="O457" s="65">
        <f>SUMIFS(Shift_allowance_Entries!$G:$G,Shift_allowance_Entries!$F:$F,"6:30AM-03:30PM",Shift_allowance_Entries!$B:$B,CPY!$B457)</f>
        <v>0</v>
      </c>
      <c r="P457" s="65">
        <f>SUMIFS(Shift_allowance_Entries!$G:$G,Shift_allowance_Entries!$F:$F,"1-9PM/2:30PM-11:30PM",Shift_allowance_Entries!$B:$B,CPY!$B457)</f>
        <v>0</v>
      </c>
      <c r="Q457" s="65">
        <f>SUMIFS(Shift_allowance_Entries!$G:$G,Shift_allowance_Entries!$F:$F,"11PM-7AM",Shift_allowance_Entries!$B:$B,CPY!$B457)</f>
        <v>0</v>
      </c>
      <c r="R457" s="63">
        <f>(CPY!O457*MD!$F$4)+(CPY!P457*MD!$F$5)+(CPY!Q457*MD!$F$6)</f>
        <v>0</v>
      </c>
      <c r="T457" s="64">
        <f>ROUNDUP((SUMIFS('OOH Activities'!$K:$K,'OOH Activities'!$F:$F,"Non_workdays",'OOH Activities'!$B:$B,CPY!B457)) *24,1)</f>
        <v>0</v>
      </c>
      <c r="U457" s="64">
        <f>ROUNDUP((SUMIFS('OOH Activities'!$K:$K,'OOH Activities'!$F:$F,"Workdays",'OOH Activities'!$B:$B,CPY!B457)) *24,1)</f>
        <v>0</v>
      </c>
      <c r="V457" s="63">
        <f>ROUNDUP((SUMIFS('OOH Activities'!$L:$L,'OOH Activities'!$B:$B,CPY!B457)),1)</f>
        <v>0</v>
      </c>
      <c r="X457" s="65">
        <f>ROUNDUP((SUMIFS('ON Call_Call Out Activities'!$L:$L,'ON Call_Call Out Activities'!$F:$F,"Workdays",'ON Call_Call Out Activities'!$B:$B,CPY!B457))*24,1)</f>
        <v>0</v>
      </c>
      <c r="Y457" s="64">
        <f>ROUNDUP((SUMIFS('ON Call_Call Out Activities'!$L:$L,'ON Call_Call Out Activities'!$F:$F,"Non_workdays",'ON Call_Call Out Activities'!$B:$B,CPY!B457)) *24,1)</f>
        <v>0</v>
      </c>
      <c r="Z457" s="63">
        <f>ROUNDUP((SUMIFS('ON Call_Call Out Activities'!$M:$M,'ON Call_Call Out Activities'!$F:$F,"Non_workdays",'ON Call_Call Out Activities'!$B:$B,CPY!B457)),1) + ROUNDUP((SUMIFS('ON Call_Call Out Activities'!$M:$M,'ON Call_Call Out Activities'!$F:$F,"Workdays",'ON Call_Call Out Activities'!$B:$B,CPY!B457)),1)</f>
        <v>0</v>
      </c>
      <c r="AA457" s="66"/>
      <c r="AB457" s="64">
        <f>ROUNDUP((SUMIFS('ON Call_Call Out Activities'!$L:$L,'ON Call_Call Out Activities'!$F:$F,"Call_Out",'ON Call_Call Out Activities'!$B:$B,CPY!B457)) *24,1)</f>
        <v>0</v>
      </c>
      <c r="AC457" s="63">
        <f>ROUNDUP((SUMIFS('ON Call_Call Out Activities'!$M:$M,'ON Call_Call Out Activities'!$F:$F,"Call_Out",'ON Call_Call Out Activities'!$B:$B,CPY!B457)),1)</f>
        <v>0</v>
      </c>
      <c r="AE457" s="65">
        <f>IF((SUMIF(Shift_allowance_Entries!$B:$B,CPY!$B457,Shift_allowance_Entries!$H:$H)) &gt; (SUMIF(Shift_allowance_Entries!$B:$B,CPY!$B457,Shift_allowance_Entries!$G:$G)),0,((SUMIF(Shift_allowance_Entries!$B:$B,CPY!$B457,Shift_allowance_Entries!$G:$G))-(SUMIF(Shift_allowance_Entries!$B:$B,CPY!$B457,Shift_allowance_Entries!$H:$H))))</f>
        <v>0</v>
      </c>
      <c r="AF457" s="63">
        <f>AE457*MD!$S$4</f>
        <v>0</v>
      </c>
    </row>
    <row r="458" spans="1:32" x14ac:dyDescent="0.25">
      <c r="A458" s="62">
        <v>456</v>
      </c>
      <c r="B458" s="62"/>
      <c r="C458" s="50" t="str">
        <f>IF(ISNA(VLOOKUP($B458,Summary!$B:$D,2,FALSE))=TRUE," ",VLOOKUP($B458,Summary!$B:$D,2,FALSE))</f>
        <v> </v>
      </c>
      <c r="D458" s="50" t="str">
        <f>IF(ISNA(VLOOKUP($B458,Summary!$B:$D,3,FALSE))=TRUE," ",VLOOKUP($B458,Summary!$B:$D,3,FALSE))</f>
        <v> </v>
      </c>
      <c r="E458" s="62"/>
      <c r="F458" s="62"/>
      <c r="G458" s="62"/>
      <c r="I458" s="63">
        <f t="shared" si="7"/>
        <v>0</v>
      </c>
      <c r="K458" s="64">
        <f>IF(E458="Support(L1_L2)",IF(NOT(ISBLANK(B458)),IF(NOT(ISBLANK(D458)),NETWORKDAYS('CPY TOC'!$F$5,'CPY TOC'!$G$5))))-L458</f>
        <v>0</v>
      </c>
      <c r="L458" s="64">
        <f>IF(E458="Support(L1_L2)",SUMIFS(Support_allowance_Entries!$G:$G,Support_allowance_Entries!$B:$B,CPY!B458),0)</f>
        <v>0</v>
      </c>
      <c r="M458" s="63" t="b">
        <f>IF($D458="D0",MD!$C$4*(K458),IF($D458="D1",MD!$C$5*(K458),IF($D458="D2",MD!$C$6*(K458),IF($D458="D3",MD!$C$7*(K458),IF($D458="D4",MD!$C$8*(K458),IF($D458="D5",MD!$C$9*(K458),IF($D458="M1",MD!$C$10*(K458),IF($D458="T1",MD!$C$11*(K458)))))))))</f>
        <v>0</v>
      </c>
      <c r="O458" s="65">
        <f>SUMIFS(Shift_allowance_Entries!$G:$G,Shift_allowance_Entries!$F:$F,"6:30AM-03:30PM",Shift_allowance_Entries!$B:$B,CPY!$B458)</f>
        <v>0</v>
      </c>
      <c r="P458" s="65">
        <f>SUMIFS(Shift_allowance_Entries!$G:$G,Shift_allowance_Entries!$F:$F,"1-9PM/2:30PM-11:30PM",Shift_allowance_Entries!$B:$B,CPY!$B458)</f>
        <v>0</v>
      </c>
      <c r="Q458" s="65">
        <f>SUMIFS(Shift_allowance_Entries!$G:$G,Shift_allowance_Entries!$F:$F,"11PM-7AM",Shift_allowance_Entries!$B:$B,CPY!$B458)</f>
        <v>0</v>
      </c>
      <c r="R458" s="63">
        <f>(CPY!O458*MD!$F$4)+(CPY!P458*MD!$F$5)+(CPY!Q458*MD!$F$6)</f>
        <v>0</v>
      </c>
      <c r="T458" s="64">
        <f>ROUNDUP((SUMIFS('OOH Activities'!$K:$K,'OOH Activities'!$F:$F,"Non_workdays",'OOH Activities'!$B:$B,CPY!B458)) *24,1)</f>
        <v>0</v>
      </c>
      <c r="U458" s="64">
        <f>ROUNDUP((SUMIFS('OOH Activities'!$K:$K,'OOH Activities'!$F:$F,"Workdays",'OOH Activities'!$B:$B,CPY!B458)) *24,1)</f>
        <v>0</v>
      </c>
      <c r="V458" s="63">
        <f>ROUNDUP((SUMIFS('OOH Activities'!$L:$L,'OOH Activities'!$B:$B,CPY!B458)),1)</f>
        <v>0</v>
      </c>
      <c r="X458" s="65">
        <f>ROUNDUP((SUMIFS('ON Call_Call Out Activities'!$L:$L,'ON Call_Call Out Activities'!$F:$F,"Workdays",'ON Call_Call Out Activities'!$B:$B,CPY!B458))*24,1)</f>
        <v>0</v>
      </c>
      <c r="Y458" s="64">
        <f>ROUNDUP((SUMIFS('ON Call_Call Out Activities'!$L:$L,'ON Call_Call Out Activities'!$F:$F,"Non_workdays",'ON Call_Call Out Activities'!$B:$B,CPY!B458)) *24,1)</f>
        <v>0</v>
      </c>
      <c r="Z458" s="63">
        <f>ROUNDUP((SUMIFS('ON Call_Call Out Activities'!$M:$M,'ON Call_Call Out Activities'!$F:$F,"Non_workdays",'ON Call_Call Out Activities'!$B:$B,CPY!B458)),1) + ROUNDUP((SUMIFS('ON Call_Call Out Activities'!$M:$M,'ON Call_Call Out Activities'!$F:$F,"Workdays",'ON Call_Call Out Activities'!$B:$B,CPY!B458)),1)</f>
        <v>0</v>
      </c>
      <c r="AA458" s="66"/>
      <c r="AB458" s="64">
        <f>ROUNDUP((SUMIFS('ON Call_Call Out Activities'!$L:$L,'ON Call_Call Out Activities'!$F:$F,"Call_Out",'ON Call_Call Out Activities'!$B:$B,CPY!B458)) *24,1)</f>
        <v>0</v>
      </c>
      <c r="AC458" s="63">
        <f>ROUNDUP((SUMIFS('ON Call_Call Out Activities'!$M:$M,'ON Call_Call Out Activities'!$F:$F,"Call_Out",'ON Call_Call Out Activities'!$B:$B,CPY!B458)),1)</f>
        <v>0</v>
      </c>
      <c r="AE458" s="65">
        <f>IF((SUMIF(Shift_allowance_Entries!$B:$B,CPY!$B458,Shift_allowance_Entries!$H:$H)) &gt; (SUMIF(Shift_allowance_Entries!$B:$B,CPY!$B458,Shift_allowance_Entries!$G:$G)),0,((SUMIF(Shift_allowance_Entries!$B:$B,CPY!$B458,Shift_allowance_Entries!$G:$G))-(SUMIF(Shift_allowance_Entries!$B:$B,CPY!$B458,Shift_allowance_Entries!$H:$H))))</f>
        <v>0</v>
      </c>
      <c r="AF458" s="63">
        <f>AE458*MD!$S$4</f>
        <v>0</v>
      </c>
    </row>
    <row r="459" spans="1:32" x14ac:dyDescent="0.25">
      <c r="A459" s="62">
        <v>457</v>
      </c>
      <c r="B459" s="62"/>
      <c r="C459" s="50" t="str">
        <f>IF(ISNA(VLOOKUP($B459,Summary!$B:$D,2,FALSE))=TRUE," ",VLOOKUP($B459,Summary!$B:$D,2,FALSE))</f>
        <v> </v>
      </c>
      <c r="D459" s="50" t="str">
        <f>IF(ISNA(VLOOKUP($B459,Summary!$B:$D,3,FALSE))=TRUE," ",VLOOKUP($B459,Summary!$B:$D,3,FALSE))</f>
        <v> </v>
      </c>
      <c r="E459" s="62"/>
      <c r="F459" s="62"/>
      <c r="G459" s="62"/>
      <c r="I459" s="63">
        <f t="shared" si="7"/>
        <v>0</v>
      </c>
      <c r="K459" s="64">
        <f>IF(E459="Support(L1_L2)",IF(NOT(ISBLANK(B459)),IF(NOT(ISBLANK(D459)),NETWORKDAYS('CPY TOC'!$F$5,'CPY TOC'!$G$5))))-L459</f>
        <v>0</v>
      </c>
      <c r="L459" s="64">
        <f>IF(E459="Support(L1_L2)",SUMIFS(Support_allowance_Entries!$G:$G,Support_allowance_Entries!$B:$B,CPY!B459),0)</f>
        <v>0</v>
      </c>
      <c r="M459" s="63" t="b">
        <f>IF($D459="D0",MD!$C$4*(K459),IF($D459="D1",MD!$C$5*(K459),IF($D459="D2",MD!$C$6*(K459),IF($D459="D3",MD!$C$7*(K459),IF($D459="D4",MD!$C$8*(K459),IF($D459="D5",MD!$C$9*(K459),IF($D459="M1",MD!$C$10*(K459),IF($D459="T1",MD!$C$11*(K459)))))))))</f>
        <v>0</v>
      </c>
      <c r="O459" s="65">
        <f>SUMIFS(Shift_allowance_Entries!$G:$G,Shift_allowance_Entries!$F:$F,"6:30AM-03:30PM",Shift_allowance_Entries!$B:$B,CPY!$B459)</f>
        <v>0</v>
      </c>
      <c r="P459" s="65">
        <f>SUMIFS(Shift_allowance_Entries!$G:$G,Shift_allowance_Entries!$F:$F,"1-9PM/2:30PM-11:30PM",Shift_allowance_Entries!$B:$B,CPY!$B459)</f>
        <v>0</v>
      </c>
      <c r="Q459" s="65">
        <f>SUMIFS(Shift_allowance_Entries!$G:$G,Shift_allowance_Entries!$F:$F,"11PM-7AM",Shift_allowance_Entries!$B:$B,CPY!$B459)</f>
        <v>0</v>
      </c>
      <c r="R459" s="63">
        <f>(CPY!O459*MD!$F$4)+(CPY!P459*MD!$F$5)+(CPY!Q459*MD!$F$6)</f>
        <v>0</v>
      </c>
      <c r="T459" s="64">
        <f>ROUNDUP((SUMIFS('OOH Activities'!$K:$K,'OOH Activities'!$F:$F,"Non_workdays",'OOH Activities'!$B:$B,CPY!B459)) *24,1)</f>
        <v>0</v>
      </c>
      <c r="U459" s="64">
        <f>ROUNDUP((SUMIFS('OOH Activities'!$K:$K,'OOH Activities'!$F:$F,"Workdays",'OOH Activities'!$B:$B,CPY!B459)) *24,1)</f>
        <v>0</v>
      </c>
      <c r="V459" s="63">
        <f>ROUNDUP((SUMIFS('OOH Activities'!$L:$L,'OOH Activities'!$B:$B,CPY!B459)),1)</f>
        <v>0</v>
      </c>
      <c r="X459" s="65">
        <f>ROUNDUP((SUMIFS('ON Call_Call Out Activities'!$L:$L,'ON Call_Call Out Activities'!$F:$F,"Workdays",'ON Call_Call Out Activities'!$B:$B,CPY!B459))*24,1)</f>
        <v>0</v>
      </c>
      <c r="Y459" s="64">
        <f>ROUNDUP((SUMIFS('ON Call_Call Out Activities'!$L:$L,'ON Call_Call Out Activities'!$F:$F,"Non_workdays",'ON Call_Call Out Activities'!$B:$B,CPY!B459)) *24,1)</f>
        <v>0</v>
      </c>
      <c r="Z459" s="63">
        <f>ROUNDUP((SUMIFS('ON Call_Call Out Activities'!$M:$M,'ON Call_Call Out Activities'!$F:$F,"Non_workdays",'ON Call_Call Out Activities'!$B:$B,CPY!B459)),1) + ROUNDUP((SUMIFS('ON Call_Call Out Activities'!$M:$M,'ON Call_Call Out Activities'!$F:$F,"Workdays",'ON Call_Call Out Activities'!$B:$B,CPY!B459)),1)</f>
        <v>0</v>
      </c>
      <c r="AA459" s="66"/>
      <c r="AB459" s="64">
        <f>ROUNDUP((SUMIFS('ON Call_Call Out Activities'!$L:$L,'ON Call_Call Out Activities'!$F:$F,"Call_Out",'ON Call_Call Out Activities'!$B:$B,CPY!B459)) *24,1)</f>
        <v>0</v>
      </c>
      <c r="AC459" s="63">
        <f>ROUNDUP((SUMIFS('ON Call_Call Out Activities'!$M:$M,'ON Call_Call Out Activities'!$F:$F,"Call_Out",'ON Call_Call Out Activities'!$B:$B,CPY!B459)),1)</f>
        <v>0</v>
      </c>
      <c r="AE459" s="65">
        <f>IF((SUMIF(Shift_allowance_Entries!$B:$B,CPY!$B459,Shift_allowance_Entries!$H:$H)) &gt; (SUMIF(Shift_allowance_Entries!$B:$B,CPY!$B459,Shift_allowance_Entries!$G:$G)),0,((SUMIF(Shift_allowance_Entries!$B:$B,CPY!$B459,Shift_allowance_Entries!$G:$G))-(SUMIF(Shift_allowance_Entries!$B:$B,CPY!$B459,Shift_allowance_Entries!$H:$H))))</f>
        <v>0</v>
      </c>
      <c r="AF459" s="63">
        <f>AE459*MD!$S$4</f>
        <v>0</v>
      </c>
    </row>
    <row r="460" spans="1:32" x14ac:dyDescent="0.25">
      <c r="A460" s="62">
        <v>458</v>
      </c>
      <c r="B460" s="62"/>
      <c r="C460" s="50" t="str">
        <f>IF(ISNA(VLOOKUP($B460,Summary!$B:$D,2,FALSE))=TRUE," ",VLOOKUP($B460,Summary!$B:$D,2,FALSE))</f>
        <v> </v>
      </c>
      <c r="D460" s="50" t="str">
        <f>IF(ISNA(VLOOKUP($B460,Summary!$B:$D,3,FALSE))=TRUE," ",VLOOKUP($B460,Summary!$B:$D,3,FALSE))</f>
        <v> </v>
      </c>
      <c r="E460" s="62"/>
      <c r="F460" s="62"/>
      <c r="G460" s="62"/>
      <c r="I460" s="63">
        <f t="shared" si="7"/>
        <v>0</v>
      </c>
      <c r="K460" s="64">
        <f>IF(E460="Support(L1_L2)",IF(NOT(ISBLANK(B460)),IF(NOT(ISBLANK(D460)),NETWORKDAYS('CPY TOC'!$F$5,'CPY TOC'!$G$5))))-L460</f>
        <v>0</v>
      </c>
      <c r="L460" s="64">
        <f>IF(E460="Support(L1_L2)",SUMIFS(Support_allowance_Entries!$G:$G,Support_allowance_Entries!$B:$B,CPY!B460),0)</f>
        <v>0</v>
      </c>
      <c r="M460" s="63" t="b">
        <f>IF($D460="D0",MD!$C$4*(K460),IF($D460="D1",MD!$C$5*(K460),IF($D460="D2",MD!$C$6*(K460),IF($D460="D3",MD!$C$7*(K460),IF($D460="D4",MD!$C$8*(K460),IF($D460="D5",MD!$C$9*(K460),IF($D460="M1",MD!$C$10*(K460),IF($D460="T1",MD!$C$11*(K460)))))))))</f>
        <v>0</v>
      </c>
      <c r="O460" s="65">
        <f>SUMIFS(Shift_allowance_Entries!$G:$G,Shift_allowance_Entries!$F:$F,"6:30AM-03:30PM",Shift_allowance_Entries!$B:$B,CPY!$B460)</f>
        <v>0</v>
      </c>
      <c r="P460" s="65">
        <f>SUMIFS(Shift_allowance_Entries!$G:$G,Shift_allowance_Entries!$F:$F,"1-9PM/2:30PM-11:30PM",Shift_allowance_Entries!$B:$B,CPY!$B460)</f>
        <v>0</v>
      </c>
      <c r="Q460" s="65">
        <f>SUMIFS(Shift_allowance_Entries!$G:$G,Shift_allowance_Entries!$F:$F,"11PM-7AM",Shift_allowance_Entries!$B:$B,CPY!$B460)</f>
        <v>0</v>
      </c>
      <c r="R460" s="63">
        <f>(CPY!O460*MD!$F$4)+(CPY!P460*MD!$F$5)+(CPY!Q460*MD!$F$6)</f>
        <v>0</v>
      </c>
      <c r="T460" s="64">
        <f>ROUNDUP((SUMIFS('OOH Activities'!$K:$K,'OOH Activities'!$F:$F,"Non_workdays",'OOH Activities'!$B:$B,CPY!B460)) *24,1)</f>
        <v>0</v>
      </c>
      <c r="U460" s="64">
        <f>ROUNDUP((SUMIFS('OOH Activities'!$K:$K,'OOH Activities'!$F:$F,"Workdays",'OOH Activities'!$B:$B,CPY!B460)) *24,1)</f>
        <v>0</v>
      </c>
      <c r="V460" s="63">
        <f>ROUNDUP((SUMIFS('OOH Activities'!$L:$L,'OOH Activities'!$B:$B,CPY!B460)),1)</f>
        <v>0</v>
      </c>
      <c r="X460" s="65">
        <f>ROUNDUP((SUMIFS('ON Call_Call Out Activities'!$L:$L,'ON Call_Call Out Activities'!$F:$F,"Workdays",'ON Call_Call Out Activities'!$B:$B,CPY!B460))*24,1)</f>
        <v>0</v>
      </c>
      <c r="Y460" s="64">
        <f>ROUNDUP((SUMIFS('ON Call_Call Out Activities'!$L:$L,'ON Call_Call Out Activities'!$F:$F,"Non_workdays",'ON Call_Call Out Activities'!$B:$B,CPY!B460)) *24,1)</f>
        <v>0</v>
      </c>
      <c r="Z460" s="63">
        <f>ROUNDUP((SUMIFS('ON Call_Call Out Activities'!$M:$M,'ON Call_Call Out Activities'!$F:$F,"Non_workdays",'ON Call_Call Out Activities'!$B:$B,CPY!B460)),1) + ROUNDUP((SUMIFS('ON Call_Call Out Activities'!$M:$M,'ON Call_Call Out Activities'!$F:$F,"Workdays",'ON Call_Call Out Activities'!$B:$B,CPY!B460)),1)</f>
        <v>0</v>
      </c>
      <c r="AA460" s="66"/>
      <c r="AB460" s="64">
        <f>ROUNDUP((SUMIFS('ON Call_Call Out Activities'!$L:$L,'ON Call_Call Out Activities'!$F:$F,"Call_Out",'ON Call_Call Out Activities'!$B:$B,CPY!B460)) *24,1)</f>
        <v>0</v>
      </c>
      <c r="AC460" s="63">
        <f>ROUNDUP((SUMIFS('ON Call_Call Out Activities'!$M:$M,'ON Call_Call Out Activities'!$F:$F,"Call_Out",'ON Call_Call Out Activities'!$B:$B,CPY!B460)),1)</f>
        <v>0</v>
      </c>
      <c r="AE460" s="65">
        <f>IF((SUMIF(Shift_allowance_Entries!$B:$B,CPY!$B460,Shift_allowance_Entries!$H:$H)) &gt; (SUMIF(Shift_allowance_Entries!$B:$B,CPY!$B460,Shift_allowance_Entries!$G:$G)),0,((SUMIF(Shift_allowance_Entries!$B:$B,CPY!$B460,Shift_allowance_Entries!$G:$G))-(SUMIF(Shift_allowance_Entries!$B:$B,CPY!$B460,Shift_allowance_Entries!$H:$H))))</f>
        <v>0</v>
      </c>
      <c r="AF460" s="63">
        <f>AE460*MD!$S$4</f>
        <v>0</v>
      </c>
    </row>
    <row r="461" spans="1:32" x14ac:dyDescent="0.25">
      <c r="A461" s="62">
        <v>459</v>
      </c>
      <c r="B461" s="62"/>
      <c r="C461" s="50" t="str">
        <f>IF(ISNA(VLOOKUP($B461,Summary!$B:$D,2,FALSE))=TRUE," ",VLOOKUP($B461,Summary!$B:$D,2,FALSE))</f>
        <v> </v>
      </c>
      <c r="D461" s="50" t="str">
        <f>IF(ISNA(VLOOKUP($B461,Summary!$B:$D,3,FALSE))=TRUE," ",VLOOKUP($B461,Summary!$B:$D,3,FALSE))</f>
        <v> </v>
      </c>
      <c r="E461" s="62"/>
      <c r="F461" s="62"/>
      <c r="G461" s="62"/>
      <c r="I461" s="63">
        <f t="shared" si="7"/>
        <v>0</v>
      </c>
      <c r="K461" s="64">
        <f>IF(E461="Support(L1_L2)",IF(NOT(ISBLANK(B461)),IF(NOT(ISBLANK(D461)),NETWORKDAYS('CPY TOC'!$F$5,'CPY TOC'!$G$5))))-L461</f>
        <v>0</v>
      </c>
      <c r="L461" s="64">
        <f>IF(E461="Support(L1_L2)",SUMIFS(Support_allowance_Entries!$G:$G,Support_allowance_Entries!$B:$B,CPY!B461),0)</f>
        <v>0</v>
      </c>
      <c r="M461" s="63" t="b">
        <f>IF($D461="D0",MD!$C$4*(K461),IF($D461="D1",MD!$C$5*(K461),IF($D461="D2",MD!$C$6*(K461),IF($D461="D3",MD!$C$7*(K461),IF($D461="D4",MD!$C$8*(K461),IF($D461="D5",MD!$C$9*(K461),IF($D461="M1",MD!$C$10*(K461),IF($D461="T1",MD!$C$11*(K461)))))))))</f>
        <v>0</v>
      </c>
      <c r="O461" s="65">
        <f>SUMIFS(Shift_allowance_Entries!$G:$G,Shift_allowance_Entries!$F:$F,"6:30AM-03:30PM",Shift_allowance_Entries!$B:$B,CPY!$B461)</f>
        <v>0</v>
      </c>
      <c r="P461" s="65">
        <f>SUMIFS(Shift_allowance_Entries!$G:$G,Shift_allowance_Entries!$F:$F,"1-9PM/2:30PM-11:30PM",Shift_allowance_Entries!$B:$B,CPY!$B461)</f>
        <v>0</v>
      </c>
      <c r="Q461" s="65">
        <f>SUMIFS(Shift_allowance_Entries!$G:$G,Shift_allowance_Entries!$F:$F,"11PM-7AM",Shift_allowance_Entries!$B:$B,CPY!$B461)</f>
        <v>0</v>
      </c>
      <c r="R461" s="63">
        <f>(CPY!O461*MD!$F$4)+(CPY!P461*MD!$F$5)+(CPY!Q461*MD!$F$6)</f>
        <v>0</v>
      </c>
      <c r="T461" s="64">
        <f>ROUNDUP((SUMIFS('OOH Activities'!$K:$K,'OOH Activities'!$F:$F,"Non_workdays",'OOH Activities'!$B:$B,CPY!B461)) *24,1)</f>
        <v>0</v>
      </c>
      <c r="U461" s="64">
        <f>ROUNDUP((SUMIFS('OOH Activities'!$K:$K,'OOH Activities'!$F:$F,"Workdays",'OOH Activities'!$B:$B,CPY!B461)) *24,1)</f>
        <v>0</v>
      </c>
      <c r="V461" s="63">
        <f>ROUNDUP((SUMIFS('OOH Activities'!$L:$L,'OOH Activities'!$B:$B,CPY!B461)),1)</f>
        <v>0</v>
      </c>
      <c r="X461" s="65">
        <f>ROUNDUP((SUMIFS('ON Call_Call Out Activities'!$L:$L,'ON Call_Call Out Activities'!$F:$F,"Workdays",'ON Call_Call Out Activities'!$B:$B,CPY!B461))*24,1)</f>
        <v>0</v>
      </c>
      <c r="Y461" s="64">
        <f>ROUNDUP((SUMIFS('ON Call_Call Out Activities'!$L:$L,'ON Call_Call Out Activities'!$F:$F,"Non_workdays",'ON Call_Call Out Activities'!$B:$B,CPY!B461)) *24,1)</f>
        <v>0</v>
      </c>
      <c r="Z461" s="63">
        <f>ROUNDUP((SUMIFS('ON Call_Call Out Activities'!$M:$M,'ON Call_Call Out Activities'!$F:$F,"Non_workdays",'ON Call_Call Out Activities'!$B:$B,CPY!B461)),1) + ROUNDUP((SUMIFS('ON Call_Call Out Activities'!$M:$M,'ON Call_Call Out Activities'!$F:$F,"Workdays",'ON Call_Call Out Activities'!$B:$B,CPY!B461)),1)</f>
        <v>0</v>
      </c>
      <c r="AA461" s="66"/>
      <c r="AB461" s="64">
        <f>ROUNDUP((SUMIFS('ON Call_Call Out Activities'!$L:$L,'ON Call_Call Out Activities'!$F:$F,"Call_Out",'ON Call_Call Out Activities'!$B:$B,CPY!B461)) *24,1)</f>
        <v>0</v>
      </c>
      <c r="AC461" s="63">
        <f>ROUNDUP((SUMIFS('ON Call_Call Out Activities'!$M:$M,'ON Call_Call Out Activities'!$F:$F,"Call_Out",'ON Call_Call Out Activities'!$B:$B,CPY!B461)),1)</f>
        <v>0</v>
      </c>
      <c r="AE461" s="65">
        <f>IF((SUMIF(Shift_allowance_Entries!$B:$B,CPY!$B461,Shift_allowance_Entries!$H:$H)) &gt; (SUMIF(Shift_allowance_Entries!$B:$B,CPY!$B461,Shift_allowance_Entries!$G:$G)),0,((SUMIF(Shift_allowance_Entries!$B:$B,CPY!$B461,Shift_allowance_Entries!$G:$G))-(SUMIF(Shift_allowance_Entries!$B:$B,CPY!$B461,Shift_allowance_Entries!$H:$H))))</f>
        <v>0</v>
      </c>
      <c r="AF461" s="63">
        <f>AE461*MD!$S$4</f>
        <v>0</v>
      </c>
    </row>
    <row r="462" spans="1:32" x14ac:dyDescent="0.25">
      <c r="A462" s="62">
        <v>460</v>
      </c>
      <c r="B462" s="62"/>
      <c r="C462" s="50" t="str">
        <f>IF(ISNA(VLOOKUP($B462,Summary!$B:$D,2,FALSE))=TRUE," ",VLOOKUP($B462,Summary!$B:$D,2,FALSE))</f>
        <v> </v>
      </c>
      <c r="D462" s="50" t="str">
        <f>IF(ISNA(VLOOKUP($B462,Summary!$B:$D,3,FALSE))=TRUE," ",VLOOKUP($B462,Summary!$B:$D,3,FALSE))</f>
        <v> </v>
      </c>
      <c r="E462" s="62"/>
      <c r="F462" s="62"/>
      <c r="G462" s="62"/>
      <c r="I462" s="63">
        <f t="shared" si="7"/>
        <v>0</v>
      </c>
      <c r="K462" s="64">
        <f>IF(E462="Support(L1_L2)",IF(NOT(ISBLANK(B462)),IF(NOT(ISBLANK(D462)),NETWORKDAYS('CPY TOC'!$F$5,'CPY TOC'!$G$5))))-L462</f>
        <v>0</v>
      </c>
      <c r="L462" s="64">
        <f>IF(E462="Support(L1_L2)",SUMIFS(Support_allowance_Entries!$G:$G,Support_allowance_Entries!$B:$B,CPY!B462),0)</f>
        <v>0</v>
      </c>
      <c r="M462" s="63" t="b">
        <f>IF($D462="D0",MD!$C$4*(K462),IF($D462="D1",MD!$C$5*(K462),IF($D462="D2",MD!$C$6*(K462),IF($D462="D3",MD!$C$7*(K462),IF($D462="D4",MD!$C$8*(K462),IF($D462="D5",MD!$C$9*(K462),IF($D462="M1",MD!$C$10*(K462),IF($D462="T1",MD!$C$11*(K462)))))))))</f>
        <v>0</v>
      </c>
      <c r="O462" s="65">
        <f>SUMIFS(Shift_allowance_Entries!$G:$G,Shift_allowance_Entries!$F:$F,"6:30AM-03:30PM",Shift_allowance_Entries!$B:$B,CPY!$B462)</f>
        <v>0</v>
      </c>
      <c r="P462" s="65">
        <f>SUMIFS(Shift_allowance_Entries!$G:$G,Shift_allowance_Entries!$F:$F,"1-9PM/2:30PM-11:30PM",Shift_allowance_Entries!$B:$B,CPY!$B462)</f>
        <v>0</v>
      </c>
      <c r="Q462" s="65">
        <f>SUMIFS(Shift_allowance_Entries!$G:$G,Shift_allowance_Entries!$F:$F,"11PM-7AM",Shift_allowance_Entries!$B:$B,CPY!$B462)</f>
        <v>0</v>
      </c>
      <c r="R462" s="63">
        <f>(CPY!O462*MD!$F$4)+(CPY!P462*MD!$F$5)+(CPY!Q462*MD!$F$6)</f>
        <v>0</v>
      </c>
      <c r="T462" s="64">
        <f>ROUNDUP((SUMIFS('OOH Activities'!$K:$K,'OOH Activities'!$F:$F,"Non_workdays",'OOH Activities'!$B:$B,CPY!B462)) *24,1)</f>
        <v>0</v>
      </c>
      <c r="U462" s="64">
        <f>ROUNDUP((SUMIFS('OOH Activities'!$K:$K,'OOH Activities'!$F:$F,"Workdays",'OOH Activities'!$B:$B,CPY!B462)) *24,1)</f>
        <v>0</v>
      </c>
      <c r="V462" s="63">
        <f>ROUNDUP((SUMIFS('OOH Activities'!$L:$L,'OOH Activities'!$B:$B,CPY!B462)),1)</f>
        <v>0</v>
      </c>
      <c r="X462" s="65">
        <f>ROUNDUP((SUMIFS('ON Call_Call Out Activities'!$L:$L,'ON Call_Call Out Activities'!$F:$F,"Workdays",'ON Call_Call Out Activities'!$B:$B,CPY!B462))*24,1)</f>
        <v>0</v>
      </c>
      <c r="Y462" s="64">
        <f>ROUNDUP((SUMIFS('ON Call_Call Out Activities'!$L:$L,'ON Call_Call Out Activities'!$F:$F,"Non_workdays",'ON Call_Call Out Activities'!$B:$B,CPY!B462)) *24,1)</f>
        <v>0</v>
      </c>
      <c r="Z462" s="63">
        <f>ROUNDUP((SUMIFS('ON Call_Call Out Activities'!$M:$M,'ON Call_Call Out Activities'!$F:$F,"Non_workdays",'ON Call_Call Out Activities'!$B:$B,CPY!B462)),1) + ROUNDUP((SUMIFS('ON Call_Call Out Activities'!$M:$M,'ON Call_Call Out Activities'!$F:$F,"Workdays",'ON Call_Call Out Activities'!$B:$B,CPY!B462)),1)</f>
        <v>0</v>
      </c>
      <c r="AA462" s="66"/>
      <c r="AB462" s="64">
        <f>ROUNDUP((SUMIFS('ON Call_Call Out Activities'!$L:$L,'ON Call_Call Out Activities'!$F:$F,"Call_Out",'ON Call_Call Out Activities'!$B:$B,CPY!B462)) *24,1)</f>
        <v>0</v>
      </c>
      <c r="AC462" s="63">
        <f>ROUNDUP((SUMIFS('ON Call_Call Out Activities'!$M:$M,'ON Call_Call Out Activities'!$F:$F,"Call_Out",'ON Call_Call Out Activities'!$B:$B,CPY!B462)),1)</f>
        <v>0</v>
      </c>
      <c r="AE462" s="65">
        <f>IF((SUMIF(Shift_allowance_Entries!$B:$B,CPY!$B462,Shift_allowance_Entries!$H:$H)) &gt; (SUMIF(Shift_allowance_Entries!$B:$B,CPY!$B462,Shift_allowance_Entries!$G:$G)),0,((SUMIF(Shift_allowance_Entries!$B:$B,CPY!$B462,Shift_allowance_Entries!$G:$G))-(SUMIF(Shift_allowance_Entries!$B:$B,CPY!$B462,Shift_allowance_Entries!$H:$H))))</f>
        <v>0</v>
      </c>
      <c r="AF462" s="63">
        <f>AE462*MD!$S$4</f>
        <v>0</v>
      </c>
    </row>
    <row r="463" spans="1:32" x14ac:dyDescent="0.25">
      <c r="A463" s="62">
        <v>461</v>
      </c>
      <c r="B463" s="62"/>
      <c r="C463" s="50" t="str">
        <f>IF(ISNA(VLOOKUP($B463,Summary!$B:$D,2,FALSE))=TRUE," ",VLOOKUP($B463,Summary!$B:$D,2,FALSE))</f>
        <v> </v>
      </c>
      <c r="D463" s="50" t="str">
        <f>IF(ISNA(VLOOKUP($B463,Summary!$B:$D,3,FALSE))=TRUE," ",VLOOKUP($B463,Summary!$B:$D,3,FALSE))</f>
        <v> </v>
      </c>
      <c r="E463" s="62"/>
      <c r="F463" s="62"/>
      <c r="G463" s="62"/>
      <c r="I463" s="63">
        <f t="shared" si="7"/>
        <v>0</v>
      </c>
      <c r="K463" s="64">
        <f>IF(E463="Support(L1_L2)",IF(NOT(ISBLANK(B463)),IF(NOT(ISBLANK(D463)),NETWORKDAYS('CPY TOC'!$F$5,'CPY TOC'!$G$5))))-L463</f>
        <v>0</v>
      </c>
      <c r="L463" s="64">
        <f>IF(E463="Support(L1_L2)",SUMIFS(Support_allowance_Entries!$G:$G,Support_allowance_Entries!$B:$B,CPY!B463),0)</f>
        <v>0</v>
      </c>
      <c r="M463" s="63" t="b">
        <f>IF($D463="D0",MD!$C$4*(K463),IF($D463="D1",MD!$C$5*(K463),IF($D463="D2",MD!$C$6*(K463),IF($D463="D3",MD!$C$7*(K463),IF($D463="D4",MD!$C$8*(K463),IF($D463="D5",MD!$C$9*(K463),IF($D463="M1",MD!$C$10*(K463),IF($D463="T1",MD!$C$11*(K463)))))))))</f>
        <v>0</v>
      </c>
      <c r="O463" s="65">
        <f>SUMIFS(Shift_allowance_Entries!$G:$G,Shift_allowance_Entries!$F:$F,"6:30AM-03:30PM",Shift_allowance_Entries!$B:$B,CPY!$B463)</f>
        <v>0</v>
      </c>
      <c r="P463" s="65">
        <f>SUMIFS(Shift_allowance_Entries!$G:$G,Shift_allowance_Entries!$F:$F,"1-9PM/2:30PM-11:30PM",Shift_allowance_Entries!$B:$B,CPY!$B463)</f>
        <v>0</v>
      </c>
      <c r="Q463" s="65">
        <f>SUMIFS(Shift_allowance_Entries!$G:$G,Shift_allowance_Entries!$F:$F,"11PM-7AM",Shift_allowance_Entries!$B:$B,CPY!$B463)</f>
        <v>0</v>
      </c>
      <c r="R463" s="63">
        <f>(CPY!O463*MD!$F$4)+(CPY!P463*MD!$F$5)+(CPY!Q463*MD!$F$6)</f>
        <v>0</v>
      </c>
      <c r="T463" s="64">
        <f>ROUNDUP((SUMIFS('OOH Activities'!$K:$K,'OOH Activities'!$F:$F,"Non_workdays",'OOH Activities'!$B:$B,CPY!B463)) *24,1)</f>
        <v>0</v>
      </c>
      <c r="U463" s="64">
        <f>ROUNDUP((SUMIFS('OOH Activities'!$K:$K,'OOH Activities'!$F:$F,"Workdays",'OOH Activities'!$B:$B,CPY!B463)) *24,1)</f>
        <v>0</v>
      </c>
      <c r="V463" s="63">
        <f>ROUNDUP((SUMIFS('OOH Activities'!$L:$L,'OOH Activities'!$B:$B,CPY!B463)),1)</f>
        <v>0</v>
      </c>
      <c r="X463" s="65">
        <f>ROUNDUP((SUMIFS('ON Call_Call Out Activities'!$L:$L,'ON Call_Call Out Activities'!$F:$F,"Workdays",'ON Call_Call Out Activities'!$B:$B,CPY!B463))*24,1)</f>
        <v>0</v>
      </c>
      <c r="Y463" s="64">
        <f>ROUNDUP((SUMIFS('ON Call_Call Out Activities'!$L:$L,'ON Call_Call Out Activities'!$F:$F,"Non_workdays",'ON Call_Call Out Activities'!$B:$B,CPY!B463)) *24,1)</f>
        <v>0</v>
      </c>
      <c r="Z463" s="63">
        <f>ROUNDUP((SUMIFS('ON Call_Call Out Activities'!$M:$M,'ON Call_Call Out Activities'!$F:$F,"Non_workdays",'ON Call_Call Out Activities'!$B:$B,CPY!B463)),1) + ROUNDUP((SUMIFS('ON Call_Call Out Activities'!$M:$M,'ON Call_Call Out Activities'!$F:$F,"Workdays",'ON Call_Call Out Activities'!$B:$B,CPY!B463)),1)</f>
        <v>0</v>
      </c>
      <c r="AA463" s="66"/>
      <c r="AB463" s="64">
        <f>ROUNDUP((SUMIFS('ON Call_Call Out Activities'!$L:$L,'ON Call_Call Out Activities'!$F:$F,"Call_Out",'ON Call_Call Out Activities'!$B:$B,CPY!B463)) *24,1)</f>
        <v>0</v>
      </c>
      <c r="AC463" s="63">
        <f>ROUNDUP((SUMIFS('ON Call_Call Out Activities'!$M:$M,'ON Call_Call Out Activities'!$F:$F,"Call_Out",'ON Call_Call Out Activities'!$B:$B,CPY!B463)),1)</f>
        <v>0</v>
      </c>
      <c r="AE463" s="65">
        <f>IF((SUMIF(Shift_allowance_Entries!$B:$B,CPY!$B463,Shift_allowance_Entries!$H:$H)) &gt; (SUMIF(Shift_allowance_Entries!$B:$B,CPY!$B463,Shift_allowance_Entries!$G:$G)),0,((SUMIF(Shift_allowance_Entries!$B:$B,CPY!$B463,Shift_allowance_Entries!$G:$G))-(SUMIF(Shift_allowance_Entries!$B:$B,CPY!$B463,Shift_allowance_Entries!$H:$H))))</f>
        <v>0</v>
      </c>
      <c r="AF463" s="63">
        <f>AE463*MD!$S$4</f>
        <v>0</v>
      </c>
    </row>
    <row r="464" spans="1:32" x14ac:dyDescent="0.25">
      <c r="A464" s="62">
        <v>462</v>
      </c>
      <c r="B464" s="62"/>
      <c r="C464" s="50" t="str">
        <f>IF(ISNA(VLOOKUP($B464,Summary!$B:$D,2,FALSE))=TRUE," ",VLOOKUP($B464,Summary!$B:$D,2,FALSE))</f>
        <v> </v>
      </c>
      <c r="D464" s="50" t="str">
        <f>IF(ISNA(VLOOKUP($B464,Summary!$B:$D,3,FALSE))=TRUE," ",VLOOKUP($B464,Summary!$B:$D,3,FALSE))</f>
        <v> </v>
      </c>
      <c r="E464" s="62"/>
      <c r="F464" s="62"/>
      <c r="G464" s="62"/>
      <c r="I464" s="63">
        <f t="shared" si="7"/>
        <v>0</v>
      </c>
      <c r="K464" s="64">
        <f>IF(E464="Support(L1_L2)",IF(NOT(ISBLANK(B464)),IF(NOT(ISBLANK(D464)),NETWORKDAYS('CPY TOC'!$F$5,'CPY TOC'!$G$5))))-L464</f>
        <v>0</v>
      </c>
      <c r="L464" s="64">
        <f>IF(E464="Support(L1_L2)",SUMIFS(Support_allowance_Entries!$G:$G,Support_allowance_Entries!$B:$B,CPY!B464),0)</f>
        <v>0</v>
      </c>
      <c r="M464" s="63" t="b">
        <f>IF($D464="D0",MD!$C$4*(K464),IF($D464="D1",MD!$C$5*(K464),IF($D464="D2",MD!$C$6*(K464),IF($D464="D3",MD!$C$7*(K464),IF($D464="D4",MD!$C$8*(K464),IF($D464="D5",MD!$C$9*(K464),IF($D464="M1",MD!$C$10*(K464),IF($D464="T1",MD!$C$11*(K464)))))))))</f>
        <v>0</v>
      </c>
      <c r="O464" s="65">
        <f>SUMIFS(Shift_allowance_Entries!$G:$G,Shift_allowance_Entries!$F:$F,"6:30AM-03:30PM",Shift_allowance_Entries!$B:$B,CPY!$B464)</f>
        <v>0</v>
      </c>
      <c r="P464" s="65">
        <f>SUMIFS(Shift_allowance_Entries!$G:$G,Shift_allowance_Entries!$F:$F,"1-9PM/2:30PM-11:30PM",Shift_allowance_Entries!$B:$B,CPY!$B464)</f>
        <v>0</v>
      </c>
      <c r="Q464" s="65">
        <f>SUMIFS(Shift_allowance_Entries!$G:$G,Shift_allowance_Entries!$F:$F,"11PM-7AM",Shift_allowance_Entries!$B:$B,CPY!$B464)</f>
        <v>0</v>
      </c>
      <c r="R464" s="63">
        <f>(CPY!O464*MD!$F$4)+(CPY!P464*MD!$F$5)+(CPY!Q464*MD!$F$6)</f>
        <v>0</v>
      </c>
      <c r="T464" s="64">
        <f>ROUNDUP((SUMIFS('OOH Activities'!$K:$K,'OOH Activities'!$F:$F,"Non_workdays",'OOH Activities'!$B:$B,CPY!B464)) *24,1)</f>
        <v>0</v>
      </c>
      <c r="U464" s="64">
        <f>ROUNDUP((SUMIFS('OOH Activities'!$K:$K,'OOH Activities'!$F:$F,"Workdays",'OOH Activities'!$B:$B,CPY!B464)) *24,1)</f>
        <v>0</v>
      </c>
      <c r="V464" s="63">
        <f>ROUNDUP((SUMIFS('OOH Activities'!$L:$L,'OOH Activities'!$B:$B,CPY!B464)),1)</f>
        <v>0</v>
      </c>
      <c r="X464" s="65">
        <f>ROUNDUP((SUMIFS('ON Call_Call Out Activities'!$L:$L,'ON Call_Call Out Activities'!$F:$F,"Workdays",'ON Call_Call Out Activities'!$B:$B,CPY!B464))*24,1)</f>
        <v>0</v>
      </c>
      <c r="Y464" s="64">
        <f>ROUNDUP((SUMIFS('ON Call_Call Out Activities'!$L:$L,'ON Call_Call Out Activities'!$F:$F,"Non_workdays",'ON Call_Call Out Activities'!$B:$B,CPY!B464)) *24,1)</f>
        <v>0</v>
      </c>
      <c r="Z464" s="63">
        <f>ROUNDUP((SUMIFS('ON Call_Call Out Activities'!$M:$M,'ON Call_Call Out Activities'!$F:$F,"Non_workdays",'ON Call_Call Out Activities'!$B:$B,CPY!B464)),1) + ROUNDUP((SUMIFS('ON Call_Call Out Activities'!$M:$M,'ON Call_Call Out Activities'!$F:$F,"Workdays",'ON Call_Call Out Activities'!$B:$B,CPY!B464)),1)</f>
        <v>0</v>
      </c>
      <c r="AA464" s="66"/>
      <c r="AB464" s="64">
        <f>ROUNDUP((SUMIFS('ON Call_Call Out Activities'!$L:$L,'ON Call_Call Out Activities'!$F:$F,"Call_Out",'ON Call_Call Out Activities'!$B:$B,CPY!B464)) *24,1)</f>
        <v>0</v>
      </c>
      <c r="AC464" s="63">
        <f>ROUNDUP((SUMIFS('ON Call_Call Out Activities'!$M:$M,'ON Call_Call Out Activities'!$F:$F,"Call_Out",'ON Call_Call Out Activities'!$B:$B,CPY!B464)),1)</f>
        <v>0</v>
      </c>
      <c r="AE464" s="65">
        <f>IF((SUMIF(Shift_allowance_Entries!$B:$B,CPY!$B464,Shift_allowance_Entries!$H:$H)) &gt; (SUMIF(Shift_allowance_Entries!$B:$B,CPY!$B464,Shift_allowance_Entries!$G:$G)),0,((SUMIF(Shift_allowance_Entries!$B:$B,CPY!$B464,Shift_allowance_Entries!$G:$G))-(SUMIF(Shift_allowance_Entries!$B:$B,CPY!$B464,Shift_allowance_Entries!$H:$H))))</f>
        <v>0</v>
      </c>
      <c r="AF464" s="63">
        <f>AE464*MD!$S$4</f>
        <v>0</v>
      </c>
    </row>
    <row r="465" spans="1:32" x14ac:dyDescent="0.25">
      <c r="A465" s="62">
        <v>463</v>
      </c>
      <c r="B465" s="62"/>
      <c r="C465" s="50" t="str">
        <f>IF(ISNA(VLOOKUP($B465,Summary!$B:$D,2,FALSE))=TRUE," ",VLOOKUP($B465,Summary!$B:$D,2,FALSE))</f>
        <v> </v>
      </c>
      <c r="D465" s="50" t="str">
        <f>IF(ISNA(VLOOKUP($B465,Summary!$B:$D,3,FALSE))=TRUE," ",VLOOKUP($B465,Summary!$B:$D,3,FALSE))</f>
        <v> </v>
      </c>
      <c r="E465" s="62"/>
      <c r="F465" s="62"/>
      <c r="G465" s="62"/>
      <c r="I465" s="63">
        <f t="shared" si="7"/>
        <v>0</v>
      </c>
      <c r="K465" s="64">
        <f>IF(E465="Support(L1_L2)",IF(NOT(ISBLANK(B465)),IF(NOT(ISBLANK(D465)),NETWORKDAYS('CPY TOC'!$F$5,'CPY TOC'!$G$5))))-L465</f>
        <v>0</v>
      </c>
      <c r="L465" s="64">
        <f>IF(E465="Support(L1_L2)",SUMIFS(Support_allowance_Entries!$G:$G,Support_allowance_Entries!$B:$B,CPY!B465),0)</f>
        <v>0</v>
      </c>
      <c r="M465" s="63" t="b">
        <f>IF($D465="D0",MD!$C$4*(K465),IF($D465="D1",MD!$C$5*(K465),IF($D465="D2",MD!$C$6*(K465),IF($D465="D3",MD!$C$7*(K465),IF($D465="D4",MD!$C$8*(K465),IF($D465="D5",MD!$C$9*(K465),IF($D465="M1",MD!$C$10*(K465),IF($D465="T1",MD!$C$11*(K465)))))))))</f>
        <v>0</v>
      </c>
      <c r="O465" s="65">
        <f>SUMIFS(Shift_allowance_Entries!$G:$G,Shift_allowance_Entries!$F:$F,"6:30AM-03:30PM",Shift_allowance_Entries!$B:$B,CPY!$B465)</f>
        <v>0</v>
      </c>
      <c r="P465" s="65">
        <f>SUMIFS(Shift_allowance_Entries!$G:$G,Shift_allowance_Entries!$F:$F,"1-9PM/2:30PM-11:30PM",Shift_allowance_Entries!$B:$B,CPY!$B465)</f>
        <v>0</v>
      </c>
      <c r="Q465" s="65">
        <f>SUMIFS(Shift_allowance_Entries!$G:$G,Shift_allowance_Entries!$F:$F,"11PM-7AM",Shift_allowance_Entries!$B:$B,CPY!$B465)</f>
        <v>0</v>
      </c>
      <c r="R465" s="63">
        <f>(CPY!O465*MD!$F$4)+(CPY!P465*MD!$F$5)+(CPY!Q465*MD!$F$6)</f>
        <v>0</v>
      </c>
      <c r="T465" s="64">
        <f>ROUNDUP((SUMIFS('OOH Activities'!$K:$K,'OOH Activities'!$F:$F,"Non_workdays",'OOH Activities'!$B:$B,CPY!B465)) *24,1)</f>
        <v>0</v>
      </c>
      <c r="U465" s="64">
        <f>ROUNDUP((SUMIFS('OOH Activities'!$K:$K,'OOH Activities'!$F:$F,"Workdays",'OOH Activities'!$B:$B,CPY!B465)) *24,1)</f>
        <v>0</v>
      </c>
      <c r="V465" s="63">
        <f>ROUNDUP((SUMIFS('OOH Activities'!$L:$L,'OOH Activities'!$B:$B,CPY!B465)),1)</f>
        <v>0</v>
      </c>
      <c r="X465" s="65">
        <f>ROUNDUP((SUMIFS('ON Call_Call Out Activities'!$L:$L,'ON Call_Call Out Activities'!$F:$F,"Workdays",'ON Call_Call Out Activities'!$B:$B,CPY!B465))*24,1)</f>
        <v>0</v>
      </c>
      <c r="Y465" s="64">
        <f>ROUNDUP((SUMIFS('ON Call_Call Out Activities'!$L:$L,'ON Call_Call Out Activities'!$F:$F,"Non_workdays",'ON Call_Call Out Activities'!$B:$B,CPY!B465)) *24,1)</f>
        <v>0</v>
      </c>
      <c r="Z465" s="63">
        <f>ROUNDUP((SUMIFS('ON Call_Call Out Activities'!$M:$M,'ON Call_Call Out Activities'!$F:$F,"Non_workdays",'ON Call_Call Out Activities'!$B:$B,CPY!B465)),1) + ROUNDUP((SUMIFS('ON Call_Call Out Activities'!$M:$M,'ON Call_Call Out Activities'!$F:$F,"Workdays",'ON Call_Call Out Activities'!$B:$B,CPY!B465)),1)</f>
        <v>0</v>
      </c>
      <c r="AA465" s="66"/>
      <c r="AB465" s="64">
        <f>ROUNDUP((SUMIFS('ON Call_Call Out Activities'!$L:$L,'ON Call_Call Out Activities'!$F:$F,"Call_Out",'ON Call_Call Out Activities'!$B:$B,CPY!B465)) *24,1)</f>
        <v>0</v>
      </c>
      <c r="AC465" s="63">
        <f>ROUNDUP((SUMIFS('ON Call_Call Out Activities'!$M:$M,'ON Call_Call Out Activities'!$F:$F,"Call_Out",'ON Call_Call Out Activities'!$B:$B,CPY!B465)),1)</f>
        <v>0</v>
      </c>
      <c r="AE465" s="65">
        <f>IF((SUMIF(Shift_allowance_Entries!$B:$B,CPY!$B465,Shift_allowance_Entries!$H:$H)) &gt; (SUMIF(Shift_allowance_Entries!$B:$B,CPY!$B465,Shift_allowance_Entries!$G:$G)),0,((SUMIF(Shift_allowance_Entries!$B:$B,CPY!$B465,Shift_allowance_Entries!$G:$G))-(SUMIF(Shift_allowance_Entries!$B:$B,CPY!$B465,Shift_allowance_Entries!$H:$H))))</f>
        <v>0</v>
      </c>
      <c r="AF465" s="63">
        <f>AE465*MD!$S$4</f>
        <v>0</v>
      </c>
    </row>
    <row r="466" spans="1:32" x14ac:dyDescent="0.25">
      <c r="A466" s="62">
        <v>464</v>
      </c>
      <c r="B466" s="62"/>
      <c r="C466" s="50" t="str">
        <f>IF(ISNA(VLOOKUP($B466,Summary!$B:$D,2,FALSE))=TRUE," ",VLOOKUP($B466,Summary!$B:$D,2,FALSE))</f>
        <v> </v>
      </c>
      <c r="D466" s="50" t="str">
        <f>IF(ISNA(VLOOKUP($B466,Summary!$B:$D,3,FALSE))=TRUE," ",VLOOKUP($B466,Summary!$B:$D,3,FALSE))</f>
        <v> </v>
      </c>
      <c r="E466" s="62"/>
      <c r="F466" s="62"/>
      <c r="G466" s="62"/>
      <c r="I466" s="63">
        <f t="shared" si="7"/>
        <v>0</v>
      </c>
      <c r="K466" s="64">
        <f>IF(E466="Support(L1_L2)",IF(NOT(ISBLANK(B466)),IF(NOT(ISBLANK(D466)),NETWORKDAYS('CPY TOC'!$F$5,'CPY TOC'!$G$5))))-L466</f>
        <v>0</v>
      </c>
      <c r="L466" s="64">
        <f>IF(E466="Support(L1_L2)",SUMIFS(Support_allowance_Entries!$G:$G,Support_allowance_Entries!$B:$B,CPY!B466),0)</f>
        <v>0</v>
      </c>
      <c r="M466" s="63" t="b">
        <f>IF($D466="D0",MD!$C$4*(K466),IF($D466="D1",MD!$C$5*(K466),IF($D466="D2",MD!$C$6*(K466),IF($D466="D3",MD!$C$7*(K466),IF($D466="D4",MD!$C$8*(K466),IF($D466="D5",MD!$C$9*(K466),IF($D466="M1",MD!$C$10*(K466),IF($D466="T1",MD!$C$11*(K466)))))))))</f>
        <v>0</v>
      </c>
      <c r="O466" s="65">
        <f>SUMIFS(Shift_allowance_Entries!$G:$G,Shift_allowance_Entries!$F:$F,"6:30AM-03:30PM",Shift_allowance_Entries!$B:$B,CPY!$B466)</f>
        <v>0</v>
      </c>
      <c r="P466" s="65">
        <f>SUMIFS(Shift_allowance_Entries!$G:$G,Shift_allowance_Entries!$F:$F,"1-9PM/2:30PM-11:30PM",Shift_allowance_Entries!$B:$B,CPY!$B466)</f>
        <v>0</v>
      </c>
      <c r="Q466" s="65">
        <f>SUMIFS(Shift_allowance_Entries!$G:$G,Shift_allowance_Entries!$F:$F,"11PM-7AM",Shift_allowance_Entries!$B:$B,CPY!$B466)</f>
        <v>0</v>
      </c>
      <c r="R466" s="63">
        <f>(CPY!O466*MD!$F$4)+(CPY!P466*MD!$F$5)+(CPY!Q466*MD!$F$6)</f>
        <v>0</v>
      </c>
      <c r="T466" s="64">
        <f>ROUNDUP((SUMIFS('OOH Activities'!$K:$K,'OOH Activities'!$F:$F,"Non_workdays",'OOH Activities'!$B:$B,CPY!B466)) *24,1)</f>
        <v>0</v>
      </c>
      <c r="U466" s="64">
        <f>ROUNDUP((SUMIFS('OOH Activities'!$K:$K,'OOH Activities'!$F:$F,"Workdays",'OOH Activities'!$B:$B,CPY!B466)) *24,1)</f>
        <v>0</v>
      </c>
      <c r="V466" s="63">
        <f>ROUNDUP((SUMIFS('OOH Activities'!$L:$L,'OOH Activities'!$B:$B,CPY!B466)),1)</f>
        <v>0</v>
      </c>
      <c r="X466" s="65">
        <f>ROUNDUP((SUMIFS('ON Call_Call Out Activities'!$L:$L,'ON Call_Call Out Activities'!$F:$F,"Workdays",'ON Call_Call Out Activities'!$B:$B,CPY!B466))*24,1)</f>
        <v>0</v>
      </c>
      <c r="Y466" s="64">
        <f>ROUNDUP((SUMIFS('ON Call_Call Out Activities'!$L:$L,'ON Call_Call Out Activities'!$F:$F,"Non_workdays",'ON Call_Call Out Activities'!$B:$B,CPY!B466)) *24,1)</f>
        <v>0</v>
      </c>
      <c r="Z466" s="63">
        <f>ROUNDUP((SUMIFS('ON Call_Call Out Activities'!$M:$M,'ON Call_Call Out Activities'!$F:$F,"Non_workdays",'ON Call_Call Out Activities'!$B:$B,CPY!B466)),1) + ROUNDUP((SUMIFS('ON Call_Call Out Activities'!$M:$M,'ON Call_Call Out Activities'!$F:$F,"Workdays",'ON Call_Call Out Activities'!$B:$B,CPY!B466)),1)</f>
        <v>0</v>
      </c>
      <c r="AA466" s="66"/>
      <c r="AB466" s="64">
        <f>ROUNDUP((SUMIFS('ON Call_Call Out Activities'!$L:$L,'ON Call_Call Out Activities'!$F:$F,"Call_Out",'ON Call_Call Out Activities'!$B:$B,CPY!B466)) *24,1)</f>
        <v>0</v>
      </c>
      <c r="AC466" s="63">
        <f>ROUNDUP((SUMIFS('ON Call_Call Out Activities'!$M:$M,'ON Call_Call Out Activities'!$F:$F,"Call_Out",'ON Call_Call Out Activities'!$B:$B,CPY!B466)),1)</f>
        <v>0</v>
      </c>
      <c r="AE466" s="65">
        <f>IF((SUMIF(Shift_allowance_Entries!$B:$B,CPY!$B466,Shift_allowance_Entries!$H:$H)) &gt; (SUMIF(Shift_allowance_Entries!$B:$B,CPY!$B466,Shift_allowance_Entries!$G:$G)),0,((SUMIF(Shift_allowance_Entries!$B:$B,CPY!$B466,Shift_allowance_Entries!$G:$G))-(SUMIF(Shift_allowance_Entries!$B:$B,CPY!$B466,Shift_allowance_Entries!$H:$H))))</f>
        <v>0</v>
      </c>
      <c r="AF466" s="63">
        <f>AE466*MD!$S$4</f>
        <v>0</v>
      </c>
    </row>
    <row r="467" spans="1:32" x14ac:dyDescent="0.25">
      <c r="A467" s="62">
        <v>465</v>
      </c>
      <c r="B467" s="62"/>
      <c r="C467" s="50" t="str">
        <f>IF(ISNA(VLOOKUP($B467,Summary!$B:$D,2,FALSE))=TRUE," ",VLOOKUP($B467,Summary!$B:$D,2,FALSE))</f>
        <v> </v>
      </c>
      <c r="D467" s="50" t="str">
        <f>IF(ISNA(VLOOKUP($B467,Summary!$B:$D,3,FALSE))=TRUE," ",VLOOKUP($B467,Summary!$B:$D,3,FALSE))</f>
        <v> </v>
      </c>
      <c r="E467" s="62"/>
      <c r="F467" s="62"/>
      <c r="G467" s="62"/>
      <c r="I467" s="63">
        <f t="shared" si="7"/>
        <v>0</v>
      </c>
      <c r="K467" s="64">
        <f>IF(E467="Support(L1_L2)",IF(NOT(ISBLANK(B467)),IF(NOT(ISBLANK(D467)),NETWORKDAYS('CPY TOC'!$F$5,'CPY TOC'!$G$5))))-L467</f>
        <v>0</v>
      </c>
      <c r="L467" s="64">
        <f>IF(E467="Support(L1_L2)",SUMIFS(Support_allowance_Entries!$G:$G,Support_allowance_Entries!$B:$B,CPY!B467),0)</f>
        <v>0</v>
      </c>
      <c r="M467" s="63" t="b">
        <f>IF($D467="D0",MD!$C$4*(K467),IF($D467="D1",MD!$C$5*(K467),IF($D467="D2",MD!$C$6*(K467),IF($D467="D3",MD!$C$7*(K467),IF($D467="D4",MD!$C$8*(K467),IF($D467="D5",MD!$C$9*(K467),IF($D467="M1",MD!$C$10*(K467),IF($D467="T1",MD!$C$11*(K467)))))))))</f>
        <v>0</v>
      </c>
      <c r="O467" s="65">
        <f>SUMIFS(Shift_allowance_Entries!$G:$G,Shift_allowance_Entries!$F:$F,"6:30AM-03:30PM",Shift_allowance_Entries!$B:$B,CPY!$B467)</f>
        <v>0</v>
      </c>
      <c r="P467" s="65">
        <f>SUMIFS(Shift_allowance_Entries!$G:$G,Shift_allowance_Entries!$F:$F,"1-9PM/2:30PM-11:30PM",Shift_allowance_Entries!$B:$B,CPY!$B467)</f>
        <v>0</v>
      </c>
      <c r="Q467" s="65">
        <f>SUMIFS(Shift_allowance_Entries!$G:$G,Shift_allowance_Entries!$F:$F,"11PM-7AM",Shift_allowance_Entries!$B:$B,CPY!$B467)</f>
        <v>0</v>
      </c>
      <c r="R467" s="63">
        <f>(CPY!O467*MD!$F$4)+(CPY!P467*MD!$F$5)+(CPY!Q467*MD!$F$6)</f>
        <v>0</v>
      </c>
      <c r="T467" s="64">
        <f>ROUNDUP((SUMIFS('OOH Activities'!$K:$K,'OOH Activities'!$F:$F,"Non_workdays",'OOH Activities'!$B:$B,CPY!B467)) *24,1)</f>
        <v>0</v>
      </c>
      <c r="U467" s="64">
        <f>ROUNDUP((SUMIFS('OOH Activities'!$K:$K,'OOH Activities'!$F:$F,"Workdays",'OOH Activities'!$B:$B,CPY!B467)) *24,1)</f>
        <v>0</v>
      </c>
      <c r="V467" s="63">
        <f>ROUNDUP((SUMIFS('OOH Activities'!$L:$L,'OOH Activities'!$B:$B,CPY!B467)),1)</f>
        <v>0</v>
      </c>
      <c r="X467" s="65">
        <f>ROUNDUP((SUMIFS('ON Call_Call Out Activities'!$L:$L,'ON Call_Call Out Activities'!$F:$F,"Workdays",'ON Call_Call Out Activities'!$B:$B,CPY!B467))*24,1)</f>
        <v>0</v>
      </c>
      <c r="Y467" s="64">
        <f>ROUNDUP((SUMIFS('ON Call_Call Out Activities'!$L:$L,'ON Call_Call Out Activities'!$F:$F,"Non_workdays",'ON Call_Call Out Activities'!$B:$B,CPY!B467)) *24,1)</f>
        <v>0</v>
      </c>
      <c r="Z467" s="63">
        <f>ROUNDUP((SUMIFS('ON Call_Call Out Activities'!$M:$M,'ON Call_Call Out Activities'!$F:$F,"Non_workdays",'ON Call_Call Out Activities'!$B:$B,CPY!B467)),1) + ROUNDUP((SUMIFS('ON Call_Call Out Activities'!$M:$M,'ON Call_Call Out Activities'!$F:$F,"Workdays",'ON Call_Call Out Activities'!$B:$B,CPY!B467)),1)</f>
        <v>0</v>
      </c>
      <c r="AA467" s="66"/>
      <c r="AB467" s="64">
        <f>ROUNDUP((SUMIFS('ON Call_Call Out Activities'!$L:$L,'ON Call_Call Out Activities'!$F:$F,"Call_Out",'ON Call_Call Out Activities'!$B:$B,CPY!B467)) *24,1)</f>
        <v>0</v>
      </c>
      <c r="AC467" s="63">
        <f>ROUNDUP((SUMIFS('ON Call_Call Out Activities'!$M:$M,'ON Call_Call Out Activities'!$F:$F,"Call_Out",'ON Call_Call Out Activities'!$B:$B,CPY!B467)),1)</f>
        <v>0</v>
      </c>
      <c r="AE467" s="65">
        <f>IF((SUMIF(Shift_allowance_Entries!$B:$B,CPY!$B467,Shift_allowance_Entries!$H:$H)) &gt; (SUMIF(Shift_allowance_Entries!$B:$B,CPY!$B467,Shift_allowance_Entries!$G:$G)),0,((SUMIF(Shift_allowance_Entries!$B:$B,CPY!$B467,Shift_allowance_Entries!$G:$G))-(SUMIF(Shift_allowance_Entries!$B:$B,CPY!$B467,Shift_allowance_Entries!$H:$H))))</f>
        <v>0</v>
      </c>
      <c r="AF467" s="63">
        <f>AE467*MD!$S$4</f>
        <v>0</v>
      </c>
    </row>
    <row r="468" spans="1:32" x14ac:dyDescent="0.25">
      <c r="A468" s="62">
        <v>466</v>
      </c>
      <c r="B468" s="62"/>
      <c r="C468" s="50" t="str">
        <f>IF(ISNA(VLOOKUP($B468,Summary!$B:$D,2,FALSE))=TRUE," ",VLOOKUP($B468,Summary!$B:$D,2,FALSE))</f>
        <v> </v>
      </c>
      <c r="D468" s="50" t="str">
        <f>IF(ISNA(VLOOKUP($B468,Summary!$B:$D,3,FALSE))=TRUE," ",VLOOKUP($B468,Summary!$B:$D,3,FALSE))</f>
        <v> </v>
      </c>
      <c r="E468" s="62"/>
      <c r="F468" s="62"/>
      <c r="G468" s="62"/>
      <c r="I468" s="63">
        <f t="shared" si="7"/>
        <v>0</v>
      </c>
      <c r="K468" s="64">
        <f>IF(E468="Support(L1_L2)",IF(NOT(ISBLANK(B468)),IF(NOT(ISBLANK(D468)),NETWORKDAYS('CPY TOC'!$F$5,'CPY TOC'!$G$5))))-L468</f>
        <v>0</v>
      </c>
      <c r="L468" s="64">
        <f>IF(E468="Support(L1_L2)",SUMIFS(Support_allowance_Entries!$G:$G,Support_allowance_Entries!$B:$B,CPY!B468),0)</f>
        <v>0</v>
      </c>
      <c r="M468" s="63" t="b">
        <f>IF($D468="D0",MD!$C$4*(K468),IF($D468="D1",MD!$C$5*(K468),IF($D468="D2",MD!$C$6*(K468),IF($D468="D3",MD!$C$7*(K468),IF($D468="D4",MD!$C$8*(K468),IF($D468="D5",MD!$C$9*(K468),IF($D468="M1",MD!$C$10*(K468),IF($D468="T1",MD!$C$11*(K468)))))))))</f>
        <v>0</v>
      </c>
      <c r="O468" s="65">
        <f>SUMIFS(Shift_allowance_Entries!$G:$G,Shift_allowance_Entries!$F:$F,"6:30AM-03:30PM",Shift_allowance_Entries!$B:$B,CPY!$B468)</f>
        <v>0</v>
      </c>
      <c r="P468" s="65">
        <f>SUMIFS(Shift_allowance_Entries!$G:$G,Shift_allowance_Entries!$F:$F,"1-9PM/2:30PM-11:30PM",Shift_allowance_Entries!$B:$B,CPY!$B468)</f>
        <v>0</v>
      </c>
      <c r="Q468" s="65">
        <f>SUMIFS(Shift_allowance_Entries!$G:$G,Shift_allowance_Entries!$F:$F,"11PM-7AM",Shift_allowance_Entries!$B:$B,CPY!$B468)</f>
        <v>0</v>
      </c>
      <c r="R468" s="63">
        <f>(CPY!O468*MD!$F$4)+(CPY!P468*MD!$F$5)+(CPY!Q468*MD!$F$6)</f>
        <v>0</v>
      </c>
      <c r="T468" s="64">
        <f>ROUNDUP((SUMIFS('OOH Activities'!$K:$K,'OOH Activities'!$F:$F,"Non_workdays",'OOH Activities'!$B:$B,CPY!B468)) *24,1)</f>
        <v>0</v>
      </c>
      <c r="U468" s="64">
        <f>ROUNDUP((SUMIFS('OOH Activities'!$K:$K,'OOH Activities'!$F:$F,"Workdays",'OOH Activities'!$B:$B,CPY!B468)) *24,1)</f>
        <v>0</v>
      </c>
      <c r="V468" s="63">
        <f>ROUNDUP((SUMIFS('OOH Activities'!$L:$L,'OOH Activities'!$B:$B,CPY!B468)),1)</f>
        <v>0</v>
      </c>
      <c r="X468" s="65">
        <f>ROUNDUP((SUMIFS('ON Call_Call Out Activities'!$L:$L,'ON Call_Call Out Activities'!$F:$F,"Workdays",'ON Call_Call Out Activities'!$B:$B,CPY!B468))*24,1)</f>
        <v>0</v>
      </c>
      <c r="Y468" s="64">
        <f>ROUNDUP((SUMIFS('ON Call_Call Out Activities'!$L:$L,'ON Call_Call Out Activities'!$F:$F,"Non_workdays",'ON Call_Call Out Activities'!$B:$B,CPY!B468)) *24,1)</f>
        <v>0</v>
      </c>
      <c r="Z468" s="63">
        <f>ROUNDUP((SUMIFS('ON Call_Call Out Activities'!$M:$M,'ON Call_Call Out Activities'!$F:$F,"Non_workdays",'ON Call_Call Out Activities'!$B:$B,CPY!B468)),1) + ROUNDUP((SUMIFS('ON Call_Call Out Activities'!$M:$M,'ON Call_Call Out Activities'!$F:$F,"Workdays",'ON Call_Call Out Activities'!$B:$B,CPY!B468)),1)</f>
        <v>0</v>
      </c>
      <c r="AA468" s="66"/>
      <c r="AB468" s="64">
        <f>ROUNDUP((SUMIFS('ON Call_Call Out Activities'!$L:$L,'ON Call_Call Out Activities'!$F:$F,"Call_Out",'ON Call_Call Out Activities'!$B:$B,CPY!B468)) *24,1)</f>
        <v>0</v>
      </c>
      <c r="AC468" s="63">
        <f>ROUNDUP((SUMIFS('ON Call_Call Out Activities'!$M:$M,'ON Call_Call Out Activities'!$F:$F,"Call_Out",'ON Call_Call Out Activities'!$B:$B,CPY!B468)),1)</f>
        <v>0</v>
      </c>
      <c r="AE468" s="65">
        <f>IF((SUMIF(Shift_allowance_Entries!$B:$B,CPY!$B468,Shift_allowance_Entries!$H:$H)) &gt; (SUMIF(Shift_allowance_Entries!$B:$B,CPY!$B468,Shift_allowance_Entries!$G:$G)),0,((SUMIF(Shift_allowance_Entries!$B:$B,CPY!$B468,Shift_allowance_Entries!$G:$G))-(SUMIF(Shift_allowance_Entries!$B:$B,CPY!$B468,Shift_allowance_Entries!$H:$H))))</f>
        <v>0</v>
      </c>
      <c r="AF468" s="63">
        <f>AE468*MD!$S$4</f>
        <v>0</v>
      </c>
    </row>
    <row r="469" spans="1:32" x14ac:dyDescent="0.25">
      <c r="A469" s="62">
        <v>467</v>
      </c>
      <c r="B469" s="62"/>
      <c r="C469" s="50" t="str">
        <f>IF(ISNA(VLOOKUP($B469,Summary!$B:$D,2,FALSE))=TRUE," ",VLOOKUP($B469,Summary!$B:$D,2,FALSE))</f>
        <v> </v>
      </c>
      <c r="D469" s="50" t="str">
        <f>IF(ISNA(VLOOKUP($B469,Summary!$B:$D,3,FALSE))=TRUE," ",VLOOKUP($B469,Summary!$B:$D,3,FALSE))</f>
        <v> </v>
      </c>
      <c r="E469" s="62"/>
      <c r="F469" s="62"/>
      <c r="G469" s="62"/>
      <c r="I469" s="63">
        <f t="shared" si="7"/>
        <v>0</v>
      </c>
      <c r="K469" s="64">
        <f>IF(E469="Support(L1_L2)",IF(NOT(ISBLANK(B469)),IF(NOT(ISBLANK(D469)),NETWORKDAYS('CPY TOC'!$F$5,'CPY TOC'!$G$5))))-L469</f>
        <v>0</v>
      </c>
      <c r="L469" s="64">
        <f>IF(E469="Support(L1_L2)",SUMIFS(Support_allowance_Entries!$G:$G,Support_allowance_Entries!$B:$B,CPY!B469),0)</f>
        <v>0</v>
      </c>
      <c r="M469" s="63" t="b">
        <f>IF($D469="D0",MD!$C$4*(K469),IF($D469="D1",MD!$C$5*(K469),IF($D469="D2",MD!$C$6*(K469),IF($D469="D3",MD!$C$7*(K469),IF($D469="D4",MD!$C$8*(K469),IF($D469="D5",MD!$C$9*(K469),IF($D469="M1",MD!$C$10*(K469),IF($D469="T1",MD!$C$11*(K469)))))))))</f>
        <v>0</v>
      </c>
      <c r="O469" s="65">
        <f>SUMIFS(Shift_allowance_Entries!$G:$G,Shift_allowance_Entries!$F:$F,"6:30AM-03:30PM",Shift_allowance_Entries!$B:$B,CPY!$B469)</f>
        <v>0</v>
      </c>
      <c r="P469" s="65">
        <f>SUMIFS(Shift_allowance_Entries!$G:$G,Shift_allowance_Entries!$F:$F,"1-9PM/2:30PM-11:30PM",Shift_allowance_Entries!$B:$B,CPY!$B469)</f>
        <v>0</v>
      </c>
      <c r="Q469" s="65">
        <f>SUMIFS(Shift_allowance_Entries!$G:$G,Shift_allowance_Entries!$F:$F,"11PM-7AM",Shift_allowance_Entries!$B:$B,CPY!$B469)</f>
        <v>0</v>
      </c>
      <c r="R469" s="63">
        <f>(CPY!O469*MD!$F$4)+(CPY!P469*MD!$F$5)+(CPY!Q469*MD!$F$6)</f>
        <v>0</v>
      </c>
      <c r="T469" s="64">
        <f>ROUNDUP((SUMIFS('OOH Activities'!$K:$K,'OOH Activities'!$F:$F,"Non_workdays",'OOH Activities'!$B:$B,CPY!B469)) *24,1)</f>
        <v>0</v>
      </c>
      <c r="U469" s="64">
        <f>ROUNDUP((SUMIFS('OOH Activities'!$K:$K,'OOH Activities'!$F:$F,"Workdays",'OOH Activities'!$B:$B,CPY!B469)) *24,1)</f>
        <v>0</v>
      </c>
      <c r="V469" s="63">
        <f>ROUNDUP((SUMIFS('OOH Activities'!$L:$L,'OOH Activities'!$B:$B,CPY!B469)),1)</f>
        <v>0</v>
      </c>
      <c r="X469" s="65">
        <f>ROUNDUP((SUMIFS('ON Call_Call Out Activities'!$L:$L,'ON Call_Call Out Activities'!$F:$F,"Workdays",'ON Call_Call Out Activities'!$B:$B,CPY!B469))*24,1)</f>
        <v>0</v>
      </c>
      <c r="Y469" s="64">
        <f>ROUNDUP((SUMIFS('ON Call_Call Out Activities'!$L:$L,'ON Call_Call Out Activities'!$F:$F,"Non_workdays",'ON Call_Call Out Activities'!$B:$B,CPY!B469)) *24,1)</f>
        <v>0</v>
      </c>
      <c r="Z469" s="63">
        <f>ROUNDUP((SUMIFS('ON Call_Call Out Activities'!$M:$M,'ON Call_Call Out Activities'!$F:$F,"Non_workdays",'ON Call_Call Out Activities'!$B:$B,CPY!B469)),1) + ROUNDUP((SUMIFS('ON Call_Call Out Activities'!$M:$M,'ON Call_Call Out Activities'!$F:$F,"Workdays",'ON Call_Call Out Activities'!$B:$B,CPY!B469)),1)</f>
        <v>0</v>
      </c>
      <c r="AA469" s="66"/>
      <c r="AB469" s="64">
        <f>ROUNDUP((SUMIFS('ON Call_Call Out Activities'!$L:$L,'ON Call_Call Out Activities'!$F:$F,"Call_Out",'ON Call_Call Out Activities'!$B:$B,CPY!B469)) *24,1)</f>
        <v>0</v>
      </c>
      <c r="AC469" s="63">
        <f>ROUNDUP((SUMIFS('ON Call_Call Out Activities'!$M:$M,'ON Call_Call Out Activities'!$F:$F,"Call_Out",'ON Call_Call Out Activities'!$B:$B,CPY!B469)),1)</f>
        <v>0</v>
      </c>
      <c r="AE469" s="65">
        <f>IF((SUMIF(Shift_allowance_Entries!$B:$B,CPY!$B469,Shift_allowance_Entries!$H:$H)) &gt; (SUMIF(Shift_allowance_Entries!$B:$B,CPY!$B469,Shift_allowance_Entries!$G:$G)),0,((SUMIF(Shift_allowance_Entries!$B:$B,CPY!$B469,Shift_allowance_Entries!$G:$G))-(SUMIF(Shift_allowance_Entries!$B:$B,CPY!$B469,Shift_allowance_Entries!$H:$H))))</f>
        <v>0</v>
      </c>
      <c r="AF469" s="63">
        <f>AE469*MD!$S$4</f>
        <v>0</v>
      </c>
    </row>
    <row r="470" spans="1:32" x14ac:dyDescent="0.25">
      <c r="A470" s="62">
        <v>468</v>
      </c>
      <c r="B470" s="62"/>
      <c r="C470" s="50" t="str">
        <f>IF(ISNA(VLOOKUP($B470,Summary!$B:$D,2,FALSE))=TRUE," ",VLOOKUP($B470,Summary!$B:$D,2,FALSE))</f>
        <v> </v>
      </c>
      <c r="D470" s="50" t="str">
        <f>IF(ISNA(VLOOKUP($B470,Summary!$B:$D,3,FALSE))=TRUE," ",VLOOKUP($B470,Summary!$B:$D,3,FALSE))</f>
        <v> </v>
      </c>
      <c r="E470" s="62"/>
      <c r="F470" s="62"/>
      <c r="G470" s="62"/>
      <c r="I470" s="63">
        <f t="shared" si="7"/>
        <v>0</v>
      </c>
      <c r="K470" s="64">
        <f>IF(E470="Support(L1_L2)",IF(NOT(ISBLANK(B470)),IF(NOT(ISBLANK(D470)),NETWORKDAYS('CPY TOC'!$F$5,'CPY TOC'!$G$5))))-L470</f>
        <v>0</v>
      </c>
      <c r="L470" s="64">
        <f>IF(E470="Support(L1_L2)",SUMIFS(Support_allowance_Entries!$G:$G,Support_allowance_Entries!$B:$B,CPY!B470),0)</f>
        <v>0</v>
      </c>
      <c r="M470" s="63" t="b">
        <f>IF($D470="D0",MD!$C$4*(K470),IF($D470="D1",MD!$C$5*(K470),IF($D470="D2",MD!$C$6*(K470),IF($D470="D3",MD!$C$7*(K470),IF($D470="D4",MD!$C$8*(K470),IF($D470="D5",MD!$C$9*(K470),IF($D470="M1",MD!$C$10*(K470),IF($D470="T1",MD!$C$11*(K470)))))))))</f>
        <v>0</v>
      </c>
      <c r="O470" s="65">
        <f>SUMIFS(Shift_allowance_Entries!$G:$G,Shift_allowance_Entries!$F:$F,"6:30AM-03:30PM",Shift_allowance_Entries!$B:$B,CPY!$B470)</f>
        <v>0</v>
      </c>
      <c r="P470" s="65">
        <f>SUMIFS(Shift_allowance_Entries!$G:$G,Shift_allowance_Entries!$F:$F,"1-9PM/2:30PM-11:30PM",Shift_allowance_Entries!$B:$B,CPY!$B470)</f>
        <v>0</v>
      </c>
      <c r="Q470" s="65">
        <f>SUMIFS(Shift_allowance_Entries!$G:$G,Shift_allowance_Entries!$F:$F,"11PM-7AM",Shift_allowance_Entries!$B:$B,CPY!$B470)</f>
        <v>0</v>
      </c>
      <c r="R470" s="63">
        <f>(CPY!O470*MD!$F$4)+(CPY!P470*MD!$F$5)+(CPY!Q470*MD!$F$6)</f>
        <v>0</v>
      </c>
      <c r="T470" s="64">
        <f>ROUNDUP((SUMIFS('OOH Activities'!$K:$K,'OOH Activities'!$F:$F,"Non_workdays",'OOH Activities'!$B:$B,CPY!B470)) *24,1)</f>
        <v>0</v>
      </c>
      <c r="U470" s="64">
        <f>ROUNDUP((SUMIFS('OOH Activities'!$K:$K,'OOH Activities'!$F:$F,"Workdays",'OOH Activities'!$B:$B,CPY!B470)) *24,1)</f>
        <v>0</v>
      </c>
      <c r="V470" s="63">
        <f>ROUNDUP((SUMIFS('OOH Activities'!$L:$L,'OOH Activities'!$B:$B,CPY!B470)),1)</f>
        <v>0</v>
      </c>
      <c r="X470" s="65">
        <f>ROUNDUP((SUMIFS('ON Call_Call Out Activities'!$L:$L,'ON Call_Call Out Activities'!$F:$F,"Workdays",'ON Call_Call Out Activities'!$B:$B,CPY!B470))*24,1)</f>
        <v>0</v>
      </c>
      <c r="Y470" s="64">
        <f>ROUNDUP((SUMIFS('ON Call_Call Out Activities'!$L:$L,'ON Call_Call Out Activities'!$F:$F,"Non_workdays",'ON Call_Call Out Activities'!$B:$B,CPY!B470)) *24,1)</f>
        <v>0</v>
      </c>
      <c r="Z470" s="63">
        <f>ROUNDUP((SUMIFS('ON Call_Call Out Activities'!$M:$M,'ON Call_Call Out Activities'!$F:$F,"Non_workdays",'ON Call_Call Out Activities'!$B:$B,CPY!B470)),1) + ROUNDUP((SUMIFS('ON Call_Call Out Activities'!$M:$M,'ON Call_Call Out Activities'!$F:$F,"Workdays",'ON Call_Call Out Activities'!$B:$B,CPY!B470)),1)</f>
        <v>0</v>
      </c>
      <c r="AA470" s="66"/>
      <c r="AB470" s="64">
        <f>ROUNDUP((SUMIFS('ON Call_Call Out Activities'!$L:$L,'ON Call_Call Out Activities'!$F:$F,"Call_Out",'ON Call_Call Out Activities'!$B:$B,CPY!B470)) *24,1)</f>
        <v>0</v>
      </c>
      <c r="AC470" s="63">
        <f>ROUNDUP((SUMIFS('ON Call_Call Out Activities'!$M:$M,'ON Call_Call Out Activities'!$F:$F,"Call_Out",'ON Call_Call Out Activities'!$B:$B,CPY!B470)),1)</f>
        <v>0</v>
      </c>
      <c r="AE470" s="65">
        <f>IF((SUMIF(Shift_allowance_Entries!$B:$B,CPY!$B470,Shift_allowance_Entries!$H:$H)) &gt; (SUMIF(Shift_allowance_Entries!$B:$B,CPY!$B470,Shift_allowance_Entries!$G:$G)),0,((SUMIF(Shift_allowance_Entries!$B:$B,CPY!$B470,Shift_allowance_Entries!$G:$G))-(SUMIF(Shift_allowance_Entries!$B:$B,CPY!$B470,Shift_allowance_Entries!$H:$H))))</f>
        <v>0</v>
      </c>
      <c r="AF470" s="63">
        <f>AE470*MD!$S$4</f>
        <v>0</v>
      </c>
    </row>
    <row r="471" spans="1:32" x14ac:dyDescent="0.25">
      <c r="A471" s="62">
        <v>469</v>
      </c>
      <c r="B471" s="62"/>
      <c r="C471" s="50" t="str">
        <f>IF(ISNA(VLOOKUP($B471,Summary!$B:$D,2,FALSE))=TRUE," ",VLOOKUP($B471,Summary!$B:$D,2,FALSE))</f>
        <v> </v>
      </c>
      <c r="D471" s="50" t="str">
        <f>IF(ISNA(VLOOKUP($B471,Summary!$B:$D,3,FALSE))=TRUE," ",VLOOKUP($B471,Summary!$B:$D,3,FALSE))</f>
        <v> </v>
      </c>
      <c r="E471" s="62"/>
      <c r="F471" s="62"/>
      <c r="G471" s="62"/>
      <c r="I471" s="63">
        <f t="shared" si="7"/>
        <v>0</v>
      </c>
      <c r="K471" s="64">
        <f>IF(E471="Support(L1_L2)",IF(NOT(ISBLANK(B471)),IF(NOT(ISBLANK(D471)),NETWORKDAYS('CPY TOC'!$F$5,'CPY TOC'!$G$5))))-L471</f>
        <v>0</v>
      </c>
      <c r="L471" s="64">
        <f>IF(E471="Support(L1_L2)",SUMIFS(Support_allowance_Entries!$G:$G,Support_allowance_Entries!$B:$B,CPY!B471),0)</f>
        <v>0</v>
      </c>
      <c r="M471" s="63" t="b">
        <f>IF($D471="D0",MD!$C$4*(K471),IF($D471="D1",MD!$C$5*(K471),IF($D471="D2",MD!$C$6*(K471),IF($D471="D3",MD!$C$7*(K471),IF($D471="D4",MD!$C$8*(K471),IF($D471="D5",MD!$C$9*(K471),IF($D471="M1",MD!$C$10*(K471),IF($D471="T1",MD!$C$11*(K471)))))))))</f>
        <v>0</v>
      </c>
      <c r="O471" s="65">
        <f>SUMIFS(Shift_allowance_Entries!$G:$G,Shift_allowance_Entries!$F:$F,"6:30AM-03:30PM",Shift_allowance_Entries!$B:$B,CPY!$B471)</f>
        <v>0</v>
      </c>
      <c r="P471" s="65">
        <f>SUMIFS(Shift_allowance_Entries!$G:$G,Shift_allowance_Entries!$F:$F,"1-9PM/2:30PM-11:30PM",Shift_allowance_Entries!$B:$B,CPY!$B471)</f>
        <v>0</v>
      </c>
      <c r="Q471" s="65">
        <f>SUMIFS(Shift_allowance_Entries!$G:$G,Shift_allowance_Entries!$F:$F,"11PM-7AM",Shift_allowance_Entries!$B:$B,CPY!$B471)</f>
        <v>0</v>
      </c>
      <c r="R471" s="63">
        <f>(CPY!O471*MD!$F$4)+(CPY!P471*MD!$F$5)+(CPY!Q471*MD!$F$6)</f>
        <v>0</v>
      </c>
      <c r="T471" s="64">
        <f>ROUNDUP((SUMIFS('OOH Activities'!$K:$K,'OOH Activities'!$F:$F,"Non_workdays",'OOH Activities'!$B:$B,CPY!B471)) *24,1)</f>
        <v>0</v>
      </c>
      <c r="U471" s="64">
        <f>ROUNDUP((SUMIFS('OOH Activities'!$K:$K,'OOH Activities'!$F:$F,"Workdays",'OOH Activities'!$B:$B,CPY!B471)) *24,1)</f>
        <v>0</v>
      </c>
      <c r="V471" s="63">
        <f>ROUNDUP((SUMIFS('OOH Activities'!$L:$L,'OOH Activities'!$B:$B,CPY!B471)),1)</f>
        <v>0</v>
      </c>
      <c r="X471" s="65">
        <f>ROUNDUP((SUMIFS('ON Call_Call Out Activities'!$L:$L,'ON Call_Call Out Activities'!$F:$F,"Workdays",'ON Call_Call Out Activities'!$B:$B,CPY!B471))*24,1)</f>
        <v>0</v>
      </c>
      <c r="Y471" s="64">
        <f>ROUNDUP((SUMIFS('ON Call_Call Out Activities'!$L:$L,'ON Call_Call Out Activities'!$F:$F,"Non_workdays",'ON Call_Call Out Activities'!$B:$B,CPY!B471)) *24,1)</f>
        <v>0</v>
      </c>
      <c r="Z471" s="63">
        <f>ROUNDUP((SUMIFS('ON Call_Call Out Activities'!$M:$M,'ON Call_Call Out Activities'!$F:$F,"Non_workdays",'ON Call_Call Out Activities'!$B:$B,CPY!B471)),1) + ROUNDUP((SUMIFS('ON Call_Call Out Activities'!$M:$M,'ON Call_Call Out Activities'!$F:$F,"Workdays",'ON Call_Call Out Activities'!$B:$B,CPY!B471)),1)</f>
        <v>0</v>
      </c>
      <c r="AA471" s="66"/>
      <c r="AB471" s="64">
        <f>ROUNDUP((SUMIFS('ON Call_Call Out Activities'!$L:$L,'ON Call_Call Out Activities'!$F:$F,"Call_Out",'ON Call_Call Out Activities'!$B:$B,CPY!B471)) *24,1)</f>
        <v>0</v>
      </c>
      <c r="AC471" s="63">
        <f>ROUNDUP((SUMIFS('ON Call_Call Out Activities'!$M:$M,'ON Call_Call Out Activities'!$F:$F,"Call_Out",'ON Call_Call Out Activities'!$B:$B,CPY!B471)),1)</f>
        <v>0</v>
      </c>
      <c r="AE471" s="65">
        <f>IF((SUMIF(Shift_allowance_Entries!$B:$B,CPY!$B471,Shift_allowance_Entries!$H:$H)) &gt; (SUMIF(Shift_allowance_Entries!$B:$B,CPY!$B471,Shift_allowance_Entries!$G:$G)),0,((SUMIF(Shift_allowance_Entries!$B:$B,CPY!$B471,Shift_allowance_Entries!$G:$G))-(SUMIF(Shift_allowance_Entries!$B:$B,CPY!$B471,Shift_allowance_Entries!$H:$H))))</f>
        <v>0</v>
      </c>
      <c r="AF471" s="63">
        <f>AE471*MD!$S$4</f>
        <v>0</v>
      </c>
    </row>
    <row r="472" spans="1:32" x14ac:dyDescent="0.25">
      <c r="A472" s="62">
        <v>470</v>
      </c>
      <c r="B472" s="62"/>
      <c r="C472" s="50" t="str">
        <f>IF(ISNA(VLOOKUP($B472,Summary!$B:$D,2,FALSE))=TRUE," ",VLOOKUP($B472,Summary!$B:$D,2,FALSE))</f>
        <v> </v>
      </c>
      <c r="D472" s="50" t="str">
        <f>IF(ISNA(VLOOKUP($B472,Summary!$B:$D,3,FALSE))=TRUE," ",VLOOKUP($B472,Summary!$B:$D,3,FALSE))</f>
        <v> </v>
      </c>
      <c r="E472" s="62"/>
      <c r="F472" s="62"/>
      <c r="G472" s="62"/>
      <c r="I472" s="63">
        <f t="shared" si="7"/>
        <v>0</v>
      </c>
      <c r="K472" s="64">
        <f>IF(E472="Support(L1_L2)",IF(NOT(ISBLANK(B472)),IF(NOT(ISBLANK(D472)),NETWORKDAYS('CPY TOC'!$F$5,'CPY TOC'!$G$5))))-L472</f>
        <v>0</v>
      </c>
      <c r="L472" s="64">
        <f>IF(E472="Support(L1_L2)",SUMIFS(Support_allowance_Entries!$G:$G,Support_allowance_Entries!$B:$B,CPY!B472),0)</f>
        <v>0</v>
      </c>
      <c r="M472" s="63" t="b">
        <f>IF($D472="D0",MD!$C$4*(K472),IF($D472="D1",MD!$C$5*(K472),IF($D472="D2",MD!$C$6*(K472),IF($D472="D3",MD!$C$7*(K472),IF($D472="D4",MD!$C$8*(K472),IF($D472="D5",MD!$C$9*(K472),IF($D472="M1",MD!$C$10*(K472),IF($D472="T1",MD!$C$11*(K472)))))))))</f>
        <v>0</v>
      </c>
      <c r="O472" s="65">
        <f>SUMIFS(Shift_allowance_Entries!$G:$G,Shift_allowance_Entries!$F:$F,"6:30AM-03:30PM",Shift_allowance_Entries!$B:$B,CPY!$B472)</f>
        <v>0</v>
      </c>
      <c r="P472" s="65">
        <f>SUMIFS(Shift_allowance_Entries!$G:$G,Shift_allowance_Entries!$F:$F,"1-9PM/2:30PM-11:30PM",Shift_allowance_Entries!$B:$B,CPY!$B472)</f>
        <v>0</v>
      </c>
      <c r="Q472" s="65">
        <f>SUMIFS(Shift_allowance_Entries!$G:$G,Shift_allowance_Entries!$F:$F,"11PM-7AM",Shift_allowance_Entries!$B:$B,CPY!$B472)</f>
        <v>0</v>
      </c>
      <c r="R472" s="63">
        <f>(CPY!O472*MD!$F$4)+(CPY!P472*MD!$F$5)+(CPY!Q472*MD!$F$6)</f>
        <v>0</v>
      </c>
      <c r="T472" s="64">
        <f>ROUNDUP((SUMIFS('OOH Activities'!$K:$K,'OOH Activities'!$F:$F,"Non_workdays",'OOH Activities'!$B:$B,CPY!B472)) *24,1)</f>
        <v>0</v>
      </c>
      <c r="U472" s="64">
        <f>ROUNDUP((SUMIFS('OOH Activities'!$K:$K,'OOH Activities'!$F:$F,"Workdays",'OOH Activities'!$B:$B,CPY!B472)) *24,1)</f>
        <v>0</v>
      </c>
      <c r="V472" s="63">
        <f>ROUNDUP((SUMIFS('OOH Activities'!$L:$L,'OOH Activities'!$B:$B,CPY!B472)),1)</f>
        <v>0</v>
      </c>
      <c r="X472" s="65">
        <f>ROUNDUP((SUMIFS('ON Call_Call Out Activities'!$L:$L,'ON Call_Call Out Activities'!$F:$F,"Workdays",'ON Call_Call Out Activities'!$B:$B,CPY!B472))*24,1)</f>
        <v>0</v>
      </c>
      <c r="Y472" s="64">
        <f>ROUNDUP((SUMIFS('ON Call_Call Out Activities'!$L:$L,'ON Call_Call Out Activities'!$F:$F,"Non_workdays",'ON Call_Call Out Activities'!$B:$B,CPY!B472)) *24,1)</f>
        <v>0</v>
      </c>
      <c r="Z472" s="63">
        <f>ROUNDUP((SUMIFS('ON Call_Call Out Activities'!$M:$M,'ON Call_Call Out Activities'!$F:$F,"Non_workdays",'ON Call_Call Out Activities'!$B:$B,CPY!B472)),1) + ROUNDUP((SUMIFS('ON Call_Call Out Activities'!$M:$M,'ON Call_Call Out Activities'!$F:$F,"Workdays",'ON Call_Call Out Activities'!$B:$B,CPY!B472)),1)</f>
        <v>0</v>
      </c>
      <c r="AA472" s="66"/>
      <c r="AB472" s="64">
        <f>ROUNDUP((SUMIFS('ON Call_Call Out Activities'!$L:$L,'ON Call_Call Out Activities'!$F:$F,"Call_Out",'ON Call_Call Out Activities'!$B:$B,CPY!B472)) *24,1)</f>
        <v>0</v>
      </c>
      <c r="AC472" s="63">
        <f>ROUNDUP((SUMIFS('ON Call_Call Out Activities'!$M:$M,'ON Call_Call Out Activities'!$F:$F,"Call_Out",'ON Call_Call Out Activities'!$B:$B,CPY!B472)),1)</f>
        <v>0</v>
      </c>
      <c r="AE472" s="65">
        <f>IF((SUMIF(Shift_allowance_Entries!$B:$B,CPY!$B472,Shift_allowance_Entries!$H:$H)) &gt; (SUMIF(Shift_allowance_Entries!$B:$B,CPY!$B472,Shift_allowance_Entries!$G:$G)),0,((SUMIF(Shift_allowance_Entries!$B:$B,CPY!$B472,Shift_allowance_Entries!$G:$G))-(SUMIF(Shift_allowance_Entries!$B:$B,CPY!$B472,Shift_allowance_Entries!$H:$H))))</f>
        <v>0</v>
      </c>
      <c r="AF472" s="63">
        <f>AE472*MD!$S$4</f>
        <v>0</v>
      </c>
    </row>
    <row r="473" spans="1:32" x14ac:dyDescent="0.25">
      <c r="A473" s="62">
        <v>471</v>
      </c>
      <c r="B473" s="62"/>
      <c r="C473" s="50" t="str">
        <f>IF(ISNA(VLOOKUP($B473,Summary!$B:$D,2,FALSE))=TRUE," ",VLOOKUP($B473,Summary!$B:$D,2,FALSE))</f>
        <v> </v>
      </c>
      <c r="D473" s="50" t="str">
        <f>IF(ISNA(VLOOKUP($B473,Summary!$B:$D,3,FALSE))=TRUE," ",VLOOKUP($B473,Summary!$B:$D,3,FALSE))</f>
        <v> </v>
      </c>
      <c r="E473" s="62"/>
      <c r="F473" s="62"/>
      <c r="G473" s="62"/>
      <c r="I473" s="63">
        <f t="shared" si="7"/>
        <v>0</v>
      </c>
      <c r="K473" s="64">
        <f>IF(E473="Support(L1_L2)",IF(NOT(ISBLANK(B473)),IF(NOT(ISBLANK(D473)),NETWORKDAYS('CPY TOC'!$F$5,'CPY TOC'!$G$5))))-L473</f>
        <v>0</v>
      </c>
      <c r="L473" s="64">
        <f>IF(E473="Support(L1_L2)",SUMIFS(Support_allowance_Entries!$G:$G,Support_allowance_Entries!$B:$B,CPY!B473),0)</f>
        <v>0</v>
      </c>
      <c r="M473" s="63" t="b">
        <f>IF($D473="D0",MD!$C$4*(K473),IF($D473="D1",MD!$C$5*(K473),IF($D473="D2",MD!$C$6*(K473),IF($D473="D3",MD!$C$7*(K473),IF($D473="D4",MD!$C$8*(K473),IF($D473="D5",MD!$C$9*(K473),IF($D473="M1",MD!$C$10*(K473),IF($D473="T1",MD!$C$11*(K473)))))))))</f>
        <v>0</v>
      </c>
      <c r="O473" s="65">
        <f>SUMIFS(Shift_allowance_Entries!$G:$G,Shift_allowance_Entries!$F:$F,"6:30AM-03:30PM",Shift_allowance_Entries!$B:$B,CPY!$B473)</f>
        <v>0</v>
      </c>
      <c r="P473" s="65">
        <f>SUMIFS(Shift_allowance_Entries!$G:$G,Shift_allowance_Entries!$F:$F,"1-9PM/2:30PM-11:30PM",Shift_allowance_Entries!$B:$B,CPY!$B473)</f>
        <v>0</v>
      </c>
      <c r="Q473" s="65">
        <f>SUMIFS(Shift_allowance_Entries!$G:$G,Shift_allowance_Entries!$F:$F,"11PM-7AM",Shift_allowance_Entries!$B:$B,CPY!$B473)</f>
        <v>0</v>
      </c>
      <c r="R473" s="63">
        <f>(CPY!O473*MD!$F$4)+(CPY!P473*MD!$F$5)+(CPY!Q473*MD!$F$6)</f>
        <v>0</v>
      </c>
      <c r="T473" s="64">
        <f>ROUNDUP((SUMIFS('OOH Activities'!$K:$K,'OOH Activities'!$F:$F,"Non_workdays",'OOH Activities'!$B:$B,CPY!B473)) *24,1)</f>
        <v>0</v>
      </c>
      <c r="U473" s="64">
        <f>ROUNDUP((SUMIFS('OOH Activities'!$K:$K,'OOH Activities'!$F:$F,"Workdays",'OOH Activities'!$B:$B,CPY!B473)) *24,1)</f>
        <v>0</v>
      </c>
      <c r="V473" s="63">
        <f>ROUNDUP((SUMIFS('OOH Activities'!$L:$L,'OOH Activities'!$B:$B,CPY!B473)),1)</f>
        <v>0</v>
      </c>
      <c r="X473" s="65">
        <f>ROUNDUP((SUMIFS('ON Call_Call Out Activities'!$L:$L,'ON Call_Call Out Activities'!$F:$F,"Workdays",'ON Call_Call Out Activities'!$B:$B,CPY!B473))*24,1)</f>
        <v>0</v>
      </c>
      <c r="Y473" s="64">
        <f>ROUNDUP((SUMIFS('ON Call_Call Out Activities'!$L:$L,'ON Call_Call Out Activities'!$F:$F,"Non_workdays",'ON Call_Call Out Activities'!$B:$B,CPY!B473)) *24,1)</f>
        <v>0</v>
      </c>
      <c r="Z473" s="63">
        <f>ROUNDUP((SUMIFS('ON Call_Call Out Activities'!$M:$M,'ON Call_Call Out Activities'!$F:$F,"Non_workdays",'ON Call_Call Out Activities'!$B:$B,CPY!B473)),1) + ROUNDUP((SUMIFS('ON Call_Call Out Activities'!$M:$M,'ON Call_Call Out Activities'!$F:$F,"Workdays",'ON Call_Call Out Activities'!$B:$B,CPY!B473)),1)</f>
        <v>0</v>
      </c>
      <c r="AA473" s="66"/>
      <c r="AB473" s="64">
        <f>ROUNDUP((SUMIFS('ON Call_Call Out Activities'!$L:$L,'ON Call_Call Out Activities'!$F:$F,"Call_Out",'ON Call_Call Out Activities'!$B:$B,CPY!B473)) *24,1)</f>
        <v>0</v>
      </c>
      <c r="AC473" s="63">
        <f>ROUNDUP((SUMIFS('ON Call_Call Out Activities'!$M:$M,'ON Call_Call Out Activities'!$F:$F,"Call_Out",'ON Call_Call Out Activities'!$B:$B,CPY!B473)),1)</f>
        <v>0</v>
      </c>
      <c r="AE473" s="65">
        <f>IF((SUMIF(Shift_allowance_Entries!$B:$B,CPY!$B473,Shift_allowance_Entries!$H:$H)) &gt; (SUMIF(Shift_allowance_Entries!$B:$B,CPY!$B473,Shift_allowance_Entries!$G:$G)),0,((SUMIF(Shift_allowance_Entries!$B:$B,CPY!$B473,Shift_allowance_Entries!$G:$G))-(SUMIF(Shift_allowance_Entries!$B:$B,CPY!$B473,Shift_allowance_Entries!$H:$H))))</f>
        <v>0</v>
      </c>
      <c r="AF473" s="63">
        <f>AE473*MD!$S$4</f>
        <v>0</v>
      </c>
    </row>
    <row r="474" spans="1:32" x14ac:dyDescent="0.25">
      <c r="A474" s="62">
        <v>472</v>
      </c>
      <c r="B474" s="62"/>
      <c r="C474" s="50" t="str">
        <f>IF(ISNA(VLOOKUP($B474,Summary!$B:$D,2,FALSE))=TRUE," ",VLOOKUP($B474,Summary!$B:$D,2,FALSE))</f>
        <v> </v>
      </c>
      <c r="D474" s="50" t="str">
        <f>IF(ISNA(VLOOKUP($B474,Summary!$B:$D,3,FALSE))=TRUE," ",VLOOKUP($B474,Summary!$B:$D,3,FALSE))</f>
        <v> </v>
      </c>
      <c r="E474" s="62"/>
      <c r="F474" s="62"/>
      <c r="G474" s="62"/>
      <c r="I474" s="63">
        <f t="shared" si="7"/>
        <v>0</v>
      </c>
      <c r="K474" s="64">
        <f>IF(E474="Support(L1_L2)",IF(NOT(ISBLANK(B474)),IF(NOT(ISBLANK(D474)),NETWORKDAYS('CPY TOC'!$F$5,'CPY TOC'!$G$5))))-L474</f>
        <v>0</v>
      </c>
      <c r="L474" s="64">
        <f>IF(E474="Support(L1_L2)",SUMIFS(Support_allowance_Entries!$G:$G,Support_allowance_Entries!$B:$B,CPY!B474),0)</f>
        <v>0</v>
      </c>
      <c r="M474" s="63" t="b">
        <f>IF($D474="D0",MD!$C$4*(K474),IF($D474="D1",MD!$C$5*(K474),IF($D474="D2",MD!$C$6*(K474),IF($D474="D3",MD!$C$7*(K474),IF($D474="D4",MD!$C$8*(K474),IF($D474="D5",MD!$C$9*(K474),IF($D474="M1",MD!$C$10*(K474),IF($D474="T1",MD!$C$11*(K474)))))))))</f>
        <v>0</v>
      </c>
      <c r="O474" s="65">
        <f>SUMIFS(Shift_allowance_Entries!$G:$G,Shift_allowance_Entries!$F:$F,"6:30AM-03:30PM",Shift_allowance_Entries!$B:$B,CPY!$B474)</f>
        <v>0</v>
      </c>
      <c r="P474" s="65">
        <f>SUMIFS(Shift_allowance_Entries!$G:$G,Shift_allowance_Entries!$F:$F,"1-9PM/2:30PM-11:30PM",Shift_allowance_Entries!$B:$B,CPY!$B474)</f>
        <v>0</v>
      </c>
      <c r="Q474" s="65">
        <f>SUMIFS(Shift_allowance_Entries!$G:$G,Shift_allowance_Entries!$F:$F,"11PM-7AM",Shift_allowance_Entries!$B:$B,CPY!$B474)</f>
        <v>0</v>
      </c>
      <c r="R474" s="63">
        <f>(CPY!O474*MD!$F$4)+(CPY!P474*MD!$F$5)+(CPY!Q474*MD!$F$6)</f>
        <v>0</v>
      </c>
      <c r="T474" s="64">
        <f>ROUNDUP((SUMIFS('OOH Activities'!$K:$K,'OOH Activities'!$F:$F,"Non_workdays",'OOH Activities'!$B:$B,CPY!B474)) *24,1)</f>
        <v>0</v>
      </c>
      <c r="U474" s="64">
        <f>ROUNDUP((SUMIFS('OOH Activities'!$K:$K,'OOH Activities'!$F:$F,"Workdays",'OOH Activities'!$B:$B,CPY!B474)) *24,1)</f>
        <v>0</v>
      </c>
      <c r="V474" s="63">
        <f>ROUNDUP((SUMIFS('OOH Activities'!$L:$L,'OOH Activities'!$B:$B,CPY!B474)),1)</f>
        <v>0</v>
      </c>
      <c r="X474" s="65">
        <f>ROUNDUP((SUMIFS('ON Call_Call Out Activities'!$L:$L,'ON Call_Call Out Activities'!$F:$F,"Workdays",'ON Call_Call Out Activities'!$B:$B,CPY!B474))*24,1)</f>
        <v>0</v>
      </c>
      <c r="Y474" s="64">
        <f>ROUNDUP((SUMIFS('ON Call_Call Out Activities'!$L:$L,'ON Call_Call Out Activities'!$F:$F,"Non_workdays",'ON Call_Call Out Activities'!$B:$B,CPY!B474)) *24,1)</f>
        <v>0</v>
      </c>
      <c r="Z474" s="63">
        <f>ROUNDUP((SUMIFS('ON Call_Call Out Activities'!$M:$M,'ON Call_Call Out Activities'!$F:$F,"Non_workdays",'ON Call_Call Out Activities'!$B:$B,CPY!B474)),1) + ROUNDUP((SUMIFS('ON Call_Call Out Activities'!$M:$M,'ON Call_Call Out Activities'!$F:$F,"Workdays",'ON Call_Call Out Activities'!$B:$B,CPY!B474)),1)</f>
        <v>0</v>
      </c>
      <c r="AA474" s="66"/>
      <c r="AB474" s="64">
        <f>ROUNDUP((SUMIFS('ON Call_Call Out Activities'!$L:$L,'ON Call_Call Out Activities'!$F:$F,"Call_Out",'ON Call_Call Out Activities'!$B:$B,CPY!B474)) *24,1)</f>
        <v>0</v>
      </c>
      <c r="AC474" s="63">
        <f>ROUNDUP((SUMIFS('ON Call_Call Out Activities'!$M:$M,'ON Call_Call Out Activities'!$F:$F,"Call_Out",'ON Call_Call Out Activities'!$B:$B,CPY!B474)),1)</f>
        <v>0</v>
      </c>
      <c r="AE474" s="65">
        <f>IF((SUMIF(Shift_allowance_Entries!$B:$B,CPY!$B474,Shift_allowance_Entries!$H:$H)) &gt; (SUMIF(Shift_allowance_Entries!$B:$B,CPY!$B474,Shift_allowance_Entries!$G:$G)),0,((SUMIF(Shift_allowance_Entries!$B:$B,CPY!$B474,Shift_allowance_Entries!$G:$G))-(SUMIF(Shift_allowance_Entries!$B:$B,CPY!$B474,Shift_allowance_Entries!$H:$H))))</f>
        <v>0</v>
      </c>
      <c r="AF474" s="63">
        <f>AE474*MD!$S$4</f>
        <v>0</v>
      </c>
    </row>
    <row r="475" spans="1:32" x14ac:dyDescent="0.25">
      <c r="A475" s="62">
        <v>473</v>
      </c>
      <c r="B475" s="62"/>
      <c r="C475" s="50" t="str">
        <f>IF(ISNA(VLOOKUP($B475,Summary!$B:$D,2,FALSE))=TRUE," ",VLOOKUP($B475,Summary!$B:$D,2,FALSE))</f>
        <v> </v>
      </c>
      <c r="D475" s="50" t="str">
        <f>IF(ISNA(VLOOKUP($B475,Summary!$B:$D,3,FALSE))=TRUE," ",VLOOKUP($B475,Summary!$B:$D,3,FALSE))</f>
        <v> </v>
      </c>
      <c r="E475" s="62"/>
      <c r="F475" s="62"/>
      <c r="G475" s="62"/>
      <c r="I475" s="63">
        <f t="shared" si="7"/>
        <v>0</v>
      </c>
      <c r="K475" s="64">
        <f>IF(E475="Support(L1_L2)",IF(NOT(ISBLANK(B475)),IF(NOT(ISBLANK(D475)),NETWORKDAYS('CPY TOC'!$F$5,'CPY TOC'!$G$5))))-L475</f>
        <v>0</v>
      </c>
      <c r="L475" s="64">
        <f>IF(E475="Support(L1_L2)",SUMIFS(Support_allowance_Entries!$G:$G,Support_allowance_Entries!$B:$B,CPY!B475),0)</f>
        <v>0</v>
      </c>
      <c r="M475" s="63" t="b">
        <f>IF($D475="D0",MD!$C$4*(K475),IF($D475="D1",MD!$C$5*(K475),IF($D475="D2",MD!$C$6*(K475),IF($D475="D3",MD!$C$7*(K475),IF($D475="D4",MD!$C$8*(K475),IF($D475="D5",MD!$C$9*(K475),IF($D475="M1",MD!$C$10*(K475),IF($D475="T1",MD!$C$11*(K475)))))))))</f>
        <v>0</v>
      </c>
      <c r="O475" s="65">
        <f>SUMIFS(Shift_allowance_Entries!$G:$G,Shift_allowance_Entries!$F:$F,"6:30AM-03:30PM",Shift_allowance_Entries!$B:$B,CPY!$B475)</f>
        <v>0</v>
      </c>
      <c r="P475" s="65">
        <f>SUMIFS(Shift_allowance_Entries!$G:$G,Shift_allowance_Entries!$F:$F,"1-9PM/2:30PM-11:30PM",Shift_allowance_Entries!$B:$B,CPY!$B475)</f>
        <v>0</v>
      </c>
      <c r="Q475" s="65">
        <f>SUMIFS(Shift_allowance_Entries!$G:$G,Shift_allowance_Entries!$F:$F,"11PM-7AM",Shift_allowance_Entries!$B:$B,CPY!$B475)</f>
        <v>0</v>
      </c>
      <c r="R475" s="63">
        <f>(CPY!O475*MD!$F$4)+(CPY!P475*MD!$F$5)+(CPY!Q475*MD!$F$6)</f>
        <v>0</v>
      </c>
      <c r="T475" s="64">
        <f>ROUNDUP((SUMIFS('OOH Activities'!$K:$K,'OOH Activities'!$F:$F,"Non_workdays",'OOH Activities'!$B:$B,CPY!B475)) *24,1)</f>
        <v>0</v>
      </c>
      <c r="U475" s="64">
        <f>ROUNDUP((SUMIFS('OOH Activities'!$K:$K,'OOH Activities'!$F:$F,"Workdays",'OOH Activities'!$B:$B,CPY!B475)) *24,1)</f>
        <v>0</v>
      </c>
      <c r="V475" s="63">
        <f>ROUNDUP((SUMIFS('OOH Activities'!$L:$L,'OOH Activities'!$B:$B,CPY!B475)),1)</f>
        <v>0</v>
      </c>
      <c r="X475" s="65">
        <f>ROUNDUP((SUMIFS('ON Call_Call Out Activities'!$L:$L,'ON Call_Call Out Activities'!$F:$F,"Workdays",'ON Call_Call Out Activities'!$B:$B,CPY!B475))*24,1)</f>
        <v>0</v>
      </c>
      <c r="Y475" s="64">
        <f>ROUNDUP((SUMIFS('ON Call_Call Out Activities'!$L:$L,'ON Call_Call Out Activities'!$F:$F,"Non_workdays",'ON Call_Call Out Activities'!$B:$B,CPY!B475)) *24,1)</f>
        <v>0</v>
      </c>
      <c r="Z475" s="63">
        <f>ROUNDUP((SUMIFS('ON Call_Call Out Activities'!$M:$M,'ON Call_Call Out Activities'!$F:$F,"Non_workdays",'ON Call_Call Out Activities'!$B:$B,CPY!B475)),1) + ROUNDUP((SUMIFS('ON Call_Call Out Activities'!$M:$M,'ON Call_Call Out Activities'!$F:$F,"Workdays",'ON Call_Call Out Activities'!$B:$B,CPY!B475)),1)</f>
        <v>0</v>
      </c>
      <c r="AA475" s="66"/>
      <c r="AB475" s="64">
        <f>ROUNDUP((SUMIFS('ON Call_Call Out Activities'!$L:$L,'ON Call_Call Out Activities'!$F:$F,"Call_Out",'ON Call_Call Out Activities'!$B:$B,CPY!B475)) *24,1)</f>
        <v>0</v>
      </c>
      <c r="AC475" s="63">
        <f>ROUNDUP((SUMIFS('ON Call_Call Out Activities'!$M:$M,'ON Call_Call Out Activities'!$F:$F,"Call_Out",'ON Call_Call Out Activities'!$B:$B,CPY!B475)),1)</f>
        <v>0</v>
      </c>
      <c r="AE475" s="65">
        <f>IF((SUMIF(Shift_allowance_Entries!$B:$B,CPY!$B475,Shift_allowance_Entries!$H:$H)) &gt; (SUMIF(Shift_allowance_Entries!$B:$B,CPY!$B475,Shift_allowance_Entries!$G:$G)),0,((SUMIF(Shift_allowance_Entries!$B:$B,CPY!$B475,Shift_allowance_Entries!$G:$G))-(SUMIF(Shift_allowance_Entries!$B:$B,CPY!$B475,Shift_allowance_Entries!$H:$H))))</f>
        <v>0</v>
      </c>
      <c r="AF475" s="63">
        <f>AE475*MD!$S$4</f>
        <v>0</v>
      </c>
    </row>
    <row r="476" spans="1:32" x14ac:dyDescent="0.25">
      <c r="A476" s="62">
        <v>474</v>
      </c>
      <c r="B476" s="62"/>
      <c r="C476" s="50" t="str">
        <f>IF(ISNA(VLOOKUP($B476,Summary!$B:$D,2,FALSE))=TRUE," ",VLOOKUP($B476,Summary!$B:$D,2,FALSE))</f>
        <v> </v>
      </c>
      <c r="D476" s="50" t="str">
        <f>IF(ISNA(VLOOKUP($B476,Summary!$B:$D,3,FALSE))=TRUE," ",VLOOKUP($B476,Summary!$B:$D,3,FALSE))</f>
        <v> </v>
      </c>
      <c r="E476" s="62"/>
      <c r="F476" s="62"/>
      <c r="G476" s="62"/>
      <c r="I476" s="63">
        <f t="shared" si="7"/>
        <v>0</v>
      </c>
      <c r="K476" s="64">
        <f>IF(E476="Support(L1_L2)",IF(NOT(ISBLANK(B476)),IF(NOT(ISBLANK(D476)),NETWORKDAYS('CPY TOC'!$F$5,'CPY TOC'!$G$5))))-L476</f>
        <v>0</v>
      </c>
      <c r="L476" s="64">
        <f>IF(E476="Support(L1_L2)",SUMIFS(Support_allowance_Entries!$G:$G,Support_allowance_Entries!$B:$B,CPY!B476),0)</f>
        <v>0</v>
      </c>
      <c r="M476" s="63" t="b">
        <f>IF($D476="D0",MD!$C$4*(K476),IF($D476="D1",MD!$C$5*(K476),IF($D476="D2",MD!$C$6*(K476),IF($D476="D3",MD!$C$7*(K476),IF($D476="D4",MD!$C$8*(K476),IF($D476="D5",MD!$C$9*(K476),IF($D476="M1",MD!$C$10*(K476),IF($D476="T1",MD!$C$11*(K476)))))))))</f>
        <v>0</v>
      </c>
      <c r="O476" s="65">
        <f>SUMIFS(Shift_allowance_Entries!$G:$G,Shift_allowance_Entries!$F:$F,"6:30AM-03:30PM",Shift_allowance_Entries!$B:$B,CPY!$B476)</f>
        <v>0</v>
      </c>
      <c r="P476" s="65">
        <f>SUMIFS(Shift_allowance_Entries!$G:$G,Shift_allowance_Entries!$F:$F,"1-9PM/2:30PM-11:30PM",Shift_allowance_Entries!$B:$B,CPY!$B476)</f>
        <v>0</v>
      </c>
      <c r="Q476" s="65">
        <f>SUMIFS(Shift_allowance_Entries!$G:$G,Shift_allowance_Entries!$F:$F,"11PM-7AM",Shift_allowance_Entries!$B:$B,CPY!$B476)</f>
        <v>0</v>
      </c>
      <c r="R476" s="63">
        <f>(CPY!O476*MD!$F$4)+(CPY!P476*MD!$F$5)+(CPY!Q476*MD!$F$6)</f>
        <v>0</v>
      </c>
      <c r="T476" s="64">
        <f>ROUNDUP((SUMIFS('OOH Activities'!$K:$K,'OOH Activities'!$F:$F,"Non_workdays",'OOH Activities'!$B:$B,CPY!B476)) *24,1)</f>
        <v>0</v>
      </c>
      <c r="U476" s="64">
        <f>ROUNDUP((SUMIFS('OOH Activities'!$K:$K,'OOH Activities'!$F:$F,"Workdays",'OOH Activities'!$B:$B,CPY!B476)) *24,1)</f>
        <v>0</v>
      </c>
      <c r="V476" s="63">
        <f>ROUNDUP((SUMIFS('OOH Activities'!$L:$L,'OOH Activities'!$B:$B,CPY!B476)),1)</f>
        <v>0</v>
      </c>
      <c r="X476" s="65">
        <f>ROUNDUP((SUMIFS('ON Call_Call Out Activities'!$L:$L,'ON Call_Call Out Activities'!$F:$F,"Workdays",'ON Call_Call Out Activities'!$B:$B,CPY!B476))*24,1)</f>
        <v>0</v>
      </c>
      <c r="Y476" s="64">
        <f>ROUNDUP((SUMIFS('ON Call_Call Out Activities'!$L:$L,'ON Call_Call Out Activities'!$F:$F,"Non_workdays",'ON Call_Call Out Activities'!$B:$B,CPY!B476)) *24,1)</f>
        <v>0</v>
      </c>
      <c r="Z476" s="63">
        <f>ROUNDUP((SUMIFS('ON Call_Call Out Activities'!$M:$M,'ON Call_Call Out Activities'!$F:$F,"Non_workdays",'ON Call_Call Out Activities'!$B:$B,CPY!B476)),1) + ROUNDUP((SUMIFS('ON Call_Call Out Activities'!$M:$M,'ON Call_Call Out Activities'!$F:$F,"Workdays",'ON Call_Call Out Activities'!$B:$B,CPY!B476)),1)</f>
        <v>0</v>
      </c>
      <c r="AA476" s="66"/>
      <c r="AB476" s="64">
        <f>ROUNDUP((SUMIFS('ON Call_Call Out Activities'!$L:$L,'ON Call_Call Out Activities'!$F:$F,"Call_Out",'ON Call_Call Out Activities'!$B:$B,CPY!B476)) *24,1)</f>
        <v>0</v>
      </c>
      <c r="AC476" s="63">
        <f>ROUNDUP((SUMIFS('ON Call_Call Out Activities'!$M:$M,'ON Call_Call Out Activities'!$F:$F,"Call_Out",'ON Call_Call Out Activities'!$B:$B,CPY!B476)),1)</f>
        <v>0</v>
      </c>
      <c r="AE476" s="65">
        <f>IF((SUMIF(Shift_allowance_Entries!$B:$B,CPY!$B476,Shift_allowance_Entries!$H:$H)) &gt; (SUMIF(Shift_allowance_Entries!$B:$B,CPY!$B476,Shift_allowance_Entries!$G:$G)),0,((SUMIF(Shift_allowance_Entries!$B:$B,CPY!$B476,Shift_allowance_Entries!$G:$G))-(SUMIF(Shift_allowance_Entries!$B:$B,CPY!$B476,Shift_allowance_Entries!$H:$H))))</f>
        <v>0</v>
      </c>
      <c r="AF476" s="63">
        <f>AE476*MD!$S$4</f>
        <v>0</v>
      </c>
    </row>
    <row r="477" spans="1:32" x14ac:dyDescent="0.25">
      <c r="A477" s="62">
        <v>475</v>
      </c>
      <c r="B477" s="62"/>
      <c r="C477" s="50" t="str">
        <f>IF(ISNA(VLOOKUP($B477,Summary!$B:$D,2,FALSE))=TRUE," ",VLOOKUP($B477,Summary!$B:$D,2,FALSE))</f>
        <v> </v>
      </c>
      <c r="D477" s="50" t="str">
        <f>IF(ISNA(VLOOKUP($B477,Summary!$B:$D,3,FALSE))=TRUE," ",VLOOKUP($B477,Summary!$B:$D,3,FALSE))</f>
        <v> </v>
      </c>
      <c r="E477" s="62"/>
      <c r="F477" s="62"/>
      <c r="G477" s="62"/>
      <c r="I477" s="63">
        <f t="shared" si="7"/>
        <v>0</v>
      </c>
      <c r="K477" s="64">
        <f>IF(E477="Support(L1_L2)",IF(NOT(ISBLANK(B477)),IF(NOT(ISBLANK(D477)),NETWORKDAYS('CPY TOC'!$F$5,'CPY TOC'!$G$5))))-L477</f>
        <v>0</v>
      </c>
      <c r="L477" s="64">
        <f>IF(E477="Support(L1_L2)",SUMIFS(Support_allowance_Entries!$G:$G,Support_allowance_Entries!$B:$B,CPY!B477),0)</f>
        <v>0</v>
      </c>
      <c r="M477" s="63" t="b">
        <f>IF($D477="D0",MD!$C$4*(K477),IF($D477="D1",MD!$C$5*(K477),IF($D477="D2",MD!$C$6*(K477),IF($D477="D3",MD!$C$7*(K477),IF($D477="D4",MD!$C$8*(K477),IF($D477="D5",MD!$C$9*(K477),IF($D477="M1",MD!$C$10*(K477),IF($D477="T1",MD!$C$11*(K477)))))))))</f>
        <v>0</v>
      </c>
      <c r="O477" s="65">
        <f>SUMIFS(Shift_allowance_Entries!$G:$G,Shift_allowance_Entries!$F:$F,"6:30AM-03:30PM",Shift_allowance_Entries!$B:$B,CPY!$B477)</f>
        <v>0</v>
      </c>
      <c r="P477" s="65">
        <f>SUMIFS(Shift_allowance_Entries!$G:$G,Shift_allowance_Entries!$F:$F,"1-9PM/2:30PM-11:30PM",Shift_allowance_Entries!$B:$B,CPY!$B477)</f>
        <v>0</v>
      </c>
      <c r="Q477" s="65">
        <f>SUMIFS(Shift_allowance_Entries!$G:$G,Shift_allowance_Entries!$F:$F,"11PM-7AM",Shift_allowance_Entries!$B:$B,CPY!$B477)</f>
        <v>0</v>
      </c>
      <c r="R477" s="63">
        <f>(CPY!O477*MD!$F$4)+(CPY!P477*MD!$F$5)+(CPY!Q477*MD!$F$6)</f>
        <v>0</v>
      </c>
      <c r="T477" s="64">
        <f>ROUNDUP((SUMIFS('OOH Activities'!$K:$K,'OOH Activities'!$F:$F,"Non_workdays",'OOH Activities'!$B:$B,CPY!B477)) *24,1)</f>
        <v>0</v>
      </c>
      <c r="U477" s="64">
        <f>ROUNDUP((SUMIFS('OOH Activities'!$K:$K,'OOH Activities'!$F:$F,"Workdays",'OOH Activities'!$B:$B,CPY!B477)) *24,1)</f>
        <v>0</v>
      </c>
      <c r="V477" s="63">
        <f>ROUNDUP((SUMIFS('OOH Activities'!$L:$L,'OOH Activities'!$B:$B,CPY!B477)),1)</f>
        <v>0</v>
      </c>
      <c r="X477" s="65">
        <f>ROUNDUP((SUMIFS('ON Call_Call Out Activities'!$L:$L,'ON Call_Call Out Activities'!$F:$F,"Workdays",'ON Call_Call Out Activities'!$B:$B,CPY!B477))*24,1)</f>
        <v>0</v>
      </c>
      <c r="Y477" s="64">
        <f>ROUNDUP((SUMIFS('ON Call_Call Out Activities'!$L:$L,'ON Call_Call Out Activities'!$F:$F,"Non_workdays",'ON Call_Call Out Activities'!$B:$B,CPY!B477)) *24,1)</f>
        <v>0</v>
      </c>
      <c r="Z477" s="63">
        <f>ROUNDUP((SUMIFS('ON Call_Call Out Activities'!$M:$M,'ON Call_Call Out Activities'!$F:$F,"Non_workdays",'ON Call_Call Out Activities'!$B:$B,CPY!B477)),1) + ROUNDUP((SUMIFS('ON Call_Call Out Activities'!$M:$M,'ON Call_Call Out Activities'!$F:$F,"Workdays",'ON Call_Call Out Activities'!$B:$B,CPY!B477)),1)</f>
        <v>0</v>
      </c>
      <c r="AA477" s="66"/>
      <c r="AB477" s="64">
        <f>ROUNDUP((SUMIFS('ON Call_Call Out Activities'!$L:$L,'ON Call_Call Out Activities'!$F:$F,"Call_Out",'ON Call_Call Out Activities'!$B:$B,CPY!B477)) *24,1)</f>
        <v>0</v>
      </c>
      <c r="AC477" s="63">
        <f>ROUNDUP((SUMIFS('ON Call_Call Out Activities'!$M:$M,'ON Call_Call Out Activities'!$F:$F,"Call_Out",'ON Call_Call Out Activities'!$B:$B,CPY!B477)),1)</f>
        <v>0</v>
      </c>
      <c r="AE477" s="65">
        <f>IF((SUMIF(Shift_allowance_Entries!$B:$B,CPY!$B477,Shift_allowance_Entries!$H:$H)) &gt; (SUMIF(Shift_allowance_Entries!$B:$B,CPY!$B477,Shift_allowance_Entries!$G:$G)),0,((SUMIF(Shift_allowance_Entries!$B:$B,CPY!$B477,Shift_allowance_Entries!$G:$G))-(SUMIF(Shift_allowance_Entries!$B:$B,CPY!$B477,Shift_allowance_Entries!$H:$H))))</f>
        <v>0</v>
      </c>
      <c r="AF477" s="63">
        <f>AE477*MD!$S$4</f>
        <v>0</v>
      </c>
    </row>
    <row r="478" spans="1:32" x14ac:dyDescent="0.25">
      <c r="A478" s="62">
        <v>476</v>
      </c>
      <c r="B478" s="62"/>
      <c r="C478" s="50" t="str">
        <f>IF(ISNA(VLOOKUP($B478,Summary!$B:$D,2,FALSE))=TRUE," ",VLOOKUP($B478,Summary!$B:$D,2,FALSE))</f>
        <v> </v>
      </c>
      <c r="D478" s="50" t="str">
        <f>IF(ISNA(VLOOKUP($B478,Summary!$B:$D,3,FALSE))=TRUE," ",VLOOKUP($B478,Summary!$B:$D,3,FALSE))</f>
        <v> </v>
      </c>
      <c r="E478" s="62"/>
      <c r="F478" s="62"/>
      <c r="G478" s="62"/>
      <c r="I478" s="63">
        <f t="shared" si="7"/>
        <v>0</v>
      </c>
      <c r="K478" s="64">
        <f>IF(E478="Support(L1_L2)",IF(NOT(ISBLANK(B478)),IF(NOT(ISBLANK(D478)),NETWORKDAYS('CPY TOC'!$F$5,'CPY TOC'!$G$5))))-L478</f>
        <v>0</v>
      </c>
      <c r="L478" s="64">
        <f>IF(E478="Support(L1_L2)",SUMIFS(Support_allowance_Entries!$G:$G,Support_allowance_Entries!$B:$B,CPY!B478),0)</f>
        <v>0</v>
      </c>
      <c r="M478" s="63" t="b">
        <f>IF($D478="D0",MD!$C$4*(K478),IF($D478="D1",MD!$C$5*(K478),IF($D478="D2",MD!$C$6*(K478),IF($D478="D3",MD!$C$7*(K478),IF($D478="D4",MD!$C$8*(K478),IF($D478="D5",MD!$C$9*(K478),IF($D478="M1",MD!$C$10*(K478),IF($D478="T1",MD!$C$11*(K478)))))))))</f>
        <v>0</v>
      </c>
      <c r="O478" s="65">
        <f>SUMIFS(Shift_allowance_Entries!$G:$G,Shift_allowance_Entries!$F:$F,"6:30AM-03:30PM",Shift_allowance_Entries!$B:$B,CPY!$B478)</f>
        <v>0</v>
      </c>
      <c r="P478" s="65">
        <f>SUMIFS(Shift_allowance_Entries!$G:$G,Shift_allowance_Entries!$F:$F,"1-9PM/2:30PM-11:30PM",Shift_allowance_Entries!$B:$B,CPY!$B478)</f>
        <v>0</v>
      </c>
      <c r="Q478" s="65">
        <f>SUMIFS(Shift_allowance_Entries!$G:$G,Shift_allowance_Entries!$F:$F,"11PM-7AM",Shift_allowance_Entries!$B:$B,CPY!$B478)</f>
        <v>0</v>
      </c>
      <c r="R478" s="63">
        <f>(CPY!O478*MD!$F$4)+(CPY!P478*MD!$F$5)+(CPY!Q478*MD!$F$6)</f>
        <v>0</v>
      </c>
      <c r="T478" s="64">
        <f>ROUNDUP((SUMIFS('OOH Activities'!$K:$K,'OOH Activities'!$F:$F,"Non_workdays",'OOH Activities'!$B:$B,CPY!B478)) *24,1)</f>
        <v>0</v>
      </c>
      <c r="U478" s="64">
        <f>ROUNDUP((SUMIFS('OOH Activities'!$K:$K,'OOH Activities'!$F:$F,"Workdays",'OOH Activities'!$B:$B,CPY!B478)) *24,1)</f>
        <v>0</v>
      </c>
      <c r="V478" s="63">
        <f>ROUNDUP((SUMIFS('OOH Activities'!$L:$L,'OOH Activities'!$B:$B,CPY!B478)),1)</f>
        <v>0</v>
      </c>
      <c r="X478" s="65">
        <f>ROUNDUP((SUMIFS('ON Call_Call Out Activities'!$L:$L,'ON Call_Call Out Activities'!$F:$F,"Workdays",'ON Call_Call Out Activities'!$B:$B,CPY!B478))*24,1)</f>
        <v>0</v>
      </c>
      <c r="Y478" s="64">
        <f>ROUNDUP((SUMIFS('ON Call_Call Out Activities'!$L:$L,'ON Call_Call Out Activities'!$F:$F,"Non_workdays",'ON Call_Call Out Activities'!$B:$B,CPY!B478)) *24,1)</f>
        <v>0</v>
      </c>
      <c r="Z478" s="63">
        <f>ROUNDUP((SUMIFS('ON Call_Call Out Activities'!$M:$M,'ON Call_Call Out Activities'!$F:$F,"Non_workdays",'ON Call_Call Out Activities'!$B:$B,CPY!B478)),1) + ROUNDUP((SUMIFS('ON Call_Call Out Activities'!$M:$M,'ON Call_Call Out Activities'!$F:$F,"Workdays",'ON Call_Call Out Activities'!$B:$B,CPY!B478)),1)</f>
        <v>0</v>
      </c>
      <c r="AA478" s="66"/>
      <c r="AB478" s="64">
        <f>ROUNDUP((SUMIFS('ON Call_Call Out Activities'!$L:$L,'ON Call_Call Out Activities'!$F:$F,"Call_Out",'ON Call_Call Out Activities'!$B:$B,CPY!B478)) *24,1)</f>
        <v>0</v>
      </c>
      <c r="AC478" s="63">
        <f>ROUNDUP((SUMIFS('ON Call_Call Out Activities'!$M:$M,'ON Call_Call Out Activities'!$F:$F,"Call_Out",'ON Call_Call Out Activities'!$B:$B,CPY!B478)),1)</f>
        <v>0</v>
      </c>
      <c r="AE478" s="65">
        <f>IF((SUMIF(Shift_allowance_Entries!$B:$B,CPY!$B478,Shift_allowance_Entries!$H:$H)) &gt; (SUMIF(Shift_allowance_Entries!$B:$B,CPY!$B478,Shift_allowance_Entries!$G:$G)),0,((SUMIF(Shift_allowance_Entries!$B:$B,CPY!$B478,Shift_allowance_Entries!$G:$G))-(SUMIF(Shift_allowance_Entries!$B:$B,CPY!$B478,Shift_allowance_Entries!$H:$H))))</f>
        <v>0</v>
      </c>
      <c r="AF478" s="63">
        <f>AE478*MD!$S$4</f>
        <v>0</v>
      </c>
    </row>
    <row r="479" spans="1:32" x14ac:dyDescent="0.25">
      <c r="A479" s="62">
        <v>477</v>
      </c>
      <c r="B479" s="62"/>
      <c r="C479" s="50" t="str">
        <f>IF(ISNA(VLOOKUP($B479,Summary!$B:$D,2,FALSE))=TRUE," ",VLOOKUP($B479,Summary!$B:$D,2,FALSE))</f>
        <v> </v>
      </c>
      <c r="D479" s="50" t="str">
        <f>IF(ISNA(VLOOKUP($B479,Summary!$B:$D,3,FALSE))=TRUE," ",VLOOKUP($B479,Summary!$B:$D,3,FALSE))</f>
        <v> </v>
      </c>
      <c r="E479" s="62"/>
      <c r="F479" s="62"/>
      <c r="G479" s="62"/>
      <c r="I479" s="63">
        <f t="shared" si="7"/>
        <v>0</v>
      </c>
      <c r="K479" s="64">
        <f>IF(E479="Support(L1_L2)",IF(NOT(ISBLANK(B479)),IF(NOT(ISBLANK(D479)),NETWORKDAYS('CPY TOC'!$F$5,'CPY TOC'!$G$5))))-L479</f>
        <v>0</v>
      </c>
      <c r="L479" s="64">
        <f>IF(E479="Support(L1_L2)",SUMIFS(Support_allowance_Entries!$G:$G,Support_allowance_Entries!$B:$B,CPY!B479),0)</f>
        <v>0</v>
      </c>
      <c r="M479" s="63" t="b">
        <f>IF($D479="D0",MD!$C$4*(K479),IF($D479="D1",MD!$C$5*(K479),IF($D479="D2",MD!$C$6*(K479),IF($D479="D3",MD!$C$7*(K479),IF($D479="D4",MD!$C$8*(K479),IF($D479="D5",MD!$C$9*(K479),IF($D479="M1",MD!$C$10*(K479),IF($D479="T1",MD!$C$11*(K479)))))))))</f>
        <v>0</v>
      </c>
      <c r="O479" s="65">
        <f>SUMIFS(Shift_allowance_Entries!$G:$G,Shift_allowance_Entries!$F:$F,"6:30AM-03:30PM",Shift_allowance_Entries!$B:$B,CPY!$B479)</f>
        <v>0</v>
      </c>
      <c r="P479" s="65">
        <f>SUMIFS(Shift_allowance_Entries!$G:$G,Shift_allowance_Entries!$F:$F,"1-9PM/2:30PM-11:30PM",Shift_allowance_Entries!$B:$B,CPY!$B479)</f>
        <v>0</v>
      </c>
      <c r="Q479" s="65">
        <f>SUMIFS(Shift_allowance_Entries!$G:$G,Shift_allowance_Entries!$F:$F,"11PM-7AM",Shift_allowance_Entries!$B:$B,CPY!$B479)</f>
        <v>0</v>
      </c>
      <c r="R479" s="63">
        <f>(CPY!O479*MD!$F$4)+(CPY!P479*MD!$F$5)+(CPY!Q479*MD!$F$6)</f>
        <v>0</v>
      </c>
      <c r="T479" s="64">
        <f>ROUNDUP((SUMIFS('OOH Activities'!$K:$K,'OOH Activities'!$F:$F,"Non_workdays",'OOH Activities'!$B:$B,CPY!B479)) *24,1)</f>
        <v>0</v>
      </c>
      <c r="U479" s="64">
        <f>ROUNDUP((SUMIFS('OOH Activities'!$K:$K,'OOH Activities'!$F:$F,"Workdays",'OOH Activities'!$B:$B,CPY!B479)) *24,1)</f>
        <v>0</v>
      </c>
      <c r="V479" s="63">
        <f>ROUNDUP((SUMIFS('OOH Activities'!$L:$L,'OOH Activities'!$B:$B,CPY!B479)),1)</f>
        <v>0</v>
      </c>
      <c r="X479" s="65">
        <f>ROUNDUP((SUMIFS('ON Call_Call Out Activities'!$L:$L,'ON Call_Call Out Activities'!$F:$F,"Workdays",'ON Call_Call Out Activities'!$B:$B,CPY!B479))*24,1)</f>
        <v>0</v>
      </c>
      <c r="Y479" s="64">
        <f>ROUNDUP((SUMIFS('ON Call_Call Out Activities'!$L:$L,'ON Call_Call Out Activities'!$F:$F,"Non_workdays",'ON Call_Call Out Activities'!$B:$B,CPY!B479)) *24,1)</f>
        <v>0</v>
      </c>
      <c r="Z479" s="63">
        <f>ROUNDUP((SUMIFS('ON Call_Call Out Activities'!$M:$M,'ON Call_Call Out Activities'!$F:$F,"Non_workdays",'ON Call_Call Out Activities'!$B:$B,CPY!B479)),1) + ROUNDUP((SUMIFS('ON Call_Call Out Activities'!$M:$M,'ON Call_Call Out Activities'!$F:$F,"Workdays",'ON Call_Call Out Activities'!$B:$B,CPY!B479)),1)</f>
        <v>0</v>
      </c>
      <c r="AA479" s="66"/>
      <c r="AB479" s="64">
        <f>ROUNDUP((SUMIFS('ON Call_Call Out Activities'!$L:$L,'ON Call_Call Out Activities'!$F:$F,"Call_Out",'ON Call_Call Out Activities'!$B:$B,CPY!B479)) *24,1)</f>
        <v>0</v>
      </c>
      <c r="AC479" s="63">
        <f>ROUNDUP((SUMIFS('ON Call_Call Out Activities'!$M:$M,'ON Call_Call Out Activities'!$F:$F,"Call_Out",'ON Call_Call Out Activities'!$B:$B,CPY!B479)),1)</f>
        <v>0</v>
      </c>
      <c r="AE479" s="65">
        <f>IF((SUMIF(Shift_allowance_Entries!$B:$B,CPY!$B479,Shift_allowance_Entries!$H:$H)) &gt; (SUMIF(Shift_allowance_Entries!$B:$B,CPY!$B479,Shift_allowance_Entries!$G:$G)),0,((SUMIF(Shift_allowance_Entries!$B:$B,CPY!$B479,Shift_allowance_Entries!$G:$G))-(SUMIF(Shift_allowance_Entries!$B:$B,CPY!$B479,Shift_allowance_Entries!$H:$H))))</f>
        <v>0</v>
      </c>
      <c r="AF479" s="63">
        <f>AE479*MD!$S$4</f>
        <v>0</v>
      </c>
    </row>
    <row r="480" spans="1:32" x14ac:dyDescent="0.25">
      <c r="A480" s="62">
        <v>478</v>
      </c>
      <c r="B480" s="62"/>
      <c r="C480" s="50" t="str">
        <f>IF(ISNA(VLOOKUP($B480,Summary!$B:$D,2,FALSE))=TRUE," ",VLOOKUP($B480,Summary!$B:$D,2,FALSE))</f>
        <v> </v>
      </c>
      <c r="D480" s="50" t="str">
        <f>IF(ISNA(VLOOKUP($B480,Summary!$B:$D,3,FALSE))=TRUE," ",VLOOKUP($B480,Summary!$B:$D,3,FALSE))</f>
        <v> </v>
      </c>
      <c r="E480" s="62"/>
      <c r="F480" s="62"/>
      <c r="G480" s="62"/>
      <c r="I480" s="63">
        <f t="shared" si="7"/>
        <v>0</v>
      </c>
      <c r="K480" s="64">
        <f>IF(E480="Support(L1_L2)",IF(NOT(ISBLANK(B480)),IF(NOT(ISBLANK(D480)),NETWORKDAYS('CPY TOC'!$F$5,'CPY TOC'!$G$5))))-L480</f>
        <v>0</v>
      </c>
      <c r="L480" s="64">
        <f>IF(E480="Support(L1_L2)",SUMIFS(Support_allowance_Entries!$G:$G,Support_allowance_Entries!$B:$B,CPY!B480),0)</f>
        <v>0</v>
      </c>
      <c r="M480" s="63" t="b">
        <f>IF($D480="D0",MD!$C$4*(K480),IF($D480="D1",MD!$C$5*(K480),IF($D480="D2",MD!$C$6*(K480),IF($D480="D3",MD!$C$7*(K480),IF($D480="D4",MD!$C$8*(K480),IF($D480="D5",MD!$C$9*(K480),IF($D480="M1",MD!$C$10*(K480),IF($D480="T1",MD!$C$11*(K480)))))))))</f>
        <v>0</v>
      </c>
      <c r="O480" s="65">
        <f>SUMIFS(Shift_allowance_Entries!$G:$G,Shift_allowance_Entries!$F:$F,"6:30AM-03:30PM",Shift_allowance_Entries!$B:$B,CPY!$B480)</f>
        <v>0</v>
      </c>
      <c r="P480" s="65">
        <f>SUMIFS(Shift_allowance_Entries!$G:$G,Shift_allowance_Entries!$F:$F,"1-9PM/2:30PM-11:30PM",Shift_allowance_Entries!$B:$B,CPY!$B480)</f>
        <v>0</v>
      </c>
      <c r="Q480" s="65">
        <f>SUMIFS(Shift_allowance_Entries!$G:$G,Shift_allowance_Entries!$F:$F,"11PM-7AM",Shift_allowance_Entries!$B:$B,CPY!$B480)</f>
        <v>0</v>
      </c>
      <c r="R480" s="63">
        <f>(CPY!O480*MD!$F$4)+(CPY!P480*MD!$F$5)+(CPY!Q480*MD!$F$6)</f>
        <v>0</v>
      </c>
      <c r="T480" s="64">
        <f>ROUNDUP((SUMIFS('OOH Activities'!$K:$K,'OOH Activities'!$F:$F,"Non_workdays",'OOH Activities'!$B:$B,CPY!B480)) *24,1)</f>
        <v>0</v>
      </c>
      <c r="U480" s="64">
        <f>ROUNDUP((SUMIFS('OOH Activities'!$K:$K,'OOH Activities'!$F:$F,"Workdays",'OOH Activities'!$B:$B,CPY!B480)) *24,1)</f>
        <v>0</v>
      </c>
      <c r="V480" s="63">
        <f>ROUNDUP((SUMIFS('OOH Activities'!$L:$L,'OOH Activities'!$B:$B,CPY!B480)),1)</f>
        <v>0</v>
      </c>
      <c r="X480" s="65">
        <f>ROUNDUP((SUMIFS('ON Call_Call Out Activities'!$L:$L,'ON Call_Call Out Activities'!$F:$F,"Workdays",'ON Call_Call Out Activities'!$B:$B,CPY!B480))*24,1)</f>
        <v>0</v>
      </c>
      <c r="Y480" s="64">
        <f>ROUNDUP((SUMIFS('ON Call_Call Out Activities'!$L:$L,'ON Call_Call Out Activities'!$F:$F,"Non_workdays",'ON Call_Call Out Activities'!$B:$B,CPY!B480)) *24,1)</f>
        <v>0</v>
      </c>
      <c r="Z480" s="63">
        <f>ROUNDUP((SUMIFS('ON Call_Call Out Activities'!$M:$M,'ON Call_Call Out Activities'!$F:$F,"Non_workdays",'ON Call_Call Out Activities'!$B:$B,CPY!B480)),1) + ROUNDUP((SUMIFS('ON Call_Call Out Activities'!$M:$M,'ON Call_Call Out Activities'!$F:$F,"Workdays",'ON Call_Call Out Activities'!$B:$B,CPY!B480)),1)</f>
        <v>0</v>
      </c>
      <c r="AA480" s="66"/>
      <c r="AB480" s="64">
        <f>ROUNDUP((SUMIFS('ON Call_Call Out Activities'!$L:$L,'ON Call_Call Out Activities'!$F:$F,"Call_Out",'ON Call_Call Out Activities'!$B:$B,CPY!B480)) *24,1)</f>
        <v>0</v>
      </c>
      <c r="AC480" s="63">
        <f>ROUNDUP((SUMIFS('ON Call_Call Out Activities'!$M:$M,'ON Call_Call Out Activities'!$F:$F,"Call_Out",'ON Call_Call Out Activities'!$B:$B,CPY!B480)),1)</f>
        <v>0</v>
      </c>
      <c r="AE480" s="65">
        <f>IF((SUMIF(Shift_allowance_Entries!$B:$B,CPY!$B480,Shift_allowance_Entries!$H:$H)) &gt; (SUMIF(Shift_allowance_Entries!$B:$B,CPY!$B480,Shift_allowance_Entries!$G:$G)),0,((SUMIF(Shift_allowance_Entries!$B:$B,CPY!$B480,Shift_allowance_Entries!$G:$G))-(SUMIF(Shift_allowance_Entries!$B:$B,CPY!$B480,Shift_allowance_Entries!$H:$H))))</f>
        <v>0</v>
      </c>
      <c r="AF480" s="63">
        <f>AE480*MD!$S$4</f>
        <v>0</v>
      </c>
    </row>
    <row r="481" spans="1:32" x14ac:dyDescent="0.25">
      <c r="A481" s="62">
        <v>479</v>
      </c>
      <c r="B481" s="62"/>
      <c r="C481" s="50" t="str">
        <f>IF(ISNA(VLOOKUP($B481,Summary!$B:$D,2,FALSE))=TRUE," ",VLOOKUP($B481,Summary!$B:$D,2,FALSE))</f>
        <v> </v>
      </c>
      <c r="D481" s="50" t="str">
        <f>IF(ISNA(VLOOKUP($B481,Summary!$B:$D,3,FALSE))=TRUE," ",VLOOKUP($B481,Summary!$B:$D,3,FALSE))</f>
        <v> </v>
      </c>
      <c r="E481" s="62"/>
      <c r="F481" s="62"/>
      <c r="G481" s="62"/>
      <c r="I481" s="63">
        <f t="shared" si="7"/>
        <v>0</v>
      </c>
      <c r="K481" s="64">
        <f>IF(E481="Support(L1_L2)",IF(NOT(ISBLANK(B481)),IF(NOT(ISBLANK(D481)),NETWORKDAYS('CPY TOC'!$F$5,'CPY TOC'!$G$5))))-L481</f>
        <v>0</v>
      </c>
      <c r="L481" s="64">
        <f>IF(E481="Support(L1_L2)",SUMIFS(Support_allowance_Entries!$G:$G,Support_allowance_Entries!$B:$B,CPY!B481),0)</f>
        <v>0</v>
      </c>
      <c r="M481" s="63" t="b">
        <f>IF($D481="D0",MD!$C$4*(K481),IF($D481="D1",MD!$C$5*(K481),IF($D481="D2",MD!$C$6*(K481),IF($D481="D3",MD!$C$7*(K481),IF($D481="D4",MD!$C$8*(K481),IF($D481="D5",MD!$C$9*(K481),IF($D481="M1",MD!$C$10*(K481),IF($D481="T1",MD!$C$11*(K481)))))))))</f>
        <v>0</v>
      </c>
      <c r="O481" s="65">
        <f>SUMIFS(Shift_allowance_Entries!$G:$G,Shift_allowance_Entries!$F:$F,"6:30AM-03:30PM",Shift_allowance_Entries!$B:$B,CPY!$B481)</f>
        <v>0</v>
      </c>
      <c r="P481" s="65">
        <f>SUMIFS(Shift_allowance_Entries!$G:$G,Shift_allowance_Entries!$F:$F,"1-9PM/2:30PM-11:30PM",Shift_allowance_Entries!$B:$B,CPY!$B481)</f>
        <v>0</v>
      </c>
      <c r="Q481" s="65">
        <f>SUMIFS(Shift_allowance_Entries!$G:$G,Shift_allowance_Entries!$F:$F,"11PM-7AM",Shift_allowance_Entries!$B:$B,CPY!$B481)</f>
        <v>0</v>
      </c>
      <c r="R481" s="63">
        <f>(CPY!O481*MD!$F$4)+(CPY!P481*MD!$F$5)+(CPY!Q481*MD!$F$6)</f>
        <v>0</v>
      </c>
      <c r="T481" s="64">
        <f>ROUNDUP((SUMIFS('OOH Activities'!$K:$K,'OOH Activities'!$F:$F,"Non_workdays",'OOH Activities'!$B:$B,CPY!B481)) *24,1)</f>
        <v>0</v>
      </c>
      <c r="U481" s="64">
        <f>ROUNDUP((SUMIFS('OOH Activities'!$K:$K,'OOH Activities'!$F:$F,"Workdays",'OOH Activities'!$B:$B,CPY!B481)) *24,1)</f>
        <v>0</v>
      </c>
      <c r="V481" s="63">
        <f>ROUNDUP((SUMIFS('OOH Activities'!$L:$L,'OOH Activities'!$B:$B,CPY!B481)),1)</f>
        <v>0</v>
      </c>
      <c r="X481" s="65">
        <f>ROUNDUP((SUMIFS('ON Call_Call Out Activities'!$L:$L,'ON Call_Call Out Activities'!$F:$F,"Workdays",'ON Call_Call Out Activities'!$B:$B,CPY!B481))*24,1)</f>
        <v>0</v>
      </c>
      <c r="Y481" s="64">
        <f>ROUNDUP((SUMIFS('ON Call_Call Out Activities'!$L:$L,'ON Call_Call Out Activities'!$F:$F,"Non_workdays",'ON Call_Call Out Activities'!$B:$B,CPY!B481)) *24,1)</f>
        <v>0</v>
      </c>
      <c r="Z481" s="63">
        <f>ROUNDUP((SUMIFS('ON Call_Call Out Activities'!$M:$M,'ON Call_Call Out Activities'!$F:$F,"Non_workdays",'ON Call_Call Out Activities'!$B:$B,CPY!B481)),1) + ROUNDUP((SUMIFS('ON Call_Call Out Activities'!$M:$M,'ON Call_Call Out Activities'!$F:$F,"Workdays",'ON Call_Call Out Activities'!$B:$B,CPY!B481)),1)</f>
        <v>0</v>
      </c>
      <c r="AA481" s="66"/>
      <c r="AB481" s="64">
        <f>ROUNDUP((SUMIFS('ON Call_Call Out Activities'!$L:$L,'ON Call_Call Out Activities'!$F:$F,"Call_Out",'ON Call_Call Out Activities'!$B:$B,CPY!B481)) *24,1)</f>
        <v>0</v>
      </c>
      <c r="AC481" s="63">
        <f>ROUNDUP((SUMIFS('ON Call_Call Out Activities'!$M:$M,'ON Call_Call Out Activities'!$F:$F,"Call_Out",'ON Call_Call Out Activities'!$B:$B,CPY!B481)),1)</f>
        <v>0</v>
      </c>
      <c r="AE481" s="65">
        <f>IF((SUMIF(Shift_allowance_Entries!$B:$B,CPY!$B481,Shift_allowance_Entries!$H:$H)) &gt; (SUMIF(Shift_allowance_Entries!$B:$B,CPY!$B481,Shift_allowance_Entries!$G:$G)),0,((SUMIF(Shift_allowance_Entries!$B:$B,CPY!$B481,Shift_allowance_Entries!$G:$G))-(SUMIF(Shift_allowance_Entries!$B:$B,CPY!$B481,Shift_allowance_Entries!$H:$H))))</f>
        <v>0</v>
      </c>
      <c r="AF481" s="63">
        <f>AE481*MD!$S$4</f>
        <v>0</v>
      </c>
    </row>
    <row r="482" spans="1:32" x14ac:dyDescent="0.25">
      <c r="A482" s="62">
        <v>480</v>
      </c>
      <c r="B482" s="62"/>
      <c r="C482" s="50" t="str">
        <f>IF(ISNA(VLOOKUP($B482,Summary!$B:$D,2,FALSE))=TRUE," ",VLOOKUP($B482,Summary!$B:$D,2,FALSE))</f>
        <v> </v>
      </c>
      <c r="D482" s="50" t="str">
        <f>IF(ISNA(VLOOKUP($B482,Summary!$B:$D,3,FALSE))=TRUE," ",VLOOKUP($B482,Summary!$B:$D,3,FALSE))</f>
        <v> </v>
      </c>
      <c r="E482" s="62"/>
      <c r="F482" s="62"/>
      <c r="G482" s="62"/>
      <c r="I482" s="63">
        <f t="shared" si="7"/>
        <v>0</v>
      </c>
      <c r="K482" s="64">
        <f>IF(E482="Support(L1_L2)",IF(NOT(ISBLANK(B482)),IF(NOT(ISBLANK(D482)),NETWORKDAYS('CPY TOC'!$F$5,'CPY TOC'!$G$5))))-L482</f>
        <v>0</v>
      </c>
      <c r="L482" s="64">
        <f>IF(E482="Support(L1_L2)",SUMIFS(Support_allowance_Entries!$G:$G,Support_allowance_Entries!$B:$B,CPY!B482),0)</f>
        <v>0</v>
      </c>
      <c r="M482" s="63" t="b">
        <f>IF($D482="D0",MD!$C$4*(K482),IF($D482="D1",MD!$C$5*(K482),IF($D482="D2",MD!$C$6*(K482),IF($D482="D3",MD!$C$7*(K482),IF($D482="D4",MD!$C$8*(K482),IF($D482="D5",MD!$C$9*(K482),IF($D482="M1",MD!$C$10*(K482),IF($D482="T1",MD!$C$11*(K482)))))))))</f>
        <v>0</v>
      </c>
      <c r="O482" s="65">
        <f>SUMIFS(Shift_allowance_Entries!$G:$G,Shift_allowance_Entries!$F:$F,"6:30AM-03:30PM",Shift_allowance_Entries!$B:$B,CPY!$B482)</f>
        <v>0</v>
      </c>
      <c r="P482" s="65">
        <f>SUMIFS(Shift_allowance_Entries!$G:$G,Shift_allowance_Entries!$F:$F,"1-9PM/2:30PM-11:30PM",Shift_allowance_Entries!$B:$B,CPY!$B482)</f>
        <v>0</v>
      </c>
      <c r="Q482" s="65">
        <f>SUMIFS(Shift_allowance_Entries!$G:$G,Shift_allowance_Entries!$F:$F,"11PM-7AM",Shift_allowance_Entries!$B:$B,CPY!$B482)</f>
        <v>0</v>
      </c>
      <c r="R482" s="63">
        <f>(CPY!O482*MD!$F$4)+(CPY!P482*MD!$F$5)+(CPY!Q482*MD!$F$6)</f>
        <v>0</v>
      </c>
      <c r="T482" s="64">
        <f>ROUNDUP((SUMIFS('OOH Activities'!$K:$K,'OOH Activities'!$F:$F,"Non_workdays",'OOH Activities'!$B:$B,CPY!B482)) *24,1)</f>
        <v>0</v>
      </c>
      <c r="U482" s="64">
        <f>ROUNDUP((SUMIFS('OOH Activities'!$K:$K,'OOH Activities'!$F:$F,"Workdays",'OOH Activities'!$B:$B,CPY!B482)) *24,1)</f>
        <v>0</v>
      </c>
      <c r="V482" s="63">
        <f>ROUNDUP((SUMIFS('OOH Activities'!$L:$L,'OOH Activities'!$B:$B,CPY!B482)),1)</f>
        <v>0</v>
      </c>
      <c r="X482" s="65">
        <f>ROUNDUP((SUMIFS('ON Call_Call Out Activities'!$L:$L,'ON Call_Call Out Activities'!$F:$F,"Workdays",'ON Call_Call Out Activities'!$B:$B,CPY!B482))*24,1)</f>
        <v>0</v>
      </c>
      <c r="Y482" s="64">
        <f>ROUNDUP((SUMIFS('ON Call_Call Out Activities'!$L:$L,'ON Call_Call Out Activities'!$F:$F,"Non_workdays",'ON Call_Call Out Activities'!$B:$B,CPY!B482)) *24,1)</f>
        <v>0</v>
      </c>
      <c r="Z482" s="63">
        <f>ROUNDUP((SUMIFS('ON Call_Call Out Activities'!$M:$M,'ON Call_Call Out Activities'!$F:$F,"Non_workdays",'ON Call_Call Out Activities'!$B:$B,CPY!B482)),1) + ROUNDUP((SUMIFS('ON Call_Call Out Activities'!$M:$M,'ON Call_Call Out Activities'!$F:$F,"Workdays",'ON Call_Call Out Activities'!$B:$B,CPY!B482)),1)</f>
        <v>0</v>
      </c>
      <c r="AA482" s="66"/>
      <c r="AB482" s="64">
        <f>ROUNDUP((SUMIFS('ON Call_Call Out Activities'!$L:$L,'ON Call_Call Out Activities'!$F:$F,"Call_Out",'ON Call_Call Out Activities'!$B:$B,CPY!B482)) *24,1)</f>
        <v>0</v>
      </c>
      <c r="AC482" s="63">
        <f>ROUNDUP((SUMIFS('ON Call_Call Out Activities'!$M:$M,'ON Call_Call Out Activities'!$F:$F,"Call_Out",'ON Call_Call Out Activities'!$B:$B,CPY!B482)),1)</f>
        <v>0</v>
      </c>
      <c r="AE482" s="65">
        <f>IF((SUMIF(Shift_allowance_Entries!$B:$B,CPY!$B482,Shift_allowance_Entries!$H:$H)) &gt; (SUMIF(Shift_allowance_Entries!$B:$B,CPY!$B482,Shift_allowance_Entries!$G:$G)),0,((SUMIF(Shift_allowance_Entries!$B:$B,CPY!$B482,Shift_allowance_Entries!$G:$G))-(SUMIF(Shift_allowance_Entries!$B:$B,CPY!$B482,Shift_allowance_Entries!$H:$H))))</f>
        <v>0</v>
      </c>
      <c r="AF482" s="63">
        <f>AE482*MD!$S$4</f>
        <v>0</v>
      </c>
    </row>
    <row r="483" spans="1:32" x14ac:dyDescent="0.25">
      <c r="A483" s="62">
        <v>481</v>
      </c>
      <c r="B483" s="62"/>
      <c r="C483" s="50" t="str">
        <f>IF(ISNA(VLOOKUP($B483,Summary!$B:$D,2,FALSE))=TRUE," ",VLOOKUP($B483,Summary!$B:$D,2,FALSE))</f>
        <v> </v>
      </c>
      <c r="D483" s="50" t="str">
        <f>IF(ISNA(VLOOKUP($B483,Summary!$B:$D,3,FALSE))=TRUE," ",VLOOKUP($B483,Summary!$B:$D,3,FALSE))</f>
        <v> </v>
      </c>
      <c r="E483" s="62"/>
      <c r="F483" s="62"/>
      <c r="G483" s="62"/>
      <c r="I483" s="63">
        <f t="shared" si="7"/>
        <v>0</v>
      </c>
      <c r="K483" s="64">
        <f>IF(E483="Support(L1_L2)",IF(NOT(ISBLANK(B483)),IF(NOT(ISBLANK(D483)),NETWORKDAYS('CPY TOC'!$F$5,'CPY TOC'!$G$5))))-L483</f>
        <v>0</v>
      </c>
      <c r="L483" s="64">
        <f>IF(E483="Support(L1_L2)",SUMIFS(Support_allowance_Entries!$G:$G,Support_allowance_Entries!$B:$B,CPY!B483),0)</f>
        <v>0</v>
      </c>
      <c r="M483" s="63" t="b">
        <f>IF($D483="D0",MD!$C$4*(K483),IF($D483="D1",MD!$C$5*(K483),IF($D483="D2",MD!$C$6*(K483),IF($D483="D3",MD!$C$7*(K483),IF($D483="D4",MD!$C$8*(K483),IF($D483="D5",MD!$C$9*(K483),IF($D483="M1",MD!$C$10*(K483),IF($D483="T1",MD!$C$11*(K483)))))))))</f>
        <v>0</v>
      </c>
      <c r="O483" s="65">
        <f>SUMIFS(Shift_allowance_Entries!$G:$G,Shift_allowance_Entries!$F:$F,"6:30AM-03:30PM",Shift_allowance_Entries!$B:$B,CPY!$B483)</f>
        <v>0</v>
      </c>
      <c r="P483" s="65">
        <f>SUMIFS(Shift_allowance_Entries!$G:$G,Shift_allowance_Entries!$F:$F,"1-9PM/2:30PM-11:30PM",Shift_allowance_Entries!$B:$B,CPY!$B483)</f>
        <v>0</v>
      </c>
      <c r="Q483" s="65">
        <f>SUMIFS(Shift_allowance_Entries!$G:$G,Shift_allowance_Entries!$F:$F,"11PM-7AM",Shift_allowance_Entries!$B:$B,CPY!$B483)</f>
        <v>0</v>
      </c>
      <c r="R483" s="63">
        <f>(CPY!O483*MD!$F$4)+(CPY!P483*MD!$F$5)+(CPY!Q483*MD!$F$6)</f>
        <v>0</v>
      </c>
      <c r="T483" s="64">
        <f>ROUNDUP((SUMIFS('OOH Activities'!$K:$K,'OOH Activities'!$F:$F,"Non_workdays",'OOH Activities'!$B:$B,CPY!B483)) *24,1)</f>
        <v>0</v>
      </c>
      <c r="U483" s="64">
        <f>ROUNDUP((SUMIFS('OOH Activities'!$K:$K,'OOH Activities'!$F:$F,"Workdays",'OOH Activities'!$B:$B,CPY!B483)) *24,1)</f>
        <v>0</v>
      </c>
      <c r="V483" s="63">
        <f>ROUNDUP((SUMIFS('OOH Activities'!$L:$L,'OOH Activities'!$B:$B,CPY!B483)),1)</f>
        <v>0</v>
      </c>
      <c r="X483" s="65">
        <f>ROUNDUP((SUMIFS('ON Call_Call Out Activities'!$L:$L,'ON Call_Call Out Activities'!$F:$F,"Workdays",'ON Call_Call Out Activities'!$B:$B,CPY!B483))*24,1)</f>
        <v>0</v>
      </c>
      <c r="Y483" s="64">
        <f>ROUNDUP((SUMIFS('ON Call_Call Out Activities'!$L:$L,'ON Call_Call Out Activities'!$F:$F,"Non_workdays",'ON Call_Call Out Activities'!$B:$B,CPY!B483)) *24,1)</f>
        <v>0</v>
      </c>
      <c r="Z483" s="63">
        <f>ROUNDUP((SUMIFS('ON Call_Call Out Activities'!$M:$M,'ON Call_Call Out Activities'!$F:$F,"Non_workdays",'ON Call_Call Out Activities'!$B:$B,CPY!B483)),1) + ROUNDUP((SUMIFS('ON Call_Call Out Activities'!$M:$M,'ON Call_Call Out Activities'!$F:$F,"Workdays",'ON Call_Call Out Activities'!$B:$B,CPY!B483)),1)</f>
        <v>0</v>
      </c>
      <c r="AA483" s="66"/>
      <c r="AB483" s="64">
        <f>ROUNDUP((SUMIFS('ON Call_Call Out Activities'!$L:$L,'ON Call_Call Out Activities'!$F:$F,"Call_Out",'ON Call_Call Out Activities'!$B:$B,CPY!B483)) *24,1)</f>
        <v>0</v>
      </c>
      <c r="AC483" s="63">
        <f>ROUNDUP((SUMIFS('ON Call_Call Out Activities'!$M:$M,'ON Call_Call Out Activities'!$F:$F,"Call_Out",'ON Call_Call Out Activities'!$B:$B,CPY!B483)),1)</f>
        <v>0</v>
      </c>
      <c r="AE483" s="65">
        <f>IF((SUMIF(Shift_allowance_Entries!$B:$B,CPY!$B483,Shift_allowance_Entries!$H:$H)) &gt; (SUMIF(Shift_allowance_Entries!$B:$B,CPY!$B483,Shift_allowance_Entries!$G:$G)),0,((SUMIF(Shift_allowance_Entries!$B:$B,CPY!$B483,Shift_allowance_Entries!$G:$G))-(SUMIF(Shift_allowance_Entries!$B:$B,CPY!$B483,Shift_allowance_Entries!$H:$H))))</f>
        <v>0</v>
      </c>
      <c r="AF483" s="63">
        <f>AE483*MD!$S$4</f>
        <v>0</v>
      </c>
    </row>
    <row r="484" spans="1:32" x14ac:dyDescent="0.25">
      <c r="A484" s="62">
        <v>482</v>
      </c>
      <c r="B484" s="62"/>
      <c r="C484" s="50" t="str">
        <f>IF(ISNA(VLOOKUP($B484,Summary!$B:$D,2,FALSE))=TRUE," ",VLOOKUP($B484,Summary!$B:$D,2,FALSE))</f>
        <v> </v>
      </c>
      <c r="D484" s="50" t="str">
        <f>IF(ISNA(VLOOKUP($B484,Summary!$B:$D,3,FALSE))=TRUE," ",VLOOKUP($B484,Summary!$B:$D,3,FALSE))</f>
        <v> </v>
      </c>
      <c r="E484" s="62"/>
      <c r="F484" s="62"/>
      <c r="G484" s="62"/>
      <c r="I484" s="63">
        <f t="shared" si="7"/>
        <v>0</v>
      </c>
      <c r="K484" s="64">
        <f>IF(E484="Support(L1_L2)",IF(NOT(ISBLANK(B484)),IF(NOT(ISBLANK(D484)),NETWORKDAYS('CPY TOC'!$F$5,'CPY TOC'!$G$5))))-L484</f>
        <v>0</v>
      </c>
      <c r="L484" s="64">
        <f>IF(E484="Support(L1_L2)",SUMIFS(Support_allowance_Entries!$G:$G,Support_allowance_Entries!$B:$B,CPY!B484),0)</f>
        <v>0</v>
      </c>
      <c r="M484" s="63" t="b">
        <f>IF($D484="D0",MD!$C$4*(K484),IF($D484="D1",MD!$C$5*(K484),IF($D484="D2",MD!$C$6*(K484),IF($D484="D3",MD!$C$7*(K484),IF($D484="D4",MD!$C$8*(K484),IF($D484="D5",MD!$C$9*(K484),IF($D484="M1",MD!$C$10*(K484),IF($D484="T1",MD!$C$11*(K484)))))))))</f>
        <v>0</v>
      </c>
      <c r="O484" s="65">
        <f>SUMIFS(Shift_allowance_Entries!$G:$G,Shift_allowance_Entries!$F:$F,"6:30AM-03:30PM",Shift_allowance_Entries!$B:$B,CPY!$B484)</f>
        <v>0</v>
      </c>
      <c r="P484" s="65">
        <f>SUMIFS(Shift_allowance_Entries!$G:$G,Shift_allowance_Entries!$F:$F,"1-9PM/2:30PM-11:30PM",Shift_allowance_Entries!$B:$B,CPY!$B484)</f>
        <v>0</v>
      </c>
      <c r="Q484" s="65">
        <f>SUMIFS(Shift_allowance_Entries!$G:$G,Shift_allowance_Entries!$F:$F,"11PM-7AM",Shift_allowance_Entries!$B:$B,CPY!$B484)</f>
        <v>0</v>
      </c>
      <c r="R484" s="63">
        <f>(CPY!O484*MD!$F$4)+(CPY!P484*MD!$F$5)+(CPY!Q484*MD!$F$6)</f>
        <v>0</v>
      </c>
      <c r="T484" s="64">
        <f>ROUNDUP((SUMIFS('OOH Activities'!$K:$K,'OOH Activities'!$F:$F,"Non_workdays",'OOH Activities'!$B:$B,CPY!B484)) *24,1)</f>
        <v>0</v>
      </c>
      <c r="U484" s="64">
        <f>ROUNDUP((SUMIFS('OOH Activities'!$K:$K,'OOH Activities'!$F:$F,"Workdays",'OOH Activities'!$B:$B,CPY!B484)) *24,1)</f>
        <v>0</v>
      </c>
      <c r="V484" s="63">
        <f>ROUNDUP((SUMIFS('OOH Activities'!$L:$L,'OOH Activities'!$B:$B,CPY!B484)),1)</f>
        <v>0</v>
      </c>
      <c r="X484" s="65">
        <f>ROUNDUP((SUMIFS('ON Call_Call Out Activities'!$L:$L,'ON Call_Call Out Activities'!$F:$F,"Workdays",'ON Call_Call Out Activities'!$B:$B,CPY!B484))*24,1)</f>
        <v>0</v>
      </c>
      <c r="Y484" s="64">
        <f>ROUNDUP((SUMIFS('ON Call_Call Out Activities'!$L:$L,'ON Call_Call Out Activities'!$F:$F,"Non_workdays",'ON Call_Call Out Activities'!$B:$B,CPY!B484)) *24,1)</f>
        <v>0</v>
      </c>
      <c r="Z484" s="63">
        <f>ROUNDUP((SUMIFS('ON Call_Call Out Activities'!$M:$M,'ON Call_Call Out Activities'!$F:$F,"Non_workdays",'ON Call_Call Out Activities'!$B:$B,CPY!B484)),1) + ROUNDUP((SUMIFS('ON Call_Call Out Activities'!$M:$M,'ON Call_Call Out Activities'!$F:$F,"Workdays",'ON Call_Call Out Activities'!$B:$B,CPY!B484)),1)</f>
        <v>0</v>
      </c>
      <c r="AA484" s="66"/>
      <c r="AB484" s="64">
        <f>ROUNDUP((SUMIFS('ON Call_Call Out Activities'!$L:$L,'ON Call_Call Out Activities'!$F:$F,"Call_Out",'ON Call_Call Out Activities'!$B:$B,CPY!B484)) *24,1)</f>
        <v>0</v>
      </c>
      <c r="AC484" s="63">
        <f>ROUNDUP((SUMIFS('ON Call_Call Out Activities'!$M:$M,'ON Call_Call Out Activities'!$F:$F,"Call_Out",'ON Call_Call Out Activities'!$B:$B,CPY!B484)),1)</f>
        <v>0</v>
      </c>
      <c r="AE484" s="65">
        <f>IF((SUMIF(Shift_allowance_Entries!$B:$B,CPY!$B484,Shift_allowance_Entries!$H:$H)) &gt; (SUMIF(Shift_allowance_Entries!$B:$B,CPY!$B484,Shift_allowance_Entries!$G:$G)),0,((SUMIF(Shift_allowance_Entries!$B:$B,CPY!$B484,Shift_allowance_Entries!$G:$G))-(SUMIF(Shift_allowance_Entries!$B:$B,CPY!$B484,Shift_allowance_Entries!$H:$H))))</f>
        <v>0</v>
      </c>
      <c r="AF484" s="63">
        <f>AE484*MD!$S$4</f>
        <v>0</v>
      </c>
    </row>
    <row r="485" spans="1:32" x14ac:dyDescent="0.25">
      <c r="A485" s="62">
        <v>483</v>
      </c>
      <c r="B485" s="62"/>
      <c r="C485" s="50" t="str">
        <f>IF(ISNA(VLOOKUP($B485,Summary!$B:$D,2,FALSE))=TRUE," ",VLOOKUP($B485,Summary!$B:$D,2,FALSE))</f>
        <v> </v>
      </c>
      <c r="D485" s="50" t="str">
        <f>IF(ISNA(VLOOKUP($B485,Summary!$B:$D,3,FALSE))=TRUE," ",VLOOKUP($B485,Summary!$B:$D,3,FALSE))</f>
        <v> </v>
      </c>
      <c r="E485" s="62"/>
      <c r="F485" s="62"/>
      <c r="G485" s="62"/>
      <c r="I485" s="63">
        <f t="shared" si="7"/>
        <v>0</v>
      </c>
      <c r="K485" s="64">
        <f>IF(E485="Support(L1_L2)",IF(NOT(ISBLANK(B485)),IF(NOT(ISBLANK(D485)),NETWORKDAYS('CPY TOC'!$F$5,'CPY TOC'!$G$5))))-L485</f>
        <v>0</v>
      </c>
      <c r="L485" s="64">
        <f>IF(E485="Support(L1_L2)",SUMIFS(Support_allowance_Entries!$G:$G,Support_allowance_Entries!$B:$B,CPY!B485),0)</f>
        <v>0</v>
      </c>
      <c r="M485" s="63" t="b">
        <f>IF($D485="D0",MD!$C$4*(K485),IF($D485="D1",MD!$C$5*(K485),IF($D485="D2",MD!$C$6*(K485),IF($D485="D3",MD!$C$7*(K485),IF($D485="D4",MD!$C$8*(K485),IF($D485="D5",MD!$C$9*(K485),IF($D485="M1",MD!$C$10*(K485),IF($D485="T1",MD!$C$11*(K485)))))))))</f>
        <v>0</v>
      </c>
      <c r="O485" s="65">
        <f>SUMIFS(Shift_allowance_Entries!$G:$G,Shift_allowance_Entries!$F:$F,"6:30AM-03:30PM",Shift_allowance_Entries!$B:$B,CPY!$B485)</f>
        <v>0</v>
      </c>
      <c r="P485" s="65">
        <f>SUMIFS(Shift_allowance_Entries!$G:$G,Shift_allowance_Entries!$F:$F,"1-9PM/2:30PM-11:30PM",Shift_allowance_Entries!$B:$B,CPY!$B485)</f>
        <v>0</v>
      </c>
      <c r="Q485" s="65">
        <f>SUMIFS(Shift_allowance_Entries!$G:$G,Shift_allowance_Entries!$F:$F,"11PM-7AM",Shift_allowance_Entries!$B:$B,CPY!$B485)</f>
        <v>0</v>
      </c>
      <c r="R485" s="63">
        <f>(CPY!O485*MD!$F$4)+(CPY!P485*MD!$F$5)+(CPY!Q485*MD!$F$6)</f>
        <v>0</v>
      </c>
      <c r="T485" s="64">
        <f>ROUNDUP((SUMIFS('OOH Activities'!$K:$K,'OOH Activities'!$F:$F,"Non_workdays",'OOH Activities'!$B:$B,CPY!B485)) *24,1)</f>
        <v>0</v>
      </c>
      <c r="U485" s="64">
        <f>ROUNDUP((SUMIFS('OOH Activities'!$K:$K,'OOH Activities'!$F:$F,"Workdays",'OOH Activities'!$B:$B,CPY!B485)) *24,1)</f>
        <v>0</v>
      </c>
      <c r="V485" s="63">
        <f>ROUNDUP((SUMIFS('OOH Activities'!$L:$L,'OOH Activities'!$B:$B,CPY!B485)),1)</f>
        <v>0</v>
      </c>
      <c r="X485" s="65">
        <f>ROUNDUP((SUMIFS('ON Call_Call Out Activities'!$L:$L,'ON Call_Call Out Activities'!$F:$F,"Workdays",'ON Call_Call Out Activities'!$B:$B,CPY!B485))*24,1)</f>
        <v>0</v>
      </c>
      <c r="Y485" s="64">
        <f>ROUNDUP((SUMIFS('ON Call_Call Out Activities'!$L:$L,'ON Call_Call Out Activities'!$F:$F,"Non_workdays",'ON Call_Call Out Activities'!$B:$B,CPY!B485)) *24,1)</f>
        <v>0</v>
      </c>
      <c r="Z485" s="63">
        <f>ROUNDUP((SUMIFS('ON Call_Call Out Activities'!$M:$M,'ON Call_Call Out Activities'!$F:$F,"Non_workdays",'ON Call_Call Out Activities'!$B:$B,CPY!B485)),1) + ROUNDUP((SUMIFS('ON Call_Call Out Activities'!$M:$M,'ON Call_Call Out Activities'!$F:$F,"Workdays",'ON Call_Call Out Activities'!$B:$B,CPY!B485)),1)</f>
        <v>0</v>
      </c>
      <c r="AA485" s="66"/>
      <c r="AB485" s="64">
        <f>ROUNDUP((SUMIFS('ON Call_Call Out Activities'!$L:$L,'ON Call_Call Out Activities'!$F:$F,"Call_Out",'ON Call_Call Out Activities'!$B:$B,CPY!B485)) *24,1)</f>
        <v>0</v>
      </c>
      <c r="AC485" s="63">
        <f>ROUNDUP((SUMIFS('ON Call_Call Out Activities'!$M:$M,'ON Call_Call Out Activities'!$F:$F,"Call_Out",'ON Call_Call Out Activities'!$B:$B,CPY!B485)),1)</f>
        <v>0</v>
      </c>
      <c r="AE485" s="65">
        <f>IF((SUMIF(Shift_allowance_Entries!$B:$B,CPY!$B485,Shift_allowance_Entries!$H:$H)) &gt; (SUMIF(Shift_allowance_Entries!$B:$B,CPY!$B485,Shift_allowance_Entries!$G:$G)),0,((SUMIF(Shift_allowance_Entries!$B:$B,CPY!$B485,Shift_allowance_Entries!$G:$G))-(SUMIF(Shift_allowance_Entries!$B:$B,CPY!$B485,Shift_allowance_Entries!$H:$H))))</f>
        <v>0</v>
      </c>
      <c r="AF485" s="63">
        <f>AE485*MD!$S$4</f>
        <v>0</v>
      </c>
    </row>
    <row r="486" spans="1:32" x14ac:dyDescent="0.25">
      <c r="A486" s="62">
        <v>484</v>
      </c>
      <c r="B486" s="62"/>
      <c r="C486" s="50" t="str">
        <f>IF(ISNA(VLOOKUP($B486,Summary!$B:$D,2,FALSE))=TRUE," ",VLOOKUP($B486,Summary!$B:$D,2,FALSE))</f>
        <v> </v>
      </c>
      <c r="D486" s="50" t="str">
        <f>IF(ISNA(VLOOKUP($B486,Summary!$B:$D,3,FALSE))=TRUE," ",VLOOKUP($B486,Summary!$B:$D,3,FALSE))</f>
        <v> </v>
      </c>
      <c r="E486" s="62"/>
      <c r="F486" s="62"/>
      <c r="G486" s="62"/>
      <c r="I486" s="63">
        <f t="shared" si="7"/>
        <v>0</v>
      </c>
      <c r="K486" s="64">
        <f>IF(E486="Support(L1_L2)",IF(NOT(ISBLANK(B486)),IF(NOT(ISBLANK(D486)),NETWORKDAYS('CPY TOC'!$F$5,'CPY TOC'!$G$5))))-L486</f>
        <v>0</v>
      </c>
      <c r="L486" s="64">
        <f>IF(E486="Support(L1_L2)",SUMIFS(Support_allowance_Entries!$G:$G,Support_allowance_Entries!$B:$B,CPY!B486),0)</f>
        <v>0</v>
      </c>
      <c r="M486" s="63" t="b">
        <f>IF($D486="D0",MD!$C$4*(K486),IF($D486="D1",MD!$C$5*(K486),IF($D486="D2",MD!$C$6*(K486),IF($D486="D3",MD!$C$7*(K486),IF($D486="D4",MD!$C$8*(K486),IF($D486="D5",MD!$C$9*(K486),IF($D486="M1",MD!$C$10*(K486),IF($D486="T1",MD!$C$11*(K486)))))))))</f>
        <v>0</v>
      </c>
      <c r="O486" s="65">
        <f>SUMIFS(Shift_allowance_Entries!$G:$G,Shift_allowance_Entries!$F:$F,"6:30AM-03:30PM",Shift_allowance_Entries!$B:$B,CPY!$B486)</f>
        <v>0</v>
      </c>
      <c r="P486" s="65">
        <f>SUMIFS(Shift_allowance_Entries!$G:$G,Shift_allowance_Entries!$F:$F,"1-9PM/2:30PM-11:30PM",Shift_allowance_Entries!$B:$B,CPY!$B486)</f>
        <v>0</v>
      </c>
      <c r="Q486" s="65">
        <f>SUMIFS(Shift_allowance_Entries!$G:$G,Shift_allowance_Entries!$F:$F,"11PM-7AM",Shift_allowance_Entries!$B:$B,CPY!$B486)</f>
        <v>0</v>
      </c>
      <c r="R486" s="63">
        <f>(CPY!O486*MD!$F$4)+(CPY!P486*MD!$F$5)+(CPY!Q486*MD!$F$6)</f>
        <v>0</v>
      </c>
      <c r="T486" s="64">
        <f>ROUNDUP((SUMIFS('OOH Activities'!$K:$K,'OOH Activities'!$F:$F,"Non_workdays",'OOH Activities'!$B:$B,CPY!B486)) *24,1)</f>
        <v>0</v>
      </c>
      <c r="U486" s="64">
        <f>ROUNDUP((SUMIFS('OOH Activities'!$K:$K,'OOH Activities'!$F:$F,"Workdays",'OOH Activities'!$B:$B,CPY!B486)) *24,1)</f>
        <v>0</v>
      </c>
      <c r="V486" s="63">
        <f>ROUNDUP((SUMIFS('OOH Activities'!$L:$L,'OOH Activities'!$B:$B,CPY!B486)),1)</f>
        <v>0</v>
      </c>
      <c r="X486" s="65">
        <f>ROUNDUP((SUMIFS('ON Call_Call Out Activities'!$L:$L,'ON Call_Call Out Activities'!$F:$F,"Workdays",'ON Call_Call Out Activities'!$B:$B,CPY!B486))*24,1)</f>
        <v>0</v>
      </c>
      <c r="Y486" s="64">
        <f>ROUNDUP((SUMIFS('ON Call_Call Out Activities'!$L:$L,'ON Call_Call Out Activities'!$F:$F,"Non_workdays",'ON Call_Call Out Activities'!$B:$B,CPY!B486)) *24,1)</f>
        <v>0</v>
      </c>
      <c r="Z486" s="63">
        <f>ROUNDUP((SUMIFS('ON Call_Call Out Activities'!$M:$M,'ON Call_Call Out Activities'!$F:$F,"Non_workdays",'ON Call_Call Out Activities'!$B:$B,CPY!B486)),1) + ROUNDUP((SUMIFS('ON Call_Call Out Activities'!$M:$M,'ON Call_Call Out Activities'!$F:$F,"Workdays",'ON Call_Call Out Activities'!$B:$B,CPY!B486)),1)</f>
        <v>0</v>
      </c>
      <c r="AA486" s="66"/>
      <c r="AB486" s="64">
        <f>ROUNDUP((SUMIFS('ON Call_Call Out Activities'!$L:$L,'ON Call_Call Out Activities'!$F:$F,"Call_Out",'ON Call_Call Out Activities'!$B:$B,CPY!B486)) *24,1)</f>
        <v>0</v>
      </c>
      <c r="AC486" s="63">
        <f>ROUNDUP((SUMIFS('ON Call_Call Out Activities'!$M:$M,'ON Call_Call Out Activities'!$F:$F,"Call_Out",'ON Call_Call Out Activities'!$B:$B,CPY!B486)),1)</f>
        <v>0</v>
      </c>
      <c r="AE486" s="65">
        <f>IF((SUMIF(Shift_allowance_Entries!$B:$B,CPY!$B486,Shift_allowance_Entries!$H:$H)) &gt; (SUMIF(Shift_allowance_Entries!$B:$B,CPY!$B486,Shift_allowance_Entries!$G:$G)),0,((SUMIF(Shift_allowance_Entries!$B:$B,CPY!$B486,Shift_allowance_Entries!$G:$G))-(SUMIF(Shift_allowance_Entries!$B:$B,CPY!$B486,Shift_allowance_Entries!$H:$H))))</f>
        <v>0</v>
      </c>
      <c r="AF486" s="63">
        <f>AE486*MD!$S$4</f>
        <v>0</v>
      </c>
    </row>
    <row r="487" spans="1:32" x14ac:dyDescent="0.25">
      <c r="A487" s="62">
        <v>485</v>
      </c>
      <c r="B487" s="62"/>
      <c r="C487" s="50" t="str">
        <f>IF(ISNA(VLOOKUP($B487,Summary!$B:$D,2,FALSE))=TRUE," ",VLOOKUP($B487,Summary!$B:$D,2,FALSE))</f>
        <v> </v>
      </c>
      <c r="D487" s="50" t="str">
        <f>IF(ISNA(VLOOKUP($B487,Summary!$B:$D,3,FALSE))=TRUE," ",VLOOKUP($B487,Summary!$B:$D,3,FALSE))</f>
        <v> </v>
      </c>
      <c r="E487" s="62"/>
      <c r="F487" s="62"/>
      <c r="G487" s="62"/>
      <c r="I487" s="63">
        <f t="shared" si="7"/>
        <v>0</v>
      </c>
      <c r="K487" s="64">
        <f>IF(E487="Support(L1_L2)",IF(NOT(ISBLANK(B487)),IF(NOT(ISBLANK(D487)),NETWORKDAYS('CPY TOC'!$F$5,'CPY TOC'!$G$5))))-L487</f>
        <v>0</v>
      </c>
      <c r="L487" s="64">
        <f>IF(E487="Support(L1_L2)",SUMIFS(Support_allowance_Entries!$G:$G,Support_allowance_Entries!$B:$B,CPY!B487),0)</f>
        <v>0</v>
      </c>
      <c r="M487" s="63" t="b">
        <f>IF($D487="D0",MD!$C$4*(K487),IF($D487="D1",MD!$C$5*(K487),IF($D487="D2",MD!$C$6*(K487),IF($D487="D3",MD!$C$7*(K487),IF($D487="D4",MD!$C$8*(K487),IF($D487="D5",MD!$C$9*(K487),IF($D487="M1",MD!$C$10*(K487),IF($D487="T1",MD!$C$11*(K487)))))))))</f>
        <v>0</v>
      </c>
      <c r="O487" s="65">
        <f>SUMIFS(Shift_allowance_Entries!$G:$G,Shift_allowance_Entries!$F:$F,"6:30AM-03:30PM",Shift_allowance_Entries!$B:$B,CPY!$B487)</f>
        <v>0</v>
      </c>
      <c r="P487" s="65">
        <f>SUMIFS(Shift_allowance_Entries!$G:$G,Shift_allowance_Entries!$F:$F,"1-9PM/2:30PM-11:30PM",Shift_allowance_Entries!$B:$B,CPY!$B487)</f>
        <v>0</v>
      </c>
      <c r="Q487" s="65">
        <f>SUMIFS(Shift_allowance_Entries!$G:$G,Shift_allowance_Entries!$F:$F,"11PM-7AM",Shift_allowance_Entries!$B:$B,CPY!$B487)</f>
        <v>0</v>
      </c>
      <c r="R487" s="63">
        <f>(CPY!O487*MD!$F$4)+(CPY!P487*MD!$F$5)+(CPY!Q487*MD!$F$6)</f>
        <v>0</v>
      </c>
      <c r="T487" s="64">
        <f>ROUNDUP((SUMIFS('OOH Activities'!$K:$K,'OOH Activities'!$F:$F,"Non_workdays",'OOH Activities'!$B:$B,CPY!B487)) *24,1)</f>
        <v>0</v>
      </c>
      <c r="U487" s="64">
        <f>ROUNDUP((SUMIFS('OOH Activities'!$K:$K,'OOH Activities'!$F:$F,"Workdays",'OOH Activities'!$B:$B,CPY!B487)) *24,1)</f>
        <v>0</v>
      </c>
      <c r="V487" s="63">
        <f>ROUNDUP((SUMIFS('OOH Activities'!$L:$L,'OOH Activities'!$B:$B,CPY!B487)),1)</f>
        <v>0</v>
      </c>
      <c r="X487" s="65">
        <f>ROUNDUP((SUMIFS('ON Call_Call Out Activities'!$L:$L,'ON Call_Call Out Activities'!$F:$F,"Workdays",'ON Call_Call Out Activities'!$B:$B,CPY!B487))*24,1)</f>
        <v>0</v>
      </c>
      <c r="Y487" s="64">
        <f>ROUNDUP((SUMIFS('ON Call_Call Out Activities'!$L:$L,'ON Call_Call Out Activities'!$F:$F,"Non_workdays",'ON Call_Call Out Activities'!$B:$B,CPY!B487)) *24,1)</f>
        <v>0</v>
      </c>
      <c r="Z487" s="63">
        <f>ROUNDUP((SUMIFS('ON Call_Call Out Activities'!$M:$M,'ON Call_Call Out Activities'!$F:$F,"Non_workdays",'ON Call_Call Out Activities'!$B:$B,CPY!B487)),1) + ROUNDUP((SUMIFS('ON Call_Call Out Activities'!$M:$M,'ON Call_Call Out Activities'!$F:$F,"Workdays",'ON Call_Call Out Activities'!$B:$B,CPY!B487)),1)</f>
        <v>0</v>
      </c>
      <c r="AA487" s="66"/>
      <c r="AB487" s="64">
        <f>ROUNDUP((SUMIFS('ON Call_Call Out Activities'!$L:$L,'ON Call_Call Out Activities'!$F:$F,"Call_Out",'ON Call_Call Out Activities'!$B:$B,CPY!B487)) *24,1)</f>
        <v>0</v>
      </c>
      <c r="AC487" s="63">
        <f>ROUNDUP((SUMIFS('ON Call_Call Out Activities'!$M:$M,'ON Call_Call Out Activities'!$F:$F,"Call_Out",'ON Call_Call Out Activities'!$B:$B,CPY!B487)),1)</f>
        <v>0</v>
      </c>
      <c r="AE487" s="65">
        <f>IF((SUMIF(Shift_allowance_Entries!$B:$B,CPY!$B487,Shift_allowance_Entries!$H:$H)) &gt; (SUMIF(Shift_allowance_Entries!$B:$B,CPY!$B487,Shift_allowance_Entries!$G:$G)),0,((SUMIF(Shift_allowance_Entries!$B:$B,CPY!$B487,Shift_allowance_Entries!$G:$G))-(SUMIF(Shift_allowance_Entries!$B:$B,CPY!$B487,Shift_allowance_Entries!$H:$H))))</f>
        <v>0</v>
      </c>
      <c r="AF487" s="63">
        <f>AE487*MD!$S$4</f>
        <v>0</v>
      </c>
    </row>
    <row r="488" spans="1:32" x14ac:dyDescent="0.25">
      <c r="A488" s="62">
        <v>486</v>
      </c>
      <c r="B488" s="62"/>
      <c r="C488" s="50" t="str">
        <f>IF(ISNA(VLOOKUP($B488,Summary!$B:$D,2,FALSE))=TRUE," ",VLOOKUP($B488,Summary!$B:$D,2,FALSE))</f>
        <v> </v>
      </c>
      <c r="D488" s="50" t="str">
        <f>IF(ISNA(VLOOKUP($B488,Summary!$B:$D,3,FALSE))=TRUE," ",VLOOKUP($B488,Summary!$B:$D,3,FALSE))</f>
        <v> </v>
      </c>
      <c r="E488" s="62"/>
      <c r="F488" s="62"/>
      <c r="G488" s="62"/>
      <c r="I488" s="63">
        <f t="shared" si="7"/>
        <v>0</v>
      </c>
      <c r="K488" s="64">
        <f>IF(E488="Support(L1_L2)",IF(NOT(ISBLANK(B488)),IF(NOT(ISBLANK(D488)),NETWORKDAYS('CPY TOC'!$F$5,'CPY TOC'!$G$5))))-L488</f>
        <v>0</v>
      </c>
      <c r="L488" s="64">
        <f>IF(E488="Support(L1_L2)",SUMIFS(Support_allowance_Entries!$G:$G,Support_allowance_Entries!$B:$B,CPY!B488),0)</f>
        <v>0</v>
      </c>
      <c r="M488" s="63" t="b">
        <f>IF($D488="D0",MD!$C$4*(K488),IF($D488="D1",MD!$C$5*(K488),IF($D488="D2",MD!$C$6*(K488),IF($D488="D3",MD!$C$7*(K488),IF($D488="D4",MD!$C$8*(K488),IF($D488="D5",MD!$C$9*(K488),IF($D488="M1",MD!$C$10*(K488),IF($D488="T1",MD!$C$11*(K488)))))))))</f>
        <v>0</v>
      </c>
      <c r="O488" s="65">
        <f>SUMIFS(Shift_allowance_Entries!$G:$G,Shift_allowance_Entries!$F:$F,"6:30AM-03:30PM",Shift_allowance_Entries!$B:$B,CPY!$B488)</f>
        <v>0</v>
      </c>
      <c r="P488" s="65">
        <f>SUMIFS(Shift_allowance_Entries!$G:$G,Shift_allowance_Entries!$F:$F,"1-9PM/2:30PM-11:30PM",Shift_allowance_Entries!$B:$B,CPY!$B488)</f>
        <v>0</v>
      </c>
      <c r="Q488" s="65">
        <f>SUMIFS(Shift_allowance_Entries!$G:$G,Shift_allowance_Entries!$F:$F,"11PM-7AM",Shift_allowance_Entries!$B:$B,CPY!$B488)</f>
        <v>0</v>
      </c>
      <c r="R488" s="63">
        <f>(CPY!O488*MD!$F$4)+(CPY!P488*MD!$F$5)+(CPY!Q488*MD!$F$6)</f>
        <v>0</v>
      </c>
      <c r="T488" s="64">
        <f>ROUNDUP((SUMIFS('OOH Activities'!$K:$K,'OOH Activities'!$F:$F,"Non_workdays",'OOH Activities'!$B:$B,CPY!B488)) *24,1)</f>
        <v>0</v>
      </c>
      <c r="U488" s="64">
        <f>ROUNDUP((SUMIFS('OOH Activities'!$K:$K,'OOH Activities'!$F:$F,"Workdays",'OOH Activities'!$B:$B,CPY!B488)) *24,1)</f>
        <v>0</v>
      </c>
      <c r="V488" s="63">
        <f>ROUNDUP((SUMIFS('OOH Activities'!$L:$L,'OOH Activities'!$B:$B,CPY!B488)),1)</f>
        <v>0</v>
      </c>
      <c r="X488" s="65">
        <f>ROUNDUP((SUMIFS('ON Call_Call Out Activities'!$L:$L,'ON Call_Call Out Activities'!$F:$F,"Workdays",'ON Call_Call Out Activities'!$B:$B,CPY!B488))*24,1)</f>
        <v>0</v>
      </c>
      <c r="Y488" s="64">
        <f>ROUNDUP((SUMIFS('ON Call_Call Out Activities'!$L:$L,'ON Call_Call Out Activities'!$F:$F,"Non_workdays",'ON Call_Call Out Activities'!$B:$B,CPY!B488)) *24,1)</f>
        <v>0</v>
      </c>
      <c r="Z488" s="63">
        <f>ROUNDUP((SUMIFS('ON Call_Call Out Activities'!$M:$M,'ON Call_Call Out Activities'!$F:$F,"Non_workdays",'ON Call_Call Out Activities'!$B:$B,CPY!B488)),1) + ROUNDUP((SUMIFS('ON Call_Call Out Activities'!$M:$M,'ON Call_Call Out Activities'!$F:$F,"Workdays",'ON Call_Call Out Activities'!$B:$B,CPY!B488)),1)</f>
        <v>0</v>
      </c>
      <c r="AA488" s="66"/>
      <c r="AB488" s="64">
        <f>ROUNDUP((SUMIFS('ON Call_Call Out Activities'!$L:$L,'ON Call_Call Out Activities'!$F:$F,"Call_Out",'ON Call_Call Out Activities'!$B:$B,CPY!B488)) *24,1)</f>
        <v>0</v>
      </c>
      <c r="AC488" s="63">
        <f>ROUNDUP((SUMIFS('ON Call_Call Out Activities'!$M:$M,'ON Call_Call Out Activities'!$F:$F,"Call_Out",'ON Call_Call Out Activities'!$B:$B,CPY!B488)),1)</f>
        <v>0</v>
      </c>
      <c r="AE488" s="65">
        <f>IF((SUMIF(Shift_allowance_Entries!$B:$B,CPY!$B488,Shift_allowance_Entries!$H:$H)) &gt; (SUMIF(Shift_allowance_Entries!$B:$B,CPY!$B488,Shift_allowance_Entries!$G:$G)),0,((SUMIF(Shift_allowance_Entries!$B:$B,CPY!$B488,Shift_allowance_Entries!$G:$G))-(SUMIF(Shift_allowance_Entries!$B:$B,CPY!$B488,Shift_allowance_Entries!$H:$H))))</f>
        <v>0</v>
      </c>
      <c r="AF488" s="63">
        <f>AE488*MD!$S$4</f>
        <v>0</v>
      </c>
    </row>
    <row r="489" spans="1:32" x14ac:dyDescent="0.25">
      <c r="A489" s="62">
        <v>487</v>
      </c>
      <c r="B489" s="62"/>
      <c r="C489" s="50" t="str">
        <f>IF(ISNA(VLOOKUP($B489,Summary!$B:$D,2,FALSE))=TRUE," ",VLOOKUP($B489,Summary!$B:$D,2,FALSE))</f>
        <v> </v>
      </c>
      <c r="D489" s="50" t="str">
        <f>IF(ISNA(VLOOKUP($B489,Summary!$B:$D,3,FALSE))=TRUE," ",VLOOKUP($B489,Summary!$B:$D,3,FALSE))</f>
        <v> </v>
      </c>
      <c r="E489" s="62"/>
      <c r="F489" s="62"/>
      <c r="G489" s="62"/>
      <c r="I489" s="63">
        <f t="shared" si="7"/>
        <v>0</v>
      </c>
      <c r="K489" s="64">
        <f>IF(E489="Support(L1_L2)",IF(NOT(ISBLANK(B489)),IF(NOT(ISBLANK(D489)),NETWORKDAYS('CPY TOC'!$F$5,'CPY TOC'!$G$5))))-L489</f>
        <v>0</v>
      </c>
      <c r="L489" s="64">
        <f>IF(E489="Support(L1_L2)",SUMIFS(Support_allowance_Entries!$G:$G,Support_allowance_Entries!$B:$B,CPY!B489),0)</f>
        <v>0</v>
      </c>
      <c r="M489" s="63" t="b">
        <f>IF($D489="D0",MD!$C$4*(K489),IF($D489="D1",MD!$C$5*(K489),IF($D489="D2",MD!$C$6*(K489),IF($D489="D3",MD!$C$7*(K489),IF($D489="D4",MD!$C$8*(K489),IF($D489="D5",MD!$C$9*(K489),IF($D489="M1",MD!$C$10*(K489),IF($D489="T1",MD!$C$11*(K489)))))))))</f>
        <v>0</v>
      </c>
      <c r="O489" s="65">
        <f>SUMIFS(Shift_allowance_Entries!$G:$G,Shift_allowance_Entries!$F:$F,"6:30AM-03:30PM",Shift_allowance_Entries!$B:$B,CPY!$B489)</f>
        <v>0</v>
      </c>
      <c r="P489" s="65">
        <f>SUMIFS(Shift_allowance_Entries!$G:$G,Shift_allowance_Entries!$F:$F,"1-9PM/2:30PM-11:30PM",Shift_allowance_Entries!$B:$B,CPY!$B489)</f>
        <v>0</v>
      </c>
      <c r="Q489" s="65">
        <f>SUMIFS(Shift_allowance_Entries!$G:$G,Shift_allowance_Entries!$F:$F,"11PM-7AM",Shift_allowance_Entries!$B:$B,CPY!$B489)</f>
        <v>0</v>
      </c>
      <c r="R489" s="63">
        <f>(CPY!O489*MD!$F$4)+(CPY!P489*MD!$F$5)+(CPY!Q489*MD!$F$6)</f>
        <v>0</v>
      </c>
      <c r="T489" s="64">
        <f>ROUNDUP((SUMIFS('OOH Activities'!$K:$K,'OOH Activities'!$F:$F,"Non_workdays",'OOH Activities'!$B:$B,CPY!B489)) *24,1)</f>
        <v>0</v>
      </c>
      <c r="U489" s="64">
        <f>ROUNDUP((SUMIFS('OOH Activities'!$K:$K,'OOH Activities'!$F:$F,"Workdays",'OOH Activities'!$B:$B,CPY!B489)) *24,1)</f>
        <v>0</v>
      </c>
      <c r="V489" s="63">
        <f>ROUNDUP((SUMIFS('OOH Activities'!$L:$L,'OOH Activities'!$B:$B,CPY!B489)),1)</f>
        <v>0</v>
      </c>
      <c r="X489" s="65">
        <f>ROUNDUP((SUMIFS('ON Call_Call Out Activities'!$L:$L,'ON Call_Call Out Activities'!$F:$F,"Workdays",'ON Call_Call Out Activities'!$B:$B,CPY!B489))*24,1)</f>
        <v>0</v>
      </c>
      <c r="Y489" s="64">
        <f>ROUNDUP((SUMIFS('ON Call_Call Out Activities'!$L:$L,'ON Call_Call Out Activities'!$F:$F,"Non_workdays",'ON Call_Call Out Activities'!$B:$B,CPY!B489)) *24,1)</f>
        <v>0</v>
      </c>
      <c r="Z489" s="63">
        <f>ROUNDUP((SUMIFS('ON Call_Call Out Activities'!$M:$M,'ON Call_Call Out Activities'!$F:$F,"Non_workdays",'ON Call_Call Out Activities'!$B:$B,CPY!B489)),1) + ROUNDUP((SUMIFS('ON Call_Call Out Activities'!$M:$M,'ON Call_Call Out Activities'!$F:$F,"Workdays",'ON Call_Call Out Activities'!$B:$B,CPY!B489)),1)</f>
        <v>0</v>
      </c>
      <c r="AA489" s="66"/>
      <c r="AB489" s="64">
        <f>ROUNDUP((SUMIFS('ON Call_Call Out Activities'!$L:$L,'ON Call_Call Out Activities'!$F:$F,"Call_Out",'ON Call_Call Out Activities'!$B:$B,CPY!B489)) *24,1)</f>
        <v>0</v>
      </c>
      <c r="AC489" s="63">
        <f>ROUNDUP((SUMIFS('ON Call_Call Out Activities'!$M:$M,'ON Call_Call Out Activities'!$F:$F,"Call_Out",'ON Call_Call Out Activities'!$B:$B,CPY!B489)),1)</f>
        <v>0</v>
      </c>
      <c r="AE489" s="65">
        <f>IF((SUMIF(Shift_allowance_Entries!$B:$B,CPY!$B489,Shift_allowance_Entries!$H:$H)) &gt; (SUMIF(Shift_allowance_Entries!$B:$B,CPY!$B489,Shift_allowance_Entries!$G:$G)),0,((SUMIF(Shift_allowance_Entries!$B:$B,CPY!$B489,Shift_allowance_Entries!$G:$G))-(SUMIF(Shift_allowance_Entries!$B:$B,CPY!$B489,Shift_allowance_Entries!$H:$H))))</f>
        <v>0</v>
      </c>
      <c r="AF489" s="63">
        <f>AE489*MD!$S$4</f>
        <v>0</v>
      </c>
    </row>
    <row r="490" spans="1:32" x14ac:dyDescent="0.25">
      <c r="A490" s="62">
        <v>488</v>
      </c>
      <c r="B490" s="62"/>
      <c r="C490" s="50" t="str">
        <f>IF(ISNA(VLOOKUP($B490,Summary!$B:$D,2,FALSE))=TRUE," ",VLOOKUP($B490,Summary!$B:$D,2,FALSE))</f>
        <v> </v>
      </c>
      <c r="D490" s="50" t="str">
        <f>IF(ISNA(VLOOKUP($B490,Summary!$B:$D,3,FALSE))=TRUE," ",VLOOKUP($B490,Summary!$B:$D,3,FALSE))</f>
        <v> </v>
      </c>
      <c r="E490" s="62"/>
      <c r="F490" s="62"/>
      <c r="G490" s="62"/>
      <c r="I490" s="63">
        <f t="shared" si="7"/>
        <v>0</v>
      </c>
      <c r="K490" s="64">
        <f>IF(E490="Support(L1_L2)",IF(NOT(ISBLANK(B490)),IF(NOT(ISBLANK(D490)),NETWORKDAYS('CPY TOC'!$F$5,'CPY TOC'!$G$5))))-L490</f>
        <v>0</v>
      </c>
      <c r="L490" s="64">
        <f>IF(E490="Support(L1_L2)",SUMIFS(Support_allowance_Entries!$G:$G,Support_allowance_Entries!$B:$B,CPY!B490),0)</f>
        <v>0</v>
      </c>
      <c r="M490" s="63" t="b">
        <f>IF($D490="D0",MD!$C$4*(K490),IF($D490="D1",MD!$C$5*(K490),IF($D490="D2",MD!$C$6*(K490),IF($D490="D3",MD!$C$7*(K490),IF($D490="D4",MD!$C$8*(K490),IF($D490="D5",MD!$C$9*(K490),IF($D490="M1",MD!$C$10*(K490),IF($D490="T1",MD!$C$11*(K490)))))))))</f>
        <v>0</v>
      </c>
      <c r="O490" s="65">
        <f>SUMIFS(Shift_allowance_Entries!$G:$G,Shift_allowance_Entries!$F:$F,"6:30AM-03:30PM",Shift_allowance_Entries!$B:$B,CPY!$B490)</f>
        <v>0</v>
      </c>
      <c r="P490" s="65">
        <f>SUMIFS(Shift_allowance_Entries!$G:$G,Shift_allowance_Entries!$F:$F,"1-9PM/2:30PM-11:30PM",Shift_allowance_Entries!$B:$B,CPY!$B490)</f>
        <v>0</v>
      </c>
      <c r="Q490" s="65">
        <f>SUMIFS(Shift_allowance_Entries!$G:$G,Shift_allowance_Entries!$F:$F,"11PM-7AM",Shift_allowance_Entries!$B:$B,CPY!$B490)</f>
        <v>0</v>
      </c>
      <c r="R490" s="63">
        <f>(CPY!O490*MD!$F$4)+(CPY!P490*MD!$F$5)+(CPY!Q490*MD!$F$6)</f>
        <v>0</v>
      </c>
      <c r="T490" s="64">
        <f>ROUNDUP((SUMIFS('OOH Activities'!$K:$K,'OOH Activities'!$F:$F,"Non_workdays",'OOH Activities'!$B:$B,CPY!B490)) *24,1)</f>
        <v>0</v>
      </c>
      <c r="U490" s="64">
        <f>ROUNDUP((SUMIFS('OOH Activities'!$K:$K,'OOH Activities'!$F:$F,"Workdays",'OOH Activities'!$B:$B,CPY!B490)) *24,1)</f>
        <v>0</v>
      </c>
      <c r="V490" s="63">
        <f>ROUNDUP((SUMIFS('OOH Activities'!$L:$L,'OOH Activities'!$B:$B,CPY!B490)),1)</f>
        <v>0</v>
      </c>
      <c r="X490" s="65">
        <f>ROUNDUP((SUMIFS('ON Call_Call Out Activities'!$L:$L,'ON Call_Call Out Activities'!$F:$F,"Workdays",'ON Call_Call Out Activities'!$B:$B,CPY!B490))*24,1)</f>
        <v>0</v>
      </c>
      <c r="Y490" s="64">
        <f>ROUNDUP((SUMIFS('ON Call_Call Out Activities'!$L:$L,'ON Call_Call Out Activities'!$F:$F,"Non_workdays",'ON Call_Call Out Activities'!$B:$B,CPY!B490)) *24,1)</f>
        <v>0</v>
      </c>
      <c r="Z490" s="63">
        <f>ROUNDUP((SUMIFS('ON Call_Call Out Activities'!$M:$M,'ON Call_Call Out Activities'!$F:$F,"Non_workdays",'ON Call_Call Out Activities'!$B:$B,CPY!B490)),1) + ROUNDUP((SUMIFS('ON Call_Call Out Activities'!$M:$M,'ON Call_Call Out Activities'!$F:$F,"Workdays",'ON Call_Call Out Activities'!$B:$B,CPY!B490)),1)</f>
        <v>0</v>
      </c>
      <c r="AA490" s="66"/>
      <c r="AB490" s="64">
        <f>ROUNDUP((SUMIFS('ON Call_Call Out Activities'!$L:$L,'ON Call_Call Out Activities'!$F:$F,"Call_Out",'ON Call_Call Out Activities'!$B:$B,CPY!B490)) *24,1)</f>
        <v>0</v>
      </c>
      <c r="AC490" s="63">
        <f>ROUNDUP((SUMIFS('ON Call_Call Out Activities'!$M:$M,'ON Call_Call Out Activities'!$F:$F,"Call_Out",'ON Call_Call Out Activities'!$B:$B,CPY!B490)),1)</f>
        <v>0</v>
      </c>
      <c r="AE490" s="65">
        <f>IF((SUMIF(Shift_allowance_Entries!$B:$B,CPY!$B490,Shift_allowance_Entries!$H:$H)) &gt; (SUMIF(Shift_allowance_Entries!$B:$B,CPY!$B490,Shift_allowance_Entries!$G:$G)),0,((SUMIF(Shift_allowance_Entries!$B:$B,CPY!$B490,Shift_allowance_Entries!$G:$G))-(SUMIF(Shift_allowance_Entries!$B:$B,CPY!$B490,Shift_allowance_Entries!$H:$H))))</f>
        <v>0</v>
      </c>
      <c r="AF490" s="63">
        <f>AE490*MD!$S$4</f>
        <v>0</v>
      </c>
    </row>
    <row r="491" spans="1:32" x14ac:dyDescent="0.25">
      <c r="A491" s="62">
        <v>489</v>
      </c>
      <c r="B491" s="62"/>
      <c r="C491" s="50" t="str">
        <f>IF(ISNA(VLOOKUP($B491,Summary!$B:$D,2,FALSE))=TRUE," ",VLOOKUP($B491,Summary!$B:$D,2,FALSE))</f>
        <v> </v>
      </c>
      <c r="D491" s="50" t="str">
        <f>IF(ISNA(VLOOKUP($B491,Summary!$B:$D,3,FALSE))=TRUE," ",VLOOKUP($B491,Summary!$B:$D,3,FALSE))</f>
        <v> </v>
      </c>
      <c r="E491" s="62"/>
      <c r="F491" s="62"/>
      <c r="G491" s="62"/>
      <c r="I491" s="63">
        <f t="shared" si="7"/>
        <v>0</v>
      </c>
      <c r="K491" s="64">
        <f>IF(E491="Support(L1_L2)",IF(NOT(ISBLANK(B491)),IF(NOT(ISBLANK(D491)),NETWORKDAYS('CPY TOC'!$F$5,'CPY TOC'!$G$5))))-L491</f>
        <v>0</v>
      </c>
      <c r="L491" s="64">
        <f>IF(E491="Support(L1_L2)",SUMIFS(Support_allowance_Entries!$G:$G,Support_allowance_Entries!$B:$B,CPY!B491),0)</f>
        <v>0</v>
      </c>
      <c r="M491" s="63" t="b">
        <f>IF($D491="D0",MD!$C$4*(K491),IF($D491="D1",MD!$C$5*(K491),IF($D491="D2",MD!$C$6*(K491),IF($D491="D3",MD!$C$7*(K491),IF($D491="D4",MD!$C$8*(K491),IF($D491="D5",MD!$C$9*(K491),IF($D491="M1",MD!$C$10*(K491),IF($D491="T1",MD!$C$11*(K491)))))))))</f>
        <v>0</v>
      </c>
      <c r="O491" s="65">
        <f>SUMIFS(Shift_allowance_Entries!$G:$G,Shift_allowance_Entries!$F:$F,"6:30AM-03:30PM",Shift_allowance_Entries!$B:$B,CPY!$B491)</f>
        <v>0</v>
      </c>
      <c r="P491" s="65">
        <f>SUMIFS(Shift_allowance_Entries!$G:$G,Shift_allowance_Entries!$F:$F,"1-9PM/2:30PM-11:30PM",Shift_allowance_Entries!$B:$B,CPY!$B491)</f>
        <v>0</v>
      </c>
      <c r="Q491" s="65">
        <f>SUMIFS(Shift_allowance_Entries!$G:$G,Shift_allowance_Entries!$F:$F,"11PM-7AM",Shift_allowance_Entries!$B:$B,CPY!$B491)</f>
        <v>0</v>
      </c>
      <c r="R491" s="63">
        <f>(CPY!O491*MD!$F$4)+(CPY!P491*MD!$F$5)+(CPY!Q491*MD!$F$6)</f>
        <v>0</v>
      </c>
      <c r="T491" s="64">
        <f>ROUNDUP((SUMIFS('OOH Activities'!$K:$K,'OOH Activities'!$F:$F,"Non_workdays",'OOH Activities'!$B:$B,CPY!B491)) *24,1)</f>
        <v>0</v>
      </c>
      <c r="U491" s="64">
        <f>ROUNDUP((SUMIFS('OOH Activities'!$K:$K,'OOH Activities'!$F:$F,"Workdays",'OOH Activities'!$B:$B,CPY!B491)) *24,1)</f>
        <v>0</v>
      </c>
      <c r="V491" s="63">
        <f>ROUNDUP((SUMIFS('OOH Activities'!$L:$L,'OOH Activities'!$B:$B,CPY!B491)),1)</f>
        <v>0</v>
      </c>
      <c r="X491" s="65">
        <f>ROUNDUP((SUMIFS('ON Call_Call Out Activities'!$L:$L,'ON Call_Call Out Activities'!$F:$F,"Workdays",'ON Call_Call Out Activities'!$B:$B,CPY!B491))*24,1)</f>
        <v>0</v>
      </c>
      <c r="Y491" s="64">
        <f>ROUNDUP((SUMIFS('ON Call_Call Out Activities'!$L:$L,'ON Call_Call Out Activities'!$F:$F,"Non_workdays",'ON Call_Call Out Activities'!$B:$B,CPY!B491)) *24,1)</f>
        <v>0</v>
      </c>
      <c r="Z491" s="63">
        <f>ROUNDUP((SUMIFS('ON Call_Call Out Activities'!$M:$M,'ON Call_Call Out Activities'!$F:$F,"Non_workdays",'ON Call_Call Out Activities'!$B:$B,CPY!B491)),1) + ROUNDUP((SUMIFS('ON Call_Call Out Activities'!$M:$M,'ON Call_Call Out Activities'!$F:$F,"Workdays",'ON Call_Call Out Activities'!$B:$B,CPY!B491)),1)</f>
        <v>0</v>
      </c>
      <c r="AA491" s="66"/>
      <c r="AB491" s="64">
        <f>ROUNDUP((SUMIFS('ON Call_Call Out Activities'!$L:$L,'ON Call_Call Out Activities'!$F:$F,"Call_Out",'ON Call_Call Out Activities'!$B:$B,CPY!B491)) *24,1)</f>
        <v>0</v>
      </c>
      <c r="AC491" s="63">
        <f>ROUNDUP((SUMIFS('ON Call_Call Out Activities'!$M:$M,'ON Call_Call Out Activities'!$F:$F,"Call_Out",'ON Call_Call Out Activities'!$B:$B,CPY!B491)),1)</f>
        <v>0</v>
      </c>
      <c r="AE491" s="65">
        <f>IF((SUMIF(Shift_allowance_Entries!$B:$B,CPY!$B491,Shift_allowance_Entries!$H:$H)) &gt; (SUMIF(Shift_allowance_Entries!$B:$B,CPY!$B491,Shift_allowance_Entries!$G:$G)),0,((SUMIF(Shift_allowance_Entries!$B:$B,CPY!$B491,Shift_allowance_Entries!$G:$G))-(SUMIF(Shift_allowance_Entries!$B:$B,CPY!$B491,Shift_allowance_Entries!$H:$H))))</f>
        <v>0</v>
      </c>
      <c r="AF491" s="63">
        <f>AE491*MD!$S$4</f>
        <v>0</v>
      </c>
    </row>
    <row r="492" spans="1:32" x14ac:dyDescent="0.25">
      <c r="A492" s="62">
        <v>490</v>
      </c>
      <c r="B492" s="62"/>
      <c r="C492" s="50" t="str">
        <f>IF(ISNA(VLOOKUP($B492,Summary!$B:$D,2,FALSE))=TRUE," ",VLOOKUP($B492,Summary!$B:$D,2,FALSE))</f>
        <v> </v>
      </c>
      <c r="D492" s="50" t="str">
        <f>IF(ISNA(VLOOKUP($B492,Summary!$B:$D,3,FALSE))=TRUE," ",VLOOKUP($B492,Summary!$B:$D,3,FALSE))</f>
        <v> </v>
      </c>
      <c r="E492" s="62"/>
      <c r="F492" s="62"/>
      <c r="G492" s="62"/>
      <c r="I492" s="63">
        <f t="shared" si="7"/>
        <v>0</v>
      </c>
      <c r="K492" s="64">
        <f>IF(E492="Support(L1_L2)",IF(NOT(ISBLANK(B492)),IF(NOT(ISBLANK(D492)),NETWORKDAYS('CPY TOC'!$F$5,'CPY TOC'!$G$5))))-L492</f>
        <v>0</v>
      </c>
      <c r="L492" s="64">
        <f>IF(E492="Support(L1_L2)",SUMIFS(Support_allowance_Entries!$G:$G,Support_allowance_Entries!$B:$B,CPY!B492),0)</f>
        <v>0</v>
      </c>
      <c r="M492" s="63" t="b">
        <f>IF($D492="D0",MD!$C$4*(K492),IF($D492="D1",MD!$C$5*(K492),IF($D492="D2",MD!$C$6*(K492),IF($D492="D3",MD!$C$7*(K492),IF($D492="D4",MD!$C$8*(K492),IF($D492="D5",MD!$C$9*(K492),IF($D492="M1",MD!$C$10*(K492),IF($D492="T1",MD!$C$11*(K492)))))))))</f>
        <v>0</v>
      </c>
      <c r="O492" s="65">
        <f>SUMIFS(Shift_allowance_Entries!$G:$G,Shift_allowance_Entries!$F:$F,"6:30AM-03:30PM",Shift_allowance_Entries!$B:$B,CPY!$B492)</f>
        <v>0</v>
      </c>
      <c r="P492" s="65">
        <f>SUMIFS(Shift_allowance_Entries!$G:$G,Shift_allowance_Entries!$F:$F,"1-9PM/2:30PM-11:30PM",Shift_allowance_Entries!$B:$B,CPY!$B492)</f>
        <v>0</v>
      </c>
      <c r="Q492" s="65">
        <f>SUMIFS(Shift_allowance_Entries!$G:$G,Shift_allowance_Entries!$F:$F,"11PM-7AM",Shift_allowance_Entries!$B:$B,CPY!$B492)</f>
        <v>0</v>
      </c>
      <c r="R492" s="63">
        <f>(CPY!O492*MD!$F$4)+(CPY!P492*MD!$F$5)+(CPY!Q492*MD!$F$6)</f>
        <v>0</v>
      </c>
      <c r="T492" s="64">
        <f>ROUNDUP((SUMIFS('OOH Activities'!$K:$K,'OOH Activities'!$F:$F,"Non_workdays",'OOH Activities'!$B:$B,CPY!B492)) *24,1)</f>
        <v>0</v>
      </c>
      <c r="U492" s="64">
        <f>ROUNDUP((SUMIFS('OOH Activities'!$K:$K,'OOH Activities'!$F:$F,"Workdays",'OOH Activities'!$B:$B,CPY!B492)) *24,1)</f>
        <v>0</v>
      </c>
      <c r="V492" s="63">
        <f>ROUNDUP((SUMIFS('OOH Activities'!$L:$L,'OOH Activities'!$B:$B,CPY!B492)),1)</f>
        <v>0</v>
      </c>
      <c r="X492" s="65">
        <f>ROUNDUP((SUMIFS('ON Call_Call Out Activities'!$L:$L,'ON Call_Call Out Activities'!$F:$F,"Workdays",'ON Call_Call Out Activities'!$B:$B,CPY!B492))*24,1)</f>
        <v>0</v>
      </c>
      <c r="Y492" s="64">
        <f>ROUNDUP((SUMIFS('ON Call_Call Out Activities'!$L:$L,'ON Call_Call Out Activities'!$F:$F,"Non_workdays",'ON Call_Call Out Activities'!$B:$B,CPY!B492)) *24,1)</f>
        <v>0</v>
      </c>
      <c r="Z492" s="63">
        <f>ROUNDUP((SUMIFS('ON Call_Call Out Activities'!$M:$M,'ON Call_Call Out Activities'!$F:$F,"Non_workdays",'ON Call_Call Out Activities'!$B:$B,CPY!B492)),1) + ROUNDUP((SUMIFS('ON Call_Call Out Activities'!$M:$M,'ON Call_Call Out Activities'!$F:$F,"Workdays",'ON Call_Call Out Activities'!$B:$B,CPY!B492)),1)</f>
        <v>0</v>
      </c>
      <c r="AA492" s="66"/>
      <c r="AB492" s="64">
        <f>ROUNDUP((SUMIFS('ON Call_Call Out Activities'!$L:$L,'ON Call_Call Out Activities'!$F:$F,"Call_Out",'ON Call_Call Out Activities'!$B:$B,CPY!B492)) *24,1)</f>
        <v>0</v>
      </c>
      <c r="AC492" s="63">
        <f>ROUNDUP((SUMIFS('ON Call_Call Out Activities'!$M:$M,'ON Call_Call Out Activities'!$F:$F,"Call_Out",'ON Call_Call Out Activities'!$B:$B,CPY!B492)),1)</f>
        <v>0</v>
      </c>
      <c r="AE492" s="65">
        <f>IF((SUMIF(Shift_allowance_Entries!$B:$B,CPY!$B492,Shift_allowance_Entries!$H:$H)) &gt; (SUMIF(Shift_allowance_Entries!$B:$B,CPY!$B492,Shift_allowance_Entries!$G:$G)),0,((SUMIF(Shift_allowance_Entries!$B:$B,CPY!$B492,Shift_allowance_Entries!$G:$G))-(SUMIF(Shift_allowance_Entries!$B:$B,CPY!$B492,Shift_allowance_Entries!$H:$H))))</f>
        <v>0</v>
      </c>
      <c r="AF492" s="63">
        <f>AE492*MD!$S$4</f>
        <v>0</v>
      </c>
    </row>
    <row r="493" spans="1:32" x14ac:dyDescent="0.25">
      <c r="A493" s="62">
        <v>491</v>
      </c>
      <c r="B493" s="62"/>
      <c r="C493" s="50" t="str">
        <f>IF(ISNA(VLOOKUP($B493,Summary!$B:$D,2,FALSE))=TRUE," ",VLOOKUP($B493,Summary!$B:$D,2,FALSE))</f>
        <v> </v>
      </c>
      <c r="D493" s="50" t="str">
        <f>IF(ISNA(VLOOKUP($B493,Summary!$B:$D,3,FALSE))=TRUE," ",VLOOKUP($B493,Summary!$B:$D,3,FALSE))</f>
        <v> </v>
      </c>
      <c r="E493" s="62"/>
      <c r="F493" s="62"/>
      <c r="G493" s="62"/>
      <c r="I493" s="63">
        <f t="shared" si="7"/>
        <v>0</v>
      </c>
      <c r="K493" s="64">
        <f>IF(E493="Support(L1_L2)",IF(NOT(ISBLANK(B493)),IF(NOT(ISBLANK(D493)),NETWORKDAYS('CPY TOC'!$F$5,'CPY TOC'!$G$5))))-L493</f>
        <v>0</v>
      </c>
      <c r="L493" s="64">
        <f>IF(E493="Support(L1_L2)",SUMIFS(Support_allowance_Entries!$G:$G,Support_allowance_Entries!$B:$B,CPY!B493),0)</f>
        <v>0</v>
      </c>
      <c r="M493" s="63" t="b">
        <f>IF($D493="D0",MD!$C$4*(K493),IF($D493="D1",MD!$C$5*(K493),IF($D493="D2",MD!$C$6*(K493),IF($D493="D3",MD!$C$7*(K493),IF($D493="D4",MD!$C$8*(K493),IF($D493="D5",MD!$C$9*(K493),IF($D493="M1",MD!$C$10*(K493),IF($D493="T1",MD!$C$11*(K493)))))))))</f>
        <v>0</v>
      </c>
      <c r="O493" s="65">
        <f>SUMIFS(Shift_allowance_Entries!$G:$G,Shift_allowance_Entries!$F:$F,"6:30AM-03:30PM",Shift_allowance_Entries!$B:$B,CPY!$B493)</f>
        <v>0</v>
      </c>
      <c r="P493" s="65">
        <f>SUMIFS(Shift_allowance_Entries!$G:$G,Shift_allowance_Entries!$F:$F,"1-9PM/2:30PM-11:30PM",Shift_allowance_Entries!$B:$B,CPY!$B493)</f>
        <v>0</v>
      </c>
      <c r="Q493" s="65">
        <f>SUMIFS(Shift_allowance_Entries!$G:$G,Shift_allowance_Entries!$F:$F,"11PM-7AM",Shift_allowance_Entries!$B:$B,CPY!$B493)</f>
        <v>0</v>
      </c>
      <c r="R493" s="63">
        <f>(CPY!O493*MD!$F$4)+(CPY!P493*MD!$F$5)+(CPY!Q493*MD!$F$6)</f>
        <v>0</v>
      </c>
      <c r="T493" s="64">
        <f>ROUNDUP((SUMIFS('OOH Activities'!$K:$K,'OOH Activities'!$F:$F,"Non_workdays",'OOH Activities'!$B:$B,CPY!B493)) *24,1)</f>
        <v>0</v>
      </c>
      <c r="U493" s="64">
        <f>ROUNDUP((SUMIFS('OOH Activities'!$K:$K,'OOH Activities'!$F:$F,"Workdays",'OOH Activities'!$B:$B,CPY!B493)) *24,1)</f>
        <v>0</v>
      </c>
      <c r="V493" s="63">
        <f>ROUNDUP((SUMIFS('OOH Activities'!$L:$L,'OOH Activities'!$B:$B,CPY!B493)),1)</f>
        <v>0</v>
      </c>
      <c r="X493" s="65">
        <f>ROUNDUP((SUMIFS('ON Call_Call Out Activities'!$L:$L,'ON Call_Call Out Activities'!$F:$F,"Workdays",'ON Call_Call Out Activities'!$B:$B,CPY!B493))*24,1)</f>
        <v>0</v>
      </c>
      <c r="Y493" s="64">
        <f>ROUNDUP((SUMIFS('ON Call_Call Out Activities'!$L:$L,'ON Call_Call Out Activities'!$F:$F,"Non_workdays",'ON Call_Call Out Activities'!$B:$B,CPY!B493)) *24,1)</f>
        <v>0</v>
      </c>
      <c r="Z493" s="63">
        <f>ROUNDUP((SUMIFS('ON Call_Call Out Activities'!$M:$M,'ON Call_Call Out Activities'!$F:$F,"Non_workdays",'ON Call_Call Out Activities'!$B:$B,CPY!B493)),1) + ROUNDUP((SUMIFS('ON Call_Call Out Activities'!$M:$M,'ON Call_Call Out Activities'!$F:$F,"Workdays",'ON Call_Call Out Activities'!$B:$B,CPY!B493)),1)</f>
        <v>0</v>
      </c>
      <c r="AA493" s="66"/>
      <c r="AB493" s="64">
        <f>ROUNDUP((SUMIFS('ON Call_Call Out Activities'!$L:$L,'ON Call_Call Out Activities'!$F:$F,"Call_Out",'ON Call_Call Out Activities'!$B:$B,CPY!B493)) *24,1)</f>
        <v>0</v>
      </c>
      <c r="AC493" s="63">
        <f>ROUNDUP((SUMIFS('ON Call_Call Out Activities'!$M:$M,'ON Call_Call Out Activities'!$F:$F,"Call_Out",'ON Call_Call Out Activities'!$B:$B,CPY!B493)),1)</f>
        <v>0</v>
      </c>
      <c r="AE493" s="65">
        <f>IF((SUMIF(Shift_allowance_Entries!$B:$B,CPY!$B493,Shift_allowance_Entries!$H:$H)) &gt; (SUMIF(Shift_allowance_Entries!$B:$B,CPY!$B493,Shift_allowance_Entries!$G:$G)),0,((SUMIF(Shift_allowance_Entries!$B:$B,CPY!$B493,Shift_allowance_Entries!$G:$G))-(SUMIF(Shift_allowance_Entries!$B:$B,CPY!$B493,Shift_allowance_Entries!$H:$H))))</f>
        <v>0</v>
      </c>
      <c r="AF493" s="63">
        <f>AE493*MD!$S$4</f>
        <v>0</v>
      </c>
    </row>
    <row r="494" spans="1:32" x14ac:dyDescent="0.25">
      <c r="A494" s="62">
        <v>492</v>
      </c>
      <c r="B494" s="62"/>
      <c r="C494" s="50" t="str">
        <f>IF(ISNA(VLOOKUP($B494,Summary!$B:$D,2,FALSE))=TRUE," ",VLOOKUP($B494,Summary!$B:$D,2,FALSE))</f>
        <v> </v>
      </c>
      <c r="D494" s="50" t="str">
        <f>IF(ISNA(VLOOKUP($B494,Summary!$B:$D,3,FALSE))=TRUE," ",VLOOKUP($B494,Summary!$B:$D,3,FALSE))</f>
        <v> </v>
      </c>
      <c r="E494" s="62"/>
      <c r="F494" s="62"/>
      <c r="G494" s="62"/>
      <c r="I494" s="63">
        <f t="shared" si="7"/>
        <v>0</v>
      </c>
      <c r="K494" s="64">
        <f>IF(E494="Support(L1_L2)",IF(NOT(ISBLANK(B494)),IF(NOT(ISBLANK(D494)),NETWORKDAYS('CPY TOC'!$F$5,'CPY TOC'!$G$5))))-L494</f>
        <v>0</v>
      </c>
      <c r="L494" s="64">
        <f>IF(E494="Support(L1_L2)",SUMIFS(Support_allowance_Entries!$G:$G,Support_allowance_Entries!$B:$B,CPY!B494),0)</f>
        <v>0</v>
      </c>
      <c r="M494" s="63" t="b">
        <f>IF($D494="D0",MD!$C$4*(K494),IF($D494="D1",MD!$C$5*(K494),IF($D494="D2",MD!$C$6*(K494),IF($D494="D3",MD!$C$7*(K494),IF($D494="D4",MD!$C$8*(K494),IF($D494="D5",MD!$C$9*(K494),IF($D494="M1",MD!$C$10*(K494),IF($D494="T1",MD!$C$11*(K494)))))))))</f>
        <v>0</v>
      </c>
      <c r="O494" s="65">
        <f>SUMIFS(Shift_allowance_Entries!$G:$G,Shift_allowance_Entries!$F:$F,"6:30AM-03:30PM",Shift_allowance_Entries!$B:$B,CPY!$B494)</f>
        <v>0</v>
      </c>
      <c r="P494" s="65">
        <f>SUMIFS(Shift_allowance_Entries!$G:$G,Shift_allowance_Entries!$F:$F,"1-9PM/2:30PM-11:30PM",Shift_allowance_Entries!$B:$B,CPY!$B494)</f>
        <v>0</v>
      </c>
      <c r="Q494" s="65">
        <f>SUMIFS(Shift_allowance_Entries!$G:$G,Shift_allowance_Entries!$F:$F,"11PM-7AM",Shift_allowance_Entries!$B:$B,CPY!$B494)</f>
        <v>0</v>
      </c>
      <c r="R494" s="63">
        <f>(CPY!O494*MD!$F$4)+(CPY!P494*MD!$F$5)+(CPY!Q494*MD!$F$6)</f>
        <v>0</v>
      </c>
      <c r="T494" s="64">
        <f>ROUNDUP((SUMIFS('OOH Activities'!$K:$K,'OOH Activities'!$F:$F,"Non_workdays",'OOH Activities'!$B:$B,CPY!B494)) *24,1)</f>
        <v>0</v>
      </c>
      <c r="U494" s="64">
        <f>ROUNDUP((SUMIFS('OOH Activities'!$K:$K,'OOH Activities'!$F:$F,"Workdays",'OOH Activities'!$B:$B,CPY!B494)) *24,1)</f>
        <v>0</v>
      </c>
      <c r="V494" s="63">
        <f>ROUNDUP((SUMIFS('OOH Activities'!$L:$L,'OOH Activities'!$B:$B,CPY!B494)),1)</f>
        <v>0</v>
      </c>
      <c r="X494" s="65">
        <f>ROUNDUP((SUMIFS('ON Call_Call Out Activities'!$L:$L,'ON Call_Call Out Activities'!$F:$F,"Workdays",'ON Call_Call Out Activities'!$B:$B,CPY!B494))*24,1)</f>
        <v>0</v>
      </c>
      <c r="Y494" s="64">
        <f>ROUNDUP((SUMIFS('ON Call_Call Out Activities'!$L:$L,'ON Call_Call Out Activities'!$F:$F,"Non_workdays",'ON Call_Call Out Activities'!$B:$B,CPY!B494)) *24,1)</f>
        <v>0</v>
      </c>
      <c r="Z494" s="63">
        <f>ROUNDUP((SUMIFS('ON Call_Call Out Activities'!$M:$M,'ON Call_Call Out Activities'!$F:$F,"Non_workdays",'ON Call_Call Out Activities'!$B:$B,CPY!B494)),1) + ROUNDUP((SUMIFS('ON Call_Call Out Activities'!$M:$M,'ON Call_Call Out Activities'!$F:$F,"Workdays",'ON Call_Call Out Activities'!$B:$B,CPY!B494)),1)</f>
        <v>0</v>
      </c>
      <c r="AA494" s="66"/>
      <c r="AB494" s="64">
        <f>ROUNDUP((SUMIFS('ON Call_Call Out Activities'!$L:$L,'ON Call_Call Out Activities'!$F:$F,"Call_Out",'ON Call_Call Out Activities'!$B:$B,CPY!B494)) *24,1)</f>
        <v>0</v>
      </c>
      <c r="AC494" s="63">
        <f>ROUNDUP((SUMIFS('ON Call_Call Out Activities'!$M:$M,'ON Call_Call Out Activities'!$F:$F,"Call_Out",'ON Call_Call Out Activities'!$B:$B,CPY!B494)),1)</f>
        <v>0</v>
      </c>
      <c r="AE494" s="65">
        <f>IF((SUMIF(Shift_allowance_Entries!$B:$B,CPY!$B494,Shift_allowance_Entries!$H:$H)) &gt; (SUMIF(Shift_allowance_Entries!$B:$B,CPY!$B494,Shift_allowance_Entries!$G:$G)),0,((SUMIF(Shift_allowance_Entries!$B:$B,CPY!$B494,Shift_allowance_Entries!$G:$G))-(SUMIF(Shift_allowance_Entries!$B:$B,CPY!$B494,Shift_allowance_Entries!$H:$H))))</f>
        <v>0</v>
      </c>
      <c r="AF494" s="63">
        <f>AE494*MD!$S$4</f>
        <v>0</v>
      </c>
    </row>
    <row r="495" spans="1:32" x14ac:dyDescent="0.25">
      <c r="A495" s="62">
        <v>493</v>
      </c>
      <c r="B495" s="62"/>
      <c r="C495" s="50" t="str">
        <f>IF(ISNA(VLOOKUP($B495,Summary!$B:$D,2,FALSE))=TRUE," ",VLOOKUP($B495,Summary!$B:$D,2,FALSE))</f>
        <v> </v>
      </c>
      <c r="D495" s="50" t="str">
        <f>IF(ISNA(VLOOKUP($B495,Summary!$B:$D,3,FALSE))=TRUE," ",VLOOKUP($B495,Summary!$B:$D,3,FALSE))</f>
        <v> </v>
      </c>
      <c r="E495" s="62"/>
      <c r="F495" s="62"/>
      <c r="G495" s="62"/>
      <c r="I495" s="63">
        <f t="shared" si="7"/>
        <v>0</v>
      </c>
      <c r="K495" s="64">
        <f>IF(E495="Support(L1_L2)",IF(NOT(ISBLANK(B495)),IF(NOT(ISBLANK(D495)),NETWORKDAYS('CPY TOC'!$F$5,'CPY TOC'!$G$5))))-L495</f>
        <v>0</v>
      </c>
      <c r="L495" s="64">
        <f>IF(E495="Support(L1_L2)",SUMIFS(Support_allowance_Entries!$G:$G,Support_allowance_Entries!$B:$B,CPY!B495),0)</f>
        <v>0</v>
      </c>
      <c r="M495" s="63" t="b">
        <f>IF($D495="D0",MD!$C$4*(K495),IF($D495="D1",MD!$C$5*(K495),IF($D495="D2",MD!$C$6*(K495),IF($D495="D3",MD!$C$7*(K495),IF($D495="D4",MD!$C$8*(K495),IF($D495="D5",MD!$C$9*(K495),IF($D495="M1",MD!$C$10*(K495),IF($D495="T1",MD!$C$11*(K495)))))))))</f>
        <v>0</v>
      </c>
      <c r="O495" s="65">
        <f>SUMIFS(Shift_allowance_Entries!$G:$G,Shift_allowance_Entries!$F:$F,"6:30AM-03:30PM",Shift_allowance_Entries!$B:$B,CPY!$B495)</f>
        <v>0</v>
      </c>
      <c r="P495" s="65">
        <f>SUMIFS(Shift_allowance_Entries!$G:$G,Shift_allowance_Entries!$F:$F,"1-9PM/2:30PM-11:30PM",Shift_allowance_Entries!$B:$B,CPY!$B495)</f>
        <v>0</v>
      </c>
      <c r="Q495" s="65">
        <f>SUMIFS(Shift_allowance_Entries!$G:$G,Shift_allowance_Entries!$F:$F,"11PM-7AM",Shift_allowance_Entries!$B:$B,CPY!$B495)</f>
        <v>0</v>
      </c>
      <c r="R495" s="63">
        <f>(CPY!O495*MD!$F$4)+(CPY!P495*MD!$F$5)+(CPY!Q495*MD!$F$6)</f>
        <v>0</v>
      </c>
      <c r="T495" s="64">
        <f>ROUNDUP((SUMIFS('OOH Activities'!$K:$K,'OOH Activities'!$F:$F,"Non_workdays",'OOH Activities'!$B:$B,CPY!B495)) *24,1)</f>
        <v>0</v>
      </c>
      <c r="U495" s="64">
        <f>ROUNDUP((SUMIFS('OOH Activities'!$K:$K,'OOH Activities'!$F:$F,"Workdays",'OOH Activities'!$B:$B,CPY!B495)) *24,1)</f>
        <v>0</v>
      </c>
      <c r="V495" s="63">
        <f>ROUNDUP((SUMIFS('OOH Activities'!$L:$L,'OOH Activities'!$B:$B,CPY!B495)),1)</f>
        <v>0</v>
      </c>
      <c r="X495" s="65">
        <f>ROUNDUP((SUMIFS('ON Call_Call Out Activities'!$L:$L,'ON Call_Call Out Activities'!$F:$F,"Workdays",'ON Call_Call Out Activities'!$B:$B,CPY!B495))*24,1)</f>
        <v>0</v>
      </c>
      <c r="Y495" s="64">
        <f>ROUNDUP((SUMIFS('ON Call_Call Out Activities'!$L:$L,'ON Call_Call Out Activities'!$F:$F,"Non_workdays",'ON Call_Call Out Activities'!$B:$B,CPY!B495)) *24,1)</f>
        <v>0</v>
      </c>
      <c r="Z495" s="63">
        <f>ROUNDUP((SUMIFS('ON Call_Call Out Activities'!$M:$M,'ON Call_Call Out Activities'!$F:$F,"Non_workdays",'ON Call_Call Out Activities'!$B:$B,CPY!B495)),1) + ROUNDUP((SUMIFS('ON Call_Call Out Activities'!$M:$M,'ON Call_Call Out Activities'!$F:$F,"Workdays",'ON Call_Call Out Activities'!$B:$B,CPY!B495)),1)</f>
        <v>0</v>
      </c>
      <c r="AA495" s="66"/>
      <c r="AB495" s="64">
        <f>ROUNDUP((SUMIFS('ON Call_Call Out Activities'!$L:$L,'ON Call_Call Out Activities'!$F:$F,"Call_Out",'ON Call_Call Out Activities'!$B:$B,CPY!B495)) *24,1)</f>
        <v>0</v>
      </c>
      <c r="AC495" s="63">
        <f>ROUNDUP((SUMIFS('ON Call_Call Out Activities'!$M:$M,'ON Call_Call Out Activities'!$F:$F,"Call_Out",'ON Call_Call Out Activities'!$B:$B,CPY!B495)),1)</f>
        <v>0</v>
      </c>
      <c r="AE495" s="65">
        <f>IF((SUMIF(Shift_allowance_Entries!$B:$B,CPY!$B495,Shift_allowance_Entries!$H:$H)) &gt; (SUMIF(Shift_allowance_Entries!$B:$B,CPY!$B495,Shift_allowance_Entries!$G:$G)),0,((SUMIF(Shift_allowance_Entries!$B:$B,CPY!$B495,Shift_allowance_Entries!$G:$G))-(SUMIF(Shift_allowance_Entries!$B:$B,CPY!$B495,Shift_allowance_Entries!$H:$H))))</f>
        <v>0</v>
      </c>
      <c r="AF495" s="63">
        <f>AE495*MD!$S$4</f>
        <v>0</v>
      </c>
    </row>
    <row r="496" spans="1:32" x14ac:dyDescent="0.25">
      <c r="A496" s="62">
        <v>494</v>
      </c>
      <c r="B496" s="62"/>
      <c r="C496" s="50" t="str">
        <f>IF(ISNA(VLOOKUP($B496,Summary!$B:$D,2,FALSE))=TRUE," ",VLOOKUP($B496,Summary!$B:$D,2,FALSE))</f>
        <v> </v>
      </c>
      <c r="D496" s="50" t="str">
        <f>IF(ISNA(VLOOKUP($B496,Summary!$B:$D,3,FALSE))=TRUE," ",VLOOKUP($B496,Summary!$B:$D,3,FALSE))</f>
        <v> </v>
      </c>
      <c r="E496" s="62"/>
      <c r="F496" s="62"/>
      <c r="G496" s="62"/>
      <c r="I496" s="63">
        <f t="shared" si="7"/>
        <v>0</v>
      </c>
      <c r="K496" s="64">
        <f>IF(E496="Support(L1_L2)",IF(NOT(ISBLANK(B496)),IF(NOT(ISBLANK(D496)),NETWORKDAYS('CPY TOC'!$F$5,'CPY TOC'!$G$5))))-L496</f>
        <v>0</v>
      </c>
      <c r="L496" s="64">
        <f>IF(E496="Support(L1_L2)",SUMIFS(Support_allowance_Entries!$G:$G,Support_allowance_Entries!$B:$B,CPY!B496),0)</f>
        <v>0</v>
      </c>
      <c r="M496" s="63" t="b">
        <f>IF($D496="D0",MD!$C$4*(K496),IF($D496="D1",MD!$C$5*(K496),IF($D496="D2",MD!$C$6*(K496),IF($D496="D3",MD!$C$7*(K496),IF($D496="D4",MD!$C$8*(K496),IF($D496="D5",MD!$C$9*(K496),IF($D496="M1",MD!$C$10*(K496),IF($D496="T1",MD!$C$11*(K496)))))))))</f>
        <v>0</v>
      </c>
      <c r="O496" s="65">
        <f>SUMIFS(Shift_allowance_Entries!$G:$G,Shift_allowance_Entries!$F:$F,"6:30AM-03:30PM",Shift_allowance_Entries!$B:$B,CPY!$B496)</f>
        <v>0</v>
      </c>
      <c r="P496" s="65">
        <f>SUMIFS(Shift_allowance_Entries!$G:$G,Shift_allowance_Entries!$F:$F,"1-9PM/2:30PM-11:30PM",Shift_allowance_Entries!$B:$B,CPY!$B496)</f>
        <v>0</v>
      </c>
      <c r="Q496" s="65">
        <f>SUMIFS(Shift_allowance_Entries!$G:$G,Shift_allowance_Entries!$F:$F,"11PM-7AM",Shift_allowance_Entries!$B:$B,CPY!$B496)</f>
        <v>0</v>
      </c>
      <c r="R496" s="63">
        <f>(CPY!O496*MD!$F$4)+(CPY!P496*MD!$F$5)+(CPY!Q496*MD!$F$6)</f>
        <v>0</v>
      </c>
      <c r="T496" s="64">
        <f>ROUNDUP((SUMIFS('OOH Activities'!$K:$K,'OOH Activities'!$F:$F,"Non_workdays",'OOH Activities'!$B:$B,CPY!B496)) *24,1)</f>
        <v>0</v>
      </c>
      <c r="U496" s="64">
        <f>ROUNDUP((SUMIFS('OOH Activities'!$K:$K,'OOH Activities'!$F:$F,"Workdays",'OOH Activities'!$B:$B,CPY!B496)) *24,1)</f>
        <v>0</v>
      </c>
      <c r="V496" s="63">
        <f>ROUNDUP((SUMIFS('OOH Activities'!$L:$L,'OOH Activities'!$B:$B,CPY!B496)),1)</f>
        <v>0</v>
      </c>
      <c r="X496" s="65">
        <f>ROUNDUP((SUMIFS('ON Call_Call Out Activities'!$L:$L,'ON Call_Call Out Activities'!$F:$F,"Workdays",'ON Call_Call Out Activities'!$B:$B,CPY!B496))*24,1)</f>
        <v>0</v>
      </c>
      <c r="Y496" s="64">
        <f>ROUNDUP((SUMIFS('ON Call_Call Out Activities'!$L:$L,'ON Call_Call Out Activities'!$F:$F,"Non_workdays",'ON Call_Call Out Activities'!$B:$B,CPY!B496)) *24,1)</f>
        <v>0</v>
      </c>
      <c r="Z496" s="63">
        <f>ROUNDUP((SUMIFS('ON Call_Call Out Activities'!$M:$M,'ON Call_Call Out Activities'!$F:$F,"Non_workdays",'ON Call_Call Out Activities'!$B:$B,CPY!B496)),1) + ROUNDUP((SUMIFS('ON Call_Call Out Activities'!$M:$M,'ON Call_Call Out Activities'!$F:$F,"Workdays",'ON Call_Call Out Activities'!$B:$B,CPY!B496)),1)</f>
        <v>0</v>
      </c>
      <c r="AA496" s="66"/>
      <c r="AB496" s="64">
        <f>ROUNDUP((SUMIFS('ON Call_Call Out Activities'!$L:$L,'ON Call_Call Out Activities'!$F:$F,"Call_Out",'ON Call_Call Out Activities'!$B:$B,CPY!B496)) *24,1)</f>
        <v>0</v>
      </c>
      <c r="AC496" s="63">
        <f>ROUNDUP((SUMIFS('ON Call_Call Out Activities'!$M:$M,'ON Call_Call Out Activities'!$F:$F,"Call_Out",'ON Call_Call Out Activities'!$B:$B,CPY!B496)),1)</f>
        <v>0</v>
      </c>
      <c r="AE496" s="65">
        <f>IF((SUMIF(Shift_allowance_Entries!$B:$B,CPY!$B496,Shift_allowance_Entries!$H:$H)) &gt; (SUMIF(Shift_allowance_Entries!$B:$B,CPY!$B496,Shift_allowance_Entries!$G:$G)),0,((SUMIF(Shift_allowance_Entries!$B:$B,CPY!$B496,Shift_allowance_Entries!$G:$G))-(SUMIF(Shift_allowance_Entries!$B:$B,CPY!$B496,Shift_allowance_Entries!$H:$H))))</f>
        <v>0</v>
      </c>
      <c r="AF496" s="63">
        <f>AE496*MD!$S$4</f>
        <v>0</v>
      </c>
    </row>
    <row r="497" spans="1:32" x14ac:dyDescent="0.25">
      <c r="A497" s="62">
        <v>495</v>
      </c>
      <c r="B497" s="62"/>
      <c r="C497" s="50" t="str">
        <f>IF(ISNA(VLOOKUP($B497,Summary!$B:$D,2,FALSE))=TRUE," ",VLOOKUP($B497,Summary!$B:$D,2,FALSE))</f>
        <v> </v>
      </c>
      <c r="D497" s="50" t="str">
        <f>IF(ISNA(VLOOKUP($B497,Summary!$B:$D,3,FALSE))=TRUE," ",VLOOKUP($B497,Summary!$B:$D,3,FALSE))</f>
        <v> </v>
      </c>
      <c r="E497" s="62"/>
      <c r="F497" s="62"/>
      <c r="G497" s="62"/>
      <c r="I497" s="63">
        <f t="shared" si="7"/>
        <v>0</v>
      </c>
      <c r="K497" s="64">
        <f>IF(E497="Support(L1_L2)",IF(NOT(ISBLANK(B497)),IF(NOT(ISBLANK(D497)),NETWORKDAYS('CPY TOC'!$F$5,'CPY TOC'!$G$5))))-L497</f>
        <v>0</v>
      </c>
      <c r="L497" s="64">
        <f>IF(E497="Support(L1_L2)",SUMIFS(Support_allowance_Entries!$G:$G,Support_allowance_Entries!$B:$B,CPY!B497),0)</f>
        <v>0</v>
      </c>
      <c r="M497" s="63" t="b">
        <f>IF($D497="D0",MD!$C$4*(K497),IF($D497="D1",MD!$C$5*(K497),IF($D497="D2",MD!$C$6*(K497),IF($D497="D3",MD!$C$7*(K497),IF($D497="D4",MD!$C$8*(K497),IF($D497="D5",MD!$C$9*(K497),IF($D497="M1",MD!$C$10*(K497),IF($D497="T1",MD!$C$11*(K497)))))))))</f>
        <v>0</v>
      </c>
      <c r="O497" s="65">
        <f>SUMIFS(Shift_allowance_Entries!$G:$G,Shift_allowance_Entries!$F:$F,"6:30AM-03:30PM",Shift_allowance_Entries!$B:$B,CPY!$B497)</f>
        <v>0</v>
      </c>
      <c r="P497" s="65">
        <f>SUMIFS(Shift_allowance_Entries!$G:$G,Shift_allowance_Entries!$F:$F,"1-9PM/2:30PM-11:30PM",Shift_allowance_Entries!$B:$B,CPY!$B497)</f>
        <v>0</v>
      </c>
      <c r="Q497" s="65">
        <f>SUMIFS(Shift_allowance_Entries!$G:$G,Shift_allowance_Entries!$F:$F,"11PM-7AM",Shift_allowance_Entries!$B:$B,CPY!$B497)</f>
        <v>0</v>
      </c>
      <c r="R497" s="63">
        <f>(CPY!O497*MD!$F$4)+(CPY!P497*MD!$F$5)+(CPY!Q497*MD!$F$6)</f>
        <v>0</v>
      </c>
      <c r="T497" s="64">
        <f>ROUNDUP((SUMIFS('OOH Activities'!$K:$K,'OOH Activities'!$F:$F,"Non_workdays",'OOH Activities'!$B:$B,CPY!B497)) *24,1)</f>
        <v>0</v>
      </c>
      <c r="U497" s="64">
        <f>ROUNDUP((SUMIFS('OOH Activities'!$K:$K,'OOH Activities'!$F:$F,"Workdays",'OOH Activities'!$B:$B,CPY!B497)) *24,1)</f>
        <v>0</v>
      </c>
      <c r="V497" s="63">
        <f>ROUNDUP((SUMIFS('OOH Activities'!$L:$L,'OOH Activities'!$B:$B,CPY!B497)),1)</f>
        <v>0</v>
      </c>
      <c r="X497" s="65">
        <f>ROUNDUP((SUMIFS('ON Call_Call Out Activities'!$L:$L,'ON Call_Call Out Activities'!$F:$F,"Workdays",'ON Call_Call Out Activities'!$B:$B,CPY!B497))*24,1)</f>
        <v>0</v>
      </c>
      <c r="Y497" s="64">
        <f>ROUNDUP((SUMIFS('ON Call_Call Out Activities'!$L:$L,'ON Call_Call Out Activities'!$F:$F,"Non_workdays",'ON Call_Call Out Activities'!$B:$B,CPY!B497)) *24,1)</f>
        <v>0</v>
      </c>
      <c r="Z497" s="63">
        <f>ROUNDUP((SUMIFS('ON Call_Call Out Activities'!$M:$M,'ON Call_Call Out Activities'!$F:$F,"Non_workdays",'ON Call_Call Out Activities'!$B:$B,CPY!B497)),1) + ROUNDUP((SUMIFS('ON Call_Call Out Activities'!$M:$M,'ON Call_Call Out Activities'!$F:$F,"Workdays",'ON Call_Call Out Activities'!$B:$B,CPY!B497)),1)</f>
        <v>0</v>
      </c>
      <c r="AA497" s="66"/>
      <c r="AB497" s="64">
        <f>ROUNDUP((SUMIFS('ON Call_Call Out Activities'!$L:$L,'ON Call_Call Out Activities'!$F:$F,"Call_Out",'ON Call_Call Out Activities'!$B:$B,CPY!B497)) *24,1)</f>
        <v>0</v>
      </c>
      <c r="AC497" s="63">
        <f>ROUNDUP((SUMIFS('ON Call_Call Out Activities'!$M:$M,'ON Call_Call Out Activities'!$F:$F,"Call_Out",'ON Call_Call Out Activities'!$B:$B,CPY!B497)),1)</f>
        <v>0</v>
      </c>
      <c r="AE497" s="65">
        <f>IF((SUMIF(Shift_allowance_Entries!$B:$B,CPY!$B497,Shift_allowance_Entries!$H:$H)) &gt; (SUMIF(Shift_allowance_Entries!$B:$B,CPY!$B497,Shift_allowance_Entries!$G:$G)),0,((SUMIF(Shift_allowance_Entries!$B:$B,CPY!$B497,Shift_allowance_Entries!$G:$G))-(SUMIF(Shift_allowance_Entries!$B:$B,CPY!$B497,Shift_allowance_Entries!$H:$H))))</f>
        <v>0</v>
      </c>
      <c r="AF497" s="63">
        <f>AE497*MD!$S$4</f>
        <v>0</v>
      </c>
    </row>
    <row r="498" spans="1:32" x14ac:dyDescent="0.25">
      <c r="A498" s="62">
        <v>496</v>
      </c>
      <c r="B498" s="62"/>
      <c r="C498" s="50" t="str">
        <f>IF(ISNA(VLOOKUP($B498,Summary!$B:$D,2,FALSE))=TRUE," ",VLOOKUP($B498,Summary!$B:$D,2,FALSE))</f>
        <v> </v>
      </c>
      <c r="D498" s="50" t="str">
        <f>IF(ISNA(VLOOKUP($B498,Summary!$B:$D,3,FALSE))=TRUE," ",VLOOKUP($B498,Summary!$B:$D,3,FALSE))</f>
        <v> </v>
      </c>
      <c r="E498" s="62"/>
      <c r="F498" s="62"/>
      <c r="G498" s="62"/>
      <c r="I498" s="63">
        <f t="shared" si="7"/>
        <v>0</v>
      </c>
      <c r="K498" s="64">
        <f>IF(E498="Support(L1_L2)",IF(NOT(ISBLANK(B498)),IF(NOT(ISBLANK(D498)),NETWORKDAYS('CPY TOC'!$F$5,'CPY TOC'!$G$5))))-L498</f>
        <v>0</v>
      </c>
      <c r="L498" s="64">
        <f>IF(E498="Support(L1_L2)",SUMIFS(Support_allowance_Entries!$G:$G,Support_allowance_Entries!$B:$B,CPY!B498),0)</f>
        <v>0</v>
      </c>
      <c r="M498" s="63" t="b">
        <f>IF($D498="D0",MD!$C$4*(K498),IF($D498="D1",MD!$C$5*(K498),IF($D498="D2",MD!$C$6*(K498),IF($D498="D3",MD!$C$7*(K498),IF($D498="D4",MD!$C$8*(K498),IF($D498="D5",MD!$C$9*(K498),IF($D498="M1",MD!$C$10*(K498),IF($D498="T1",MD!$C$11*(K498)))))))))</f>
        <v>0</v>
      </c>
      <c r="O498" s="65">
        <f>SUMIFS(Shift_allowance_Entries!$G:$G,Shift_allowance_Entries!$F:$F,"6:30AM-03:30PM",Shift_allowance_Entries!$B:$B,CPY!$B498)</f>
        <v>0</v>
      </c>
      <c r="P498" s="65">
        <f>SUMIFS(Shift_allowance_Entries!$G:$G,Shift_allowance_Entries!$F:$F,"1-9PM/2:30PM-11:30PM",Shift_allowance_Entries!$B:$B,CPY!$B498)</f>
        <v>0</v>
      </c>
      <c r="Q498" s="65">
        <f>SUMIFS(Shift_allowance_Entries!$G:$G,Shift_allowance_Entries!$F:$F,"11PM-7AM",Shift_allowance_Entries!$B:$B,CPY!$B498)</f>
        <v>0</v>
      </c>
      <c r="R498" s="63">
        <f>(CPY!O498*MD!$F$4)+(CPY!P498*MD!$F$5)+(CPY!Q498*MD!$F$6)</f>
        <v>0</v>
      </c>
      <c r="T498" s="64">
        <f>ROUNDUP((SUMIFS('OOH Activities'!$K:$K,'OOH Activities'!$F:$F,"Non_workdays",'OOH Activities'!$B:$B,CPY!B498)) *24,1)</f>
        <v>0</v>
      </c>
      <c r="U498" s="64">
        <f>ROUNDUP((SUMIFS('OOH Activities'!$K:$K,'OOH Activities'!$F:$F,"Workdays",'OOH Activities'!$B:$B,CPY!B498)) *24,1)</f>
        <v>0</v>
      </c>
      <c r="V498" s="63">
        <f>ROUNDUP((SUMIFS('OOH Activities'!$L:$L,'OOH Activities'!$B:$B,CPY!B498)),1)</f>
        <v>0</v>
      </c>
      <c r="X498" s="65">
        <f>ROUNDUP((SUMIFS('ON Call_Call Out Activities'!$L:$L,'ON Call_Call Out Activities'!$F:$F,"Workdays",'ON Call_Call Out Activities'!$B:$B,CPY!B498))*24,1)</f>
        <v>0</v>
      </c>
      <c r="Y498" s="64">
        <f>ROUNDUP((SUMIFS('ON Call_Call Out Activities'!$L:$L,'ON Call_Call Out Activities'!$F:$F,"Non_workdays",'ON Call_Call Out Activities'!$B:$B,CPY!B498)) *24,1)</f>
        <v>0</v>
      </c>
      <c r="Z498" s="63">
        <f>ROUNDUP((SUMIFS('ON Call_Call Out Activities'!$M:$M,'ON Call_Call Out Activities'!$F:$F,"Non_workdays",'ON Call_Call Out Activities'!$B:$B,CPY!B498)),1) + ROUNDUP((SUMIFS('ON Call_Call Out Activities'!$M:$M,'ON Call_Call Out Activities'!$F:$F,"Workdays",'ON Call_Call Out Activities'!$B:$B,CPY!B498)),1)</f>
        <v>0</v>
      </c>
      <c r="AA498" s="66"/>
      <c r="AB498" s="64">
        <f>ROUNDUP((SUMIFS('ON Call_Call Out Activities'!$L:$L,'ON Call_Call Out Activities'!$F:$F,"Call_Out",'ON Call_Call Out Activities'!$B:$B,CPY!B498)) *24,1)</f>
        <v>0</v>
      </c>
      <c r="AC498" s="63">
        <f>ROUNDUP((SUMIFS('ON Call_Call Out Activities'!$M:$M,'ON Call_Call Out Activities'!$F:$F,"Call_Out",'ON Call_Call Out Activities'!$B:$B,CPY!B498)),1)</f>
        <v>0</v>
      </c>
      <c r="AE498" s="65">
        <f>IF((SUMIF(Shift_allowance_Entries!$B:$B,CPY!$B498,Shift_allowance_Entries!$H:$H)) &gt; (SUMIF(Shift_allowance_Entries!$B:$B,CPY!$B498,Shift_allowance_Entries!$G:$G)),0,((SUMIF(Shift_allowance_Entries!$B:$B,CPY!$B498,Shift_allowance_Entries!$G:$G))-(SUMIF(Shift_allowance_Entries!$B:$B,CPY!$B498,Shift_allowance_Entries!$H:$H))))</f>
        <v>0</v>
      </c>
      <c r="AF498" s="63">
        <f>AE498*MD!$S$4</f>
        <v>0</v>
      </c>
    </row>
    <row r="499" spans="1:32" x14ac:dyDescent="0.25">
      <c r="A499" s="62">
        <v>497</v>
      </c>
      <c r="B499" s="62"/>
      <c r="C499" s="50" t="str">
        <f>IF(ISNA(VLOOKUP($B499,Summary!$B:$D,2,FALSE))=TRUE," ",VLOOKUP($B499,Summary!$B:$D,2,FALSE))</f>
        <v> </v>
      </c>
      <c r="D499" s="50" t="str">
        <f>IF(ISNA(VLOOKUP($B499,Summary!$B:$D,3,FALSE))=TRUE," ",VLOOKUP($B499,Summary!$B:$D,3,FALSE))</f>
        <v> </v>
      </c>
      <c r="E499" s="62"/>
      <c r="F499" s="62"/>
      <c r="G499" s="62"/>
      <c r="I499" s="63">
        <f t="shared" si="7"/>
        <v>0</v>
      </c>
      <c r="K499" s="64">
        <f>IF(E499="Support(L1_L2)",IF(NOT(ISBLANK(B499)),IF(NOT(ISBLANK(D499)),NETWORKDAYS('CPY TOC'!$F$5,'CPY TOC'!$G$5))))-L499</f>
        <v>0</v>
      </c>
      <c r="L499" s="64">
        <f>IF(E499="Support(L1_L2)",SUMIFS(Support_allowance_Entries!$G:$G,Support_allowance_Entries!$B:$B,CPY!B499),0)</f>
        <v>0</v>
      </c>
      <c r="M499" s="63" t="b">
        <f>IF($D499="D0",MD!$C$4*(K499),IF($D499="D1",MD!$C$5*(K499),IF($D499="D2",MD!$C$6*(K499),IF($D499="D3",MD!$C$7*(K499),IF($D499="D4",MD!$C$8*(K499),IF($D499="D5",MD!$C$9*(K499),IF($D499="M1",MD!$C$10*(K499),IF($D499="T1",MD!$C$11*(K499)))))))))</f>
        <v>0</v>
      </c>
      <c r="O499" s="65">
        <f>SUMIFS(Shift_allowance_Entries!$G:$G,Shift_allowance_Entries!$F:$F,"6:30AM-03:30PM",Shift_allowance_Entries!$B:$B,CPY!$B499)</f>
        <v>0</v>
      </c>
      <c r="P499" s="65">
        <f>SUMIFS(Shift_allowance_Entries!$G:$G,Shift_allowance_Entries!$F:$F,"1-9PM/2:30PM-11:30PM",Shift_allowance_Entries!$B:$B,CPY!$B499)</f>
        <v>0</v>
      </c>
      <c r="Q499" s="65">
        <f>SUMIFS(Shift_allowance_Entries!$G:$G,Shift_allowance_Entries!$F:$F,"11PM-7AM",Shift_allowance_Entries!$B:$B,CPY!$B499)</f>
        <v>0</v>
      </c>
      <c r="R499" s="63">
        <f>(CPY!O499*MD!$F$4)+(CPY!P499*MD!$F$5)+(CPY!Q499*MD!$F$6)</f>
        <v>0</v>
      </c>
      <c r="T499" s="64">
        <f>ROUNDUP((SUMIFS('OOH Activities'!$K:$K,'OOH Activities'!$F:$F,"Non_workdays",'OOH Activities'!$B:$B,CPY!B499)) *24,1)</f>
        <v>0</v>
      </c>
      <c r="U499" s="64">
        <f>ROUNDUP((SUMIFS('OOH Activities'!$K:$K,'OOH Activities'!$F:$F,"Workdays",'OOH Activities'!$B:$B,CPY!B499)) *24,1)</f>
        <v>0</v>
      </c>
      <c r="V499" s="63">
        <f>ROUNDUP((SUMIFS('OOH Activities'!$L:$L,'OOH Activities'!$B:$B,CPY!B499)),1)</f>
        <v>0</v>
      </c>
      <c r="X499" s="65">
        <f>ROUNDUP((SUMIFS('ON Call_Call Out Activities'!$L:$L,'ON Call_Call Out Activities'!$F:$F,"Workdays",'ON Call_Call Out Activities'!$B:$B,CPY!B499))*24,1)</f>
        <v>0</v>
      </c>
      <c r="Y499" s="64">
        <f>ROUNDUP((SUMIFS('ON Call_Call Out Activities'!$L:$L,'ON Call_Call Out Activities'!$F:$F,"Non_workdays",'ON Call_Call Out Activities'!$B:$B,CPY!B499)) *24,1)</f>
        <v>0</v>
      </c>
      <c r="Z499" s="63">
        <f>ROUNDUP((SUMIFS('ON Call_Call Out Activities'!$M:$M,'ON Call_Call Out Activities'!$F:$F,"Non_workdays",'ON Call_Call Out Activities'!$B:$B,CPY!B499)),1) + ROUNDUP((SUMIFS('ON Call_Call Out Activities'!$M:$M,'ON Call_Call Out Activities'!$F:$F,"Workdays",'ON Call_Call Out Activities'!$B:$B,CPY!B499)),1)</f>
        <v>0</v>
      </c>
      <c r="AA499" s="66"/>
      <c r="AB499" s="64">
        <f>ROUNDUP((SUMIFS('ON Call_Call Out Activities'!$L:$L,'ON Call_Call Out Activities'!$F:$F,"Call_Out",'ON Call_Call Out Activities'!$B:$B,CPY!B499)) *24,1)</f>
        <v>0</v>
      </c>
      <c r="AC499" s="63">
        <f>ROUNDUP((SUMIFS('ON Call_Call Out Activities'!$M:$M,'ON Call_Call Out Activities'!$F:$F,"Call_Out",'ON Call_Call Out Activities'!$B:$B,CPY!B499)),1)</f>
        <v>0</v>
      </c>
      <c r="AE499" s="65">
        <f>IF((SUMIF(Shift_allowance_Entries!$B:$B,CPY!$B499,Shift_allowance_Entries!$H:$H)) &gt; (SUMIF(Shift_allowance_Entries!$B:$B,CPY!$B499,Shift_allowance_Entries!$G:$G)),0,((SUMIF(Shift_allowance_Entries!$B:$B,CPY!$B499,Shift_allowance_Entries!$G:$G))-(SUMIF(Shift_allowance_Entries!$B:$B,CPY!$B499,Shift_allowance_Entries!$H:$H))))</f>
        <v>0</v>
      </c>
      <c r="AF499" s="63">
        <f>AE499*MD!$S$4</f>
        <v>0</v>
      </c>
    </row>
    <row r="500" spans="1:32" x14ac:dyDescent="0.25">
      <c r="A500" s="62">
        <v>498</v>
      </c>
      <c r="B500" s="62"/>
      <c r="C500" s="50" t="str">
        <f>IF(ISNA(VLOOKUP($B500,Summary!$B:$D,2,FALSE))=TRUE," ",VLOOKUP($B500,Summary!$B:$D,2,FALSE))</f>
        <v> </v>
      </c>
      <c r="D500" s="50" t="str">
        <f>IF(ISNA(VLOOKUP($B500,Summary!$B:$D,3,FALSE))=TRUE," ",VLOOKUP($B500,Summary!$B:$D,3,FALSE))</f>
        <v> </v>
      </c>
      <c r="E500" s="62"/>
      <c r="F500" s="62"/>
      <c r="G500" s="62"/>
      <c r="I500" s="63">
        <f t="shared" si="7"/>
        <v>0</v>
      </c>
      <c r="K500" s="64">
        <f>IF(E500="Support(L1_L2)",IF(NOT(ISBLANK(B500)),IF(NOT(ISBLANK(D500)),NETWORKDAYS('CPY TOC'!$F$5,'CPY TOC'!$G$5))))-L500</f>
        <v>0</v>
      </c>
      <c r="L500" s="64">
        <f>IF(E500="Support(L1_L2)",SUMIFS(Support_allowance_Entries!$G:$G,Support_allowance_Entries!$B:$B,CPY!B500),0)</f>
        <v>0</v>
      </c>
      <c r="M500" s="63" t="b">
        <f>IF($D500="D0",MD!$C$4*(K500),IF($D500="D1",MD!$C$5*(K500),IF($D500="D2",MD!$C$6*(K500),IF($D500="D3",MD!$C$7*(K500),IF($D500="D4",MD!$C$8*(K500),IF($D500="D5",MD!$C$9*(K500),IF($D500="M1",MD!$C$10*(K500),IF($D500="T1",MD!$C$11*(K500)))))))))</f>
        <v>0</v>
      </c>
      <c r="O500" s="65">
        <f>SUMIFS(Shift_allowance_Entries!$G:$G,Shift_allowance_Entries!$F:$F,"6:30AM-03:30PM",Shift_allowance_Entries!$B:$B,CPY!$B500)</f>
        <v>0</v>
      </c>
      <c r="P500" s="65">
        <f>SUMIFS(Shift_allowance_Entries!$G:$G,Shift_allowance_Entries!$F:$F,"1-9PM/2:30PM-11:30PM",Shift_allowance_Entries!$B:$B,CPY!$B500)</f>
        <v>0</v>
      </c>
      <c r="Q500" s="65">
        <f>SUMIFS(Shift_allowance_Entries!$G:$G,Shift_allowance_Entries!$F:$F,"11PM-7AM",Shift_allowance_Entries!$B:$B,CPY!$B500)</f>
        <v>0</v>
      </c>
      <c r="R500" s="63">
        <f>(CPY!O500*MD!$F$4)+(CPY!P500*MD!$F$5)+(CPY!Q500*MD!$F$6)</f>
        <v>0</v>
      </c>
      <c r="T500" s="64">
        <f>ROUNDUP((SUMIFS('OOH Activities'!$K:$K,'OOH Activities'!$F:$F,"Non_workdays",'OOH Activities'!$B:$B,CPY!B500)) *24,1)</f>
        <v>0</v>
      </c>
      <c r="U500" s="64">
        <f>ROUNDUP((SUMIFS('OOH Activities'!$K:$K,'OOH Activities'!$F:$F,"Workdays",'OOH Activities'!$B:$B,CPY!B500)) *24,1)</f>
        <v>0</v>
      </c>
      <c r="V500" s="63">
        <f>ROUNDUP((SUMIFS('OOH Activities'!$L:$L,'OOH Activities'!$B:$B,CPY!B500)),1)</f>
        <v>0</v>
      </c>
      <c r="X500" s="65">
        <f>ROUNDUP((SUMIFS('ON Call_Call Out Activities'!$L:$L,'ON Call_Call Out Activities'!$F:$F,"Workdays",'ON Call_Call Out Activities'!$B:$B,CPY!B500))*24,1)</f>
        <v>0</v>
      </c>
      <c r="Y500" s="64">
        <f>ROUNDUP((SUMIFS('ON Call_Call Out Activities'!$L:$L,'ON Call_Call Out Activities'!$F:$F,"Non_workdays",'ON Call_Call Out Activities'!$B:$B,CPY!B500)) *24,1)</f>
        <v>0</v>
      </c>
      <c r="Z500" s="63">
        <f>ROUNDUP((SUMIFS('ON Call_Call Out Activities'!$M:$M,'ON Call_Call Out Activities'!$F:$F,"Non_workdays",'ON Call_Call Out Activities'!$B:$B,CPY!B500)),1) + ROUNDUP((SUMIFS('ON Call_Call Out Activities'!$M:$M,'ON Call_Call Out Activities'!$F:$F,"Workdays",'ON Call_Call Out Activities'!$B:$B,CPY!B500)),1)</f>
        <v>0</v>
      </c>
      <c r="AA500" s="66"/>
      <c r="AB500" s="64">
        <f>ROUNDUP((SUMIFS('ON Call_Call Out Activities'!$L:$L,'ON Call_Call Out Activities'!$F:$F,"Call_Out",'ON Call_Call Out Activities'!$B:$B,CPY!B500)) *24,1)</f>
        <v>0</v>
      </c>
      <c r="AC500" s="63">
        <f>ROUNDUP((SUMIFS('ON Call_Call Out Activities'!$M:$M,'ON Call_Call Out Activities'!$F:$F,"Call_Out",'ON Call_Call Out Activities'!$B:$B,CPY!B500)),1)</f>
        <v>0</v>
      </c>
      <c r="AE500" s="65">
        <f>IF((SUMIF(Shift_allowance_Entries!$B:$B,CPY!$B500,Shift_allowance_Entries!$H:$H)) &gt; (SUMIF(Shift_allowance_Entries!$B:$B,CPY!$B500,Shift_allowance_Entries!$G:$G)),0,((SUMIF(Shift_allowance_Entries!$B:$B,CPY!$B500,Shift_allowance_Entries!$G:$G))-(SUMIF(Shift_allowance_Entries!$B:$B,CPY!$B500,Shift_allowance_Entries!$H:$H))))</f>
        <v>0</v>
      </c>
      <c r="AF500" s="63">
        <f>AE500*MD!$S$4</f>
        <v>0</v>
      </c>
    </row>
  </sheetData>
  <sheetProtection sheet="1" algorithmName="SHA-512" hashValue="wAe/UZ95Pd1LPf15Xa9V0uQjwWDh8w+i5d3e1ut4iT3DTpThzuKcPAzh1S8fC3+YUECLshm9KXh1sHdQJhVeEQ==" saltValue="tjxTff9elPaeTU04lQOeiw==" spinCount="100000" objects="1" scenarios="1"/>
  <autoFilter ref="A2:AF2"/>
  <mergeCells count="21">
    <mergeCell ref="K1:M1"/>
    <mergeCell ref="O1:R1"/>
    <mergeCell ref="T1:V1"/>
    <mergeCell ref="X1:Z1"/>
    <mergeCell ref="AB1:AC1"/>
    <mergeCell ref="AE1:AF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N1:N2"/>
    <mergeCell ref="S1:S2"/>
    <mergeCell ref="W1:W2"/>
    <mergeCell ref="AA1:AA2"/>
    <mergeCell ref="AD1:AD2"/>
  </mergeCells>
  <conditionalFormatting sqref="A3:AF500">
    <cfRule type="expression" dxfId="3" priority="24">
      <formula>AND($E3="DnD(Dev&amp;L3)",$K3&gt;0)</formula>
    </cfRule>
    <cfRule type="expression" dxfId="4" priority="25">
      <formula>AND($E3="DnD(Dev&amp;L3)",$AC3&gt;0)</formula>
    </cfRule>
    <cfRule type="expression" dxfId="5" priority="26">
      <formula>AND($E3="DnD(Dev&amp;L3)",$Z3&gt;0)</formula>
    </cfRule>
    <cfRule type="expression" dxfId="6" priority="27">
      <formula>AND($E3="Support(L1_L2)",$V3&gt;0)</formula>
    </cfRule>
  </conditionalFormatting>
  <dataValidations count="14">
    <dataValidation type="custom" showInputMessage="1" showErrorMessage="1" errorTitle="Call Out" error="Call out will be provided only members working on call" sqref="AB10:AB500">
      <formula1>($Z3&gt;0)</formula1>
    </dataValidation>
    <dataValidation type="custom" showInputMessage="1" showErrorMessage="1" errorTitle="Call Out" error="Call out will be provided only members working on call" sqref="AB3:AB500">
      <formula1>($Z3&gt;0)</formula1>
    </dataValidation>
    <dataValidation type="custom" showInputMessage="1" showErrorMessage="1" errorTitle="Cab Expenses" error="Cab expenses will be provided to ony members working in Shift" sqref="AE10:AE500">
      <formula1>OR(NOT(ISBLANK($O3)),NOT(ISBLANK($P3)),NOT(ISBLANK($Q3)))</formula1>
    </dataValidation>
    <dataValidation type="custom" showInputMessage="1" showErrorMessage="1" errorTitle="Cab Expenses" error="Cab expenses will be provided to ony members working in Shift" sqref="AE3:AE500">
      <formula1>OR(NOT(ISBLANK($O3)),NOT(ISBLANK($P3)),NOT(ISBLANK($Q3)))</formula1>
    </dataValidation>
    <dataValidation type="list" allowBlank="1" showInputMessage="1" showErrorMessage="1" sqref="E10:E500">
      <formula1>"Support(L1_L2),Product Support(L3_L4),DnD(Dev&amp;L3),Exception"</formula1>
    </dataValidation>
    <dataValidation type="list" allowBlank="1" showInputMessage="1" showErrorMessage="1" sqref="E3:E500">
      <formula1>"Support(L1_L2),Product Support(L3_L4),DnD(Dev&amp;L3),Exception"</formula1>
    </dataValidation>
    <dataValidation type="custom" showInputMessage="1" showErrorMessage="1" errorTitle="Support Allowanc" error="Support Allowance will be provide only to support team" sqref="K10:L500">
      <formula1>($E3="Support(L1_L2)")</formula1>
    </dataValidation>
    <dataValidation type="custom" showInputMessage="1" showErrorMessage="1" errorTitle="Support Allowanc" error="Support Allowance will be provide only to support team" sqref="K3:L500">
      <formula1>($E3="Support(L1_L2)")</formula1>
    </dataValidation>
    <dataValidation type="custom" showInputMessage="1" showErrorMessage="1" errorTitle="Shift Allowance" error="Shift Allowance will be provide to support and exception cases " sqref="O10:Q500">
      <formula1>OR($E3="Support(L1_L2)",$E3="Exception")</formula1>
    </dataValidation>
    <dataValidation type="custom" showInputMessage="1" showErrorMessage="1" errorTitle="Shift Allowance" error="Shift Allowance will be provide to support and exception cases " sqref="O3:Q500">
      <formula1>OR($E3="Support(L1_L2)",$E3="Exception")</formula1>
    </dataValidation>
    <dataValidation type="custom" showInputMessage="1" showErrorMessage="1" errorTitle="OOH" error="OOH will be allowed only for DnD projects" sqref="T10:U500">
      <formula1>OR($E3="DnD(Dev&amp;L3)",$E3="Exception")</formula1>
    </dataValidation>
    <dataValidation type="custom" showInputMessage="1" showErrorMessage="1" errorTitle="OOH" error="OOH will be allowed only for DnD projects" sqref="T3:U500">
      <formula1>OR($E3="DnD(Dev&amp;L3)",$E3="Exception")</formula1>
    </dataValidation>
    <dataValidation type="custom" showInputMessage="1" showErrorMessage="1" errorTitle="On Call" error="On Call  Allowance will be provide to support " sqref="X10:Y500">
      <formula1>OR($E3="Support(L1_L2)",$E3="Exception")</formula1>
    </dataValidation>
    <dataValidation type="custom" showInputMessage="1" showErrorMessage="1" errorTitle="On Call" error="On Call  Allowance will be provide to support " sqref="X3:Y500">
      <formula1>OR($E3="Support(L1_L2)",$E3="Exception")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11"/>
  <sheetViews>
    <sheetView workbookViewId="0" zoomScale="100" zoomScaleNormal="100">
      <selection activeCell="A5" sqref="A5"/>
    </sheetView>
  </sheetViews>
  <sheetFormatPr defaultRowHeight="14.5" outlineLevelRow="0" outlineLevelCol="0" x14ac:dyDescent="0.35" defaultColWidth="9.1796875" customHeight="1"/>
  <cols>
    <col min="1" max="1" width="9.1796875" style="43" customWidth="1"/>
    <col min="2" max="2" width="16" style="43" customWidth="1"/>
    <col min="3" max="3" width="15.7265625" style="43" customWidth="1"/>
    <col min="4" max="4" width="9.1796875" style="43" customWidth="1"/>
    <col min="5" max="5" width="13.54296875" style="43" customWidth="1"/>
    <col min="6" max="6" width="17" style="43" customWidth="1"/>
    <col min="7" max="7" width="9.1796875" style="43" customWidth="1"/>
    <col min="8" max="8" width="35" style="43" customWidth="1"/>
    <col min="9" max="11" width="9.1796875" style="43" customWidth="1"/>
    <col min="12" max="12" width="30" style="43" customWidth="1"/>
    <col min="13" max="14" width="9.1796875" style="43" customWidth="1"/>
    <col min="15" max="15" width="14.54296875" style="43" customWidth="1"/>
    <col min="16" max="17" width="9.1796875" style="43" customWidth="1"/>
    <col min="18" max="18" width="13.1796875" style="43" customWidth="1"/>
    <col min="19" max="16384" width="9.1796875" style="43" customWidth="1"/>
  </cols>
  <sheetData>
    <row r="1" ht="15" customHeight="1" spans="2:18" x14ac:dyDescent="0.25">
      <c r="B1" s="97" t="s">
        <v>2078</v>
      </c>
      <c r="E1" s="97" t="s">
        <v>22</v>
      </c>
      <c r="H1" s="97" t="s">
        <v>23</v>
      </c>
      <c r="L1" s="43" t="s">
        <v>24</v>
      </c>
      <c r="O1" s="43" t="s">
        <v>2079</v>
      </c>
      <c r="R1" s="43" t="s">
        <v>2080</v>
      </c>
    </row>
    <row r="2" ht="57" customHeight="1" spans="2:19" x14ac:dyDescent="0.25">
      <c r="B2" s="98" t="s">
        <v>2081</v>
      </c>
      <c r="C2" s="99"/>
      <c r="E2" s="98" t="s">
        <v>2081</v>
      </c>
      <c r="F2" s="99"/>
      <c r="H2" s="100" t="s">
        <v>2081</v>
      </c>
      <c r="I2" s="101"/>
      <c r="J2" s="101"/>
      <c r="L2" s="98" t="s">
        <v>2081</v>
      </c>
      <c r="M2" s="99"/>
      <c r="O2" s="98" t="s">
        <v>2081</v>
      </c>
      <c r="P2" s="99"/>
      <c r="R2" s="98" t="s">
        <v>2081</v>
      </c>
      <c r="S2" s="99"/>
    </row>
    <row r="3" ht="13.5" customHeight="1" spans="2:19" x14ac:dyDescent="0.25">
      <c r="B3" s="102" t="s">
        <v>31</v>
      </c>
      <c r="C3" s="102" t="s">
        <v>2082</v>
      </c>
      <c r="E3" s="102" t="s">
        <v>2083</v>
      </c>
      <c r="F3" s="102" t="s">
        <v>2082</v>
      </c>
      <c r="H3" s="102" t="s">
        <v>2084</v>
      </c>
      <c r="I3" s="102" t="s">
        <v>2085</v>
      </c>
      <c r="J3" s="102" t="s">
        <v>2086</v>
      </c>
      <c r="L3" s="102" t="s">
        <v>2084</v>
      </c>
      <c r="M3" s="102" t="s">
        <v>2085</v>
      </c>
      <c r="N3" s="102" t="s">
        <v>2086</v>
      </c>
      <c r="O3" s="102" t="s">
        <v>2084</v>
      </c>
      <c r="P3" s="102" t="s">
        <v>2085</v>
      </c>
      <c r="Q3" s="102" t="s">
        <v>2086</v>
      </c>
      <c r="R3" s="102" t="s">
        <v>2084</v>
      </c>
      <c r="S3" s="102" t="s">
        <v>2086</v>
      </c>
    </row>
    <row r="4" ht="26.5" customHeight="1" spans="2:19" x14ac:dyDescent="0.25">
      <c r="B4" s="103" t="s">
        <v>841</v>
      </c>
      <c r="C4" s="104">
        <v>250</v>
      </c>
      <c r="E4" s="94" t="s">
        <v>2024</v>
      </c>
      <c r="F4" s="104">
        <v>175</v>
      </c>
      <c r="H4" s="94" t="s">
        <v>2087</v>
      </c>
      <c r="I4" s="104">
        <v>150</v>
      </c>
      <c r="J4" s="104">
        <v>1800</v>
      </c>
      <c r="L4" s="94" t="s">
        <v>2088</v>
      </c>
      <c r="M4" s="104">
        <v>62.5</v>
      </c>
      <c r="N4" s="104"/>
      <c r="O4" s="94" t="s">
        <v>2089</v>
      </c>
      <c r="P4" s="104">
        <v>100</v>
      </c>
      <c r="Q4" s="104">
        <v>800</v>
      </c>
      <c r="R4" s="105" t="s">
        <v>2032</v>
      </c>
      <c r="S4" s="104">
        <v>150</v>
      </c>
    </row>
    <row r="5" ht="26.5" customHeight="1" spans="2:14" x14ac:dyDescent="0.25">
      <c r="B5" s="106" t="s">
        <v>85</v>
      </c>
      <c r="C5" s="107">
        <v>275</v>
      </c>
      <c r="E5" s="94" t="s">
        <v>2090</v>
      </c>
      <c r="F5" s="104">
        <v>250</v>
      </c>
      <c r="H5" s="94" t="s">
        <v>2091</v>
      </c>
      <c r="I5" s="104">
        <v>150</v>
      </c>
      <c r="J5" s="104">
        <v>1800</v>
      </c>
      <c r="L5" s="94" t="s">
        <v>2092</v>
      </c>
      <c r="M5" s="104">
        <v>62.5</v>
      </c>
      <c r="N5" s="104">
        <v>500</v>
      </c>
    </row>
    <row r="6" ht="26.5" customHeight="1" spans="2:14" x14ac:dyDescent="0.25">
      <c r="B6" s="103" t="s">
        <v>69</v>
      </c>
      <c r="C6" s="104">
        <v>300</v>
      </c>
      <c r="E6" s="94" t="s">
        <v>2026</v>
      </c>
      <c r="F6" s="104">
        <v>500</v>
      </c>
      <c r="H6" s="94" t="s">
        <v>2093</v>
      </c>
      <c r="I6" s="104">
        <v>100</v>
      </c>
      <c r="J6" s="104">
        <v>1600</v>
      </c>
      <c r="L6" s="94" t="s">
        <v>2094</v>
      </c>
      <c r="M6" s="104">
        <v>100</v>
      </c>
      <c r="N6" s="104">
        <v>800</v>
      </c>
    </row>
    <row r="7" ht="26.5" customHeight="1" spans="2:14" x14ac:dyDescent="0.25">
      <c r="B7" s="108" t="s">
        <v>78</v>
      </c>
      <c r="C7" s="107">
        <v>325</v>
      </c>
      <c r="L7" s="94" t="s">
        <v>2095</v>
      </c>
      <c r="M7" s="104">
        <v>100</v>
      </c>
      <c r="N7" s="104">
        <v>800</v>
      </c>
    </row>
    <row r="8" ht="15" customHeight="1" spans="2:3" x14ac:dyDescent="0.25">
      <c r="B8" s="103" t="s">
        <v>46</v>
      </c>
      <c r="C8" s="104">
        <v>325</v>
      </c>
    </row>
    <row r="9" ht="15" customHeight="1" spans="2:3" x14ac:dyDescent="0.25">
      <c r="B9" s="106" t="s">
        <v>51</v>
      </c>
      <c r="C9" s="107">
        <v>325</v>
      </c>
    </row>
    <row r="10" ht="15" customHeight="1" spans="2:3" x14ac:dyDescent="0.25">
      <c r="B10" s="106" t="s">
        <v>33</v>
      </c>
      <c r="C10" s="107">
        <v>0</v>
      </c>
    </row>
    <row r="11" ht="15" customHeight="1" spans="2:3" x14ac:dyDescent="0.25">
      <c r="B11" s="106" t="s">
        <v>40</v>
      </c>
      <c r="C11" s="107">
        <v>0</v>
      </c>
    </row>
  </sheetData>
  <sheetProtection sheet="1" algorithmName="SHA-512" hashValue="c/rFosS5HQPkiJh62O0E04ea2MAVg9jp41hxxOS0Tuv8mQjpbHndgL7sj+FayEDABxuUiTOYD2/Qh5gjwdusHQ==" saltValue="sH+XzqSFK3d/Xm3HNhqjlw==" spinCount="100000" objects="1" scenarios="1"/>
  <mergeCells count="6">
    <mergeCell ref="B2:C2"/>
    <mergeCell ref="E2:F2"/>
    <mergeCell ref="H2:J2"/>
    <mergeCell ref="L2:M2"/>
    <mergeCell ref="O2:P2"/>
    <mergeCell ref="R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0"/>
  <sheetViews>
    <sheetView workbookViewId="0" showGridLines="0" zoomScale="85" zoomScaleNormal="85"/>
  </sheetViews>
  <sheetFormatPr defaultRowHeight="14.5" outlineLevelRow="0" outlineLevelCol="0" x14ac:dyDescent="0.35" defaultColWidth="9.1796875" customHeight="1"/>
  <cols>
    <col min="1" max="1" width="5.54296875" style="1" customWidth="1"/>
    <col min="2" max="2" width="6.54296875" style="1" customWidth="1"/>
    <col min="3" max="3" width="30.1796875" style="76" customWidth="1"/>
    <col min="4" max="4" width="7.26953125" style="43" customWidth="1"/>
    <col min="5" max="5" width="52.453125" style="43" customWidth="1"/>
    <col min="6" max="6" width="16" style="1" customWidth="1"/>
    <col min="7" max="7" width="2.26953125" style="77" customWidth="1"/>
    <col min="8" max="8" width="15" style="1" customWidth="1"/>
    <col min="9" max="9" width="10" style="1" customWidth="1"/>
    <col min="10" max="10" width="9.1796875" style="1" customWidth="1"/>
    <col min="11" max="11" width="9.1796875" style="78" customWidth="1"/>
    <col min="12" max="12" width="9.1796875" style="79" customWidth="1"/>
    <col min="13" max="13" width="81.81640625" style="1" customWidth="1"/>
    <col min="14" max="14" width="1" style="72" customWidth="1"/>
    <col min="15" max="17" width="9.1796875" style="1" customWidth="1"/>
    <col min="18" max="16384" width="9.1796875" style="72" customWidth="1"/>
  </cols>
  <sheetData>
    <row r="1" ht="24.75" customHeight="1" spans="1:13" x14ac:dyDescent="0.25">
      <c r="A1" s="67" t="s">
        <v>28</v>
      </c>
      <c r="B1" s="67" t="s">
        <v>29</v>
      </c>
      <c r="C1" s="80" t="s">
        <v>30</v>
      </c>
      <c r="D1" s="81" t="s">
        <v>31</v>
      </c>
      <c r="E1" s="81" t="s">
        <v>2014</v>
      </c>
      <c r="F1" s="67" t="s">
        <v>2054</v>
      </c>
      <c r="G1" s="82"/>
      <c r="H1" s="67" t="s">
        <v>16</v>
      </c>
      <c r="I1" s="67" t="s">
        <v>2055</v>
      </c>
      <c r="J1" s="67" t="s">
        <v>2056</v>
      </c>
      <c r="K1" s="83" t="s">
        <v>2057</v>
      </c>
      <c r="L1" s="84" t="s">
        <v>2058</v>
      </c>
      <c r="M1" s="67" t="s">
        <v>2059</v>
      </c>
    </row>
    <row r="2" spans="1:14" x14ac:dyDescent="0.25">
      <c r="A2" s="62">
        <v>1</v>
      </c>
      <c r="B2" s="57">
        <v>5713</v>
      </c>
      <c r="C2" s="85" t="str">
        <f>IF(ISNA(VLOOKUP($B2,CPY!$B:$G,2,FALSE))=TRUE," ",VLOOKUP($B2,CPY!$B:$G,2,FALSE))</f>
        <v> </v>
      </c>
      <c r="D2" s="50" t="str">
        <f>IF(ISNA(VLOOKUP($B2,CPY!$B:$G,3,FALSE))=TRUE," ",VLOOKUP($B2,CPY!$B:$G,3,FALSE))</f>
        <v> </v>
      </c>
      <c r="E2" s="65" t="str">
        <f>IF(ISNA(VLOOKUP($B2,CPY!$B:$G,4,FALSE))=TRUE," ",VLOOKUP($B2,CPY!$B:$G,4,FALSE))</f>
        <v> </v>
      </c>
      <c r="F2" s="62" t="s">
        <v>2060</v>
      </c>
      <c r="G2" s="86"/>
      <c r="H2" s="87" t="s">
        <v>2061</v>
      </c>
      <c r="I2" s="88" t="s">
        <v>2062</v>
      </c>
      <c r="J2" s="88" t="s">
        <v>2063</v>
      </c>
      <c r="K2" s="89">
        <f t="shared" ref="K2:K4" si="0">IF(NOT(ISBLANK($J2)),(IF(J2&lt;I2,J2+1,J2)-I2))</f>
        <v>0</v>
      </c>
      <c r="L2" s="90" t="b">
        <f>IF((ISNUMBER(K2)),IF(AND(F2="Workdays",(SUMIFS(N:N,F:F,F2,H:H,H2,B:B,B2)&lt;=24)),IF(AND((K2*24)&gt;0,(K2*24)&lt;16),((K2*24)*MD!$I$6),IF((K2*24)&gt;=16,(MD!$J$6))),IF(AND(F2="Non_workdays",(SUMIFS(N:N,F:F,F2,H:H,H2,B:B,B2)&lt;=24)),IF(AND((K2*24)&gt;0,(K2*24)&lt;12),((K2*24)*MD!$I$5),IF((K2*24)&gt;=12,(MD!$J$5))))))</f>
        <v>0</v>
      </c>
      <c r="M2" s="62"/>
      <c r="N2" s="72">
        <f>K2*24</f>
        <v>0</v>
      </c>
    </row>
    <row r="3" spans="1:14" x14ac:dyDescent="0.25">
      <c r="A3" s="62">
        <v>2</v>
      </c>
      <c r="B3" s="57">
        <v>5713</v>
      </c>
      <c r="C3" s="85" t="str">
        <f>IF(ISNA(VLOOKUP($B3,CPY!$B:$G,2,FALSE))=TRUE," ",VLOOKUP($B3,CPY!$B:$G,2,FALSE))</f>
        <v> </v>
      </c>
      <c r="D3" s="50" t="str">
        <f>IF(ISNA(VLOOKUP($B3,CPY!$B:$G,3,FALSE))=TRUE," ",VLOOKUP($B3,CPY!$B:$G,3,FALSE))</f>
        <v> </v>
      </c>
      <c r="E3" s="65" t="str">
        <f>IF(ISNA(VLOOKUP($B3,CPY!$B:$G,4,FALSE))=TRUE," ",VLOOKUP($B3,CPY!$B:$G,4,FALSE))</f>
        <v> </v>
      </c>
      <c r="F3" s="62" t="s">
        <v>2064</v>
      </c>
      <c r="G3" s="86"/>
      <c r="H3" s="87" t="s">
        <v>2065</v>
      </c>
      <c r="I3" s="88" t="s">
        <v>2062</v>
      </c>
      <c r="J3" s="88" t="s">
        <v>2063</v>
      </c>
      <c r="K3" s="89">
        <f t="shared" si="0"/>
        <v>0</v>
      </c>
      <c r="L3" s="90" t="b">
        <f>IF((ISNUMBER(K3)),IF(AND(F3="Workdays",(SUMIFS(N:N,F:F,F3,H:H,H3,B:B,B3)&lt;=24)),IF(AND((K3*24)&gt;0,(K3*24)&lt;16),((K3*24)*MD!$I$6),IF((K3*24)&gt;=16,(MD!$J$6))),IF(AND(F3="Non_workdays",(SUMIFS(N:N,F:F,F3,H:H,H3,B:B,B3)&lt;=24)),IF(AND((K3*24)&gt;0,(K3*24)&lt;12),((K3*24)*MD!$I$5),IF((K3*24)&gt;=12,(MD!$J$5))))))</f>
        <v>0</v>
      </c>
      <c r="M3" s="62"/>
      <c r="N3" s="72">
        <f t="shared" ref="N3:N66" si="1">K3*24</f>
        <v>0</v>
      </c>
    </row>
    <row r="4" spans="1:14" x14ac:dyDescent="0.25">
      <c r="A4" s="62">
        <v>3</v>
      </c>
      <c r="B4" s="57">
        <v>5053</v>
      </c>
      <c r="C4" s="85" t="str">
        <f>IF(ISNA(VLOOKUP($B4,CPY!$B:$G,2,FALSE))=TRUE," ",VLOOKUP($B4,CPY!$B:$G,2,FALSE))</f>
        <v> </v>
      </c>
      <c r="D4" s="50" t="str">
        <f>IF(ISNA(VLOOKUP($B4,CPY!$B:$G,3,FALSE))=TRUE," ",VLOOKUP($B4,CPY!$B:$G,3,FALSE))</f>
        <v> </v>
      </c>
      <c r="E4" s="65" t="str">
        <f>IF(ISNA(VLOOKUP($B4,CPY!$B:$G,4,FALSE))=TRUE," ",VLOOKUP($B4,CPY!$B:$G,4,FALSE))</f>
        <v> </v>
      </c>
      <c r="F4" s="62" t="s">
        <v>2060</v>
      </c>
      <c r="G4" s="86"/>
      <c r="H4" s="87" t="s">
        <v>2066</v>
      </c>
      <c r="I4" s="88" t="s">
        <v>2067</v>
      </c>
      <c r="J4" s="88" t="s">
        <v>2068</v>
      </c>
      <c r="K4" s="89">
        <f t="shared" si="0"/>
        <v>0</v>
      </c>
      <c r="L4" s="90" t="b">
        <f>IF((ISNUMBER(K4)),IF(AND(F4="Workdays",(SUMIFS(N:N,F:F,F4,H:H,H4,B:B,B4)&lt;=24)),IF(AND((K4*24)&gt;0,(K4*24)&lt;16),((K4*24)*MD!$I$6),IF((K4*24)&gt;=16,(MD!$J$6))),IF(AND(F4="Non_workdays",(SUMIFS(N:N,F:F,F4,H:H,H4,B:B,B4)&lt;=24)),IF(AND((K4*24)&gt;0,(K4*24)&lt;12),((K4*24)*MD!$I$5),IF((K4*24)&gt;=12,(MD!$J$5))))))</f>
        <v>0</v>
      </c>
      <c r="M4" s="62"/>
      <c r="N4" s="72">
        <f t="shared" si="1"/>
        <v>0</v>
      </c>
    </row>
    <row r="5" spans="1:16" x14ac:dyDescent="0.25">
      <c r="A5" s="62">
        <v>4</v>
      </c>
      <c r="B5" s="57">
        <v>5053</v>
      </c>
      <c r="C5" s="85" t="str">
        <f>IF(ISNA(VLOOKUP($B5,CPY!$B:$G,2,FALSE))=TRUE," ",VLOOKUP($B5,CPY!$B:$G,2,FALSE))</f>
        <v> </v>
      </c>
      <c r="D5" s="50" t="str">
        <f>IF(ISNA(VLOOKUP($B5,CPY!$B:$G,3,FALSE))=TRUE," ",VLOOKUP($B5,CPY!$B:$G,3,FALSE))</f>
        <v> </v>
      </c>
      <c r="E5" s="65" t="str">
        <f>IF(ISNA(VLOOKUP($B5,CPY!$B:$G,4,FALSE))=TRUE," ",VLOOKUP($B5,CPY!$B:$G,4,FALSE))</f>
        <v> </v>
      </c>
      <c r="F5" s="62" t="s">
        <v>2064</v>
      </c>
      <c r="G5" s="86"/>
      <c r="H5" s="87" t="s">
        <v>2066</v>
      </c>
      <c r="I5" s="88" t="s">
        <v>2069</v>
      </c>
      <c r="J5" s="88" t="s">
        <v>2070</v>
      </c>
      <c r="K5" s="89">
        <f t="shared" ref="K5:K7" si="2">IF(NOT(ISBLANK($J5)),(IF(J5&lt;I5,J5+1,J5)-I5))</f>
        <v>0</v>
      </c>
      <c r="L5" s="90" t="b">
        <f>IF((ISNUMBER(K5)),IF(AND(F5="Workdays",(SUMIFS(N:N,F:F,F5,H:H,H5,B:B,B5)&lt;=24)),IF(AND((K5*24)&gt;0,(K5*24)&lt;16),((K5*24)*MD!$I$6),IF((K5*24)&gt;=16,(MD!$J$6))),IF(AND(F5="Non_workdays",(SUMIFS(N:N,F:F,F5,H:H,H5,B:B,B5)&lt;=24)),IF(AND((K5*24)&gt;0,(K5*24)&lt;12),((K5*24)*MD!$I$5),IF((K5*24)&gt;=12,(MD!$J$5))))))</f>
        <v>0</v>
      </c>
      <c r="M5" s="62"/>
      <c r="N5" s="72">
        <f t="shared" si="1"/>
        <v>0</v>
      </c>
      <c r="O5" s="71"/>
      <c r="P5" s="72"/>
    </row>
    <row r="6" spans="1:14" x14ac:dyDescent="0.25">
      <c r="A6" s="62">
        <v>5</v>
      </c>
      <c r="B6" s="57"/>
      <c r="C6" s="85" t="str">
        <f>IF(ISNA(VLOOKUP($B6,CPY!$B:$G,2,FALSE))=TRUE," ",VLOOKUP($B6,CPY!$B:$G,2,FALSE))</f>
        <v> </v>
      </c>
      <c r="D6" s="50" t="str">
        <f>IF(ISNA(VLOOKUP($B6,CPY!$B:$G,3,FALSE))=TRUE," ",VLOOKUP($B6,CPY!$B:$G,3,FALSE))</f>
        <v> </v>
      </c>
      <c r="E6" s="65" t="str">
        <f>IF(ISNA(VLOOKUP($B6,CPY!$B:$G,4,FALSE))=TRUE," ",VLOOKUP($B6,CPY!$B:$G,4,FALSE))</f>
        <v> </v>
      </c>
      <c r="F6" s="62"/>
      <c r="G6" s="86"/>
      <c r="H6" s="87"/>
      <c r="I6" s="88"/>
      <c r="J6" s="88"/>
      <c r="K6" s="89">
        <f t="shared" si="2"/>
        <v>0</v>
      </c>
      <c r="L6" s="90" t="b">
        <f>IF((ISNUMBER(K6)),IF(AND(F6="Workdays",(SUMIFS(N:N,F:F,F6,H:H,H6,B:B,B6)&lt;=24)),IF(AND((K6*24)&gt;0,(K6*24)&lt;16),((K6*24)*MD!$I$6),IF((K6*24)&gt;=16,(MD!$J$6))),IF(AND(F6="Non_workdays",(SUMIFS(N:N,F:F,F6,H:H,H6,B:B,B6)&lt;=24)),IF(AND((K6*24)&gt;0,(K6*24)&lt;12),((K6*24)*MD!$I$5),IF((K6*24)&gt;=12,(MD!$J$5))))))</f>
        <v>0</v>
      </c>
      <c r="M6" s="62"/>
      <c r="N6" s="72">
        <f t="shared" si="1"/>
        <v>0</v>
      </c>
    </row>
    <row r="7" spans="1:14" x14ac:dyDescent="0.25">
      <c r="A7" s="62">
        <v>6</v>
      </c>
      <c r="B7" s="57"/>
      <c r="C7" s="85" t="str">
        <f>IF(ISNA(VLOOKUP($B7,CPY!$B:$G,2,FALSE))=TRUE," ",VLOOKUP($B7,CPY!$B:$G,2,FALSE))</f>
        <v> </v>
      </c>
      <c r="D7" s="50" t="str">
        <f>IF(ISNA(VLOOKUP($B7,CPY!$B:$G,3,FALSE))=TRUE," ",VLOOKUP($B7,CPY!$B:$G,3,FALSE))</f>
        <v> </v>
      </c>
      <c r="E7" s="65" t="str">
        <f>IF(ISNA(VLOOKUP($B7,CPY!$B:$G,4,FALSE))=TRUE," ",VLOOKUP($B7,CPY!$B:$G,4,FALSE))</f>
        <v> </v>
      </c>
      <c r="F7" s="62"/>
      <c r="G7" s="86"/>
      <c r="H7" s="87"/>
      <c r="I7" s="88"/>
      <c r="J7" s="88"/>
      <c r="K7" s="89">
        <f t="shared" si="2"/>
        <v>0</v>
      </c>
      <c r="L7" s="90" t="b">
        <f>IF((ISNUMBER(K7)),IF(AND(F7="Workdays",(SUMIFS(N:N,F:F,F7,H:H,H7,B:B,B7)&lt;=24)),IF(AND((K7*24)&gt;0,(K7*24)&lt;16),((K7*24)*MD!$I$6),IF((K7*24)&gt;=16,(MD!$J$6))),IF(AND(F7="Non_workdays",(SUMIFS(N:N,F:F,F7,H:H,H7,B:B,B7)&lt;=24)),IF(AND((K7*24)&gt;0,(K7*24)&lt;12),((K7*24)*MD!$I$5),IF((K7*24)&gt;=12,(MD!$J$5))))))</f>
        <v>0</v>
      </c>
      <c r="M7" s="62"/>
      <c r="N7" s="72">
        <f t="shared" si="1"/>
        <v>0</v>
      </c>
    </row>
    <row r="8" spans="1:14" x14ac:dyDescent="0.25">
      <c r="A8" s="62">
        <v>7</v>
      </c>
      <c r="B8" s="57"/>
      <c r="C8" s="85" t="str">
        <f>IF(ISNA(VLOOKUP($B8,CPY!$B:$G,2,FALSE))=TRUE," ",VLOOKUP($B8,CPY!$B:$G,2,FALSE))</f>
        <v> </v>
      </c>
      <c r="D8" s="50" t="str">
        <f>IF(ISNA(VLOOKUP($B8,CPY!$B:$G,3,FALSE))=TRUE," ",VLOOKUP($B8,CPY!$B:$G,3,FALSE))</f>
        <v> </v>
      </c>
      <c r="E8" s="65" t="str">
        <f>IF(ISNA(VLOOKUP($B8,CPY!$B:$G,4,FALSE))=TRUE," ",VLOOKUP($B8,CPY!$B:$G,4,FALSE))</f>
        <v> </v>
      </c>
      <c r="F8" s="62"/>
      <c r="G8" s="86"/>
      <c r="H8" s="87"/>
      <c r="I8" s="88"/>
      <c r="J8" s="88"/>
      <c r="K8" s="89">
        <f t="shared" ref="K8:K67" si="3">IF(NOT(ISBLANK($J8)),(IF(J8&lt;I8,J8+1,J8)-I8))</f>
        <v>0</v>
      </c>
      <c r="L8" s="90" t="b">
        <f>IF((ISNUMBER(K8)),IF(AND(F8="Workdays",(SUMIFS(N:N,F:F,F8,H:H,H8,B:B,B8)&lt;=24)),IF(AND((K8*24)&gt;0,(K8*24)&lt;16),((K8*24)*MD!$I$6),IF((K8*24)&gt;=16,(MD!$J$6))),IF(AND(F8="Non_workdays",(SUMIFS(N:N,F:F,F8,H:H,H8,B:B,B8)&lt;=24)),IF(AND((K8*24)&gt;0,(K8*24)&lt;12),((K8*24)*MD!$I$5),IF((K8*24)&gt;=12,(MD!$J$5))))))</f>
        <v>0</v>
      </c>
      <c r="M8" s="62"/>
      <c r="N8" s="72">
        <f t="shared" si="1"/>
        <v>0</v>
      </c>
    </row>
    <row r="9" spans="1:14" x14ac:dyDescent="0.25">
      <c r="A9" s="62">
        <v>8</v>
      </c>
      <c r="B9" s="62"/>
      <c r="C9" s="85" t="str">
        <f>IF(ISNA(VLOOKUP($B9,CPY!$B:$G,2,FALSE))=TRUE," ",VLOOKUP($B9,CPY!$B:$G,2,FALSE))</f>
        <v> </v>
      </c>
      <c r="D9" s="50" t="str">
        <f>IF(ISNA(VLOOKUP($B9,CPY!$B:$G,3,FALSE))=TRUE," ",VLOOKUP($B9,CPY!$B:$G,3,FALSE))</f>
        <v> </v>
      </c>
      <c r="E9" s="65" t="str">
        <f>IF(ISNA(VLOOKUP($B9,CPY!$B:$G,4,FALSE))=TRUE," ",VLOOKUP($B9,CPY!$B:$G,4,FALSE))</f>
        <v> </v>
      </c>
      <c r="F9" s="62"/>
      <c r="G9" s="86"/>
      <c r="H9" s="87"/>
      <c r="I9" s="88"/>
      <c r="J9" s="88"/>
      <c r="K9" s="89">
        <f t="shared" si="3"/>
        <v>0</v>
      </c>
      <c r="L9" s="90" t="b">
        <f>IF((ISNUMBER(K9)),IF(AND(F9="Workdays",(SUMIFS(N:N,F:F,F9,H:H,H9,B:B,B9)&lt;=24)),IF(AND((K9*24)&gt;0,(K9*24)&lt;16),((K9*24)*MD!$I$6),IF((K9*24)&gt;=16,(MD!$J$6))),IF(AND(F9="Non_workdays",(SUMIFS(N:N,F:F,F9,H:H,H9,B:B,B9)&lt;=24)),IF(AND((K9*24)&gt;0,(K9*24)&lt;12),((K9*24)*MD!$I$5),IF((K9*24)&gt;=12,(MD!$J$5))))))</f>
        <v>0</v>
      </c>
      <c r="M9" s="62"/>
      <c r="N9" s="72">
        <f t="shared" si="1"/>
        <v>0</v>
      </c>
    </row>
    <row r="10" spans="1:14" x14ac:dyDescent="0.25">
      <c r="A10" s="62">
        <v>9</v>
      </c>
      <c r="B10" s="62"/>
      <c r="C10" s="85" t="str">
        <f>IF(ISNA(VLOOKUP($B10,CPY!$B:$G,2,FALSE))=TRUE," ",VLOOKUP($B10,CPY!$B:$G,2,FALSE))</f>
        <v> </v>
      </c>
      <c r="D10" s="50" t="str">
        <f>IF(ISNA(VLOOKUP($B10,CPY!$B:$G,3,FALSE))=TRUE," ",VLOOKUP($B10,CPY!$B:$G,3,FALSE))</f>
        <v> </v>
      </c>
      <c r="E10" s="65" t="str">
        <f>IF(ISNA(VLOOKUP($B10,CPY!$B:$G,4,FALSE))=TRUE," ",VLOOKUP($B10,CPY!$B:$G,4,FALSE))</f>
        <v> </v>
      </c>
      <c r="F10" s="62"/>
      <c r="G10" s="86"/>
      <c r="H10" s="87"/>
      <c r="I10" s="88"/>
      <c r="J10" s="88"/>
      <c r="K10" s="89">
        <f t="shared" si="3"/>
        <v>0</v>
      </c>
      <c r="L10" s="90" t="b">
        <f>IF((ISNUMBER(K10)),IF(AND(F10="Workdays",(SUMIFS(N:N,F:F,F10,H:H,H10,B:B,B10)&lt;=24)),IF(AND((K10*24)&gt;0,(K10*24)&lt;16),((K10*24)*MD!$I$6),IF((K10*24)&gt;=16,(MD!$J$6))),IF(AND(F10="Non_workdays",(SUMIFS(N:N,F:F,F10,H:H,H10,B:B,B10)&lt;=24)),IF(AND((K10*24)&gt;0,(K10*24)&lt;12),((K10*24)*MD!$I$5),IF((K10*24)&gt;=12,(MD!$J$5))))))</f>
        <v>0</v>
      </c>
      <c r="M10" s="62"/>
      <c r="N10" s="72">
        <f t="shared" si="1"/>
        <v>0</v>
      </c>
    </row>
    <row r="11" spans="1:14" x14ac:dyDescent="0.25">
      <c r="A11" s="62">
        <v>10</v>
      </c>
      <c r="B11" s="62"/>
      <c r="C11" s="85" t="str">
        <f>IF(ISNA(VLOOKUP($B11,CPY!$B:$G,2,FALSE))=TRUE," ",VLOOKUP($B11,CPY!$B:$G,2,FALSE))</f>
        <v> </v>
      </c>
      <c r="D11" s="50" t="str">
        <f>IF(ISNA(VLOOKUP($B11,CPY!$B:$G,3,FALSE))=TRUE," ",VLOOKUP($B11,CPY!$B:$G,3,FALSE))</f>
        <v> </v>
      </c>
      <c r="E11" s="65" t="str">
        <f>IF(ISNA(VLOOKUP($B11,CPY!$B:$G,4,FALSE))=TRUE," ",VLOOKUP($B11,CPY!$B:$G,4,FALSE))</f>
        <v> </v>
      </c>
      <c r="F11" s="62"/>
      <c r="G11" s="86"/>
      <c r="H11" s="87"/>
      <c r="I11" s="88"/>
      <c r="J11" s="88"/>
      <c r="K11" s="89">
        <f t="shared" si="3"/>
        <v>0</v>
      </c>
      <c r="L11" s="90" t="b">
        <f>IF((ISNUMBER(K11)),IF(AND(F11="Workdays",(SUMIFS(N:N,F:F,F11,H:H,H11,B:B,B11)&lt;=24)),IF(AND((K11*24)&gt;0,(K11*24)&lt;16),((K11*24)*MD!$I$6),IF((K11*24)&gt;=16,(MD!$J$6))),IF(AND(F11="Non_workdays",(SUMIFS(N:N,F:F,F11,H:H,H11,B:B,B11)&lt;=24)),IF(AND((K11*24)&gt;0,(K11*24)&lt;12),((K11*24)*MD!$I$5),IF((K11*24)&gt;=12,(MD!$J$5))))))</f>
        <v>0</v>
      </c>
      <c r="M11" s="62"/>
      <c r="N11" s="72">
        <f t="shared" si="1"/>
        <v>0</v>
      </c>
    </row>
    <row r="12" spans="1:14" x14ac:dyDescent="0.25">
      <c r="A12" s="62">
        <v>11</v>
      </c>
      <c r="B12" s="62"/>
      <c r="C12" s="85" t="str">
        <f>IF(ISNA(VLOOKUP($B12,CPY!$B:$G,2,FALSE))=TRUE," ",VLOOKUP($B12,CPY!$B:$G,2,FALSE))</f>
        <v> </v>
      </c>
      <c r="D12" s="50" t="str">
        <f>IF(ISNA(VLOOKUP($B12,CPY!$B:$G,3,FALSE))=TRUE," ",VLOOKUP($B12,CPY!$B:$G,3,FALSE))</f>
        <v> </v>
      </c>
      <c r="E12" s="65" t="str">
        <f>IF(ISNA(VLOOKUP($B12,CPY!$B:$G,4,FALSE))=TRUE," ",VLOOKUP($B12,CPY!$B:$G,4,FALSE))</f>
        <v> </v>
      </c>
      <c r="F12" s="62"/>
      <c r="G12" s="86"/>
      <c r="H12" s="87"/>
      <c r="I12" s="88"/>
      <c r="J12" s="88"/>
      <c r="K12" s="89">
        <f t="shared" si="3"/>
        <v>0</v>
      </c>
      <c r="L12" s="90" t="b">
        <f>IF((ISNUMBER(K12)),IF(AND(F12="Workdays",(SUMIFS(N:N,F:F,F12,H:H,H12,B:B,B12)&lt;=24)),IF(AND((K12*24)&gt;0,(K12*24)&lt;16),((K12*24)*MD!$I$6),IF((K12*24)&gt;=16,(MD!$J$6))),IF(AND(F12="Non_workdays",(SUMIFS(N:N,F:F,F12,H:H,H12,B:B,B12)&lt;=24)),IF(AND((K12*24)&gt;0,(K12*24)&lt;12),((K12*24)*MD!$I$5),IF((K12*24)&gt;=12,(MD!$J$5))))))</f>
        <v>0</v>
      </c>
      <c r="M12" s="62"/>
      <c r="N12" s="72">
        <f t="shared" si="1"/>
        <v>0</v>
      </c>
    </row>
    <row r="13" spans="1:14" x14ac:dyDescent="0.25">
      <c r="A13" s="62">
        <v>12</v>
      </c>
      <c r="B13" s="62"/>
      <c r="C13" s="85" t="str">
        <f>IF(ISNA(VLOOKUP($B13,CPY!$B:$G,2,FALSE))=TRUE," ",VLOOKUP($B13,CPY!$B:$G,2,FALSE))</f>
        <v> </v>
      </c>
      <c r="D13" s="50" t="str">
        <f>IF(ISNA(VLOOKUP($B13,CPY!$B:$G,3,FALSE))=TRUE," ",VLOOKUP($B13,CPY!$B:$G,3,FALSE))</f>
        <v> </v>
      </c>
      <c r="E13" s="65" t="str">
        <f>IF(ISNA(VLOOKUP($B13,CPY!$B:$G,4,FALSE))=TRUE," ",VLOOKUP($B13,CPY!$B:$G,4,FALSE))</f>
        <v> </v>
      </c>
      <c r="F13" s="62"/>
      <c r="G13" s="86"/>
      <c r="H13" s="87"/>
      <c r="I13" s="88"/>
      <c r="J13" s="88"/>
      <c r="K13" s="89">
        <f t="shared" si="3"/>
        <v>0</v>
      </c>
      <c r="L13" s="90" t="b">
        <f>IF((ISNUMBER(K13)),IF(AND(F13="Workdays",(SUMIFS(N:N,F:F,F13,H:H,H13,B:B,B13)&lt;=24)),IF(AND((K13*24)&gt;0,(K13*24)&lt;16),((K13*24)*MD!$I$6),IF((K13*24)&gt;=16,(MD!$J$6))),IF(AND(F13="Non_workdays",(SUMIFS(N:N,F:F,F13,H:H,H13,B:B,B13)&lt;=24)),IF(AND((K13*24)&gt;0,(K13*24)&lt;12),((K13*24)*MD!$I$5),IF((K13*24)&gt;=12,(MD!$J$5))))))</f>
        <v>0</v>
      </c>
      <c r="M13" s="62"/>
      <c r="N13" s="72">
        <f t="shared" si="1"/>
        <v>0</v>
      </c>
    </row>
    <row r="14" spans="1:14" x14ac:dyDescent="0.25">
      <c r="A14" s="62">
        <v>13</v>
      </c>
      <c r="B14" s="62"/>
      <c r="C14" s="85" t="str">
        <f>IF(ISNA(VLOOKUP($B14,CPY!$B:$G,2,FALSE))=TRUE," ",VLOOKUP($B14,CPY!$B:$G,2,FALSE))</f>
        <v> </v>
      </c>
      <c r="D14" s="50" t="str">
        <f>IF(ISNA(VLOOKUP($B14,CPY!$B:$G,3,FALSE))=TRUE," ",VLOOKUP($B14,CPY!$B:$G,3,FALSE))</f>
        <v> </v>
      </c>
      <c r="E14" s="65" t="str">
        <f>IF(ISNA(VLOOKUP($B14,CPY!$B:$G,4,FALSE))=TRUE," ",VLOOKUP($B14,CPY!$B:$G,4,FALSE))</f>
        <v> </v>
      </c>
      <c r="F14" s="62"/>
      <c r="G14" s="86"/>
      <c r="H14" s="87"/>
      <c r="I14" s="88"/>
      <c r="J14" s="88"/>
      <c r="K14" s="89">
        <f t="shared" si="3"/>
        <v>0</v>
      </c>
      <c r="L14" s="90" t="b">
        <f>IF((ISNUMBER(K14)),IF(AND(F14="Workdays",(SUMIFS(N:N,F:F,F14,H:H,H14,B:B,B14)&lt;=24)),IF(AND((K14*24)&gt;0,(K14*24)&lt;16),((K14*24)*MD!$I$6),IF((K14*24)&gt;=16,(MD!$J$6))),IF(AND(F14="Non_workdays",(SUMIFS(N:N,F:F,F14,H:H,H14,B:B,B14)&lt;=24)),IF(AND((K14*24)&gt;0,(K14*24)&lt;12),((K14*24)*MD!$I$5),IF((K14*24)&gt;=12,(MD!$J$5))))))</f>
        <v>0</v>
      </c>
      <c r="M14" s="62"/>
      <c r="N14" s="72">
        <f t="shared" si="1"/>
        <v>0</v>
      </c>
    </row>
    <row r="15" spans="1:14" x14ac:dyDescent="0.25">
      <c r="A15" s="62">
        <v>14</v>
      </c>
      <c r="B15" s="62"/>
      <c r="C15" s="85" t="str">
        <f>IF(ISNA(VLOOKUP($B15,CPY!$B:$G,2,FALSE))=TRUE," ",VLOOKUP($B15,CPY!$B:$G,2,FALSE))</f>
        <v> </v>
      </c>
      <c r="D15" s="50" t="str">
        <f>IF(ISNA(VLOOKUP($B15,CPY!$B:$G,3,FALSE))=TRUE," ",VLOOKUP($B15,CPY!$B:$G,3,FALSE))</f>
        <v> </v>
      </c>
      <c r="E15" s="65" t="str">
        <f>IF(ISNA(VLOOKUP($B15,CPY!$B:$G,4,FALSE))=TRUE," ",VLOOKUP($B15,CPY!$B:$G,4,FALSE))</f>
        <v> </v>
      </c>
      <c r="F15" s="62"/>
      <c r="G15" s="86"/>
      <c r="H15" s="87"/>
      <c r="I15" s="88"/>
      <c r="J15" s="88"/>
      <c r="K15" s="89">
        <f t="shared" si="3"/>
        <v>0</v>
      </c>
      <c r="L15" s="90" t="b">
        <f>IF((ISNUMBER(K15)),IF(AND(F15="Workdays",(SUMIFS(N:N,F:F,F15,H:H,H15,B:B,B15)&lt;=24)),IF(AND((K15*24)&gt;0,(K15*24)&lt;16),((K15*24)*MD!$I$6),IF((K15*24)&gt;=16,(MD!$J$6))),IF(AND(F15="Non_workdays",(SUMIFS(N:N,F:F,F15,H:H,H15,B:B,B15)&lt;=24)),IF(AND((K15*24)&gt;0,(K15*24)&lt;12),((K15*24)*MD!$I$5),IF((K15*24)&gt;=12,(MD!$J$5))))))</f>
        <v>0</v>
      </c>
      <c r="M15" s="62"/>
      <c r="N15" s="72">
        <f t="shared" si="1"/>
        <v>0</v>
      </c>
    </row>
    <row r="16" spans="1:14" x14ac:dyDescent="0.25">
      <c r="A16" s="62">
        <v>15</v>
      </c>
      <c r="B16" s="62"/>
      <c r="C16" s="85" t="str">
        <f>IF(ISNA(VLOOKUP($B16,CPY!$B:$G,2,FALSE))=TRUE," ",VLOOKUP($B16,CPY!$B:$G,2,FALSE))</f>
        <v> </v>
      </c>
      <c r="D16" s="50" t="str">
        <f>IF(ISNA(VLOOKUP($B16,CPY!$B:$G,3,FALSE))=TRUE," ",VLOOKUP($B16,CPY!$B:$G,3,FALSE))</f>
        <v> </v>
      </c>
      <c r="E16" s="65" t="str">
        <f>IF(ISNA(VLOOKUP($B16,CPY!$B:$G,4,FALSE))=TRUE," ",VLOOKUP($B16,CPY!$B:$G,4,FALSE))</f>
        <v> </v>
      </c>
      <c r="F16" s="62"/>
      <c r="G16" s="86"/>
      <c r="H16" s="87"/>
      <c r="I16" s="88"/>
      <c r="J16" s="88"/>
      <c r="K16" s="89">
        <f t="shared" si="3"/>
        <v>0</v>
      </c>
      <c r="L16" s="90" t="b">
        <f>IF((ISNUMBER(K16)),IF(AND(F16="Workdays",(SUMIFS(N:N,F:F,F16,H:H,H16,B:B,B16)&lt;=24)),IF(AND((K16*24)&gt;0,(K16*24)&lt;16),((K16*24)*MD!$I$6),IF((K16*24)&gt;=16,(MD!$J$6))),IF(AND(F16="Non_workdays",(SUMIFS(N:N,F:F,F16,H:H,H16,B:B,B16)&lt;=24)),IF(AND((K16*24)&gt;0,(K16*24)&lt;12),((K16*24)*MD!$I$5),IF((K16*24)&gt;=12,(MD!$J$5))))))</f>
        <v>0</v>
      </c>
      <c r="M16" s="62"/>
      <c r="N16" s="72">
        <f t="shared" si="1"/>
        <v>0</v>
      </c>
    </row>
    <row r="17" spans="1:14" x14ac:dyDescent="0.25">
      <c r="A17" s="62">
        <v>16</v>
      </c>
      <c r="B17" s="62"/>
      <c r="C17" s="85" t="str">
        <f>IF(ISNA(VLOOKUP($B17,CPY!$B:$G,2,FALSE))=TRUE," ",VLOOKUP($B17,CPY!$B:$G,2,FALSE))</f>
        <v> </v>
      </c>
      <c r="D17" s="50" t="str">
        <f>IF(ISNA(VLOOKUP($B17,CPY!$B:$G,3,FALSE))=TRUE," ",VLOOKUP($B17,CPY!$B:$G,3,FALSE))</f>
        <v> </v>
      </c>
      <c r="E17" s="65" t="str">
        <f>IF(ISNA(VLOOKUP($B17,CPY!$B:$G,4,FALSE))=TRUE," ",VLOOKUP($B17,CPY!$B:$G,4,FALSE))</f>
        <v> </v>
      </c>
      <c r="F17" s="62"/>
      <c r="G17" s="86"/>
      <c r="H17" s="87"/>
      <c r="I17" s="88"/>
      <c r="J17" s="88"/>
      <c r="K17" s="89">
        <f t="shared" si="3"/>
        <v>0</v>
      </c>
      <c r="L17" s="90" t="b">
        <f>IF((ISNUMBER(K17)),IF(AND(F17="Workdays",(SUMIFS(N:N,F:F,F17,H:H,H17,B:B,B17)&lt;=24)),IF(AND((K17*24)&gt;0,(K17*24)&lt;16),((K17*24)*MD!$I$6),IF((K17*24)&gt;=16,(MD!$J$6))),IF(AND(F17="Non_workdays",(SUMIFS(N:N,F:F,F17,H:H,H17,B:B,B17)&lt;=24)),IF(AND((K17*24)&gt;0,(K17*24)&lt;12),((K17*24)*MD!$I$5),IF((K17*24)&gt;=12,(MD!$J$5))))))</f>
        <v>0</v>
      </c>
      <c r="M17" s="62"/>
      <c r="N17" s="72">
        <f t="shared" si="1"/>
        <v>0</v>
      </c>
    </row>
    <row r="18" spans="1:14" x14ac:dyDescent="0.25">
      <c r="A18" s="62">
        <v>17</v>
      </c>
      <c r="B18" s="62"/>
      <c r="C18" s="85" t="str">
        <f>IF(ISNA(VLOOKUP($B18,CPY!$B:$G,2,FALSE))=TRUE," ",VLOOKUP($B18,CPY!$B:$G,2,FALSE))</f>
        <v> </v>
      </c>
      <c r="D18" s="50" t="str">
        <f>IF(ISNA(VLOOKUP($B18,CPY!$B:$G,3,FALSE))=TRUE," ",VLOOKUP($B18,CPY!$B:$G,3,FALSE))</f>
        <v> </v>
      </c>
      <c r="E18" s="65" t="str">
        <f>IF(ISNA(VLOOKUP($B18,CPY!$B:$G,4,FALSE))=TRUE," ",VLOOKUP($B18,CPY!$B:$G,4,FALSE))</f>
        <v> </v>
      </c>
      <c r="F18" s="62"/>
      <c r="G18" s="86"/>
      <c r="H18" s="87"/>
      <c r="I18" s="88"/>
      <c r="J18" s="88"/>
      <c r="K18" s="89">
        <f t="shared" si="3"/>
        <v>0</v>
      </c>
      <c r="L18" s="90" t="b">
        <f>IF((ISNUMBER(K18)),IF(AND(F18="Workdays",(SUMIFS(N:N,F:F,F18,H:H,H18,B:B,B18)&lt;=24)),IF(AND((K18*24)&gt;0,(K18*24)&lt;16),((K18*24)*MD!$I$6),IF((K18*24)&gt;=16,(MD!$J$6))),IF(AND(F18="Non_workdays",(SUMIFS(N:N,F:F,F18,H:H,H18,B:B,B18)&lt;=24)),IF(AND((K18*24)&gt;0,(K18*24)&lt;12),((K18*24)*MD!$I$5),IF((K18*24)&gt;=12,(MD!$J$5))))))</f>
        <v>0</v>
      </c>
      <c r="M18" s="62"/>
      <c r="N18" s="72">
        <f t="shared" si="1"/>
        <v>0</v>
      </c>
    </row>
    <row r="19" spans="1:14" x14ac:dyDescent="0.25">
      <c r="A19" s="62">
        <v>18</v>
      </c>
      <c r="B19" s="62"/>
      <c r="C19" s="85" t="str">
        <f>IF(ISNA(VLOOKUP($B19,CPY!$B:$G,2,FALSE))=TRUE," ",VLOOKUP($B19,CPY!$B:$G,2,FALSE))</f>
        <v> </v>
      </c>
      <c r="D19" s="50" t="str">
        <f>IF(ISNA(VLOOKUP($B19,CPY!$B:$G,3,FALSE))=TRUE," ",VLOOKUP($B19,CPY!$B:$G,3,FALSE))</f>
        <v> </v>
      </c>
      <c r="E19" s="65" t="str">
        <f>IF(ISNA(VLOOKUP($B19,CPY!$B:$G,4,FALSE))=TRUE," ",VLOOKUP($B19,CPY!$B:$G,4,FALSE))</f>
        <v> </v>
      </c>
      <c r="F19" s="62"/>
      <c r="G19" s="86"/>
      <c r="H19" s="87"/>
      <c r="I19" s="88"/>
      <c r="J19" s="88"/>
      <c r="K19" s="89">
        <f t="shared" si="3"/>
        <v>0</v>
      </c>
      <c r="L19" s="90" t="b">
        <f>IF((ISNUMBER(K19)),IF(AND(F19="Workdays",(SUMIFS(N:N,F:F,F19,H:H,H19,B:B,B19)&lt;=24)),IF(AND((K19*24)&gt;0,(K19*24)&lt;16),((K19*24)*MD!$I$6),IF((K19*24)&gt;=16,(MD!$J$6))),IF(AND(F19="Non_workdays",(SUMIFS(N:N,F:F,F19,H:H,H19,B:B,B19)&lt;=24)),IF(AND((K19*24)&gt;0,(K19*24)&lt;12),((K19*24)*MD!$I$5),IF((K19*24)&gt;=12,(MD!$J$5))))))</f>
        <v>0</v>
      </c>
      <c r="M19" s="62"/>
      <c r="N19" s="72">
        <f t="shared" si="1"/>
        <v>0</v>
      </c>
    </row>
    <row r="20" spans="1:14" x14ac:dyDescent="0.25">
      <c r="A20" s="62">
        <v>19</v>
      </c>
      <c r="B20" s="62"/>
      <c r="C20" s="85" t="str">
        <f>IF(ISNA(VLOOKUP($B20,CPY!$B:$G,2,FALSE))=TRUE," ",VLOOKUP($B20,CPY!$B:$G,2,FALSE))</f>
        <v> </v>
      </c>
      <c r="D20" s="50" t="str">
        <f>IF(ISNA(VLOOKUP($B20,CPY!$B:$G,3,FALSE))=TRUE," ",VLOOKUP($B20,CPY!$B:$G,3,FALSE))</f>
        <v> </v>
      </c>
      <c r="E20" s="65" t="str">
        <f>IF(ISNA(VLOOKUP($B20,CPY!$B:$G,4,FALSE))=TRUE," ",VLOOKUP($B20,CPY!$B:$G,4,FALSE))</f>
        <v> </v>
      </c>
      <c r="F20" s="62"/>
      <c r="G20" s="86"/>
      <c r="H20" s="87"/>
      <c r="I20" s="88"/>
      <c r="J20" s="88"/>
      <c r="K20" s="89">
        <f t="shared" si="3"/>
        <v>0</v>
      </c>
      <c r="L20" s="90" t="b">
        <f>IF((ISNUMBER(K20)),IF(AND(F20="Workdays",(SUMIFS(N:N,F:F,F20,H:H,H20,B:B,B20)&lt;=24)),IF(AND((K20*24)&gt;0,(K20*24)&lt;16),((K20*24)*MD!$I$6),IF((K20*24)&gt;=16,(MD!$J$6))),IF(AND(F20="Non_workdays",(SUMIFS(N:N,F:F,F20,H:H,H20,B:B,B20)&lt;=24)),IF(AND((K20*24)&gt;0,(K20*24)&lt;12),((K20*24)*MD!$I$5),IF((K20*24)&gt;=12,(MD!$J$5))))))</f>
        <v>0</v>
      </c>
      <c r="M20" s="62"/>
      <c r="N20" s="72">
        <f t="shared" si="1"/>
        <v>0</v>
      </c>
    </row>
    <row r="21" spans="1:14" x14ac:dyDescent="0.25">
      <c r="A21" s="62">
        <v>20</v>
      </c>
      <c r="B21" s="62"/>
      <c r="C21" s="85" t="str">
        <f>IF(ISNA(VLOOKUP($B21,CPY!$B:$G,2,FALSE))=TRUE," ",VLOOKUP($B21,CPY!$B:$G,2,FALSE))</f>
        <v> </v>
      </c>
      <c r="D21" s="50" t="str">
        <f>IF(ISNA(VLOOKUP($B21,CPY!$B:$G,3,FALSE))=TRUE," ",VLOOKUP($B21,CPY!$B:$G,3,FALSE))</f>
        <v> </v>
      </c>
      <c r="E21" s="65" t="str">
        <f>IF(ISNA(VLOOKUP($B21,CPY!$B:$G,4,FALSE))=TRUE," ",VLOOKUP($B21,CPY!$B:$G,4,FALSE))</f>
        <v> </v>
      </c>
      <c r="F21" s="62"/>
      <c r="G21" s="86"/>
      <c r="H21" s="87"/>
      <c r="I21" s="88"/>
      <c r="J21" s="88"/>
      <c r="K21" s="89">
        <f t="shared" si="3"/>
        <v>0</v>
      </c>
      <c r="L21" s="90" t="b">
        <f>IF((ISNUMBER(K21)),IF(AND(F21="Workdays",(SUMIFS(N:N,F:F,F21,H:H,H21,B:B,B21)&lt;=24)),IF(AND((K21*24)&gt;0,(K21*24)&lt;16),((K21*24)*MD!$I$6),IF((K21*24)&gt;=16,(MD!$J$6))),IF(AND(F21="Non_workdays",(SUMIFS(N:N,F:F,F21,H:H,H21,B:B,B21)&lt;=24)),IF(AND((K21*24)&gt;0,(K21*24)&lt;12),((K21*24)*MD!$I$5),IF((K21*24)&gt;=12,(MD!$J$5))))))</f>
        <v>0</v>
      </c>
      <c r="M21" s="62"/>
      <c r="N21" s="72">
        <f t="shared" si="1"/>
        <v>0</v>
      </c>
    </row>
    <row r="22" spans="1:14" x14ac:dyDescent="0.25">
      <c r="A22" s="62">
        <v>21</v>
      </c>
      <c r="B22" s="62"/>
      <c r="C22" s="85" t="str">
        <f>IF(ISNA(VLOOKUP($B22,CPY!$B:$G,2,FALSE))=TRUE," ",VLOOKUP($B22,CPY!$B:$G,2,FALSE))</f>
        <v> </v>
      </c>
      <c r="D22" s="50" t="str">
        <f>IF(ISNA(VLOOKUP($B22,CPY!$B:$G,3,FALSE))=TRUE," ",VLOOKUP($B22,CPY!$B:$G,3,FALSE))</f>
        <v> </v>
      </c>
      <c r="E22" s="65" t="str">
        <f>IF(ISNA(VLOOKUP($B22,CPY!$B:$G,4,FALSE))=TRUE," ",VLOOKUP($B22,CPY!$B:$G,4,FALSE))</f>
        <v> </v>
      </c>
      <c r="F22" s="62"/>
      <c r="G22" s="86"/>
      <c r="H22" s="87"/>
      <c r="I22" s="88"/>
      <c r="J22" s="88"/>
      <c r="K22" s="89">
        <f t="shared" si="3"/>
        <v>0</v>
      </c>
      <c r="L22" s="90" t="b">
        <f>IF((ISNUMBER(K22)),IF(AND(F22="Workdays",(SUMIFS(N:N,F:F,F22,H:H,H22,B:B,B22)&lt;=24)),IF(AND((K22*24)&gt;0,(K22*24)&lt;16),((K22*24)*MD!$I$6),IF((K22*24)&gt;=16,(MD!$J$6))),IF(AND(F22="Non_workdays",(SUMIFS(N:N,F:F,F22,H:H,H22,B:B,B22)&lt;=24)),IF(AND((K22*24)&gt;0,(K22*24)&lt;12),((K22*24)*MD!$I$5),IF((K22*24)&gt;=12,(MD!$J$5))))))</f>
        <v>0</v>
      </c>
      <c r="M22" s="62"/>
      <c r="N22" s="72">
        <f t="shared" si="1"/>
        <v>0</v>
      </c>
    </row>
    <row r="23" spans="1:14" x14ac:dyDescent="0.25">
      <c r="A23" s="62">
        <v>22</v>
      </c>
      <c r="B23" s="62"/>
      <c r="C23" s="85" t="str">
        <f>IF(ISNA(VLOOKUP($B23,CPY!$B:$G,2,FALSE))=TRUE," ",VLOOKUP($B23,CPY!$B:$G,2,FALSE))</f>
        <v> </v>
      </c>
      <c r="D23" s="50" t="str">
        <f>IF(ISNA(VLOOKUP($B23,CPY!$B:$G,3,FALSE))=TRUE," ",VLOOKUP($B23,CPY!$B:$G,3,FALSE))</f>
        <v> </v>
      </c>
      <c r="E23" s="65" t="str">
        <f>IF(ISNA(VLOOKUP($B23,CPY!$B:$G,4,FALSE))=TRUE," ",VLOOKUP($B23,CPY!$B:$G,4,FALSE))</f>
        <v> </v>
      </c>
      <c r="F23" s="62"/>
      <c r="G23" s="86"/>
      <c r="H23" s="87"/>
      <c r="I23" s="88"/>
      <c r="J23" s="88"/>
      <c r="K23" s="89">
        <f t="shared" si="3"/>
        <v>0</v>
      </c>
      <c r="L23" s="90" t="b">
        <f>IF((ISNUMBER(K23)),IF(AND(F23="Workdays",(SUMIFS(N:N,F:F,F23,H:H,H23,B:B,B23)&lt;=24)),IF(AND((K23*24)&gt;0,(K23*24)&lt;16),((K23*24)*MD!$I$6),IF((K23*24)&gt;=16,(MD!$J$6))),IF(AND(F23="Non_workdays",(SUMIFS(N:N,F:F,F23,H:H,H23,B:B,B23)&lt;=24)),IF(AND((K23*24)&gt;0,(K23*24)&lt;12),((K23*24)*MD!$I$5),IF((K23*24)&gt;=12,(MD!$J$5))))))</f>
        <v>0</v>
      </c>
      <c r="M23" s="62"/>
      <c r="N23" s="72">
        <f t="shared" si="1"/>
        <v>0</v>
      </c>
    </row>
    <row r="24" spans="1:14" x14ac:dyDescent="0.25">
      <c r="A24" s="62">
        <v>23</v>
      </c>
      <c r="B24" s="62"/>
      <c r="C24" s="85" t="str">
        <f>IF(ISNA(VLOOKUP($B24,CPY!$B:$G,2,FALSE))=TRUE," ",VLOOKUP($B24,CPY!$B:$G,2,FALSE))</f>
        <v> </v>
      </c>
      <c r="D24" s="50" t="str">
        <f>IF(ISNA(VLOOKUP($B24,CPY!$B:$G,3,FALSE))=TRUE," ",VLOOKUP($B24,CPY!$B:$G,3,FALSE))</f>
        <v> </v>
      </c>
      <c r="E24" s="65" t="str">
        <f>IF(ISNA(VLOOKUP($B24,CPY!$B:$G,4,FALSE))=TRUE," ",VLOOKUP($B24,CPY!$B:$G,4,FALSE))</f>
        <v> </v>
      </c>
      <c r="F24" s="62"/>
      <c r="G24" s="86"/>
      <c r="H24" s="87"/>
      <c r="I24" s="88"/>
      <c r="J24" s="88"/>
      <c r="K24" s="89">
        <f t="shared" si="3"/>
        <v>0</v>
      </c>
      <c r="L24" s="90" t="b">
        <f>IF((ISNUMBER(K24)),IF(AND(F24="Workdays",(SUMIFS(N:N,F:F,F24,H:H,H24,B:B,B24)&lt;=24)),IF(AND((K24*24)&gt;0,(K24*24)&lt;16),((K24*24)*MD!$I$6),IF((K24*24)&gt;=16,(MD!$J$6))),IF(AND(F24="Non_workdays",(SUMIFS(N:N,F:F,F24,H:H,H24,B:B,B24)&lt;=24)),IF(AND((K24*24)&gt;0,(K24*24)&lt;12),((K24*24)*MD!$I$5),IF((K24*24)&gt;=12,(MD!$J$5))))))</f>
        <v>0</v>
      </c>
      <c r="M24" s="62"/>
      <c r="N24" s="72">
        <f t="shared" si="1"/>
        <v>0</v>
      </c>
    </row>
    <row r="25" spans="1:14" x14ac:dyDescent="0.25">
      <c r="A25" s="62">
        <v>24</v>
      </c>
      <c r="B25" s="62"/>
      <c r="C25" s="85" t="str">
        <f>IF(ISNA(VLOOKUP($B25,CPY!$B:$G,2,FALSE))=TRUE," ",VLOOKUP($B25,CPY!$B:$G,2,FALSE))</f>
        <v> </v>
      </c>
      <c r="D25" s="50" t="str">
        <f>IF(ISNA(VLOOKUP($B25,CPY!$B:$G,3,FALSE))=TRUE," ",VLOOKUP($B25,CPY!$B:$G,3,FALSE))</f>
        <v> </v>
      </c>
      <c r="E25" s="65" t="str">
        <f>IF(ISNA(VLOOKUP($B25,CPY!$B:$G,4,FALSE))=TRUE," ",VLOOKUP($B25,CPY!$B:$G,4,FALSE))</f>
        <v> </v>
      </c>
      <c r="F25" s="62"/>
      <c r="G25" s="86"/>
      <c r="H25" s="87"/>
      <c r="I25" s="88"/>
      <c r="J25" s="88"/>
      <c r="K25" s="89">
        <f t="shared" si="3"/>
        <v>0</v>
      </c>
      <c r="L25" s="90" t="b">
        <f>IF((ISNUMBER(K25)),IF(AND(F25="Workdays",(SUMIFS(N:N,F:F,F25,H:H,H25,B:B,B25)&lt;=24)),IF(AND((K25*24)&gt;0,(K25*24)&lt;16),((K25*24)*MD!$I$6),IF((K25*24)&gt;=16,(MD!$J$6))),IF(AND(F25="Non_workdays",(SUMIFS(N:N,F:F,F25,H:H,H25,B:B,B25)&lt;=24)),IF(AND((K25*24)&gt;0,(K25*24)&lt;12),((K25*24)*MD!$I$5),IF((K25*24)&gt;=12,(MD!$J$5))))))</f>
        <v>0</v>
      </c>
      <c r="M25" s="62"/>
      <c r="N25" s="72">
        <f t="shared" si="1"/>
        <v>0</v>
      </c>
    </row>
    <row r="26" spans="1:14" x14ac:dyDescent="0.25">
      <c r="A26" s="62">
        <v>25</v>
      </c>
      <c r="B26" s="62"/>
      <c r="C26" s="85" t="str">
        <f>IF(ISNA(VLOOKUP($B26,CPY!$B:$G,2,FALSE))=TRUE," ",VLOOKUP($B26,CPY!$B:$G,2,FALSE))</f>
        <v> </v>
      </c>
      <c r="D26" s="50" t="str">
        <f>IF(ISNA(VLOOKUP($B26,CPY!$B:$G,3,FALSE))=TRUE," ",VLOOKUP($B26,CPY!$B:$G,3,FALSE))</f>
        <v> </v>
      </c>
      <c r="E26" s="65" t="str">
        <f>IF(ISNA(VLOOKUP($B26,CPY!$B:$G,4,FALSE))=TRUE," ",VLOOKUP($B26,CPY!$B:$G,4,FALSE))</f>
        <v> </v>
      </c>
      <c r="F26" s="62"/>
      <c r="G26" s="86"/>
      <c r="H26" s="87"/>
      <c r="I26" s="88"/>
      <c r="J26" s="88"/>
      <c r="K26" s="89">
        <f t="shared" si="3"/>
        <v>0</v>
      </c>
      <c r="L26" s="90" t="b">
        <f>IF((ISNUMBER(K26)),IF(AND(F26="Workdays",(SUMIFS(N:N,F:F,F26,H:H,H26,B:B,B26)&lt;=24)),IF(AND((K26*24)&gt;0,(K26*24)&lt;16),((K26*24)*MD!$I$6),IF((K26*24)&gt;=16,(MD!$J$6))),IF(AND(F26="Non_workdays",(SUMIFS(N:N,F:F,F26,H:H,H26,B:B,B26)&lt;=24)),IF(AND((K26*24)&gt;0,(K26*24)&lt;12),((K26*24)*MD!$I$5),IF((K26*24)&gt;=12,(MD!$J$5))))))</f>
        <v>0</v>
      </c>
      <c r="M26" s="62"/>
      <c r="N26" s="72">
        <f t="shared" si="1"/>
        <v>0</v>
      </c>
    </row>
    <row r="27" spans="1:14" x14ac:dyDescent="0.25">
      <c r="A27" s="62">
        <v>26</v>
      </c>
      <c r="B27" s="62"/>
      <c r="C27" s="85" t="str">
        <f>IF(ISNA(VLOOKUP($B27,CPY!$B:$G,2,FALSE))=TRUE," ",VLOOKUP($B27,CPY!$B:$G,2,FALSE))</f>
        <v> </v>
      </c>
      <c r="D27" s="50" t="str">
        <f>IF(ISNA(VLOOKUP($B27,CPY!$B:$G,3,FALSE))=TRUE," ",VLOOKUP($B27,CPY!$B:$G,3,FALSE))</f>
        <v> </v>
      </c>
      <c r="E27" s="65" t="str">
        <f>IF(ISNA(VLOOKUP($B27,CPY!$B:$G,4,FALSE))=TRUE," ",VLOOKUP($B27,CPY!$B:$G,4,FALSE))</f>
        <v> </v>
      </c>
      <c r="F27" s="62"/>
      <c r="G27" s="86"/>
      <c r="H27" s="87"/>
      <c r="I27" s="88"/>
      <c r="J27" s="88"/>
      <c r="K27" s="89">
        <f t="shared" si="3"/>
        <v>0</v>
      </c>
      <c r="L27" s="90" t="b">
        <f>IF((ISNUMBER(K27)),IF(AND(F27="Workdays",(SUMIFS(N:N,F:F,F27,H:H,H27,B:B,B27)&lt;=24)),IF(AND((K27*24)&gt;0,(K27*24)&lt;16),((K27*24)*MD!$I$6),IF((K27*24)&gt;=16,(MD!$J$6))),IF(AND(F27="Non_workdays",(SUMIFS(N:N,F:F,F27,H:H,H27,B:B,B27)&lt;=24)),IF(AND((K27*24)&gt;0,(K27*24)&lt;12),((K27*24)*MD!$I$5),IF((K27*24)&gt;=12,(MD!$J$5))))))</f>
        <v>0</v>
      </c>
      <c r="M27" s="62"/>
      <c r="N27" s="72">
        <f t="shared" si="1"/>
        <v>0</v>
      </c>
    </row>
    <row r="28" spans="1:14" x14ac:dyDescent="0.25">
      <c r="A28" s="62">
        <v>27</v>
      </c>
      <c r="B28" s="62"/>
      <c r="C28" s="85" t="str">
        <f>IF(ISNA(VLOOKUP($B28,CPY!$B:$G,2,FALSE))=TRUE," ",VLOOKUP($B28,CPY!$B:$G,2,FALSE))</f>
        <v> </v>
      </c>
      <c r="D28" s="50" t="str">
        <f>IF(ISNA(VLOOKUP($B28,CPY!$B:$G,3,FALSE))=TRUE," ",VLOOKUP($B28,CPY!$B:$G,3,FALSE))</f>
        <v> </v>
      </c>
      <c r="E28" s="65" t="str">
        <f>IF(ISNA(VLOOKUP($B28,CPY!$B:$G,4,FALSE))=TRUE," ",VLOOKUP($B28,CPY!$B:$G,4,FALSE))</f>
        <v> </v>
      </c>
      <c r="F28" s="62"/>
      <c r="G28" s="86"/>
      <c r="H28" s="87"/>
      <c r="I28" s="88"/>
      <c r="J28" s="88"/>
      <c r="K28" s="89">
        <f t="shared" si="3"/>
        <v>0</v>
      </c>
      <c r="L28" s="90" t="b">
        <f>IF((ISNUMBER(K28)),IF(AND(F28="Workdays",(SUMIFS(N:N,F:F,F28,H:H,H28,B:B,B28)&lt;=24)),IF(AND((K28*24)&gt;0,(K28*24)&lt;16),((K28*24)*MD!$I$6),IF((K28*24)&gt;=16,(MD!$J$6))),IF(AND(F28="Non_workdays",(SUMIFS(N:N,F:F,F28,H:H,H28,B:B,B28)&lt;=24)),IF(AND((K28*24)&gt;0,(K28*24)&lt;12),((K28*24)*MD!$I$5),IF((K28*24)&gt;=12,(MD!$J$5))))))</f>
        <v>0</v>
      </c>
      <c r="M28" s="62"/>
      <c r="N28" s="72">
        <f t="shared" si="1"/>
        <v>0</v>
      </c>
    </row>
    <row r="29" spans="1:14" x14ac:dyDescent="0.25">
      <c r="A29" s="62">
        <v>28</v>
      </c>
      <c r="B29" s="62"/>
      <c r="C29" s="85" t="str">
        <f>IF(ISNA(VLOOKUP($B29,CPY!$B:$G,2,FALSE))=TRUE," ",VLOOKUP($B29,CPY!$B:$G,2,FALSE))</f>
        <v> </v>
      </c>
      <c r="D29" s="50" t="str">
        <f>IF(ISNA(VLOOKUP($B29,CPY!$B:$G,3,FALSE))=TRUE," ",VLOOKUP($B29,CPY!$B:$G,3,FALSE))</f>
        <v> </v>
      </c>
      <c r="E29" s="65" t="str">
        <f>IF(ISNA(VLOOKUP($B29,CPY!$B:$G,4,FALSE))=TRUE," ",VLOOKUP($B29,CPY!$B:$G,4,FALSE))</f>
        <v> </v>
      </c>
      <c r="F29" s="62"/>
      <c r="G29" s="86"/>
      <c r="H29" s="87"/>
      <c r="I29" s="88"/>
      <c r="J29" s="88"/>
      <c r="K29" s="89">
        <f t="shared" si="3"/>
        <v>0</v>
      </c>
      <c r="L29" s="90" t="b">
        <f>IF((ISNUMBER(K29)),IF(AND(F29="Workdays",(SUMIFS(N:N,F:F,F29,H:H,H29,B:B,B29)&lt;=24)),IF(AND((K29*24)&gt;0,(K29*24)&lt;16),((K29*24)*MD!$I$6),IF((K29*24)&gt;=16,(MD!$J$6))),IF(AND(F29="Non_workdays",(SUMIFS(N:N,F:F,F29,H:H,H29,B:B,B29)&lt;=24)),IF(AND((K29*24)&gt;0,(K29*24)&lt;12),((K29*24)*MD!$I$5),IF((K29*24)&gt;=12,(MD!$J$5))))))</f>
        <v>0</v>
      </c>
      <c r="M29" s="62"/>
      <c r="N29" s="72">
        <f t="shared" si="1"/>
        <v>0</v>
      </c>
    </row>
    <row r="30" spans="1:14" x14ac:dyDescent="0.25">
      <c r="A30" s="62">
        <v>29</v>
      </c>
      <c r="B30" s="62"/>
      <c r="C30" s="85" t="str">
        <f>IF(ISNA(VLOOKUP($B30,CPY!$B:$G,2,FALSE))=TRUE," ",VLOOKUP($B30,CPY!$B:$G,2,FALSE))</f>
        <v> </v>
      </c>
      <c r="D30" s="50" t="str">
        <f>IF(ISNA(VLOOKUP($B30,CPY!$B:$G,3,FALSE))=TRUE," ",VLOOKUP($B30,CPY!$B:$G,3,FALSE))</f>
        <v> </v>
      </c>
      <c r="E30" s="65" t="str">
        <f>IF(ISNA(VLOOKUP($B30,CPY!$B:$G,4,FALSE))=TRUE," ",VLOOKUP($B30,CPY!$B:$G,4,FALSE))</f>
        <v> </v>
      </c>
      <c r="F30" s="62"/>
      <c r="G30" s="86"/>
      <c r="H30" s="87"/>
      <c r="I30" s="88"/>
      <c r="J30" s="88"/>
      <c r="K30" s="89">
        <f t="shared" si="3"/>
        <v>0</v>
      </c>
      <c r="L30" s="90" t="b">
        <f>IF((ISNUMBER(K30)),IF(AND(F30="Workdays",(SUMIFS(N:N,F:F,F30,H:H,H30,B:B,B30)&lt;=24)),IF(AND((K30*24)&gt;0,(K30*24)&lt;16),((K30*24)*MD!$I$6),IF((K30*24)&gt;=16,(MD!$J$6))),IF(AND(F30="Non_workdays",(SUMIFS(N:N,F:F,F30,H:H,H30,B:B,B30)&lt;=24)),IF(AND((K30*24)&gt;0,(K30*24)&lt;12),((K30*24)*MD!$I$5),IF((K30*24)&gt;=12,(MD!$J$5))))))</f>
        <v>0</v>
      </c>
      <c r="M30" s="62"/>
      <c r="N30" s="72">
        <f t="shared" si="1"/>
        <v>0</v>
      </c>
    </row>
    <row r="31" spans="1:14" x14ac:dyDescent="0.25">
      <c r="A31" s="62">
        <v>30</v>
      </c>
      <c r="B31" s="62"/>
      <c r="C31" s="85" t="str">
        <f>IF(ISNA(VLOOKUP($B31,CPY!$B:$G,2,FALSE))=TRUE," ",VLOOKUP($B31,CPY!$B:$G,2,FALSE))</f>
        <v> </v>
      </c>
      <c r="D31" s="50" t="str">
        <f>IF(ISNA(VLOOKUP($B31,CPY!$B:$G,3,FALSE))=TRUE," ",VLOOKUP($B31,CPY!$B:$G,3,FALSE))</f>
        <v> </v>
      </c>
      <c r="E31" s="65" t="str">
        <f>IF(ISNA(VLOOKUP($B31,CPY!$B:$G,4,FALSE))=TRUE," ",VLOOKUP($B31,CPY!$B:$G,4,FALSE))</f>
        <v> </v>
      </c>
      <c r="F31" s="62"/>
      <c r="G31" s="86"/>
      <c r="H31" s="87"/>
      <c r="I31" s="88"/>
      <c r="J31" s="88"/>
      <c r="K31" s="89">
        <f t="shared" si="3"/>
        <v>0</v>
      </c>
      <c r="L31" s="90" t="b">
        <f>IF((ISNUMBER(K31)),IF(AND(F31="Workdays",(SUMIFS(N:N,F:F,F31,H:H,H31,B:B,B31)&lt;=24)),IF(AND((K31*24)&gt;0,(K31*24)&lt;16),((K31*24)*MD!$I$6),IF((K31*24)&gt;=16,(MD!$J$6))),IF(AND(F31="Non_workdays",(SUMIFS(N:N,F:F,F31,H:H,H31,B:B,B31)&lt;=24)),IF(AND((K31*24)&gt;0,(K31*24)&lt;12),((K31*24)*MD!$I$5),IF((K31*24)&gt;=12,(MD!$J$5))))))</f>
        <v>0</v>
      </c>
      <c r="M31" s="62"/>
      <c r="N31" s="72">
        <f t="shared" si="1"/>
        <v>0</v>
      </c>
    </row>
    <row r="32" spans="1:14" x14ac:dyDescent="0.25">
      <c r="A32" s="62">
        <v>31</v>
      </c>
      <c r="B32" s="62"/>
      <c r="C32" s="85" t="str">
        <f>IF(ISNA(VLOOKUP($B32,CPY!$B:$G,2,FALSE))=TRUE," ",VLOOKUP($B32,CPY!$B:$G,2,FALSE))</f>
        <v> </v>
      </c>
      <c r="D32" s="50" t="str">
        <f>IF(ISNA(VLOOKUP($B32,CPY!$B:$G,3,FALSE))=TRUE," ",VLOOKUP($B32,CPY!$B:$G,3,FALSE))</f>
        <v> </v>
      </c>
      <c r="E32" s="65" t="str">
        <f>IF(ISNA(VLOOKUP($B32,CPY!$B:$G,4,FALSE))=TRUE," ",VLOOKUP($B32,CPY!$B:$G,4,FALSE))</f>
        <v> </v>
      </c>
      <c r="F32" s="62"/>
      <c r="G32" s="86"/>
      <c r="H32" s="87"/>
      <c r="I32" s="88"/>
      <c r="J32" s="88"/>
      <c r="K32" s="89">
        <f t="shared" si="3"/>
        <v>0</v>
      </c>
      <c r="L32" s="90" t="b">
        <f>IF((ISNUMBER(K32)),IF(AND(F32="Workdays",(SUMIFS(N:N,F:F,F32,H:H,H32,B:B,B32)&lt;=24)),IF(AND((K32*24)&gt;0,(K32*24)&lt;16),((K32*24)*MD!$I$6),IF((K32*24)&gt;=16,(MD!$J$6))),IF(AND(F32="Non_workdays",(SUMIFS(N:N,F:F,F32,H:H,H32,B:B,B32)&lt;=24)),IF(AND((K32*24)&gt;0,(K32*24)&lt;12),((K32*24)*MD!$I$5),IF((K32*24)&gt;=12,(MD!$J$5))))))</f>
        <v>0</v>
      </c>
      <c r="M32" s="62"/>
      <c r="N32" s="72">
        <f t="shared" si="1"/>
        <v>0</v>
      </c>
    </row>
    <row r="33" spans="1:14" x14ac:dyDescent="0.25">
      <c r="A33" s="62">
        <v>32</v>
      </c>
      <c r="B33" s="62"/>
      <c r="C33" s="85" t="str">
        <f>IF(ISNA(VLOOKUP($B33,CPY!$B:$G,2,FALSE))=TRUE," ",VLOOKUP($B33,CPY!$B:$G,2,FALSE))</f>
        <v> </v>
      </c>
      <c r="D33" s="50" t="str">
        <f>IF(ISNA(VLOOKUP($B33,CPY!$B:$G,3,FALSE))=TRUE," ",VLOOKUP($B33,CPY!$B:$G,3,FALSE))</f>
        <v> </v>
      </c>
      <c r="E33" s="65" t="str">
        <f>IF(ISNA(VLOOKUP($B33,CPY!$B:$G,4,FALSE))=TRUE," ",VLOOKUP($B33,CPY!$B:$G,4,FALSE))</f>
        <v> </v>
      </c>
      <c r="F33" s="62"/>
      <c r="G33" s="86"/>
      <c r="H33" s="87"/>
      <c r="I33" s="88"/>
      <c r="J33" s="88"/>
      <c r="K33" s="89">
        <f t="shared" si="3"/>
        <v>0</v>
      </c>
      <c r="L33" s="90" t="b">
        <f>IF((ISNUMBER(K33)),IF(AND(F33="Workdays",(SUMIFS(N:N,F:F,F33,H:H,H33,B:B,B33)&lt;=24)),IF(AND((K33*24)&gt;0,(K33*24)&lt;16),((K33*24)*MD!$I$6),IF((K33*24)&gt;=16,(MD!$J$6))),IF(AND(F33="Non_workdays",(SUMIFS(N:N,F:F,F33,H:H,H33,B:B,B33)&lt;=24)),IF(AND((K33*24)&gt;0,(K33*24)&lt;12),((K33*24)*MD!$I$5),IF((K33*24)&gt;=12,(MD!$J$5))))))</f>
        <v>0</v>
      </c>
      <c r="M33" s="62"/>
      <c r="N33" s="72">
        <f t="shared" si="1"/>
        <v>0</v>
      </c>
    </row>
    <row r="34" spans="1:14" x14ac:dyDescent="0.25">
      <c r="A34" s="62">
        <v>33</v>
      </c>
      <c r="B34" s="62"/>
      <c r="C34" s="85" t="str">
        <f>IF(ISNA(VLOOKUP($B34,CPY!$B:$G,2,FALSE))=TRUE," ",VLOOKUP($B34,CPY!$B:$G,2,FALSE))</f>
        <v> </v>
      </c>
      <c r="D34" s="50" t="str">
        <f>IF(ISNA(VLOOKUP($B34,CPY!$B:$G,3,FALSE))=TRUE," ",VLOOKUP($B34,CPY!$B:$G,3,FALSE))</f>
        <v> </v>
      </c>
      <c r="E34" s="65" t="str">
        <f>IF(ISNA(VLOOKUP($B34,CPY!$B:$G,4,FALSE))=TRUE," ",VLOOKUP($B34,CPY!$B:$G,4,FALSE))</f>
        <v> </v>
      </c>
      <c r="F34" s="62"/>
      <c r="G34" s="86"/>
      <c r="H34" s="87"/>
      <c r="I34" s="88"/>
      <c r="J34" s="88"/>
      <c r="K34" s="89">
        <f t="shared" si="3"/>
        <v>0</v>
      </c>
      <c r="L34" s="90" t="b">
        <f>IF((ISNUMBER(K34)),IF(AND(F34="Workdays",(SUMIFS(N:N,F:F,F34,H:H,H34,B:B,B34)&lt;=24)),IF(AND((K34*24)&gt;0,(K34*24)&lt;16),((K34*24)*MD!$I$6),IF((K34*24)&gt;=16,(MD!$J$6))),IF(AND(F34="Non_workdays",(SUMIFS(N:N,F:F,F34,H:H,H34,B:B,B34)&lt;=24)),IF(AND((K34*24)&gt;0,(K34*24)&lt;12),((K34*24)*MD!$I$5),IF((K34*24)&gt;=12,(MD!$J$5))))))</f>
        <v>0</v>
      </c>
      <c r="M34" s="62"/>
      <c r="N34" s="72">
        <f t="shared" si="1"/>
        <v>0</v>
      </c>
    </row>
    <row r="35" spans="1:14" x14ac:dyDescent="0.25">
      <c r="A35" s="62">
        <v>34</v>
      </c>
      <c r="B35" s="62"/>
      <c r="C35" s="85" t="str">
        <f>IF(ISNA(VLOOKUP($B35,CPY!$B:$G,2,FALSE))=TRUE," ",VLOOKUP($B35,CPY!$B:$G,2,FALSE))</f>
        <v> </v>
      </c>
      <c r="D35" s="50" t="str">
        <f>IF(ISNA(VLOOKUP($B35,CPY!$B:$G,3,FALSE))=TRUE," ",VLOOKUP($B35,CPY!$B:$G,3,FALSE))</f>
        <v> </v>
      </c>
      <c r="E35" s="65" t="str">
        <f>IF(ISNA(VLOOKUP($B35,CPY!$B:$G,4,FALSE))=TRUE," ",VLOOKUP($B35,CPY!$B:$G,4,FALSE))</f>
        <v> </v>
      </c>
      <c r="F35" s="62"/>
      <c r="G35" s="86"/>
      <c r="H35" s="87"/>
      <c r="I35" s="88"/>
      <c r="J35" s="88"/>
      <c r="K35" s="89">
        <f t="shared" si="3"/>
        <v>0</v>
      </c>
      <c r="L35" s="90" t="b">
        <f>IF((ISNUMBER(K35)),IF(AND(F35="Workdays",(SUMIFS(N:N,F:F,F35,H:H,H35,B:B,B35)&lt;=24)),IF(AND((K35*24)&gt;0,(K35*24)&lt;16),((K35*24)*MD!$I$6),IF((K35*24)&gt;=16,(MD!$J$6))),IF(AND(F35="Non_workdays",(SUMIFS(N:N,F:F,F35,H:H,H35,B:B,B35)&lt;=24)),IF(AND((K35*24)&gt;0,(K35*24)&lt;12),((K35*24)*MD!$I$5),IF((K35*24)&gt;=12,(MD!$J$5))))))</f>
        <v>0</v>
      </c>
      <c r="M35" s="62"/>
      <c r="N35" s="72">
        <f t="shared" si="1"/>
        <v>0</v>
      </c>
    </row>
    <row r="36" spans="1:14" x14ac:dyDescent="0.25">
      <c r="A36" s="62">
        <v>35</v>
      </c>
      <c r="B36" s="62"/>
      <c r="C36" s="85" t="str">
        <f>IF(ISNA(VLOOKUP($B36,CPY!$B:$G,2,FALSE))=TRUE," ",VLOOKUP($B36,CPY!$B:$G,2,FALSE))</f>
        <v> </v>
      </c>
      <c r="D36" s="50" t="str">
        <f>IF(ISNA(VLOOKUP($B36,CPY!$B:$G,3,FALSE))=TRUE," ",VLOOKUP($B36,CPY!$B:$G,3,FALSE))</f>
        <v> </v>
      </c>
      <c r="E36" s="65" t="str">
        <f>IF(ISNA(VLOOKUP($B36,CPY!$B:$G,4,FALSE))=TRUE," ",VLOOKUP($B36,CPY!$B:$G,4,FALSE))</f>
        <v> </v>
      </c>
      <c r="F36" s="62"/>
      <c r="G36" s="86"/>
      <c r="H36" s="87"/>
      <c r="I36" s="88"/>
      <c r="J36" s="88"/>
      <c r="K36" s="89">
        <f t="shared" si="3"/>
        <v>0</v>
      </c>
      <c r="L36" s="90" t="b">
        <f>IF((ISNUMBER(K36)),IF(AND(F36="Workdays",(SUMIFS(N:N,F:F,F36,H:H,H36,B:B,B36)&lt;=24)),IF(AND((K36*24)&gt;0,(K36*24)&lt;16),((K36*24)*MD!$I$6),IF((K36*24)&gt;=16,(MD!$J$6))),IF(AND(F36="Non_workdays",(SUMIFS(N:N,F:F,F36,H:H,H36,B:B,B36)&lt;=24)),IF(AND((K36*24)&gt;0,(K36*24)&lt;12),((K36*24)*MD!$I$5),IF((K36*24)&gt;=12,(MD!$J$5))))))</f>
        <v>0</v>
      </c>
      <c r="M36" s="62"/>
      <c r="N36" s="72">
        <f t="shared" si="1"/>
        <v>0</v>
      </c>
    </row>
    <row r="37" spans="1:14" x14ac:dyDescent="0.25">
      <c r="A37" s="62">
        <v>36</v>
      </c>
      <c r="B37" s="62"/>
      <c r="C37" s="85" t="str">
        <f>IF(ISNA(VLOOKUP($B37,CPY!$B:$G,2,FALSE))=TRUE," ",VLOOKUP($B37,CPY!$B:$G,2,FALSE))</f>
        <v> </v>
      </c>
      <c r="D37" s="50" t="str">
        <f>IF(ISNA(VLOOKUP($B37,CPY!$B:$G,3,FALSE))=TRUE," ",VLOOKUP($B37,CPY!$B:$G,3,FALSE))</f>
        <v> </v>
      </c>
      <c r="E37" s="65" t="str">
        <f>IF(ISNA(VLOOKUP($B37,CPY!$B:$G,4,FALSE))=TRUE," ",VLOOKUP($B37,CPY!$B:$G,4,FALSE))</f>
        <v> </v>
      </c>
      <c r="F37" s="62"/>
      <c r="G37" s="86"/>
      <c r="H37" s="87"/>
      <c r="I37" s="88"/>
      <c r="J37" s="88"/>
      <c r="K37" s="89">
        <f t="shared" si="3"/>
        <v>0</v>
      </c>
      <c r="L37" s="90" t="b">
        <f>IF((ISNUMBER(K37)),IF(AND(F37="Workdays",(SUMIFS(N:N,F:F,F37,H:H,H37,B:B,B37)&lt;=24)),IF(AND((K37*24)&gt;0,(K37*24)&lt;16),((K37*24)*MD!$I$6),IF((K37*24)&gt;=16,(MD!$J$6))),IF(AND(F37="Non_workdays",(SUMIFS(N:N,F:F,F37,H:H,H37,B:B,B37)&lt;=24)),IF(AND((K37*24)&gt;0,(K37*24)&lt;12),((K37*24)*MD!$I$5),IF((K37*24)&gt;=12,(MD!$J$5))))))</f>
        <v>0</v>
      </c>
      <c r="M37" s="62"/>
      <c r="N37" s="72">
        <f t="shared" si="1"/>
        <v>0</v>
      </c>
    </row>
    <row r="38" spans="1:14" x14ac:dyDescent="0.25">
      <c r="A38" s="62">
        <v>37</v>
      </c>
      <c r="B38" s="62"/>
      <c r="C38" s="85" t="str">
        <f>IF(ISNA(VLOOKUP($B38,CPY!$B:$G,2,FALSE))=TRUE," ",VLOOKUP($B38,CPY!$B:$G,2,FALSE))</f>
        <v> </v>
      </c>
      <c r="D38" s="50" t="str">
        <f>IF(ISNA(VLOOKUP($B38,CPY!$B:$G,3,FALSE))=TRUE," ",VLOOKUP($B38,CPY!$B:$G,3,FALSE))</f>
        <v> </v>
      </c>
      <c r="E38" s="65" t="str">
        <f>IF(ISNA(VLOOKUP($B38,CPY!$B:$G,4,FALSE))=TRUE," ",VLOOKUP($B38,CPY!$B:$G,4,FALSE))</f>
        <v> </v>
      </c>
      <c r="F38" s="62"/>
      <c r="G38" s="86"/>
      <c r="H38" s="87"/>
      <c r="I38" s="88"/>
      <c r="J38" s="88"/>
      <c r="K38" s="89">
        <f t="shared" si="3"/>
        <v>0</v>
      </c>
      <c r="L38" s="90" t="b">
        <f>IF((ISNUMBER(K38)),IF(AND(F38="Workdays",(SUMIFS(N:N,F:F,F38,H:H,H38,B:B,B38)&lt;=24)),IF(AND((K38*24)&gt;0,(K38*24)&lt;16),((K38*24)*MD!$I$6),IF((K38*24)&gt;=16,(MD!$J$6))),IF(AND(F38="Non_workdays",(SUMIFS(N:N,F:F,F38,H:H,H38,B:B,B38)&lt;=24)),IF(AND((K38*24)&gt;0,(K38*24)&lt;12),((K38*24)*MD!$I$5),IF((K38*24)&gt;=12,(MD!$J$5))))))</f>
        <v>0</v>
      </c>
      <c r="M38" s="62"/>
      <c r="N38" s="72">
        <f t="shared" si="1"/>
        <v>0</v>
      </c>
    </row>
    <row r="39" spans="1:14" x14ac:dyDescent="0.25">
      <c r="A39" s="62">
        <v>38</v>
      </c>
      <c r="B39" s="62"/>
      <c r="C39" s="85" t="str">
        <f>IF(ISNA(VLOOKUP($B39,CPY!$B:$G,2,FALSE))=TRUE," ",VLOOKUP($B39,CPY!$B:$G,2,FALSE))</f>
        <v> </v>
      </c>
      <c r="D39" s="50" t="str">
        <f>IF(ISNA(VLOOKUP($B39,CPY!$B:$G,3,FALSE))=TRUE," ",VLOOKUP($B39,CPY!$B:$G,3,FALSE))</f>
        <v> </v>
      </c>
      <c r="E39" s="65" t="str">
        <f>IF(ISNA(VLOOKUP($B39,CPY!$B:$G,4,FALSE))=TRUE," ",VLOOKUP($B39,CPY!$B:$G,4,FALSE))</f>
        <v> </v>
      </c>
      <c r="F39" s="62"/>
      <c r="G39" s="86"/>
      <c r="H39" s="87"/>
      <c r="I39" s="88"/>
      <c r="J39" s="88"/>
      <c r="K39" s="89">
        <f t="shared" si="3"/>
        <v>0</v>
      </c>
      <c r="L39" s="90" t="b">
        <f>IF((ISNUMBER(K39)),IF(AND(F39="Workdays",(SUMIFS(N:N,F:F,F39,H:H,H39,B:B,B39)&lt;=24)),IF(AND((K39*24)&gt;0,(K39*24)&lt;16),((K39*24)*MD!$I$6),IF((K39*24)&gt;=16,(MD!$J$6))),IF(AND(F39="Non_workdays",(SUMIFS(N:N,F:F,F39,H:H,H39,B:B,B39)&lt;=24)),IF(AND((K39*24)&gt;0,(K39*24)&lt;12),((K39*24)*MD!$I$5),IF((K39*24)&gt;=12,(MD!$J$5))))))</f>
        <v>0</v>
      </c>
      <c r="M39" s="62"/>
      <c r="N39" s="72">
        <f t="shared" si="1"/>
        <v>0</v>
      </c>
    </row>
    <row r="40" spans="1:14" x14ac:dyDescent="0.25">
      <c r="A40" s="62">
        <v>39</v>
      </c>
      <c r="B40" s="62"/>
      <c r="C40" s="85" t="str">
        <f>IF(ISNA(VLOOKUP($B40,CPY!$B:$G,2,FALSE))=TRUE," ",VLOOKUP($B40,CPY!$B:$G,2,FALSE))</f>
        <v> </v>
      </c>
      <c r="D40" s="50" t="str">
        <f>IF(ISNA(VLOOKUP($B40,CPY!$B:$G,3,FALSE))=TRUE," ",VLOOKUP($B40,CPY!$B:$G,3,FALSE))</f>
        <v> </v>
      </c>
      <c r="E40" s="65" t="str">
        <f>IF(ISNA(VLOOKUP($B40,CPY!$B:$G,4,FALSE))=TRUE," ",VLOOKUP($B40,CPY!$B:$G,4,FALSE))</f>
        <v> </v>
      </c>
      <c r="F40" s="62"/>
      <c r="G40" s="86"/>
      <c r="H40" s="87"/>
      <c r="I40" s="88"/>
      <c r="J40" s="88"/>
      <c r="K40" s="89">
        <f t="shared" si="3"/>
        <v>0</v>
      </c>
      <c r="L40" s="90" t="b">
        <f>IF((ISNUMBER(K40)),IF(AND(F40="Workdays",(SUMIFS(N:N,F:F,F40,H:H,H40,B:B,B40)&lt;=24)),IF(AND((K40*24)&gt;0,(K40*24)&lt;16),((K40*24)*MD!$I$6),IF((K40*24)&gt;=16,(MD!$J$6))),IF(AND(F40="Non_workdays",(SUMIFS(N:N,F:F,F40,H:H,H40,B:B,B40)&lt;=24)),IF(AND((K40*24)&gt;0,(K40*24)&lt;12),((K40*24)*MD!$I$5),IF((K40*24)&gt;=12,(MD!$J$5))))))</f>
        <v>0</v>
      </c>
      <c r="M40" s="62"/>
      <c r="N40" s="72">
        <f t="shared" si="1"/>
        <v>0</v>
      </c>
    </row>
    <row r="41" spans="1:14" x14ac:dyDescent="0.25">
      <c r="A41" s="62">
        <v>40</v>
      </c>
      <c r="B41" s="62"/>
      <c r="C41" s="85" t="str">
        <f>IF(ISNA(VLOOKUP($B41,CPY!$B:$G,2,FALSE))=TRUE," ",VLOOKUP($B41,CPY!$B:$G,2,FALSE))</f>
        <v> </v>
      </c>
      <c r="D41" s="50" t="str">
        <f>IF(ISNA(VLOOKUP($B41,CPY!$B:$G,3,FALSE))=TRUE," ",VLOOKUP($B41,CPY!$B:$G,3,FALSE))</f>
        <v> </v>
      </c>
      <c r="E41" s="65" t="str">
        <f>IF(ISNA(VLOOKUP($B41,CPY!$B:$G,4,FALSE))=TRUE," ",VLOOKUP($B41,CPY!$B:$G,4,FALSE))</f>
        <v> </v>
      </c>
      <c r="F41" s="62"/>
      <c r="G41" s="86"/>
      <c r="H41" s="87"/>
      <c r="I41" s="88"/>
      <c r="J41" s="88"/>
      <c r="K41" s="89">
        <f t="shared" si="3"/>
        <v>0</v>
      </c>
      <c r="L41" s="90" t="b">
        <f>IF((ISNUMBER(K41)),IF(AND(F41="Workdays",(SUMIFS(N:N,F:F,F41,H:H,H41,B:B,B41)&lt;=24)),IF(AND((K41*24)&gt;0,(K41*24)&lt;16),((K41*24)*MD!$I$6),IF((K41*24)&gt;=16,(MD!$J$6))),IF(AND(F41="Non_workdays",(SUMIFS(N:N,F:F,F41,H:H,H41,B:B,B41)&lt;=24)),IF(AND((K41*24)&gt;0,(K41*24)&lt;12),((K41*24)*MD!$I$5),IF((K41*24)&gt;=12,(MD!$J$5))))))</f>
        <v>0</v>
      </c>
      <c r="M41" s="62"/>
      <c r="N41" s="72">
        <f t="shared" si="1"/>
        <v>0</v>
      </c>
    </row>
    <row r="42" spans="1:14" x14ac:dyDescent="0.25">
      <c r="A42" s="62">
        <v>41</v>
      </c>
      <c r="B42" s="62"/>
      <c r="C42" s="85" t="str">
        <f>IF(ISNA(VLOOKUP($B42,CPY!$B:$G,2,FALSE))=TRUE," ",VLOOKUP($B42,CPY!$B:$G,2,FALSE))</f>
        <v> </v>
      </c>
      <c r="D42" s="50" t="str">
        <f>IF(ISNA(VLOOKUP($B42,CPY!$B:$G,3,FALSE))=TRUE," ",VLOOKUP($B42,CPY!$B:$G,3,FALSE))</f>
        <v> </v>
      </c>
      <c r="E42" s="65" t="str">
        <f>IF(ISNA(VLOOKUP($B42,CPY!$B:$G,4,FALSE))=TRUE," ",VLOOKUP($B42,CPY!$B:$G,4,FALSE))</f>
        <v> </v>
      </c>
      <c r="F42" s="62"/>
      <c r="G42" s="86"/>
      <c r="H42" s="87"/>
      <c r="I42" s="88"/>
      <c r="J42" s="88"/>
      <c r="K42" s="89">
        <f t="shared" si="3"/>
        <v>0</v>
      </c>
      <c r="L42" s="90" t="b">
        <f>IF((ISNUMBER(K42)),IF(AND(F42="Workdays",(SUMIFS(N:N,F:F,F42,H:H,H42,B:B,B42)&lt;=24)),IF(AND((K42*24)&gt;0,(K42*24)&lt;16),((K42*24)*MD!$I$6),IF((K42*24)&gt;=16,(MD!$J$6))),IF(AND(F42="Non_workdays",(SUMIFS(N:N,F:F,F42,H:H,H42,B:B,B42)&lt;=24)),IF(AND((K42*24)&gt;0,(K42*24)&lt;12),((K42*24)*MD!$I$5),IF((K42*24)&gt;=12,(MD!$J$5))))))</f>
        <v>0</v>
      </c>
      <c r="M42" s="62"/>
      <c r="N42" s="72">
        <f t="shared" si="1"/>
        <v>0</v>
      </c>
    </row>
    <row r="43" spans="1:14" x14ac:dyDescent="0.25">
      <c r="A43" s="62">
        <v>42</v>
      </c>
      <c r="B43" s="62"/>
      <c r="C43" s="85" t="str">
        <f>IF(ISNA(VLOOKUP($B43,CPY!$B:$G,2,FALSE))=TRUE," ",VLOOKUP($B43,CPY!$B:$G,2,FALSE))</f>
        <v> </v>
      </c>
      <c r="D43" s="50" t="str">
        <f>IF(ISNA(VLOOKUP($B43,CPY!$B:$G,3,FALSE))=TRUE," ",VLOOKUP($B43,CPY!$B:$G,3,FALSE))</f>
        <v> </v>
      </c>
      <c r="E43" s="65" t="str">
        <f>IF(ISNA(VLOOKUP($B43,CPY!$B:$G,4,FALSE))=TRUE," ",VLOOKUP($B43,CPY!$B:$G,4,FALSE))</f>
        <v> </v>
      </c>
      <c r="F43" s="62"/>
      <c r="G43" s="86"/>
      <c r="H43" s="87"/>
      <c r="I43" s="88"/>
      <c r="J43" s="88"/>
      <c r="K43" s="89">
        <f t="shared" si="3"/>
        <v>0</v>
      </c>
      <c r="L43" s="90" t="b">
        <f>IF((ISNUMBER(K43)),IF(AND(F43="Workdays",(SUMIFS(N:N,F:F,F43,H:H,H43,B:B,B43)&lt;=24)),IF(AND((K43*24)&gt;0,(K43*24)&lt;16),((K43*24)*MD!$I$6),IF((K43*24)&gt;=16,(MD!$J$6))),IF(AND(F43="Non_workdays",(SUMIFS(N:N,F:F,F43,H:H,H43,B:B,B43)&lt;=24)),IF(AND((K43*24)&gt;0,(K43*24)&lt;12),((K43*24)*MD!$I$5),IF((K43*24)&gt;=12,(MD!$J$5))))))</f>
        <v>0</v>
      </c>
      <c r="M43" s="62"/>
      <c r="N43" s="72">
        <f t="shared" si="1"/>
        <v>0</v>
      </c>
    </row>
    <row r="44" spans="1:14" x14ac:dyDescent="0.25">
      <c r="A44" s="62">
        <v>43</v>
      </c>
      <c r="B44" s="62"/>
      <c r="C44" s="85" t="str">
        <f>IF(ISNA(VLOOKUP($B44,CPY!$B:$G,2,FALSE))=TRUE," ",VLOOKUP($B44,CPY!$B:$G,2,FALSE))</f>
        <v> </v>
      </c>
      <c r="D44" s="50" t="str">
        <f>IF(ISNA(VLOOKUP($B44,CPY!$B:$G,3,FALSE))=TRUE," ",VLOOKUP($B44,CPY!$B:$G,3,FALSE))</f>
        <v> </v>
      </c>
      <c r="E44" s="65" t="str">
        <f>IF(ISNA(VLOOKUP($B44,CPY!$B:$G,4,FALSE))=TRUE," ",VLOOKUP($B44,CPY!$B:$G,4,FALSE))</f>
        <v> </v>
      </c>
      <c r="F44" s="62"/>
      <c r="G44" s="86"/>
      <c r="H44" s="87"/>
      <c r="I44" s="88"/>
      <c r="J44" s="88"/>
      <c r="K44" s="89">
        <f t="shared" si="3"/>
        <v>0</v>
      </c>
      <c r="L44" s="90" t="b">
        <f>IF((ISNUMBER(K44)),IF(AND(F44="Workdays",(SUMIFS(N:N,F:F,F44,H:H,H44,B:B,B44)&lt;=24)),IF(AND((K44*24)&gt;0,(K44*24)&lt;16),((K44*24)*MD!$I$6),IF((K44*24)&gt;=16,(MD!$J$6))),IF(AND(F44="Non_workdays",(SUMIFS(N:N,F:F,F44,H:H,H44,B:B,B44)&lt;=24)),IF(AND((K44*24)&gt;0,(K44*24)&lt;12),((K44*24)*MD!$I$5),IF((K44*24)&gt;=12,(MD!$J$5))))))</f>
        <v>0</v>
      </c>
      <c r="M44" s="62"/>
      <c r="N44" s="72">
        <f t="shared" si="1"/>
        <v>0</v>
      </c>
    </row>
    <row r="45" spans="1:14" x14ac:dyDescent="0.25">
      <c r="A45" s="62">
        <v>44</v>
      </c>
      <c r="B45" s="62"/>
      <c r="C45" s="85" t="str">
        <f>IF(ISNA(VLOOKUP($B45,CPY!$B:$G,2,FALSE))=TRUE," ",VLOOKUP($B45,CPY!$B:$G,2,FALSE))</f>
        <v> </v>
      </c>
      <c r="D45" s="50" t="str">
        <f>IF(ISNA(VLOOKUP($B45,CPY!$B:$G,3,FALSE))=TRUE," ",VLOOKUP($B45,CPY!$B:$G,3,FALSE))</f>
        <v> </v>
      </c>
      <c r="E45" s="65" t="str">
        <f>IF(ISNA(VLOOKUP($B45,CPY!$B:$G,4,FALSE))=TRUE," ",VLOOKUP($B45,CPY!$B:$G,4,FALSE))</f>
        <v> </v>
      </c>
      <c r="F45" s="62"/>
      <c r="G45" s="86"/>
      <c r="H45" s="87"/>
      <c r="I45" s="88"/>
      <c r="J45" s="88"/>
      <c r="K45" s="89">
        <f t="shared" si="3"/>
        <v>0</v>
      </c>
      <c r="L45" s="90" t="b">
        <f>IF((ISNUMBER(K45)),IF(AND(F45="Workdays",(SUMIFS(N:N,F:F,F45,H:H,H45,B:B,B45)&lt;=24)),IF(AND((K45*24)&gt;0,(K45*24)&lt;16),((K45*24)*MD!$I$6),IF((K45*24)&gt;=16,(MD!$J$6))),IF(AND(F45="Non_workdays",(SUMIFS(N:N,F:F,F45,H:H,H45,B:B,B45)&lt;=24)),IF(AND((K45*24)&gt;0,(K45*24)&lt;12),((K45*24)*MD!$I$5),IF((K45*24)&gt;=12,(MD!$J$5))))))</f>
        <v>0</v>
      </c>
      <c r="M45" s="62"/>
      <c r="N45" s="72">
        <f t="shared" si="1"/>
        <v>0</v>
      </c>
    </row>
    <row r="46" spans="1:14" x14ac:dyDescent="0.25">
      <c r="A46" s="62">
        <v>45</v>
      </c>
      <c r="B46" s="62"/>
      <c r="C46" s="85" t="str">
        <f>IF(ISNA(VLOOKUP($B46,CPY!$B:$G,2,FALSE))=TRUE," ",VLOOKUP($B46,CPY!$B:$G,2,FALSE))</f>
        <v> </v>
      </c>
      <c r="D46" s="50" t="str">
        <f>IF(ISNA(VLOOKUP($B46,CPY!$B:$G,3,FALSE))=TRUE," ",VLOOKUP($B46,CPY!$B:$G,3,FALSE))</f>
        <v> </v>
      </c>
      <c r="E46" s="65" t="str">
        <f>IF(ISNA(VLOOKUP($B46,CPY!$B:$G,4,FALSE))=TRUE," ",VLOOKUP($B46,CPY!$B:$G,4,FALSE))</f>
        <v> </v>
      </c>
      <c r="F46" s="62"/>
      <c r="G46" s="86"/>
      <c r="H46" s="87"/>
      <c r="I46" s="88"/>
      <c r="J46" s="88"/>
      <c r="K46" s="89">
        <f t="shared" si="3"/>
        <v>0</v>
      </c>
      <c r="L46" s="90" t="b">
        <f>IF((ISNUMBER(K46)),IF(AND(F46="Workdays",(SUMIFS(N:N,F:F,F46,H:H,H46,B:B,B46)&lt;=24)),IF(AND((K46*24)&gt;0,(K46*24)&lt;16),((K46*24)*MD!$I$6),IF((K46*24)&gt;=16,(MD!$J$6))),IF(AND(F46="Non_workdays",(SUMIFS(N:N,F:F,F46,H:H,H46,B:B,B46)&lt;=24)),IF(AND((K46*24)&gt;0,(K46*24)&lt;12),((K46*24)*MD!$I$5),IF((K46*24)&gt;=12,(MD!$J$5))))))</f>
        <v>0</v>
      </c>
      <c r="M46" s="62"/>
      <c r="N46" s="72">
        <f t="shared" si="1"/>
        <v>0</v>
      </c>
    </row>
    <row r="47" spans="1:14" x14ac:dyDescent="0.25">
      <c r="A47" s="62">
        <v>46</v>
      </c>
      <c r="B47" s="62"/>
      <c r="C47" s="85" t="str">
        <f>IF(ISNA(VLOOKUP($B47,CPY!$B:$G,2,FALSE))=TRUE," ",VLOOKUP($B47,CPY!$B:$G,2,FALSE))</f>
        <v> </v>
      </c>
      <c r="D47" s="50" t="str">
        <f>IF(ISNA(VLOOKUP($B47,CPY!$B:$G,3,FALSE))=TRUE," ",VLOOKUP($B47,CPY!$B:$G,3,FALSE))</f>
        <v> </v>
      </c>
      <c r="E47" s="65" t="str">
        <f>IF(ISNA(VLOOKUP($B47,CPY!$B:$G,4,FALSE))=TRUE," ",VLOOKUP($B47,CPY!$B:$G,4,FALSE))</f>
        <v> </v>
      </c>
      <c r="F47" s="62"/>
      <c r="G47" s="86"/>
      <c r="H47" s="87"/>
      <c r="I47" s="88"/>
      <c r="J47" s="88"/>
      <c r="K47" s="89">
        <f t="shared" si="3"/>
        <v>0</v>
      </c>
      <c r="L47" s="90" t="b">
        <f>IF((ISNUMBER(K47)),IF(AND(F47="Workdays",(SUMIFS(N:N,F:F,F47,H:H,H47,B:B,B47)&lt;=24)),IF(AND((K47*24)&gt;0,(K47*24)&lt;16),((K47*24)*MD!$I$6),IF((K47*24)&gt;=16,(MD!$J$6))),IF(AND(F47="Non_workdays",(SUMIFS(N:N,F:F,F47,H:H,H47,B:B,B47)&lt;=24)),IF(AND((K47*24)&gt;0,(K47*24)&lt;12),((K47*24)*MD!$I$5),IF((K47*24)&gt;=12,(MD!$J$5))))))</f>
        <v>0</v>
      </c>
      <c r="M47" s="62"/>
      <c r="N47" s="72">
        <f t="shared" si="1"/>
        <v>0</v>
      </c>
    </row>
    <row r="48" spans="1:14" x14ac:dyDescent="0.25">
      <c r="A48" s="62">
        <v>47</v>
      </c>
      <c r="B48" s="62"/>
      <c r="C48" s="85" t="str">
        <f>IF(ISNA(VLOOKUP($B48,CPY!$B:$G,2,FALSE))=TRUE," ",VLOOKUP($B48,CPY!$B:$G,2,FALSE))</f>
        <v> </v>
      </c>
      <c r="D48" s="50" t="str">
        <f>IF(ISNA(VLOOKUP($B48,CPY!$B:$G,3,FALSE))=TRUE," ",VLOOKUP($B48,CPY!$B:$G,3,FALSE))</f>
        <v> </v>
      </c>
      <c r="E48" s="65" t="str">
        <f>IF(ISNA(VLOOKUP($B48,CPY!$B:$G,4,FALSE))=TRUE," ",VLOOKUP($B48,CPY!$B:$G,4,FALSE))</f>
        <v> </v>
      </c>
      <c r="F48" s="62"/>
      <c r="G48" s="86"/>
      <c r="H48" s="87"/>
      <c r="I48" s="88"/>
      <c r="J48" s="88"/>
      <c r="K48" s="89">
        <f t="shared" si="3"/>
        <v>0</v>
      </c>
      <c r="L48" s="90" t="b">
        <f>IF((ISNUMBER(K48)),IF(AND(F48="Workdays",(SUMIFS(N:N,F:F,F48,H:H,H48,B:B,B48)&lt;=24)),IF(AND((K48*24)&gt;0,(K48*24)&lt;16),((K48*24)*MD!$I$6),IF((K48*24)&gt;=16,(MD!$J$6))),IF(AND(F48="Non_workdays",(SUMIFS(N:N,F:F,F48,H:H,H48,B:B,B48)&lt;=24)),IF(AND((K48*24)&gt;0,(K48*24)&lt;12),((K48*24)*MD!$I$5),IF((K48*24)&gt;=12,(MD!$J$5))))))</f>
        <v>0</v>
      </c>
      <c r="M48" s="62"/>
      <c r="N48" s="72">
        <f t="shared" si="1"/>
        <v>0</v>
      </c>
    </row>
    <row r="49" spans="1:14" x14ac:dyDescent="0.25">
      <c r="A49" s="62">
        <v>48</v>
      </c>
      <c r="B49" s="62"/>
      <c r="C49" s="85" t="str">
        <f>IF(ISNA(VLOOKUP($B49,CPY!$B:$G,2,FALSE))=TRUE," ",VLOOKUP($B49,CPY!$B:$G,2,FALSE))</f>
        <v> </v>
      </c>
      <c r="D49" s="50" t="str">
        <f>IF(ISNA(VLOOKUP($B49,CPY!$B:$G,3,FALSE))=TRUE," ",VLOOKUP($B49,CPY!$B:$G,3,FALSE))</f>
        <v> </v>
      </c>
      <c r="E49" s="65" t="str">
        <f>IF(ISNA(VLOOKUP($B49,CPY!$B:$G,4,FALSE))=TRUE," ",VLOOKUP($B49,CPY!$B:$G,4,FALSE))</f>
        <v> </v>
      </c>
      <c r="F49" s="62"/>
      <c r="G49" s="86"/>
      <c r="H49" s="87"/>
      <c r="I49" s="88"/>
      <c r="J49" s="88"/>
      <c r="K49" s="89">
        <f t="shared" si="3"/>
        <v>0</v>
      </c>
      <c r="L49" s="90" t="b">
        <f>IF((ISNUMBER(K49)),IF(AND(F49="Workdays",(SUMIFS(N:N,F:F,F49,H:H,H49,B:B,B49)&lt;=24)),IF(AND((K49*24)&gt;0,(K49*24)&lt;16),((K49*24)*MD!$I$6),IF((K49*24)&gt;=16,(MD!$J$6))),IF(AND(F49="Non_workdays",(SUMIFS(N:N,F:F,F49,H:H,H49,B:B,B49)&lt;=24)),IF(AND((K49*24)&gt;0,(K49*24)&lt;12),((K49*24)*MD!$I$5),IF((K49*24)&gt;=12,(MD!$J$5))))))</f>
        <v>0</v>
      </c>
      <c r="M49" s="62"/>
      <c r="N49" s="72">
        <f t="shared" si="1"/>
        <v>0</v>
      </c>
    </row>
    <row r="50" spans="1:14" x14ac:dyDescent="0.25">
      <c r="A50" s="62">
        <v>49</v>
      </c>
      <c r="B50" s="62"/>
      <c r="C50" s="85" t="str">
        <f>IF(ISNA(VLOOKUP($B50,CPY!$B:$G,2,FALSE))=TRUE," ",VLOOKUP($B50,CPY!$B:$G,2,FALSE))</f>
        <v> </v>
      </c>
      <c r="D50" s="50" t="str">
        <f>IF(ISNA(VLOOKUP($B50,CPY!$B:$G,3,FALSE))=TRUE," ",VLOOKUP($B50,CPY!$B:$G,3,FALSE))</f>
        <v> </v>
      </c>
      <c r="E50" s="65" t="str">
        <f>IF(ISNA(VLOOKUP($B50,CPY!$B:$G,4,FALSE))=TRUE," ",VLOOKUP($B50,CPY!$B:$G,4,FALSE))</f>
        <v> </v>
      </c>
      <c r="F50" s="62"/>
      <c r="G50" s="86"/>
      <c r="H50" s="87"/>
      <c r="I50" s="88"/>
      <c r="J50" s="88"/>
      <c r="K50" s="89">
        <f t="shared" si="3"/>
        <v>0</v>
      </c>
      <c r="L50" s="90" t="b">
        <f>IF((ISNUMBER(K50)),IF(AND(F50="Workdays",(SUMIFS(N:N,F:F,F50,H:H,H50,B:B,B50)&lt;=24)),IF(AND((K50*24)&gt;0,(K50*24)&lt;16),((K50*24)*MD!$I$6),IF((K50*24)&gt;=16,(MD!$J$6))),IF(AND(F50="Non_workdays",(SUMIFS(N:N,F:F,F50,H:H,H50,B:B,B50)&lt;=24)),IF(AND((K50*24)&gt;0,(K50*24)&lt;12),((K50*24)*MD!$I$5),IF((K50*24)&gt;=12,(MD!$J$5))))))</f>
        <v>0</v>
      </c>
      <c r="M50" s="62"/>
      <c r="N50" s="72">
        <f t="shared" si="1"/>
        <v>0</v>
      </c>
    </row>
    <row r="51" spans="1:14" x14ac:dyDescent="0.25">
      <c r="A51" s="62">
        <v>50</v>
      </c>
      <c r="B51" s="62"/>
      <c r="C51" s="85" t="str">
        <f>IF(ISNA(VLOOKUP($B51,CPY!$B:$G,2,FALSE))=TRUE," ",VLOOKUP($B51,CPY!$B:$G,2,FALSE))</f>
        <v> </v>
      </c>
      <c r="D51" s="50" t="str">
        <f>IF(ISNA(VLOOKUP($B51,CPY!$B:$G,3,FALSE))=TRUE," ",VLOOKUP($B51,CPY!$B:$G,3,FALSE))</f>
        <v> </v>
      </c>
      <c r="E51" s="65" t="str">
        <f>IF(ISNA(VLOOKUP($B51,CPY!$B:$G,4,FALSE))=TRUE," ",VLOOKUP($B51,CPY!$B:$G,4,FALSE))</f>
        <v> </v>
      </c>
      <c r="F51" s="62"/>
      <c r="G51" s="86"/>
      <c r="H51" s="87"/>
      <c r="I51" s="88"/>
      <c r="J51" s="88"/>
      <c r="K51" s="89">
        <f t="shared" si="3"/>
        <v>0</v>
      </c>
      <c r="L51" s="90" t="b">
        <f>IF((ISNUMBER(K51)),IF(AND(F51="Workdays",(SUMIFS(N:N,F:F,F51,H:H,H51,B:B,B51)&lt;=24)),IF(AND((K51*24)&gt;0,(K51*24)&lt;16),((K51*24)*MD!$I$6),IF((K51*24)&gt;=16,(MD!$J$6))),IF(AND(F51="Non_workdays",(SUMIFS(N:N,F:F,F51,H:H,H51,B:B,B51)&lt;=24)),IF(AND((K51*24)&gt;0,(K51*24)&lt;12),((K51*24)*MD!$I$5),IF((K51*24)&gt;=12,(MD!$J$5))))))</f>
        <v>0</v>
      </c>
      <c r="M51" s="62"/>
      <c r="N51" s="72">
        <f t="shared" si="1"/>
        <v>0</v>
      </c>
    </row>
    <row r="52" spans="1:14" x14ac:dyDescent="0.25">
      <c r="A52" s="62">
        <v>51</v>
      </c>
      <c r="B52" s="62"/>
      <c r="C52" s="85" t="str">
        <f>IF(ISNA(VLOOKUP($B52,CPY!$B:$G,2,FALSE))=TRUE," ",VLOOKUP($B52,CPY!$B:$G,2,FALSE))</f>
        <v> </v>
      </c>
      <c r="D52" s="50" t="str">
        <f>IF(ISNA(VLOOKUP($B52,CPY!$B:$G,3,FALSE))=TRUE," ",VLOOKUP($B52,CPY!$B:$G,3,FALSE))</f>
        <v> </v>
      </c>
      <c r="E52" s="65" t="str">
        <f>IF(ISNA(VLOOKUP($B52,CPY!$B:$G,4,FALSE))=TRUE," ",VLOOKUP($B52,CPY!$B:$G,4,FALSE))</f>
        <v> </v>
      </c>
      <c r="F52" s="62"/>
      <c r="G52" s="86"/>
      <c r="H52" s="87"/>
      <c r="I52" s="88"/>
      <c r="J52" s="88"/>
      <c r="K52" s="89">
        <f t="shared" si="3"/>
        <v>0</v>
      </c>
      <c r="L52" s="90" t="b">
        <f>IF((ISNUMBER(K52)),IF(AND(F52="Workdays",(SUMIFS(N:N,F:F,F52,H:H,H52,B:B,B52)&lt;=24)),IF(AND((K52*24)&gt;0,(K52*24)&lt;16),((K52*24)*MD!$I$6),IF((K52*24)&gt;=16,(MD!$J$6))),IF(AND(F52="Non_workdays",(SUMIFS(N:N,F:F,F52,H:H,H52,B:B,B52)&lt;=24)),IF(AND((K52*24)&gt;0,(K52*24)&lt;12),((K52*24)*MD!$I$5),IF((K52*24)&gt;=12,(MD!$J$5))))))</f>
        <v>0</v>
      </c>
      <c r="M52" s="62"/>
      <c r="N52" s="72">
        <f t="shared" si="1"/>
        <v>0</v>
      </c>
    </row>
    <row r="53" spans="1:14" x14ac:dyDescent="0.25">
      <c r="A53" s="62">
        <v>52</v>
      </c>
      <c r="B53" s="62"/>
      <c r="C53" s="85" t="str">
        <f>IF(ISNA(VLOOKUP($B53,CPY!$B:$G,2,FALSE))=TRUE," ",VLOOKUP($B53,CPY!$B:$G,2,FALSE))</f>
        <v> </v>
      </c>
      <c r="D53" s="50" t="str">
        <f>IF(ISNA(VLOOKUP($B53,CPY!$B:$G,3,FALSE))=TRUE," ",VLOOKUP($B53,CPY!$B:$G,3,FALSE))</f>
        <v> </v>
      </c>
      <c r="E53" s="65" t="str">
        <f>IF(ISNA(VLOOKUP($B53,CPY!$B:$G,4,FALSE))=TRUE," ",VLOOKUP($B53,CPY!$B:$G,4,FALSE))</f>
        <v> </v>
      </c>
      <c r="F53" s="62"/>
      <c r="G53" s="86"/>
      <c r="H53" s="87"/>
      <c r="I53" s="88"/>
      <c r="J53" s="88"/>
      <c r="K53" s="89">
        <f t="shared" si="3"/>
        <v>0</v>
      </c>
      <c r="L53" s="90" t="b">
        <f>IF((ISNUMBER(K53)),IF(AND(F53="Workdays",(SUMIFS(N:N,F:F,F53,H:H,H53,B:B,B53)&lt;=24)),IF(AND((K53*24)&gt;0,(K53*24)&lt;16),((K53*24)*MD!$I$6),IF((K53*24)&gt;=16,(MD!$J$6))),IF(AND(F53="Non_workdays",(SUMIFS(N:N,F:F,F53,H:H,H53,B:B,B53)&lt;=24)),IF(AND((K53*24)&gt;0,(K53*24)&lt;12),((K53*24)*MD!$I$5),IF((K53*24)&gt;=12,(MD!$J$5))))))</f>
        <v>0</v>
      </c>
      <c r="M53" s="62"/>
      <c r="N53" s="72">
        <f t="shared" si="1"/>
        <v>0</v>
      </c>
    </row>
    <row r="54" spans="1:14" x14ac:dyDescent="0.25">
      <c r="A54" s="62">
        <v>53</v>
      </c>
      <c r="B54" s="62"/>
      <c r="C54" s="85" t="str">
        <f>IF(ISNA(VLOOKUP($B54,CPY!$B:$G,2,FALSE))=TRUE," ",VLOOKUP($B54,CPY!$B:$G,2,FALSE))</f>
        <v> </v>
      </c>
      <c r="D54" s="50" t="str">
        <f>IF(ISNA(VLOOKUP($B54,CPY!$B:$G,3,FALSE))=TRUE," ",VLOOKUP($B54,CPY!$B:$G,3,FALSE))</f>
        <v> </v>
      </c>
      <c r="E54" s="65" t="str">
        <f>IF(ISNA(VLOOKUP($B54,CPY!$B:$G,4,FALSE))=TRUE," ",VLOOKUP($B54,CPY!$B:$G,4,FALSE))</f>
        <v> </v>
      </c>
      <c r="F54" s="62"/>
      <c r="G54" s="86"/>
      <c r="H54" s="87"/>
      <c r="I54" s="88"/>
      <c r="J54" s="88"/>
      <c r="K54" s="89">
        <f t="shared" si="3"/>
        <v>0</v>
      </c>
      <c r="L54" s="90" t="b">
        <f>IF((ISNUMBER(K54)),IF(AND(F54="Workdays",(SUMIFS(N:N,F:F,F54,H:H,H54,B:B,B54)&lt;=24)),IF(AND((K54*24)&gt;0,(K54*24)&lt;16),((K54*24)*MD!$I$6),IF((K54*24)&gt;=16,(MD!$J$6))),IF(AND(F54="Non_workdays",(SUMIFS(N:N,F:F,F54,H:H,H54,B:B,B54)&lt;=24)),IF(AND((K54*24)&gt;0,(K54*24)&lt;12),((K54*24)*MD!$I$5),IF((K54*24)&gt;=12,(MD!$J$5))))))</f>
        <v>0</v>
      </c>
      <c r="M54" s="62"/>
      <c r="N54" s="72">
        <f t="shared" si="1"/>
        <v>0</v>
      </c>
    </row>
    <row r="55" spans="1:14" x14ac:dyDescent="0.25">
      <c r="A55" s="62">
        <v>54</v>
      </c>
      <c r="B55" s="62"/>
      <c r="C55" s="85" t="str">
        <f>IF(ISNA(VLOOKUP($B55,CPY!$B:$G,2,FALSE))=TRUE," ",VLOOKUP($B55,CPY!$B:$G,2,FALSE))</f>
        <v> </v>
      </c>
      <c r="D55" s="50" t="str">
        <f>IF(ISNA(VLOOKUP($B55,CPY!$B:$G,3,FALSE))=TRUE," ",VLOOKUP($B55,CPY!$B:$G,3,FALSE))</f>
        <v> </v>
      </c>
      <c r="E55" s="65" t="str">
        <f>IF(ISNA(VLOOKUP($B55,CPY!$B:$G,4,FALSE))=TRUE," ",VLOOKUP($B55,CPY!$B:$G,4,FALSE))</f>
        <v> </v>
      </c>
      <c r="F55" s="62"/>
      <c r="G55" s="86"/>
      <c r="H55" s="87"/>
      <c r="I55" s="88"/>
      <c r="J55" s="88"/>
      <c r="K55" s="89">
        <f t="shared" si="3"/>
        <v>0</v>
      </c>
      <c r="L55" s="90" t="b">
        <f>IF((ISNUMBER(K55)),IF(AND(F55="Workdays",(SUMIFS(N:N,F:F,F55,H:H,H55,B:B,B55)&lt;=24)),IF(AND((K55*24)&gt;0,(K55*24)&lt;16),((K55*24)*MD!$I$6),IF((K55*24)&gt;=16,(MD!$J$6))),IF(AND(F55="Non_workdays",(SUMIFS(N:N,F:F,F55,H:H,H55,B:B,B55)&lt;=24)),IF(AND((K55*24)&gt;0,(K55*24)&lt;12),((K55*24)*MD!$I$5),IF((K55*24)&gt;=12,(MD!$J$5))))))</f>
        <v>0</v>
      </c>
      <c r="M55" s="62"/>
      <c r="N55" s="72">
        <f t="shared" si="1"/>
        <v>0</v>
      </c>
    </row>
    <row r="56" spans="1:14" x14ac:dyDescent="0.25">
      <c r="A56" s="62">
        <v>55</v>
      </c>
      <c r="B56" s="62"/>
      <c r="C56" s="85" t="str">
        <f>IF(ISNA(VLOOKUP($B56,CPY!$B:$G,2,FALSE))=TRUE," ",VLOOKUP($B56,CPY!$B:$G,2,FALSE))</f>
        <v> </v>
      </c>
      <c r="D56" s="50" t="str">
        <f>IF(ISNA(VLOOKUP($B56,CPY!$B:$G,3,FALSE))=TRUE," ",VLOOKUP($B56,CPY!$B:$G,3,FALSE))</f>
        <v> </v>
      </c>
      <c r="E56" s="65" t="str">
        <f>IF(ISNA(VLOOKUP($B56,CPY!$B:$G,4,FALSE))=TRUE," ",VLOOKUP($B56,CPY!$B:$G,4,FALSE))</f>
        <v> </v>
      </c>
      <c r="F56" s="62"/>
      <c r="G56" s="86"/>
      <c r="H56" s="87"/>
      <c r="I56" s="88"/>
      <c r="J56" s="88"/>
      <c r="K56" s="89">
        <f t="shared" si="3"/>
        <v>0</v>
      </c>
      <c r="L56" s="90" t="b">
        <f>IF((ISNUMBER(K56)),IF(AND(F56="Workdays",(SUMIFS(N:N,F:F,F56,H:H,H56,B:B,B56)&lt;=24)),IF(AND((K56*24)&gt;0,(K56*24)&lt;16),((K56*24)*MD!$I$6),IF((K56*24)&gt;=16,(MD!$J$6))),IF(AND(F56="Non_workdays",(SUMIFS(N:N,F:F,F56,H:H,H56,B:B,B56)&lt;=24)),IF(AND((K56*24)&gt;0,(K56*24)&lt;12),((K56*24)*MD!$I$5),IF((K56*24)&gt;=12,(MD!$J$5))))))</f>
        <v>0</v>
      </c>
      <c r="M56" s="62"/>
      <c r="N56" s="72">
        <f t="shared" si="1"/>
        <v>0</v>
      </c>
    </row>
    <row r="57" spans="1:14" x14ac:dyDescent="0.25">
      <c r="A57" s="62">
        <v>56</v>
      </c>
      <c r="B57" s="62"/>
      <c r="C57" s="85" t="str">
        <f>IF(ISNA(VLOOKUP($B57,CPY!$B:$G,2,FALSE))=TRUE," ",VLOOKUP($B57,CPY!$B:$G,2,FALSE))</f>
        <v> </v>
      </c>
      <c r="D57" s="50" t="str">
        <f>IF(ISNA(VLOOKUP($B57,CPY!$B:$G,3,FALSE))=TRUE," ",VLOOKUP($B57,CPY!$B:$G,3,FALSE))</f>
        <v> </v>
      </c>
      <c r="E57" s="65" t="str">
        <f>IF(ISNA(VLOOKUP($B57,CPY!$B:$G,4,FALSE))=TRUE," ",VLOOKUP($B57,CPY!$B:$G,4,FALSE))</f>
        <v> </v>
      </c>
      <c r="F57" s="62"/>
      <c r="G57" s="86"/>
      <c r="H57" s="87"/>
      <c r="I57" s="88"/>
      <c r="J57" s="88"/>
      <c r="K57" s="89">
        <f t="shared" si="3"/>
        <v>0</v>
      </c>
      <c r="L57" s="90" t="b">
        <f>IF((ISNUMBER(K57)),IF(AND(F57="Workdays",(SUMIFS(N:N,F:F,F57,H:H,H57,B:B,B57)&lt;=24)),IF(AND((K57*24)&gt;0,(K57*24)&lt;16),((K57*24)*MD!$I$6),IF((K57*24)&gt;=16,(MD!$J$6))),IF(AND(F57="Non_workdays",(SUMIFS(N:N,F:F,F57,H:H,H57,B:B,B57)&lt;=24)),IF(AND((K57*24)&gt;0,(K57*24)&lt;12),((K57*24)*MD!$I$5),IF((K57*24)&gt;=12,(MD!$J$5))))))</f>
        <v>0</v>
      </c>
      <c r="M57" s="62"/>
      <c r="N57" s="72">
        <f t="shared" si="1"/>
        <v>0</v>
      </c>
    </row>
    <row r="58" spans="1:14" x14ac:dyDescent="0.25">
      <c r="A58" s="62">
        <v>57</v>
      </c>
      <c r="B58" s="62"/>
      <c r="C58" s="85" t="str">
        <f>IF(ISNA(VLOOKUP($B58,CPY!$B:$G,2,FALSE))=TRUE," ",VLOOKUP($B58,CPY!$B:$G,2,FALSE))</f>
        <v> </v>
      </c>
      <c r="D58" s="50" t="str">
        <f>IF(ISNA(VLOOKUP($B58,CPY!$B:$G,3,FALSE))=TRUE," ",VLOOKUP($B58,CPY!$B:$G,3,FALSE))</f>
        <v> </v>
      </c>
      <c r="E58" s="65" t="str">
        <f>IF(ISNA(VLOOKUP($B58,CPY!$B:$G,4,FALSE))=TRUE," ",VLOOKUP($B58,CPY!$B:$G,4,FALSE))</f>
        <v> </v>
      </c>
      <c r="F58" s="62"/>
      <c r="G58" s="86"/>
      <c r="H58" s="87"/>
      <c r="I58" s="88"/>
      <c r="J58" s="88"/>
      <c r="K58" s="89">
        <f t="shared" si="3"/>
        <v>0</v>
      </c>
      <c r="L58" s="90" t="b">
        <f>IF((ISNUMBER(K58)),IF(AND(F58="Workdays",(SUMIFS(N:N,F:F,F58,H:H,H58,B:B,B58)&lt;=24)),IF(AND((K58*24)&gt;0,(K58*24)&lt;16),((K58*24)*MD!$I$6),IF((K58*24)&gt;=16,(MD!$J$6))),IF(AND(F58="Non_workdays",(SUMIFS(N:N,F:F,F58,H:H,H58,B:B,B58)&lt;=24)),IF(AND((K58*24)&gt;0,(K58*24)&lt;12),((K58*24)*MD!$I$5),IF((K58*24)&gt;=12,(MD!$J$5))))))</f>
        <v>0</v>
      </c>
      <c r="M58" s="62"/>
      <c r="N58" s="72">
        <f t="shared" si="1"/>
        <v>0</v>
      </c>
    </row>
    <row r="59" spans="1:14" x14ac:dyDescent="0.25">
      <c r="A59" s="62">
        <v>58</v>
      </c>
      <c r="B59" s="62"/>
      <c r="C59" s="85" t="str">
        <f>IF(ISNA(VLOOKUP($B59,CPY!$B:$G,2,FALSE))=TRUE," ",VLOOKUP($B59,CPY!$B:$G,2,FALSE))</f>
        <v> </v>
      </c>
      <c r="D59" s="50" t="str">
        <f>IF(ISNA(VLOOKUP($B59,CPY!$B:$G,3,FALSE))=TRUE," ",VLOOKUP($B59,CPY!$B:$G,3,FALSE))</f>
        <v> </v>
      </c>
      <c r="E59" s="65" t="str">
        <f>IF(ISNA(VLOOKUP($B59,CPY!$B:$G,4,FALSE))=TRUE," ",VLOOKUP($B59,CPY!$B:$G,4,FALSE))</f>
        <v> </v>
      </c>
      <c r="F59" s="62"/>
      <c r="G59" s="86"/>
      <c r="H59" s="87"/>
      <c r="I59" s="88"/>
      <c r="J59" s="88"/>
      <c r="K59" s="89">
        <f t="shared" si="3"/>
        <v>0</v>
      </c>
      <c r="L59" s="90" t="b">
        <f>IF((ISNUMBER(K59)),IF(AND(F59="Workdays",(SUMIFS(N:N,F:F,F59,H:H,H59,B:B,B59)&lt;=24)),IF(AND((K59*24)&gt;0,(K59*24)&lt;16),((K59*24)*MD!$I$6),IF((K59*24)&gt;=16,(MD!$J$6))),IF(AND(F59="Non_workdays",(SUMIFS(N:N,F:F,F59,H:H,H59,B:B,B59)&lt;=24)),IF(AND((K59*24)&gt;0,(K59*24)&lt;12),((K59*24)*MD!$I$5),IF((K59*24)&gt;=12,(MD!$J$5))))))</f>
        <v>0</v>
      </c>
      <c r="M59" s="62"/>
      <c r="N59" s="72">
        <f t="shared" si="1"/>
        <v>0</v>
      </c>
    </row>
    <row r="60" spans="1:14" x14ac:dyDescent="0.25">
      <c r="A60" s="62">
        <v>59</v>
      </c>
      <c r="B60" s="62"/>
      <c r="C60" s="85" t="str">
        <f>IF(ISNA(VLOOKUP($B60,CPY!$B:$G,2,FALSE))=TRUE," ",VLOOKUP($B60,CPY!$B:$G,2,FALSE))</f>
        <v> </v>
      </c>
      <c r="D60" s="50" t="str">
        <f>IF(ISNA(VLOOKUP($B60,CPY!$B:$G,3,FALSE))=TRUE," ",VLOOKUP($B60,CPY!$B:$G,3,FALSE))</f>
        <v> </v>
      </c>
      <c r="E60" s="65" t="str">
        <f>IF(ISNA(VLOOKUP($B60,CPY!$B:$G,4,FALSE))=TRUE," ",VLOOKUP($B60,CPY!$B:$G,4,FALSE))</f>
        <v> </v>
      </c>
      <c r="F60" s="62"/>
      <c r="G60" s="86"/>
      <c r="H60" s="87"/>
      <c r="I60" s="88"/>
      <c r="J60" s="88"/>
      <c r="K60" s="89">
        <f t="shared" si="3"/>
        <v>0</v>
      </c>
      <c r="L60" s="90" t="b">
        <f>IF((ISNUMBER(K60)),IF(AND(F60="Workdays",(SUMIFS(N:N,F:F,F60,H:H,H60,B:B,B60)&lt;=24)),IF(AND((K60*24)&gt;0,(K60*24)&lt;16),((K60*24)*MD!$I$6),IF((K60*24)&gt;=16,(MD!$J$6))),IF(AND(F60="Non_workdays",(SUMIFS(N:N,F:F,F60,H:H,H60,B:B,B60)&lt;=24)),IF(AND((K60*24)&gt;0,(K60*24)&lt;12),((K60*24)*MD!$I$5),IF((K60*24)&gt;=12,(MD!$J$5))))))</f>
        <v>0</v>
      </c>
      <c r="M60" s="62"/>
      <c r="N60" s="72">
        <f t="shared" si="1"/>
        <v>0</v>
      </c>
    </row>
    <row r="61" spans="1:14" x14ac:dyDescent="0.25">
      <c r="A61" s="62">
        <v>60</v>
      </c>
      <c r="B61" s="62"/>
      <c r="C61" s="85" t="str">
        <f>IF(ISNA(VLOOKUP($B61,CPY!$B:$G,2,FALSE))=TRUE," ",VLOOKUP($B61,CPY!$B:$G,2,FALSE))</f>
        <v> </v>
      </c>
      <c r="D61" s="50" t="str">
        <f>IF(ISNA(VLOOKUP($B61,CPY!$B:$G,3,FALSE))=TRUE," ",VLOOKUP($B61,CPY!$B:$G,3,FALSE))</f>
        <v> </v>
      </c>
      <c r="E61" s="65" t="str">
        <f>IF(ISNA(VLOOKUP($B61,CPY!$B:$G,4,FALSE))=TRUE," ",VLOOKUP($B61,CPY!$B:$G,4,FALSE))</f>
        <v> </v>
      </c>
      <c r="F61" s="62"/>
      <c r="G61" s="86"/>
      <c r="H61" s="87"/>
      <c r="I61" s="88"/>
      <c r="J61" s="88"/>
      <c r="K61" s="89">
        <f t="shared" si="3"/>
        <v>0</v>
      </c>
      <c r="L61" s="90" t="b">
        <f>IF((ISNUMBER(K61)),IF(AND(F61="Workdays",(SUMIFS(N:N,F:F,F61,H:H,H61,B:B,B61)&lt;=24)),IF(AND((K61*24)&gt;0,(K61*24)&lt;16),((K61*24)*MD!$I$6),IF((K61*24)&gt;=16,(MD!$J$6))),IF(AND(F61="Non_workdays",(SUMIFS(N:N,F:F,F61,H:H,H61,B:B,B61)&lt;=24)),IF(AND((K61*24)&gt;0,(K61*24)&lt;12),((K61*24)*MD!$I$5),IF((K61*24)&gt;=12,(MD!$J$5))))))</f>
        <v>0</v>
      </c>
      <c r="M61" s="62"/>
      <c r="N61" s="72">
        <f t="shared" si="1"/>
        <v>0</v>
      </c>
    </row>
    <row r="62" spans="1:14" x14ac:dyDescent="0.25">
      <c r="A62" s="62">
        <v>61</v>
      </c>
      <c r="B62" s="62"/>
      <c r="C62" s="85" t="str">
        <f>IF(ISNA(VLOOKUP($B62,CPY!$B:$G,2,FALSE))=TRUE," ",VLOOKUP($B62,CPY!$B:$G,2,FALSE))</f>
        <v> </v>
      </c>
      <c r="D62" s="50" t="str">
        <f>IF(ISNA(VLOOKUP($B62,CPY!$B:$G,3,FALSE))=TRUE," ",VLOOKUP($B62,CPY!$B:$G,3,FALSE))</f>
        <v> </v>
      </c>
      <c r="E62" s="65" t="str">
        <f>IF(ISNA(VLOOKUP($B62,CPY!$B:$G,4,FALSE))=TRUE," ",VLOOKUP($B62,CPY!$B:$G,4,FALSE))</f>
        <v> </v>
      </c>
      <c r="F62" s="62"/>
      <c r="G62" s="86"/>
      <c r="H62" s="87"/>
      <c r="I62" s="88"/>
      <c r="J62" s="88"/>
      <c r="K62" s="89">
        <f t="shared" si="3"/>
        <v>0</v>
      </c>
      <c r="L62" s="90" t="b">
        <f>IF((ISNUMBER(K62)),IF(AND(F62="Workdays",(SUMIFS(N:N,F:F,F62,H:H,H62,B:B,B62)&lt;=24)),IF(AND((K62*24)&gt;0,(K62*24)&lt;16),((K62*24)*MD!$I$6),IF((K62*24)&gt;=16,(MD!$J$6))),IF(AND(F62="Non_workdays",(SUMIFS(N:N,F:F,F62,H:H,H62,B:B,B62)&lt;=24)),IF(AND((K62*24)&gt;0,(K62*24)&lt;12),((K62*24)*MD!$I$5),IF((K62*24)&gt;=12,(MD!$J$5))))))</f>
        <v>0</v>
      </c>
      <c r="M62" s="62"/>
      <c r="N62" s="72">
        <f t="shared" si="1"/>
        <v>0</v>
      </c>
    </row>
    <row r="63" spans="1:14" x14ac:dyDescent="0.25">
      <c r="A63" s="62">
        <v>62</v>
      </c>
      <c r="B63" s="62"/>
      <c r="C63" s="85" t="str">
        <f>IF(ISNA(VLOOKUP($B63,CPY!$B:$G,2,FALSE))=TRUE," ",VLOOKUP($B63,CPY!$B:$G,2,FALSE))</f>
        <v> </v>
      </c>
      <c r="D63" s="50" t="str">
        <f>IF(ISNA(VLOOKUP($B63,CPY!$B:$G,3,FALSE))=TRUE," ",VLOOKUP($B63,CPY!$B:$G,3,FALSE))</f>
        <v> </v>
      </c>
      <c r="E63" s="65" t="str">
        <f>IF(ISNA(VLOOKUP($B63,CPY!$B:$G,4,FALSE))=TRUE," ",VLOOKUP($B63,CPY!$B:$G,4,FALSE))</f>
        <v> </v>
      </c>
      <c r="F63" s="62"/>
      <c r="G63" s="86"/>
      <c r="H63" s="87"/>
      <c r="I63" s="88"/>
      <c r="J63" s="88"/>
      <c r="K63" s="89">
        <f t="shared" si="3"/>
        <v>0</v>
      </c>
      <c r="L63" s="90" t="b">
        <f>IF((ISNUMBER(K63)),IF(AND(F63="Workdays",(SUMIFS(N:N,F:F,F63,H:H,H63,B:B,B63)&lt;=24)),IF(AND((K63*24)&gt;0,(K63*24)&lt;16),((K63*24)*MD!$I$6),IF((K63*24)&gt;=16,(MD!$J$6))),IF(AND(F63="Non_workdays",(SUMIFS(N:N,F:F,F63,H:H,H63,B:B,B63)&lt;=24)),IF(AND((K63*24)&gt;0,(K63*24)&lt;12),((K63*24)*MD!$I$5),IF((K63*24)&gt;=12,(MD!$J$5))))))</f>
        <v>0</v>
      </c>
      <c r="M63" s="62"/>
      <c r="N63" s="72">
        <f t="shared" si="1"/>
        <v>0</v>
      </c>
    </row>
    <row r="64" spans="1:14" x14ac:dyDescent="0.25">
      <c r="A64" s="62">
        <v>63</v>
      </c>
      <c r="B64" s="62"/>
      <c r="C64" s="85" t="str">
        <f>IF(ISNA(VLOOKUP($B64,CPY!$B:$G,2,FALSE))=TRUE," ",VLOOKUP($B64,CPY!$B:$G,2,FALSE))</f>
        <v> </v>
      </c>
      <c r="D64" s="50" t="str">
        <f>IF(ISNA(VLOOKUP($B64,CPY!$B:$G,3,FALSE))=TRUE," ",VLOOKUP($B64,CPY!$B:$G,3,FALSE))</f>
        <v> </v>
      </c>
      <c r="E64" s="65" t="str">
        <f>IF(ISNA(VLOOKUP($B64,CPY!$B:$G,4,FALSE))=TRUE," ",VLOOKUP($B64,CPY!$B:$G,4,FALSE))</f>
        <v> </v>
      </c>
      <c r="F64" s="62"/>
      <c r="G64" s="86"/>
      <c r="H64" s="87"/>
      <c r="I64" s="88"/>
      <c r="J64" s="88"/>
      <c r="K64" s="89">
        <f t="shared" si="3"/>
        <v>0</v>
      </c>
      <c r="L64" s="90" t="b">
        <f>IF((ISNUMBER(K64)),IF(AND(F64="Workdays",(SUMIFS(N:N,F:F,F64,H:H,H64,B:B,B64)&lt;=24)),IF(AND((K64*24)&gt;0,(K64*24)&lt;16),((K64*24)*MD!$I$6),IF((K64*24)&gt;=16,(MD!$J$6))),IF(AND(F64="Non_workdays",(SUMIFS(N:N,F:F,F64,H:H,H64,B:B,B64)&lt;=24)),IF(AND((K64*24)&gt;0,(K64*24)&lt;12),((K64*24)*MD!$I$5),IF((K64*24)&gt;=12,(MD!$J$5))))))</f>
        <v>0</v>
      </c>
      <c r="M64" s="62"/>
      <c r="N64" s="72">
        <f t="shared" si="1"/>
        <v>0</v>
      </c>
    </row>
    <row r="65" spans="1:14" x14ac:dyDescent="0.25">
      <c r="A65" s="62">
        <v>64</v>
      </c>
      <c r="B65" s="62"/>
      <c r="C65" s="85" t="str">
        <f>IF(ISNA(VLOOKUP($B65,CPY!$B:$G,2,FALSE))=TRUE," ",VLOOKUP($B65,CPY!$B:$G,2,FALSE))</f>
        <v> </v>
      </c>
      <c r="D65" s="50" t="str">
        <f>IF(ISNA(VLOOKUP($B65,CPY!$B:$G,3,FALSE))=TRUE," ",VLOOKUP($B65,CPY!$B:$G,3,FALSE))</f>
        <v> </v>
      </c>
      <c r="E65" s="65" t="str">
        <f>IF(ISNA(VLOOKUP($B65,CPY!$B:$G,4,FALSE))=TRUE," ",VLOOKUP($B65,CPY!$B:$G,4,FALSE))</f>
        <v> </v>
      </c>
      <c r="F65" s="62"/>
      <c r="G65" s="86"/>
      <c r="H65" s="87"/>
      <c r="I65" s="88"/>
      <c r="J65" s="88"/>
      <c r="K65" s="89">
        <f t="shared" si="3"/>
        <v>0</v>
      </c>
      <c r="L65" s="90" t="b">
        <f>IF((ISNUMBER(K65)),IF(AND(F65="Workdays",(SUMIFS(N:N,F:F,F65,H:H,H65,B:B,B65)&lt;=24)),IF(AND((K65*24)&gt;0,(K65*24)&lt;16),((K65*24)*MD!$I$6),IF((K65*24)&gt;=16,(MD!$J$6))),IF(AND(F65="Non_workdays",(SUMIFS(N:N,F:F,F65,H:H,H65,B:B,B65)&lt;=24)),IF(AND((K65*24)&gt;0,(K65*24)&lt;12),((K65*24)*MD!$I$5),IF((K65*24)&gt;=12,(MD!$J$5))))))</f>
        <v>0</v>
      </c>
      <c r="M65" s="62"/>
      <c r="N65" s="72">
        <f t="shared" si="1"/>
        <v>0</v>
      </c>
    </row>
    <row r="66" spans="1:14" x14ac:dyDescent="0.25">
      <c r="A66" s="62">
        <v>65</v>
      </c>
      <c r="B66" s="62"/>
      <c r="C66" s="85" t="str">
        <f>IF(ISNA(VLOOKUP($B66,CPY!$B:$G,2,FALSE))=TRUE," ",VLOOKUP($B66,CPY!$B:$G,2,FALSE))</f>
        <v> </v>
      </c>
      <c r="D66" s="50" t="str">
        <f>IF(ISNA(VLOOKUP($B66,CPY!$B:$G,3,FALSE))=TRUE," ",VLOOKUP($B66,CPY!$B:$G,3,FALSE))</f>
        <v> </v>
      </c>
      <c r="E66" s="65" t="str">
        <f>IF(ISNA(VLOOKUP($B66,CPY!$B:$G,4,FALSE))=TRUE," ",VLOOKUP($B66,CPY!$B:$G,4,FALSE))</f>
        <v> </v>
      </c>
      <c r="F66" s="62"/>
      <c r="G66" s="86"/>
      <c r="H66" s="87"/>
      <c r="I66" s="88"/>
      <c r="J66" s="88"/>
      <c r="K66" s="89">
        <f t="shared" si="3"/>
        <v>0</v>
      </c>
      <c r="L66" s="90" t="b">
        <f>IF((ISNUMBER(K66)),IF(AND(F66="Workdays",(SUMIFS(N:N,F:F,F66,H:H,H66,B:B,B66)&lt;=24)),IF(AND((K66*24)&gt;0,(K66*24)&lt;16),((K66*24)*MD!$I$6),IF((K66*24)&gt;=16,(MD!$J$6))),IF(AND(F66="Non_workdays",(SUMIFS(N:N,F:F,F66,H:H,H66,B:B,B66)&lt;=24)),IF(AND((K66*24)&gt;0,(K66*24)&lt;12),((K66*24)*MD!$I$5),IF((K66*24)&gt;=12,(MD!$J$5))))))</f>
        <v>0</v>
      </c>
      <c r="M66" s="62"/>
      <c r="N66" s="72">
        <f t="shared" si="1"/>
        <v>0</v>
      </c>
    </row>
    <row r="67" spans="1:14" x14ac:dyDescent="0.25">
      <c r="A67" s="62">
        <v>66</v>
      </c>
      <c r="B67" s="62"/>
      <c r="C67" s="85" t="str">
        <f>IF(ISNA(VLOOKUP($B67,CPY!$B:$G,2,FALSE))=TRUE," ",VLOOKUP($B67,CPY!$B:$G,2,FALSE))</f>
        <v> </v>
      </c>
      <c r="D67" s="50" t="str">
        <f>IF(ISNA(VLOOKUP($B67,CPY!$B:$G,3,FALSE))=TRUE," ",VLOOKUP($B67,CPY!$B:$G,3,FALSE))</f>
        <v> </v>
      </c>
      <c r="E67" s="65" t="str">
        <f>IF(ISNA(VLOOKUP($B67,CPY!$B:$G,4,FALSE))=TRUE," ",VLOOKUP($B67,CPY!$B:$G,4,FALSE))</f>
        <v> </v>
      </c>
      <c r="F67" s="62"/>
      <c r="G67" s="86"/>
      <c r="H67" s="87"/>
      <c r="I67" s="88"/>
      <c r="J67" s="88"/>
      <c r="K67" s="89">
        <f t="shared" si="3"/>
        <v>0</v>
      </c>
      <c r="L67" s="90" t="b">
        <f>IF((ISNUMBER(K67)),IF(AND(F67="Workdays",(SUMIFS(N:N,F:F,F67,H:H,H67,B:B,B67)&lt;=24)),IF(AND((K67*24)&gt;0,(K67*24)&lt;16),((K67*24)*MD!$I$6),IF((K67*24)&gt;=16,(MD!$J$6))),IF(AND(F67="Non_workdays",(SUMIFS(N:N,F:F,F67,H:H,H67,B:B,B67)&lt;=24)),IF(AND((K67*24)&gt;0,(K67*24)&lt;12),((K67*24)*MD!$I$5),IF((K67*24)&gt;=12,(MD!$J$5))))))</f>
        <v>0</v>
      </c>
      <c r="M67" s="62"/>
      <c r="N67" s="72">
        <f t="shared" ref="N67:N130" si="4">K67*24</f>
        <v>0</v>
      </c>
    </row>
    <row r="68" spans="1:14" x14ac:dyDescent="0.25">
      <c r="A68" s="62">
        <v>67</v>
      </c>
      <c r="B68" s="62"/>
      <c r="C68" s="85" t="str">
        <f>IF(ISNA(VLOOKUP($B68,CPY!$B:$G,2,FALSE))=TRUE," ",VLOOKUP($B68,CPY!$B:$G,2,FALSE))</f>
        <v> </v>
      </c>
      <c r="D68" s="50" t="str">
        <f>IF(ISNA(VLOOKUP($B68,CPY!$B:$G,3,FALSE))=TRUE," ",VLOOKUP($B68,CPY!$B:$G,3,FALSE))</f>
        <v> </v>
      </c>
      <c r="E68" s="65" t="str">
        <f>IF(ISNA(VLOOKUP($B68,CPY!$B:$G,4,FALSE))=TRUE," ",VLOOKUP($B68,CPY!$B:$G,4,FALSE))</f>
        <v> </v>
      </c>
      <c r="F68" s="62"/>
      <c r="G68" s="86"/>
      <c r="H68" s="87"/>
      <c r="I68" s="88"/>
      <c r="J68" s="88"/>
      <c r="K68" s="89">
        <f t="shared" ref="K68:K131" si="5">IF(NOT(ISBLANK($J68)),(IF(J68&lt;I68,J68+1,J68)-I68))</f>
        <v>0</v>
      </c>
      <c r="L68" s="90" t="b">
        <f>IF((ISNUMBER(K68)),IF(AND(F68="Workdays",(SUMIFS(N:N,F:F,F68,H:H,H68,B:B,B68)&lt;=24)),IF(AND((K68*24)&gt;0,(K68*24)&lt;16),((K68*24)*MD!$I$6),IF((K68*24)&gt;=16,(MD!$J$6))),IF(AND(F68="Non_workdays",(SUMIFS(N:N,F:F,F68,H:H,H68,B:B,B68)&lt;=24)),IF(AND((K68*24)&gt;0,(K68*24)&lt;12),((K68*24)*MD!$I$5),IF((K68*24)&gt;=12,(MD!$J$5))))))</f>
        <v>0</v>
      </c>
      <c r="M68" s="62"/>
      <c r="N68" s="72">
        <f t="shared" si="4"/>
        <v>0</v>
      </c>
    </row>
    <row r="69" spans="1:14" x14ac:dyDescent="0.25">
      <c r="A69" s="62">
        <v>68</v>
      </c>
      <c r="B69" s="62"/>
      <c r="C69" s="85" t="str">
        <f>IF(ISNA(VLOOKUP($B69,CPY!$B:$G,2,FALSE))=TRUE," ",VLOOKUP($B69,CPY!$B:$G,2,FALSE))</f>
        <v> </v>
      </c>
      <c r="D69" s="50" t="str">
        <f>IF(ISNA(VLOOKUP($B69,CPY!$B:$G,3,FALSE))=TRUE," ",VLOOKUP($B69,CPY!$B:$G,3,FALSE))</f>
        <v> </v>
      </c>
      <c r="E69" s="65" t="str">
        <f>IF(ISNA(VLOOKUP($B69,CPY!$B:$G,4,FALSE))=TRUE," ",VLOOKUP($B69,CPY!$B:$G,4,FALSE))</f>
        <v> </v>
      </c>
      <c r="F69" s="62"/>
      <c r="G69" s="86"/>
      <c r="H69" s="87"/>
      <c r="I69" s="88"/>
      <c r="J69" s="88"/>
      <c r="K69" s="89">
        <f t="shared" si="5"/>
        <v>0</v>
      </c>
      <c r="L69" s="90" t="b">
        <f>IF((ISNUMBER(K69)),IF(AND(F69="Workdays",(SUMIFS(N:N,F:F,F69,H:H,H69,B:B,B69)&lt;=24)),IF(AND((K69*24)&gt;0,(K69*24)&lt;16),((K69*24)*MD!$I$6),IF((K69*24)&gt;=16,(MD!$J$6))),IF(AND(F69="Non_workdays",(SUMIFS(N:N,F:F,F69,H:H,H69,B:B,B69)&lt;=24)),IF(AND((K69*24)&gt;0,(K69*24)&lt;12),((K69*24)*MD!$I$5),IF((K69*24)&gt;=12,(MD!$J$5))))))</f>
        <v>0</v>
      </c>
      <c r="M69" s="62"/>
      <c r="N69" s="72">
        <f t="shared" si="4"/>
        <v>0</v>
      </c>
    </row>
    <row r="70" spans="1:14" x14ac:dyDescent="0.25">
      <c r="A70" s="62">
        <v>69</v>
      </c>
      <c r="B70" s="62"/>
      <c r="C70" s="85" t="str">
        <f>IF(ISNA(VLOOKUP($B70,CPY!$B:$G,2,FALSE))=TRUE," ",VLOOKUP($B70,CPY!$B:$G,2,FALSE))</f>
        <v> </v>
      </c>
      <c r="D70" s="50" t="str">
        <f>IF(ISNA(VLOOKUP($B70,CPY!$B:$G,3,FALSE))=TRUE," ",VLOOKUP($B70,CPY!$B:$G,3,FALSE))</f>
        <v> </v>
      </c>
      <c r="E70" s="65" t="str">
        <f>IF(ISNA(VLOOKUP($B70,CPY!$B:$G,4,FALSE))=TRUE," ",VLOOKUP($B70,CPY!$B:$G,4,FALSE))</f>
        <v> </v>
      </c>
      <c r="F70" s="62"/>
      <c r="G70" s="86"/>
      <c r="H70" s="87"/>
      <c r="I70" s="88"/>
      <c r="J70" s="88"/>
      <c r="K70" s="89">
        <f t="shared" si="5"/>
        <v>0</v>
      </c>
      <c r="L70" s="90" t="b">
        <f>IF((ISNUMBER(K70)),IF(AND(F70="Workdays",(SUMIFS(N:N,F:F,F70,H:H,H70,B:B,B70)&lt;=24)),IF(AND((K70*24)&gt;0,(K70*24)&lt;16),((K70*24)*MD!$I$6),IF((K70*24)&gt;=16,(MD!$J$6))),IF(AND(F70="Non_workdays",(SUMIFS(N:N,F:F,F70,H:H,H70,B:B,B70)&lt;=24)),IF(AND((K70*24)&gt;0,(K70*24)&lt;12),((K70*24)*MD!$I$5),IF((K70*24)&gt;=12,(MD!$J$5))))))</f>
        <v>0</v>
      </c>
      <c r="M70" s="62"/>
      <c r="N70" s="72">
        <f t="shared" si="4"/>
        <v>0</v>
      </c>
    </row>
    <row r="71" spans="1:14" x14ac:dyDescent="0.25">
      <c r="A71" s="62">
        <v>70</v>
      </c>
      <c r="B71" s="62"/>
      <c r="C71" s="85" t="str">
        <f>IF(ISNA(VLOOKUP($B71,CPY!$B:$G,2,FALSE))=TRUE," ",VLOOKUP($B71,CPY!$B:$G,2,FALSE))</f>
        <v> </v>
      </c>
      <c r="D71" s="50" t="str">
        <f>IF(ISNA(VLOOKUP($B71,CPY!$B:$G,3,FALSE))=TRUE," ",VLOOKUP($B71,CPY!$B:$G,3,FALSE))</f>
        <v> </v>
      </c>
      <c r="E71" s="65" t="str">
        <f>IF(ISNA(VLOOKUP($B71,CPY!$B:$G,4,FALSE))=TRUE," ",VLOOKUP($B71,CPY!$B:$G,4,FALSE))</f>
        <v> </v>
      </c>
      <c r="F71" s="62"/>
      <c r="G71" s="86"/>
      <c r="H71" s="87"/>
      <c r="I71" s="88"/>
      <c r="J71" s="88"/>
      <c r="K71" s="89">
        <f t="shared" si="5"/>
        <v>0</v>
      </c>
      <c r="L71" s="90" t="b">
        <f>IF((ISNUMBER(K71)),IF(AND(F71="Workdays",(SUMIFS(N:N,F:F,F71,H:H,H71,B:B,B71)&lt;=24)),IF(AND((K71*24)&gt;0,(K71*24)&lt;16),((K71*24)*MD!$I$6),IF((K71*24)&gt;=16,(MD!$J$6))),IF(AND(F71="Non_workdays",(SUMIFS(N:N,F:F,F71,H:H,H71,B:B,B71)&lt;=24)),IF(AND((K71*24)&gt;0,(K71*24)&lt;12),((K71*24)*MD!$I$5),IF((K71*24)&gt;=12,(MD!$J$5))))))</f>
        <v>0</v>
      </c>
      <c r="M71" s="62"/>
      <c r="N71" s="72">
        <f t="shared" si="4"/>
        <v>0</v>
      </c>
    </row>
    <row r="72" spans="1:14" x14ac:dyDescent="0.25">
      <c r="A72" s="62">
        <v>71</v>
      </c>
      <c r="B72" s="62"/>
      <c r="C72" s="85" t="str">
        <f>IF(ISNA(VLOOKUP($B72,CPY!$B:$G,2,FALSE))=TRUE," ",VLOOKUP($B72,CPY!$B:$G,2,FALSE))</f>
        <v> </v>
      </c>
      <c r="D72" s="50" t="str">
        <f>IF(ISNA(VLOOKUP($B72,CPY!$B:$G,3,FALSE))=TRUE," ",VLOOKUP($B72,CPY!$B:$G,3,FALSE))</f>
        <v> </v>
      </c>
      <c r="E72" s="65" t="str">
        <f>IF(ISNA(VLOOKUP($B72,CPY!$B:$G,4,FALSE))=TRUE," ",VLOOKUP($B72,CPY!$B:$G,4,FALSE))</f>
        <v> </v>
      </c>
      <c r="F72" s="62"/>
      <c r="G72" s="86"/>
      <c r="H72" s="87"/>
      <c r="I72" s="88"/>
      <c r="J72" s="88"/>
      <c r="K72" s="89">
        <f t="shared" si="5"/>
        <v>0</v>
      </c>
      <c r="L72" s="90" t="b">
        <f>IF((ISNUMBER(K72)),IF(AND(F72="Workdays",(SUMIFS(N:N,F:F,F72,H:H,H72,B:B,B72)&lt;=24)),IF(AND((K72*24)&gt;0,(K72*24)&lt;16),((K72*24)*MD!$I$6),IF((K72*24)&gt;=16,(MD!$J$6))),IF(AND(F72="Non_workdays",(SUMIFS(N:N,F:F,F72,H:H,H72,B:B,B72)&lt;=24)),IF(AND((K72*24)&gt;0,(K72*24)&lt;12),((K72*24)*MD!$I$5),IF((K72*24)&gt;=12,(MD!$J$5))))))</f>
        <v>0</v>
      </c>
      <c r="M72" s="62"/>
      <c r="N72" s="72">
        <f t="shared" si="4"/>
        <v>0</v>
      </c>
    </row>
    <row r="73" spans="1:14" x14ac:dyDescent="0.25">
      <c r="A73" s="62">
        <v>72</v>
      </c>
      <c r="B73" s="62"/>
      <c r="C73" s="85" t="str">
        <f>IF(ISNA(VLOOKUP($B73,CPY!$B:$G,2,FALSE))=TRUE," ",VLOOKUP($B73,CPY!$B:$G,2,FALSE))</f>
        <v> </v>
      </c>
      <c r="D73" s="50" t="str">
        <f>IF(ISNA(VLOOKUP($B73,CPY!$B:$G,3,FALSE))=TRUE," ",VLOOKUP($B73,CPY!$B:$G,3,FALSE))</f>
        <v> </v>
      </c>
      <c r="E73" s="65" t="str">
        <f>IF(ISNA(VLOOKUP($B73,CPY!$B:$G,4,FALSE))=TRUE," ",VLOOKUP($B73,CPY!$B:$G,4,FALSE))</f>
        <v> </v>
      </c>
      <c r="F73" s="62"/>
      <c r="G73" s="86"/>
      <c r="H73" s="87"/>
      <c r="I73" s="88"/>
      <c r="J73" s="88"/>
      <c r="K73" s="89">
        <f t="shared" si="5"/>
        <v>0</v>
      </c>
      <c r="L73" s="90" t="b">
        <f>IF((ISNUMBER(K73)),IF(AND(F73="Workdays",(SUMIFS(N:N,F:F,F73,H:H,H73,B:B,B73)&lt;=24)),IF(AND((K73*24)&gt;0,(K73*24)&lt;16),((K73*24)*MD!$I$6),IF((K73*24)&gt;=16,(MD!$J$6))),IF(AND(F73="Non_workdays",(SUMIFS(N:N,F:F,F73,H:H,H73,B:B,B73)&lt;=24)),IF(AND((K73*24)&gt;0,(K73*24)&lt;12),((K73*24)*MD!$I$5),IF((K73*24)&gt;=12,(MD!$J$5))))))</f>
        <v>0</v>
      </c>
      <c r="M73" s="62"/>
      <c r="N73" s="72">
        <f t="shared" si="4"/>
        <v>0</v>
      </c>
    </row>
    <row r="74" spans="1:14" x14ac:dyDescent="0.25">
      <c r="A74" s="62">
        <v>73</v>
      </c>
      <c r="B74" s="62"/>
      <c r="C74" s="85" t="str">
        <f>IF(ISNA(VLOOKUP($B74,CPY!$B:$G,2,FALSE))=TRUE," ",VLOOKUP($B74,CPY!$B:$G,2,FALSE))</f>
        <v> </v>
      </c>
      <c r="D74" s="50" t="str">
        <f>IF(ISNA(VLOOKUP($B74,CPY!$B:$G,3,FALSE))=TRUE," ",VLOOKUP($B74,CPY!$B:$G,3,FALSE))</f>
        <v> </v>
      </c>
      <c r="E74" s="65" t="str">
        <f>IF(ISNA(VLOOKUP($B74,CPY!$B:$G,4,FALSE))=TRUE," ",VLOOKUP($B74,CPY!$B:$G,4,FALSE))</f>
        <v> </v>
      </c>
      <c r="F74" s="62"/>
      <c r="G74" s="86"/>
      <c r="H74" s="87"/>
      <c r="I74" s="88"/>
      <c r="J74" s="88"/>
      <c r="K74" s="89">
        <f t="shared" si="5"/>
        <v>0</v>
      </c>
      <c r="L74" s="90" t="b">
        <f>IF((ISNUMBER(K74)),IF(AND(F74="Workdays",(SUMIFS(N:N,F:F,F74,H:H,H74,B:B,B74)&lt;=24)),IF(AND((K74*24)&gt;0,(K74*24)&lt;16),((K74*24)*MD!$I$6),IF((K74*24)&gt;=16,(MD!$J$6))),IF(AND(F74="Non_workdays",(SUMIFS(N:N,F:F,F74,H:H,H74,B:B,B74)&lt;=24)),IF(AND((K74*24)&gt;0,(K74*24)&lt;12),((K74*24)*MD!$I$5),IF((K74*24)&gt;=12,(MD!$J$5))))))</f>
        <v>0</v>
      </c>
      <c r="M74" s="62"/>
      <c r="N74" s="72">
        <f t="shared" si="4"/>
        <v>0</v>
      </c>
    </row>
    <row r="75" spans="1:14" x14ac:dyDescent="0.25">
      <c r="A75" s="62">
        <v>74</v>
      </c>
      <c r="B75" s="62"/>
      <c r="C75" s="85" t="str">
        <f>IF(ISNA(VLOOKUP($B75,CPY!$B:$G,2,FALSE))=TRUE," ",VLOOKUP($B75,CPY!$B:$G,2,FALSE))</f>
        <v> </v>
      </c>
      <c r="D75" s="50" t="str">
        <f>IF(ISNA(VLOOKUP($B75,CPY!$B:$G,3,FALSE))=TRUE," ",VLOOKUP($B75,CPY!$B:$G,3,FALSE))</f>
        <v> </v>
      </c>
      <c r="E75" s="65" t="str">
        <f>IF(ISNA(VLOOKUP($B75,CPY!$B:$G,4,FALSE))=TRUE," ",VLOOKUP($B75,CPY!$B:$G,4,FALSE))</f>
        <v> </v>
      </c>
      <c r="F75" s="62"/>
      <c r="G75" s="86"/>
      <c r="H75" s="87"/>
      <c r="I75" s="88"/>
      <c r="J75" s="88"/>
      <c r="K75" s="89">
        <f t="shared" si="5"/>
        <v>0</v>
      </c>
      <c r="L75" s="90" t="b">
        <f>IF((ISNUMBER(K75)),IF(AND(F75="Workdays",(SUMIFS(N:N,F:F,F75,H:H,H75,B:B,B75)&lt;=24)),IF(AND((K75*24)&gt;0,(K75*24)&lt;16),((K75*24)*MD!$I$6),IF((K75*24)&gt;=16,(MD!$J$6))),IF(AND(F75="Non_workdays",(SUMIFS(N:N,F:F,F75,H:H,H75,B:B,B75)&lt;=24)),IF(AND((K75*24)&gt;0,(K75*24)&lt;12),((K75*24)*MD!$I$5),IF((K75*24)&gt;=12,(MD!$J$5))))))</f>
        <v>0</v>
      </c>
      <c r="M75" s="62"/>
      <c r="N75" s="72">
        <f t="shared" si="4"/>
        <v>0</v>
      </c>
    </row>
    <row r="76" spans="1:14" x14ac:dyDescent="0.25">
      <c r="A76" s="62">
        <v>75</v>
      </c>
      <c r="B76" s="62"/>
      <c r="C76" s="85" t="str">
        <f>IF(ISNA(VLOOKUP($B76,CPY!$B:$G,2,FALSE))=TRUE," ",VLOOKUP($B76,CPY!$B:$G,2,FALSE))</f>
        <v> </v>
      </c>
      <c r="D76" s="50" t="str">
        <f>IF(ISNA(VLOOKUP($B76,CPY!$B:$G,3,FALSE))=TRUE," ",VLOOKUP($B76,CPY!$B:$G,3,FALSE))</f>
        <v> </v>
      </c>
      <c r="E76" s="65" t="str">
        <f>IF(ISNA(VLOOKUP($B76,CPY!$B:$G,4,FALSE))=TRUE," ",VLOOKUP($B76,CPY!$B:$G,4,FALSE))</f>
        <v> </v>
      </c>
      <c r="F76" s="62"/>
      <c r="G76" s="86"/>
      <c r="H76" s="87"/>
      <c r="I76" s="88"/>
      <c r="J76" s="88"/>
      <c r="K76" s="89">
        <f t="shared" si="5"/>
        <v>0</v>
      </c>
      <c r="L76" s="90" t="b">
        <f>IF((ISNUMBER(K76)),IF(AND(F76="Workdays",(SUMIFS(N:N,F:F,F76,H:H,H76,B:B,B76)&lt;=24)),IF(AND((K76*24)&gt;0,(K76*24)&lt;16),((K76*24)*MD!$I$6),IF((K76*24)&gt;=16,(MD!$J$6))),IF(AND(F76="Non_workdays",(SUMIFS(N:N,F:F,F76,H:H,H76,B:B,B76)&lt;=24)),IF(AND((K76*24)&gt;0,(K76*24)&lt;12),((K76*24)*MD!$I$5),IF((K76*24)&gt;=12,(MD!$J$5))))))</f>
        <v>0</v>
      </c>
      <c r="M76" s="62"/>
      <c r="N76" s="72">
        <f t="shared" si="4"/>
        <v>0</v>
      </c>
    </row>
    <row r="77" spans="1:14" x14ac:dyDescent="0.25">
      <c r="A77" s="62">
        <v>76</v>
      </c>
      <c r="B77" s="62"/>
      <c r="C77" s="85" t="str">
        <f>IF(ISNA(VLOOKUP($B77,CPY!$B:$G,2,FALSE))=TRUE," ",VLOOKUP($B77,CPY!$B:$G,2,FALSE))</f>
        <v> </v>
      </c>
      <c r="D77" s="50" t="str">
        <f>IF(ISNA(VLOOKUP($B77,CPY!$B:$G,3,FALSE))=TRUE," ",VLOOKUP($B77,CPY!$B:$G,3,FALSE))</f>
        <v> </v>
      </c>
      <c r="E77" s="65" t="str">
        <f>IF(ISNA(VLOOKUP($B77,CPY!$B:$G,4,FALSE))=TRUE," ",VLOOKUP($B77,CPY!$B:$G,4,FALSE))</f>
        <v> </v>
      </c>
      <c r="F77" s="62"/>
      <c r="G77" s="86"/>
      <c r="H77" s="87"/>
      <c r="I77" s="88"/>
      <c r="J77" s="88"/>
      <c r="K77" s="89">
        <f t="shared" si="5"/>
        <v>0</v>
      </c>
      <c r="L77" s="90" t="b">
        <f>IF((ISNUMBER(K77)),IF(AND(F77="Workdays",(SUMIFS(N:N,F:F,F77,H:H,H77,B:B,B77)&lt;=24)),IF(AND((K77*24)&gt;0,(K77*24)&lt;16),((K77*24)*MD!$I$6),IF((K77*24)&gt;=16,(MD!$J$6))),IF(AND(F77="Non_workdays",(SUMIFS(N:N,F:F,F77,H:H,H77,B:B,B77)&lt;=24)),IF(AND((K77*24)&gt;0,(K77*24)&lt;12),((K77*24)*MD!$I$5),IF((K77*24)&gt;=12,(MD!$J$5))))))</f>
        <v>0</v>
      </c>
      <c r="M77" s="62"/>
      <c r="N77" s="72">
        <f t="shared" si="4"/>
        <v>0</v>
      </c>
    </row>
    <row r="78" spans="1:14" x14ac:dyDescent="0.25">
      <c r="A78" s="62">
        <v>77</v>
      </c>
      <c r="B78" s="62"/>
      <c r="C78" s="85" t="str">
        <f>IF(ISNA(VLOOKUP($B78,CPY!$B:$G,2,FALSE))=TRUE," ",VLOOKUP($B78,CPY!$B:$G,2,FALSE))</f>
        <v> </v>
      </c>
      <c r="D78" s="50" t="str">
        <f>IF(ISNA(VLOOKUP($B78,CPY!$B:$G,3,FALSE))=TRUE," ",VLOOKUP($B78,CPY!$B:$G,3,FALSE))</f>
        <v> </v>
      </c>
      <c r="E78" s="65" t="str">
        <f>IF(ISNA(VLOOKUP($B78,CPY!$B:$G,4,FALSE))=TRUE," ",VLOOKUP($B78,CPY!$B:$G,4,FALSE))</f>
        <v> </v>
      </c>
      <c r="F78" s="62"/>
      <c r="G78" s="86"/>
      <c r="H78" s="87"/>
      <c r="I78" s="88"/>
      <c r="J78" s="88"/>
      <c r="K78" s="89">
        <f t="shared" si="5"/>
        <v>0</v>
      </c>
      <c r="L78" s="90" t="b">
        <f>IF((ISNUMBER(K78)),IF(AND(F78="Workdays",(SUMIFS(N:N,F:F,F78,H:H,H78,B:B,B78)&lt;=24)),IF(AND((K78*24)&gt;0,(K78*24)&lt;16),((K78*24)*MD!$I$6),IF((K78*24)&gt;=16,(MD!$J$6))),IF(AND(F78="Non_workdays",(SUMIFS(N:N,F:F,F78,H:H,H78,B:B,B78)&lt;=24)),IF(AND((K78*24)&gt;0,(K78*24)&lt;12),((K78*24)*MD!$I$5),IF((K78*24)&gt;=12,(MD!$J$5))))))</f>
        <v>0</v>
      </c>
      <c r="M78" s="62"/>
      <c r="N78" s="72">
        <f t="shared" si="4"/>
        <v>0</v>
      </c>
    </row>
    <row r="79" spans="1:14" x14ac:dyDescent="0.25">
      <c r="A79" s="62">
        <v>78</v>
      </c>
      <c r="B79" s="62"/>
      <c r="C79" s="85" t="str">
        <f>IF(ISNA(VLOOKUP($B79,CPY!$B:$G,2,FALSE))=TRUE," ",VLOOKUP($B79,CPY!$B:$G,2,FALSE))</f>
        <v> </v>
      </c>
      <c r="D79" s="50" t="str">
        <f>IF(ISNA(VLOOKUP($B79,CPY!$B:$G,3,FALSE))=TRUE," ",VLOOKUP($B79,CPY!$B:$G,3,FALSE))</f>
        <v> </v>
      </c>
      <c r="E79" s="65" t="str">
        <f>IF(ISNA(VLOOKUP($B79,CPY!$B:$G,4,FALSE))=TRUE," ",VLOOKUP($B79,CPY!$B:$G,4,FALSE))</f>
        <v> </v>
      </c>
      <c r="F79" s="62"/>
      <c r="G79" s="86"/>
      <c r="H79" s="87"/>
      <c r="I79" s="88"/>
      <c r="J79" s="88"/>
      <c r="K79" s="89">
        <f t="shared" si="5"/>
        <v>0</v>
      </c>
      <c r="L79" s="90" t="b">
        <f>IF((ISNUMBER(K79)),IF(AND(F79="Workdays",(SUMIFS(N:N,F:F,F79,H:H,H79,B:B,B79)&lt;=24)),IF(AND((K79*24)&gt;0,(K79*24)&lt;16),((K79*24)*MD!$I$6),IF((K79*24)&gt;=16,(MD!$J$6))),IF(AND(F79="Non_workdays",(SUMIFS(N:N,F:F,F79,H:H,H79,B:B,B79)&lt;=24)),IF(AND((K79*24)&gt;0,(K79*24)&lt;12),((K79*24)*MD!$I$5),IF((K79*24)&gt;=12,(MD!$J$5))))))</f>
        <v>0</v>
      </c>
      <c r="M79" s="62"/>
      <c r="N79" s="72">
        <f t="shared" si="4"/>
        <v>0</v>
      </c>
    </row>
    <row r="80" spans="1:14" x14ac:dyDescent="0.25">
      <c r="A80" s="62">
        <v>79</v>
      </c>
      <c r="B80" s="62"/>
      <c r="C80" s="85" t="str">
        <f>IF(ISNA(VLOOKUP($B80,CPY!$B:$G,2,FALSE))=TRUE," ",VLOOKUP($B80,CPY!$B:$G,2,FALSE))</f>
        <v> </v>
      </c>
      <c r="D80" s="50" t="str">
        <f>IF(ISNA(VLOOKUP($B80,CPY!$B:$G,3,FALSE))=TRUE," ",VLOOKUP($B80,CPY!$B:$G,3,FALSE))</f>
        <v> </v>
      </c>
      <c r="E80" s="65" t="str">
        <f>IF(ISNA(VLOOKUP($B80,CPY!$B:$G,4,FALSE))=TRUE," ",VLOOKUP($B80,CPY!$B:$G,4,FALSE))</f>
        <v> </v>
      </c>
      <c r="F80" s="62"/>
      <c r="G80" s="86"/>
      <c r="H80" s="87"/>
      <c r="I80" s="88"/>
      <c r="J80" s="88"/>
      <c r="K80" s="89">
        <f t="shared" si="5"/>
        <v>0</v>
      </c>
      <c r="L80" s="90" t="b">
        <f>IF((ISNUMBER(K80)),IF(AND(F80="Workdays",(SUMIFS(N:N,F:F,F80,H:H,H80,B:B,B80)&lt;=24)),IF(AND((K80*24)&gt;0,(K80*24)&lt;16),((K80*24)*MD!$I$6),IF((K80*24)&gt;=16,(MD!$J$6))),IF(AND(F80="Non_workdays",(SUMIFS(N:N,F:F,F80,H:H,H80,B:B,B80)&lt;=24)),IF(AND((K80*24)&gt;0,(K80*24)&lt;12),((K80*24)*MD!$I$5),IF((K80*24)&gt;=12,(MD!$J$5))))))</f>
        <v>0</v>
      </c>
      <c r="M80" s="62"/>
      <c r="N80" s="72">
        <f t="shared" si="4"/>
        <v>0</v>
      </c>
    </row>
    <row r="81" spans="1:14" x14ac:dyDescent="0.25">
      <c r="A81" s="62">
        <v>80</v>
      </c>
      <c r="B81" s="62"/>
      <c r="C81" s="85" t="str">
        <f>IF(ISNA(VLOOKUP($B81,CPY!$B:$G,2,FALSE))=TRUE," ",VLOOKUP($B81,CPY!$B:$G,2,FALSE))</f>
        <v> </v>
      </c>
      <c r="D81" s="50" t="str">
        <f>IF(ISNA(VLOOKUP($B81,CPY!$B:$G,3,FALSE))=TRUE," ",VLOOKUP($B81,CPY!$B:$G,3,FALSE))</f>
        <v> </v>
      </c>
      <c r="E81" s="65" t="str">
        <f>IF(ISNA(VLOOKUP($B81,CPY!$B:$G,4,FALSE))=TRUE," ",VLOOKUP($B81,CPY!$B:$G,4,FALSE))</f>
        <v> </v>
      </c>
      <c r="F81" s="62"/>
      <c r="G81" s="86"/>
      <c r="H81" s="87"/>
      <c r="I81" s="88"/>
      <c r="J81" s="88"/>
      <c r="K81" s="89">
        <f t="shared" si="5"/>
        <v>0</v>
      </c>
      <c r="L81" s="90" t="b">
        <f>IF((ISNUMBER(K81)),IF(AND(F81="Workdays",(SUMIFS(N:N,F:F,F81,H:H,H81,B:B,B81)&lt;=24)),IF(AND((K81*24)&gt;0,(K81*24)&lt;16),((K81*24)*MD!$I$6),IF((K81*24)&gt;=16,(MD!$J$6))),IF(AND(F81="Non_workdays",(SUMIFS(N:N,F:F,F81,H:H,H81,B:B,B81)&lt;=24)),IF(AND((K81*24)&gt;0,(K81*24)&lt;12),((K81*24)*MD!$I$5),IF((K81*24)&gt;=12,(MD!$J$5))))))</f>
        <v>0</v>
      </c>
      <c r="M81" s="62"/>
      <c r="N81" s="72">
        <f t="shared" si="4"/>
        <v>0</v>
      </c>
    </row>
    <row r="82" spans="1:14" x14ac:dyDescent="0.25">
      <c r="A82" s="62">
        <v>81</v>
      </c>
      <c r="B82" s="62"/>
      <c r="C82" s="85" t="str">
        <f>IF(ISNA(VLOOKUP($B82,CPY!$B:$G,2,FALSE))=TRUE," ",VLOOKUP($B82,CPY!$B:$G,2,FALSE))</f>
        <v> </v>
      </c>
      <c r="D82" s="50" t="str">
        <f>IF(ISNA(VLOOKUP($B82,CPY!$B:$G,3,FALSE))=TRUE," ",VLOOKUP($B82,CPY!$B:$G,3,FALSE))</f>
        <v> </v>
      </c>
      <c r="E82" s="65" t="str">
        <f>IF(ISNA(VLOOKUP($B82,CPY!$B:$G,4,FALSE))=TRUE," ",VLOOKUP($B82,CPY!$B:$G,4,FALSE))</f>
        <v> </v>
      </c>
      <c r="F82" s="62"/>
      <c r="G82" s="86"/>
      <c r="H82" s="87"/>
      <c r="I82" s="88"/>
      <c r="J82" s="88"/>
      <c r="K82" s="89">
        <f t="shared" si="5"/>
        <v>0</v>
      </c>
      <c r="L82" s="90" t="b">
        <f>IF((ISNUMBER(K82)),IF(AND(F82="Workdays",(SUMIFS(N:N,F:F,F82,H:H,H82,B:B,B82)&lt;=24)),IF(AND((K82*24)&gt;0,(K82*24)&lt;16),((K82*24)*MD!$I$6),IF((K82*24)&gt;=16,(MD!$J$6))),IF(AND(F82="Non_workdays",(SUMIFS(N:N,F:F,F82,H:H,H82,B:B,B82)&lt;=24)),IF(AND((K82*24)&gt;0,(K82*24)&lt;12),((K82*24)*MD!$I$5),IF((K82*24)&gt;=12,(MD!$J$5))))))</f>
        <v>0</v>
      </c>
      <c r="M82" s="62"/>
      <c r="N82" s="72">
        <f t="shared" si="4"/>
        <v>0</v>
      </c>
    </row>
    <row r="83" spans="1:14" x14ac:dyDescent="0.25">
      <c r="A83" s="62">
        <v>82</v>
      </c>
      <c r="B83" s="62"/>
      <c r="C83" s="85" t="str">
        <f>IF(ISNA(VLOOKUP($B83,CPY!$B:$G,2,FALSE))=TRUE," ",VLOOKUP($B83,CPY!$B:$G,2,FALSE))</f>
        <v> </v>
      </c>
      <c r="D83" s="50" t="str">
        <f>IF(ISNA(VLOOKUP($B83,CPY!$B:$G,3,FALSE))=TRUE," ",VLOOKUP($B83,CPY!$B:$G,3,FALSE))</f>
        <v> </v>
      </c>
      <c r="E83" s="65" t="str">
        <f>IF(ISNA(VLOOKUP($B83,CPY!$B:$G,4,FALSE))=TRUE," ",VLOOKUP($B83,CPY!$B:$G,4,FALSE))</f>
        <v> </v>
      </c>
      <c r="F83" s="62"/>
      <c r="G83" s="86"/>
      <c r="H83" s="87"/>
      <c r="I83" s="88"/>
      <c r="J83" s="88"/>
      <c r="K83" s="89">
        <f t="shared" si="5"/>
        <v>0</v>
      </c>
      <c r="L83" s="90" t="b">
        <f>IF((ISNUMBER(K83)),IF(AND(F83="Workdays",(SUMIFS(N:N,F:F,F83,H:H,H83,B:B,B83)&lt;=24)),IF(AND((K83*24)&gt;0,(K83*24)&lt;16),((K83*24)*MD!$I$6),IF((K83*24)&gt;=16,(MD!$J$6))),IF(AND(F83="Non_workdays",(SUMIFS(N:N,F:F,F83,H:H,H83,B:B,B83)&lt;=24)),IF(AND((K83*24)&gt;0,(K83*24)&lt;12),((K83*24)*MD!$I$5),IF((K83*24)&gt;=12,(MD!$J$5))))))</f>
        <v>0</v>
      </c>
      <c r="M83" s="62"/>
      <c r="N83" s="72">
        <f t="shared" si="4"/>
        <v>0</v>
      </c>
    </row>
    <row r="84" spans="1:14" x14ac:dyDescent="0.25">
      <c r="A84" s="62">
        <v>83</v>
      </c>
      <c r="B84" s="62"/>
      <c r="C84" s="85" t="str">
        <f>IF(ISNA(VLOOKUP($B84,CPY!$B:$G,2,FALSE))=TRUE," ",VLOOKUP($B84,CPY!$B:$G,2,FALSE))</f>
        <v> </v>
      </c>
      <c r="D84" s="50" t="str">
        <f>IF(ISNA(VLOOKUP($B84,CPY!$B:$G,3,FALSE))=TRUE," ",VLOOKUP($B84,CPY!$B:$G,3,FALSE))</f>
        <v> </v>
      </c>
      <c r="E84" s="65" t="str">
        <f>IF(ISNA(VLOOKUP($B84,CPY!$B:$G,4,FALSE))=TRUE," ",VLOOKUP($B84,CPY!$B:$G,4,FALSE))</f>
        <v> </v>
      </c>
      <c r="F84" s="62"/>
      <c r="G84" s="86"/>
      <c r="H84" s="87"/>
      <c r="I84" s="88"/>
      <c r="J84" s="88"/>
      <c r="K84" s="89">
        <f t="shared" si="5"/>
        <v>0</v>
      </c>
      <c r="L84" s="90" t="b">
        <f>IF((ISNUMBER(K84)),IF(AND(F84="Workdays",(SUMIFS(N:N,F:F,F84,H:H,H84,B:B,B84)&lt;=24)),IF(AND((K84*24)&gt;0,(K84*24)&lt;16),((K84*24)*MD!$I$6),IF((K84*24)&gt;=16,(MD!$J$6))),IF(AND(F84="Non_workdays",(SUMIFS(N:N,F:F,F84,H:H,H84,B:B,B84)&lt;=24)),IF(AND((K84*24)&gt;0,(K84*24)&lt;12),((K84*24)*MD!$I$5),IF((K84*24)&gt;=12,(MD!$J$5))))))</f>
        <v>0</v>
      </c>
      <c r="M84" s="62"/>
      <c r="N84" s="72">
        <f t="shared" si="4"/>
        <v>0</v>
      </c>
    </row>
    <row r="85" spans="1:14" x14ac:dyDescent="0.25">
      <c r="A85" s="62">
        <v>84</v>
      </c>
      <c r="B85" s="62"/>
      <c r="C85" s="85" t="str">
        <f>IF(ISNA(VLOOKUP($B85,CPY!$B:$G,2,FALSE))=TRUE," ",VLOOKUP($B85,CPY!$B:$G,2,FALSE))</f>
        <v> </v>
      </c>
      <c r="D85" s="50" t="str">
        <f>IF(ISNA(VLOOKUP($B85,CPY!$B:$G,3,FALSE))=TRUE," ",VLOOKUP($B85,CPY!$B:$G,3,FALSE))</f>
        <v> </v>
      </c>
      <c r="E85" s="65" t="str">
        <f>IF(ISNA(VLOOKUP($B85,CPY!$B:$G,4,FALSE))=TRUE," ",VLOOKUP($B85,CPY!$B:$G,4,FALSE))</f>
        <v> </v>
      </c>
      <c r="F85" s="62"/>
      <c r="G85" s="86"/>
      <c r="H85" s="87"/>
      <c r="I85" s="88"/>
      <c r="J85" s="88"/>
      <c r="K85" s="89">
        <f t="shared" si="5"/>
        <v>0</v>
      </c>
      <c r="L85" s="90" t="b">
        <f>IF((ISNUMBER(K85)),IF(AND(F85="Workdays",(SUMIFS(N:N,F:F,F85,H:H,H85,B:B,B85)&lt;=24)),IF(AND((K85*24)&gt;0,(K85*24)&lt;16),((K85*24)*MD!$I$6),IF((K85*24)&gt;=16,(MD!$J$6))),IF(AND(F85="Non_workdays",(SUMIFS(N:N,F:F,F85,H:H,H85,B:B,B85)&lt;=24)),IF(AND((K85*24)&gt;0,(K85*24)&lt;12),((K85*24)*MD!$I$5),IF((K85*24)&gt;=12,(MD!$J$5))))))</f>
        <v>0</v>
      </c>
      <c r="M85" s="62"/>
      <c r="N85" s="72">
        <f t="shared" si="4"/>
        <v>0</v>
      </c>
    </row>
    <row r="86" spans="1:14" x14ac:dyDescent="0.25">
      <c r="A86" s="62">
        <v>85</v>
      </c>
      <c r="B86" s="62"/>
      <c r="C86" s="85" t="str">
        <f>IF(ISNA(VLOOKUP($B86,CPY!$B:$G,2,FALSE))=TRUE," ",VLOOKUP($B86,CPY!$B:$G,2,FALSE))</f>
        <v> </v>
      </c>
      <c r="D86" s="50" t="str">
        <f>IF(ISNA(VLOOKUP($B86,CPY!$B:$G,3,FALSE))=TRUE," ",VLOOKUP($B86,CPY!$B:$G,3,FALSE))</f>
        <v> </v>
      </c>
      <c r="E86" s="65" t="str">
        <f>IF(ISNA(VLOOKUP($B86,CPY!$B:$G,4,FALSE))=TRUE," ",VLOOKUP($B86,CPY!$B:$G,4,FALSE))</f>
        <v> </v>
      </c>
      <c r="F86" s="62"/>
      <c r="G86" s="86"/>
      <c r="H86" s="87"/>
      <c r="I86" s="88"/>
      <c r="J86" s="88"/>
      <c r="K86" s="89">
        <f t="shared" si="5"/>
        <v>0</v>
      </c>
      <c r="L86" s="90" t="b">
        <f>IF((ISNUMBER(K86)),IF(AND(F86="Workdays",(SUMIFS(N:N,F:F,F86,H:H,H86,B:B,B86)&lt;=24)),IF(AND((K86*24)&gt;0,(K86*24)&lt;16),((K86*24)*MD!$I$6),IF((K86*24)&gt;=16,(MD!$J$6))),IF(AND(F86="Non_workdays",(SUMIFS(N:N,F:F,F86,H:H,H86,B:B,B86)&lt;=24)),IF(AND((K86*24)&gt;0,(K86*24)&lt;12),((K86*24)*MD!$I$5),IF((K86*24)&gt;=12,(MD!$J$5))))))</f>
        <v>0</v>
      </c>
      <c r="M86" s="62"/>
      <c r="N86" s="72">
        <f t="shared" si="4"/>
        <v>0</v>
      </c>
    </row>
    <row r="87" spans="1:14" x14ac:dyDescent="0.25">
      <c r="A87" s="62">
        <v>86</v>
      </c>
      <c r="B87" s="62"/>
      <c r="C87" s="85" t="str">
        <f>IF(ISNA(VLOOKUP($B87,CPY!$B:$G,2,FALSE))=TRUE," ",VLOOKUP($B87,CPY!$B:$G,2,FALSE))</f>
        <v> </v>
      </c>
      <c r="D87" s="50" t="str">
        <f>IF(ISNA(VLOOKUP($B87,CPY!$B:$G,3,FALSE))=TRUE," ",VLOOKUP($B87,CPY!$B:$G,3,FALSE))</f>
        <v> </v>
      </c>
      <c r="E87" s="65" t="str">
        <f>IF(ISNA(VLOOKUP($B87,CPY!$B:$G,4,FALSE))=TRUE," ",VLOOKUP($B87,CPY!$B:$G,4,FALSE))</f>
        <v> </v>
      </c>
      <c r="F87" s="62"/>
      <c r="G87" s="86"/>
      <c r="H87" s="87"/>
      <c r="I87" s="88"/>
      <c r="J87" s="88"/>
      <c r="K87" s="89">
        <f t="shared" si="5"/>
        <v>0</v>
      </c>
      <c r="L87" s="90" t="b">
        <f>IF((ISNUMBER(K87)),IF(AND(F87="Workdays",(SUMIFS(N:N,F:F,F87,H:H,H87,B:B,B87)&lt;=24)),IF(AND((K87*24)&gt;0,(K87*24)&lt;16),((K87*24)*MD!$I$6),IF((K87*24)&gt;=16,(MD!$J$6))),IF(AND(F87="Non_workdays",(SUMIFS(N:N,F:F,F87,H:H,H87,B:B,B87)&lt;=24)),IF(AND((K87*24)&gt;0,(K87*24)&lt;12),((K87*24)*MD!$I$5),IF((K87*24)&gt;=12,(MD!$J$5))))))</f>
        <v>0</v>
      </c>
      <c r="M87" s="62"/>
      <c r="N87" s="72">
        <f t="shared" si="4"/>
        <v>0</v>
      </c>
    </row>
    <row r="88" spans="1:14" x14ac:dyDescent="0.25">
      <c r="A88" s="62">
        <v>87</v>
      </c>
      <c r="B88" s="62"/>
      <c r="C88" s="85" t="str">
        <f>IF(ISNA(VLOOKUP($B88,CPY!$B:$G,2,FALSE))=TRUE," ",VLOOKUP($B88,CPY!$B:$G,2,FALSE))</f>
        <v> </v>
      </c>
      <c r="D88" s="50" t="str">
        <f>IF(ISNA(VLOOKUP($B88,CPY!$B:$G,3,FALSE))=TRUE," ",VLOOKUP($B88,CPY!$B:$G,3,FALSE))</f>
        <v> </v>
      </c>
      <c r="E88" s="65" t="str">
        <f>IF(ISNA(VLOOKUP($B88,CPY!$B:$G,4,FALSE))=TRUE," ",VLOOKUP($B88,CPY!$B:$G,4,FALSE))</f>
        <v> </v>
      </c>
      <c r="F88" s="62"/>
      <c r="G88" s="86"/>
      <c r="H88" s="87"/>
      <c r="I88" s="88"/>
      <c r="J88" s="88"/>
      <c r="K88" s="89">
        <f t="shared" si="5"/>
        <v>0</v>
      </c>
      <c r="L88" s="90" t="b">
        <f>IF((ISNUMBER(K88)),IF(AND(F88="Workdays",(SUMIFS(N:N,F:F,F88,H:H,H88,B:B,B88)&lt;=24)),IF(AND((K88*24)&gt;0,(K88*24)&lt;16),((K88*24)*MD!$I$6),IF((K88*24)&gt;=16,(MD!$J$6))),IF(AND(F88="Non_workdays",(SUMIFS(N:N,F:F,F88,H:H,H88,B:B,B88)&lt;=24)),IF(AND((K88*24)&gt;0,(K88*24)&lt;12),((K88*24)*MD!$I$5),IF((K88*24)&gt;=12,(MD!$J$5))))))</f>
        <v>0</v>
      </c>
      <c r="M88" s="62"/>
      <c r="N88" s="72">
        <f t="shared" si="4"/>
        <v>0</v>
      </c>
    </row>
    <row r="89" spans="1:14" x14ac:dyDescent="0.25">
      <c r="A89" s="62">
        <v>88</v>
      </c>
      <c r="B89" s="62"/>
      <c r="C89" s="85" t="str">
        <f>IF(ISNA(VLOOKUP($B89,CPY!$B:$G,2,FALSE))=TRUE," ",VLOOKUP($B89,CPY!$B:$G,2,FALSE))</f>
        <v> </v>
      </c>
      <c r="D89" s="50" t="str">
        <f>IF(ISNA(VLOOKUP($B89,CPY!$B:$G,3,FALSE))=TRUE," ",VLOOKUP($B89,CPY!$B:$G,3,FALSE))</f>
        <v> </v>
      </c>
      <c r="E89" s="65" t="str">
        <f>IF(ISNA(VLOOKUP($B89,CPY!$B:$G,4,FALSE))=TRUE," ",VLOOKUP($B89,CPY!$B:$G,4,FALSE))</f>
        <v> </v>
      </c>
      <c r="F89" s="62"/>
      <c r="G89" s="86"/>
      <c r="H89" s="87"/>
      <c r="I89" s="88"/>
      <c r="J89" s="88"/>
      <c r="K89" s="89">
        <f t="shared" si="5"/>
        <v>0</v>
      </c>
      <c r="L89" s="90" t="b">
        <f>IF((ISNUMBER(K89)),IF(AND(F89="Workdays",(SUMIFS(N:N,F:F,F89,H:H,H89,B:B,B89)&lt;=24)),IF(AND((K89*24)&gt;0,(K89*24)&lt;16),((K89*24)*MD!$I$6),IF((K89*24)&gt;=16,(MD!$J$6))),IF(AND(F89="Non_workdays",(SUMIFS(N:N,F:F,F89,H:H,H89,B:B,B89)&lt;=24)),IF(AND((K89*24)&gt;0,(K89*24)&lt;12),((K89*24)*MD!$I$5),IF((K89*24)&gt;=12,(MD!$J$5))))))</f>
        <v>0</v>
      </c>
      <c r="M89" s="62"/>
      <c r="N89" s="72">
        <f t="shared" si="4"/>
        <v>0</v>
      </c>
    </row>
    <row r="90" spans="1:14" x14ac:dyDescent="0.25">
      <c r="A90" s="62">
        <v>89</v>
      </c>
      <c r="B90" s="62"/>
      <c r="C90" s="85" t="str">
        <f>IF(ISNA(VLOOKUP($B90,CPY!$B:$G,2,FALSE))=TRUE," ",VLOOKUP($B90,CPY!$B:$G,2,FALSE))</f>
        <v> </v>
      </c>
      <c r="D90" s="50" t="str">
        <f>IF(ISNA(VLOOKUP($B90,CPY!$B:$G,3,FALSE))=TRUE," ",VLOOKUP($B90,CPY!$B:$G,3,FALSE))</f>
        <v> </v>
      </c>
      <c r="E90" s="65" t="str">
        <f>IF(ISNA(VLOOKUP($B90,CPY!$B:$G,4,FALSE))=TRUE," ",VLOOKUP($B90,CPY!$B:$G,4,FALSE))</f>
        <v> </v>
      </c>
      <c r="F90" s="62"/>
      <c r="G90" s="86"/>
      <c r="H90" s="87"/>
      <c r="I90" s="88"/>
      <c r="J90" s="88"/>
      <c r="K90" s="89">
        <f t="shared" si="5"/>
        <v>0</v>
      </c>
      <c r="L90" s="90" t="b">
        <f>IF((ISNUMBER(K90)),IF(AND(F90="Workdays",(SUMIFS(N:N,F:F,F90,H:H,H90,B:B,B90)&lt;=24)),IF(AND((K90*24)&gt;0,(K90*24)&lt;16),((K90*24)*MD!$I$6),IF((K90*24)&gt;=16,(MD!$J$6))),IF(AND(F90="Non_workdays",(SUMIFS(N:N,F:F,F90,H:H,H90,B:B,B90)&lt;=24)),IF(AND((K90*24)&gt;0,(K90*24)&lt;12),((K90*24)*MD!$I$5),IF((K90*24)&gt;=12,(MD!$J$5))))))</f>
        <v>0</v>
      </c>
      <c r="M90" s="62"/>
      <c r="N90" s="72">
        <f t="shared" si="4"/>
        <v>0</v>
      </c>
    </row>
    <row r="91" spans="1:14" x14ac:dyDescent="0.25">
      <c r="A91" s="62">
        <v>90</v>
      </c>
      <c r="B91" s="62"/>
      <c r="C91" s="85" t="str">
        <f>IF(ISNA(VLOOKUP($B91,CPY!$B:$G,2,FALSE))=TRUE," ",VLOOKUP($B91,CPY!$B:$G,2,FALSE))</f>
        <v> </v>
      </c>
      <c r="D91" s="50" t="str">
        <f>IF(ISNA(VLOOKUP($B91,CPY!$B:$G,3,FALSE))=TRUE," ",VLOOKUP($B91,CPY!$B:$G,3,FALSE))</f>
        <v> </v>
      </c>
      <c r="E91" s="65" t="str">
        <f>IF(ISNA(VLOOKUP($B91,CPY!$B:$G,4,FALSE))=TRUE," ",VLOOKUP($B91,CPY!$B:$G,4,FALSE))</f>
        <v> </v>
      </c>
      <c r="F91" s="62"/>
      <c r="G91" s="86"/>
      <c r="H91" s="87"/>
      <c r="I91" s="88"/>
      <c r="J91" s="88"/>
      <c r="K91" s="89">
        <f t="shared" si="5"/>
        <v>0</v>
      </c>
      <c r="L91" s="90" t="b">
        <f>IF((ISNUMBER(K91)),IF(AND(F91="Workdays",(SUMIFS(N:N,F:F,F91,H:H,H91,B:B,B91)&lt;=24)),IF(AND((K91*24)&gt;0,(K91*24)&lt;16),((K91*24)*MD!$I$6),IF((K91*24)&gt;=16,(MD!$J$6))),IF(AND(F91="Non_workdays",(SUMIFS(N:N,F:F,F91,H:H,H91,B:B,B91)&lt;=24)),IF(AND((K91*24)&gt;0,(K91*24)&lt;12),((K91*24)*MD!$I$5),IF((K91*24)&gt;=12,(MD!$J$5))))))</f>
        <v>0</v>
      </c>
      <c r="M91" s="62"/>
      <c r="N91" s="72">
        <f t="shared" si="4"/>
        <v>0</v>
      </c>
    </row>
    <row r="92" spans="1:14" x14ac:dyDescent="0.25">
      <c r="A92" s="62">
        <v>91</v>
      </c>
      <c r="B92" s="62"/>
      <c r="C92" s="85" t="str">
        <f>IF(ISNA(VLOOKUP($B92,CPY!$B:$G,2,FALSE))=TRUE," ",VLOOKUP($B92,CPY!$B:$G,2,FALSE))</f>
        <v> </v>
      </c>
      <c r="D92" s="50" t="str">
        <f>IF(ISNA(VLOOKUP($B92,CPY!$B:$G,3,FALSE))=TRUE," ",VLOOKUP($B92,CPY!$B:$G,3,FALSE))</f>
        <v> </v>
      </c>
      <c r="E92" s="65" t="str">
        <f>IF(ISNA(VLOOKUP($B92,CPY!$B:$G,4,FALSE))=TRUE," ",VLOOKUP($B92,CPY!$B:$G,4,FALSE))</f>
        <v> </v>
      </c>
      <c r="F92" s="62"/>
      <c r="G92" s="86"/>
      <c r="H92" s="87"/>
      <c r="I92" s="88"/>
      <c r="J92" s="88"/>
      <c r="K92" s="89">
        <f t="shared" si="5"/>
        <v>0</v>
      </c>
      <c r="L92" s="90" t="b">
        <f>IF((ISNUMBER(K92)),IF(AND(F92="Workdays",(SUMIFS(N:N,F:F,F92,H:H,H92,B:B,B92)&lt;=24)),IF(AND((K92*24)&gt;0,(K92*24)&lt;16),((K92*24)*MD!$I$6),IF((K92*24)&gt;=16,(MD!$J$6))),IF(AND(F92="Non_workdays",(SUMIFS(N:N,F:F,F92,H:H,H92,B:B,B92)&lt;=24)),IF(AND((K92*24)&gt;0,(K92*24)&lt;12),((K92*24)*MD!$I$5),IF((K92*24)&gt;=12,(MD!$J$5))))))</f>
        <v>0</v>
      </c>
      <c r="M92" s="62"/>
      <c r="N92" s="72">
        <f t="shared" si="4"/>
        <v>0</v>
      </c>
    </row>
    <row r="93" spans="1:14" x14ac:dyDescent="0.25">
      <c r="A93" s="62">
        <v>92</v>
      </c>
      <c r="B93" s="62"/>
      <c r="C93" s="85" t="str">
        <f>IF(ISNA(VLOOKUP($B93,CPY!$B:$G,2,FALSE))=TRUE," ",VLOOKUP($B93,CPY!$B:$G,2,FALSE))</f>
        <v> </v>
      </c>
      <c r="D93" s="50" t="str">
        <f>IF(ISNA(VLOOKUP($B93,CPY!$B:$G,3,FALSE))=TRUE," ",VLOOKUP($B93,CPY!$B:$G,3,FALSE))</f>
        <v> </v>
      </c>
      <c r="E93" s="65" t="str">
        <f>IF(ISNA(VLOOKUP($B93,CPY!$B:$G,4,FALSE))=TRUE," ",VLOOKUP($B93,CPY!$B:$G,4,FALSE))</f>
        <v> </v>
      </c>
      <c r="F93" s="62"/>
      <c r="G93" s="86"/>
      <c r="H93" s="87"/>
      <c r="I93" s="88"/>
      <c r="J93" s="88"/>
      <c r="K93" s="89">
        <f t="shared" si="5"/>
        <v>0</v>
      </c>
      <c r="L93" s="90" t="b">
        <f>IF((ISNUMBER(K93)),IF(AND(F93="Workdays",(SUMIFS(N:N,F:F,F93,H:H,H93,B:B,B93)&lt;=24)),IF(AND((K93*24)&gt;0,(K93*24)&lt;16),((K93*24)*MD!$I$6),IF((K93*24)&gt;=16,(MD!$J$6))),IF(AND(F93="Non_workdays",(SUMIFS(N:N,F:F,F93,H:H,H93,B:B,B93)&lt;=24)),IF(AND((K93*24)&gt;0,(K93*24)&lt;12),((K93*24)*MD!$I$5),IF((K93*24)&gt;=12,(MD!$J$5))))))</f>
        <v>0</v>
      </c>
      <c r="M93" s="62"/>
      <c r="N93" s="72">
        <f t="shared" si="4"/>
        <v>0</v>
      </c>
    </row>
    <row r="94" spans="1:14" x14ac:dyDescent="0.25">
      <c r="A94" s="62">
        <v>93</v>
      </c>
      <c r="B94" s="62"/>
      <c r="C94" s="85" t="str">
        <f>IF(ISNA(VLOOKUP($B94,CPY!$B:$G,2,FALSE))=TRUE," ",VLOOKUP($B94,CPY!$B:$G,2,FALSE))</f>
        <v> </v>
      </c>
      <c r="D94" s="50" t="str">
        <f>IF(ISNA(VLOOKUP($B94,CPY!$B:$G,3,FALSE))=TRUE," ",VLOOKUP($B94,CPY!$B:$G,3,FALSE))</f>
        <v> </v>
      </c>
      <c r="E94" s="65" t="str">
        <f>IF(ISNA(VLOOKUP($B94,CPY!$B:$G,4,FALSE))=TRUE," ",VLOOKUP($B94,CPY!$B:$G,4,FALSE))</f>
        <v> </v>
      </c>
      <c r="F94" s="62"/>
      <c r="G94" s="86"/>
      <c r="H94" s="87"/>
      <c r="I94" s="88"/>
      <c r="J94" s="88"/>
      <c r="K94" s="89">
        <f t="shared" si="5"/>
        <v>0</v>
      </c>
      <c r="L94" s="90" t="b">
        <f>IF((ISNUMBER(K94)),IF(AND(F94="Workdays",(SUMIFS(N:N,F:F,F94,H:H,H94,B:B,B94)&lt;=24)),IF(AND((K94*24)&gt;0,(K94*24)&lt;16),((K94*24)*MD!$I$6),IF((K94*24)&gt;=16,(MD!$J$6))),IF(AND(F94="Non_workdays",(SUMIFS(N:N,F:F,F94,H:H,H94,B:B,B94)&lt;=24)),IF(AND((K94*24)&gt;0,(K94*24)&lt;12),((K94*24)*MD!$I$5),IF((K94*24)&gt;=12,(MD!$J$5))))))</f>
        <v>0</v>
      </c>
      <c r="M94" s="62"/>
      <c r="N94" s="72">
        <f t="shared" si="4"/>
        <v>0</v>
      </c>
    </row>
    <row r="95" spans="1:14" x14ac:dyDescent="0.25">
      <c r="A95" s="62">
        <v>94</v>
      </c>
      <c r="B95" s="62"/>
      <c r="C95" s="85" t="str">
        <f>IF(ISNA(VLOOKUP($B95,CPY!$B:$G,2,FALSE))=TRUE," ",VLOOKUP($B95,CPY!$B:$G,2,FALSE))</f>
        <v> </v>
      </c>
      <c r="D95" s="50" t="str">
        <f>IF(ISNA(VLOOKUP($B95,CPY!$B:$G,3,FALSE))=TRUE," ",VLOOKUP($B95,CPY!$B:$G,3,FALSE))</f>
        <v> </v>
      </c>
      <c r="E95" s="65" t="str">
        <f>IF(ISNA(VLOOKUP($B95,CPY!$B:$G,4,FALSE))=TRUE," ",VLOOKUP($B95,CPY!$B:$G,4,FALSE))</f>
        <v> </v>
      </c>
      <c r="F95" s="62"/>
      <c r="G95" s="86"/>
      <c r="H95" s="87"/>
      <c r="I95" s="88"/>
      <c r="J95" s="88"/>
      <c r="K95" s="89">
        <f t="shared" si="5"/>
        <v>0</v>
      </c>
      <c r="L95" s="90" t="b">
        <f>IF((ISNUMBER(K95)),IF(AND(F95="Workdays",(SUMIFS(N:N,F:F,F95,H:H,H95,B:B,B95)&lt;=24)),IF(AND((K95*24)&gt;0,(K95*24)&lt;16),((K95*24)*MD!$I$6),IF((K95*24)&gt;=16,(MD!$J$6))),IF(AND(F95="Non_workdays",(SUMIFS(N:N,F:F,F95,H:H,H95,B:B,B95)&lt;=24)),IF(AND((K95*24)&gt;0,(K95*24)&lt;12),((K95*24)*MD!$I$5),IF((K95*24)&gt;=12,(MD!$J$5))))))</f>
        <v>0</v>
      </c>
      <c r="M95" s="62"/>
      <c r="N95" s="72">
        <f t="shared" si="4"/>
        <v>0</v>
      </c>
    </row>
    <row r="96" spans="1:14" x14ac:dyDescent="0.25">
      <c r="A96" s="62">
        <v>95</v>
      </c>
      <c r="B96" s="62"/>
      <c r="C96" s="85" t="str">
        <f>IF(ISNA(VLOOKUP($B96,CPY!$B:$G,2,FALSE))=TRUE," ",VLOOKUP($B96,CPY!$B:$G,2,FALSE))</f>
        <v> </v>
      </c>
      <c r="D96" s="50" t="str">
        <f>IF(ISNA(VLOOKUP($B96,CPY!$B:$G,3,FALSE))=TRUE," ",VLOOKUP($B96,CPY!$B:$G,3,FALSE))</f>
        <v> </v>
      </c>
      <c r="E96" s="65" t="str">
        <f>IF(ISNA(VLOOKUP($B96,CPY!$B:$G,4,FALSE))=TRUE," ",VLOOKUP($B96,CPY!$B:$G,4,FALSE))</f>
        <v> </v>
      </c>
      <c r="F96" s="62"/>
      <c r="G96" s="86"/>
      <c r="H96" s="87"/>
      <c r="I96" s="88"/>
      <c r="J96" s="88"/>
      <c r="K96" s="89">
        <f t="shared" si="5"/>
        <v>0</v>
      </c>
      <c r="L96" s="90" t="b">
        <f>IF((ISNUMBER(K96)),IF(AND(F96="Workdays",(SUMIFS(N:N,F:F,F96,H:H,H96,B:B,B96)&lt;=24)),IF(AND((K96*24)&gt;0,(K96*24)&lt;16),((K96*24)*MD!$I$6),IF((K96*24)&gt;=16,(MD!$J$6))),IF(AND(F96="Non_workdays",(SUMIFS(N:N,F:F,F96,H:H,H96,B:B,B96)&lt;=24)),IF(AND((K96*24)&gt;0,(K96*24)&lt;12),((K96*24)*MD!$I$5),IF((K96*24)&gt;=12,(MD!$J$5))))))</f>
        <v>0</v>
      </c>
      <c r="M96" s="62"/>
      <c r="N96" s="72">
        <f t="shared" si="4"/>
        <v>0</v>
      </c>
    </row>
    <row r="97" spans="1:14" x14ac:dyDescent="0.25">
      <c r="A97" s="62">
        <v>96</v>
      </c>
      <c r="B97" s="62"/>
      <c r="C97" s="85" t="str">
        <f>IF(ISNA(VLOOKUP($B97,CPY!$B:$G,2,FALSE))=TRUE," ",VLOOKUP($B97,CPY!$B:$G,2,FALSE))</f>
        <v> </v>
      </c>
      <c r="D97" s="50" t="str">
        <f>IF(ISNA(VLOOKUP($B97,CPY!$B:$G,3,FALSE))=TRUE," ",VLOOKUP($B97,CPY!$B:$G,3,FALSE))</f>
        <v> </v>
      </c>
      <c r="E97" s="65" t="str">
        <f>IF(ISNA(VLOOKUP($B97,CPY!$B:$G,4,FALSE))=TRUE," ",VLOOKUP($B97,CPY!$B:$G,4,FALSE))</f>
        <v> </v>
      </c>
      <c r="F97" s="62"/>
      <c r="G97" s="86"/>
      <c r="H97" s="87"/>
      <c r="I97" s="88"/>
      <c r="J97" s="88"/>
      <c r="K97" s="89">
        <f t="shared" si="5"/>
        <v>0</v>
      </c>
      <c r="L97" s="90" t="b">
        <f>IF((ISNUMBER(K97)),IF(AND(F97="Workdays",(SUMIFS(N:N,F:F,F97,H:H,H97,B:B,B97)&lt;=24)),IF(AND((K97*24)&gt;0,(K97*24)&lt;16),((K97*24)*MD!$I$6),IF((K97*24)&gt;=16,(MD!$J$6))),IF(AND(F97="Non_workdays",(SUMIFS(N:N,F:F,F97,H:H,H97,B:B,B97)&lt;=24)),IF(AND((K97*24)&gt;0,(K97*24)&lt;12),((K97*24)*MD!$I$5),IF((K97*24)&gt;=12,(MD!$J$5))))))</f>
        <v>0</v>
      </c>
      <c r="M97" s="62"/>
      <c r="N97" s="72">
        <f t="shared" si="4"/>
        <v>0</v>
      </c>
    </row>
    <row r="98" spans="1:14" x14ac:dyDescent="0.25">
      <c r="A98" s="62">
        <v>97</v>
      </c>
      <c r="B98" s="62"/>
      <c r="C98" s="85" t="str">
        <f>IF(ISNA(VLOOKUP($B98,CPY!$B:$G,2,FALSE))=TRUE," ",VLOOKUP($B98,CPY!$B:$G,2,FALSE))</f>
        <v> </v>
      </c>
      <c r="D98" s="50" t="str">
        <f>IF(ISNA(VLOOKUP($B98,CPY!$B:$G,3,FALSE))=TRUE," ",VLOOKUP($B98,CPY!$B:$G,3,FALSE))</f>
        <v> </v>
      </c>
      <c r="E98" s="65" t="str">
        <f>IF(ISNA(VLOOKUP($B98,CPY!$B:$G,4,FALSE))=TRUE," ",VLOOKUP($B98,CPY!$B:$G,4,FALSE))</f>
        <v> </v>
      </c>
      <c r="F98" s="62"/>
      <c r="G98" s="86"/>
      <c r="H98" s="87"/>
      <c r="I98" s="88"/>
      <c r="J98" s="88"/>
      <c r="K98" s="89">
        <f t="shared" si="5"/>
        <v>0</v>
      </c>
      <c r="L98" s="90" t="b">
        <f>IF((ISNUMBER(K98)),IF(AND(F98="Workdays",(SUMIFS(N:N,F:F,F98,H:H,H98,B:B,B98)&lt;=24)),IF(AND((K98*24)&gt;0,(K98*24)&lt;16),((K98*24)*MD!$I$6),IF((K98*24)&gt;=16,(MD!$J$6))),IF(AND(F98="Non_workdays",(SUMIFS(N:N,F:F,F98,H:H,H98,B:B,B98)&lt;=24)),IF(AND((K98*24)&gt;0,(K98*24)&lt;12),((K98*24)*MD!$I$5),IF((K98*24)&gt;=12,(MD!$J$5))))))</f>
        <v>0</v>
      </c>
      <c r="M98" s="62"/>
      <c r="N98" s="72">
        <f t="shared" si="4"/>
        <v>0</v>
      </c>
    </row>
    <row r="99" spans="1:14" x14ac:dyDescent="0.25">
      <c r="A99" s="62">
        <v>98</v>
      </c>
      <c r="B99" s="62"/>
      <c r="C99" s="85" t="str">
        <f>IF(ISNA(VLOOKUP($B99,CPY!$B:$G,2,FALSE))=TRUE," ",VLOOKUP($B99,CPY!$B:$G,2,FALSE))</f>
        <v> </v>
      </c>
      <c r="D99" s="50" t="str">
        <f>IF(ISNA(VLOOKUP($B99,CPY!$B:$G,3,FALSE))=TRUE," ",VLOOKUP($B99,CPY!$B:$G,3,FALSE))</f>
        <v> </v>
      </c>
      <c r="E99" s="65" t="str">
        <f>IF(ISNA(VLOOKUP($B99,CPY!$B:$G,4,FALSE))=TRUE," ",VLOOKUP($B99,CPY!$B:$G,4,FALSE))</f>
        <v> </v>
      </c>
      <c r="F99" s="62"/>
      <c r="G99" s="86"/>
      <c r="H99" s="87"/>
      <c r="I99" s="88"/>
      <c r="J99" s="88"/>
      <c r="K99" s="89">
        <f t="shared" si="5"/>
        <v>0</v>
      </c>
      <c r="L99" s="90" t="b">
        <f>IF((ISNUMBER(K99)),IF(AND(F99="Workdays",(SUMIFS(N:N,F:F,F99,H:H,H99,B:B,B99)&lt;=24)),IF(AND((K99*24)&gt;0,(K99*24)&lt;16),((K99*24)*MD!$I$6),IF((K99*24)&gt;=16,(MD!$J$6))),IF(AND(F99="Non_workdays",(SUMIFS(N:N,F:F,F99,H:H,H99,B:B,B99)&lt;=24)),IF(AND((K99*24)&gt;0,(K99*24)&lt;12),((K99*24)*MD!$I$5),IF((K99*24)&gt;=12,(MD!$J$5))))))</f>
        <v>0</v>
      </c>
      <c r="M99" s="62"/>
      <c r="N99" s="72">
        <f t="shared" si="4"/>
        <v>0</v>
      </c>
    </row>
    <row r="100" spans="1:14" x14ac:dyDescent="0.25">
      <c r="A100" s="62">
        <v>99</v>
      </c>
      <c r="B100" s="62"/>
      <c r="C100" s="85" t="str">
        <f>IF(ISNA(VLOOKUP($B100,CPY!$B:$G,2,FALSE))=TRUE," ",VLOOKUP($B100,CPY!$B:$G,2,FALSE))</f>
        <v> </v>
      </c>
      <c r="D100" s="50" t="str">
        <f>IF(ISNA(VLOOKUP($B100,CPY!$B:$G,3,FALSE))=TRUE," ",VLOOKUP($B100,CPY!$B:$G,3,FALSE))</f>
        <v> </v>
      </c>
      <c r="E100" s="65" t="str">
        <f>IF(ISNA(VLOOKUP($B100,CPY!$B:$G,4,FALSE))=TRUE," ",VLOOKUP($B100,CPY!$B:$G,4,FALSE))</f>
        <v> </v>
      </c>
      <c r="F100" s="62"/>
      <c r="G100" s="86"/>
      <c r="H100" s="87"/>
      <c r="I100" s="88"/>
      <c r="J100" s="88"/>
      <c r="K100" s="89">
        <f t="shared" si="5"/>
        <v>0</v>
      </c>
      <c r="L100" s="90" t="b">
        <f>IF((ISNUMBER(K100)),IF(AND(F100="Workdays",(SUMIFS(N:N,F:F,F100,H:H,H100,B:B,B100)&lt;=24)),IF(AND((K100*24)&gt;0,(K100*24)&lt;16),((K100*24)*MD!$I$6),IF((K100*24)&gt;=16,(MD!$J$6))),IF(AND(F100="Non_workdays",(SUMIFS(N:N,F:F,F100,H:H,H100,B:B,B100)&lt;=24)),IF(AND((K100*24)&gt;0,(K100*24)&lt;12),((K100*24)*MD!$I$5),IF((K100*24)&gt;=12,(MD!$J$5))))))</f>
        <v>0</v>
      </c>
      <c r="M100" s="62"/>
      <c r="N100" s="72">
        <f t="shared" si="4"/>
        <v>0</v>
      </c>
    </row>
    <row r="101" spans="1:14" x14ac:dyDescent="0.25">
      <c r="A101" s="62">
        <v>100</v>
      </c>
      <c r="B101" s="62"/>
      <c r="C101" s="85" t="str">
        <f>IF(ISNA(VLOOKUP($B101,CPY!$B:$G,2,FALSE))=TRUE," ",VLOOKUP($B101,CPY!$B:$G,2,FALSE))</f>
        <v> </v>
      </c>
      <c r="D101" s="50" t="str">
        <f>IF(ISNA(VLOOKUP($B101,CPY!$B:$G,3,FALSE))=TRUE," ",VLOOKUP($B101,CPY!$B:$G,3,FALSE))</f>
        <v> </v>
      </c>
      <c r="E101" s="65" t="str">
        <f>IF(ISNA(VLOOKUP($B101,CPY!$B:$G,4,FALSE))=TRUE," ",VLOOKUP($B101,CPY!$B:$G,4,FALSE))</f>
        <v> </v>
      </c>
      <c r="F101" s="62"/>
      <c r="G101" s="86"/>
      <c r="H101" s="87"/>
      <c r="I101" s="88"/>
      <c r="J101" s="88"/>
      <c r="K101" s="89">
        <f t="shared" si="5"/>
        <v>0</v>
      </c>
      <c r="L101" s="90" t="b">
        <f>IF((ISNUMBER(K101)),IF(AND(F101="Workdays",(SUMIFS(N:N,F:F,F101,H:H,H101,B:B,B101)&lt;=24)),IF(AND((K101*24)&gt;0,(K101*24)&lt;16),((K101*24)*MD!$I$6),IF((K101*24)&gt;=16,(MD!$J$6))),IF(AND(F101="Non_workdays",(SUMIFS(N:N,F:F,F101,H:H,H101,B:B,B101)&lt;=24)),IF(AND((K101*24)&gt;0,(K101*24)&lt;12),((K101*24)*MD!$I$5),IF((K101*24)&gt;=12,(MD!$J$5))))))</f>
        <v>0</v>
      </c>
      <c r="M101" s="62"/>
      <c r="N101" s="72">
        <f t="shared" si="4"/>
        <v>0</v>
      </c>
    </row>
    <row r="102" spans="1:14" x14ac:dyDescent="0.25">
      <c r="A102" s="62">
        <v>101</v>
      </c>
      <c r="B102" s="62"/>
      <c r="C102" s="85" t="str">
        <f>IF(ISNA(VLOOKUP($B102,CPY!$B:$G,2,FALSE))=TRUE," ",VLOOKUP($B102,CPY!$B:$G,2,FALSE))</f>
        <v> </v>
      </c>
      <c r="D102" s="50" t="str">
        <f>IF(ISNA(VLOOKUP($B102,CPY!$B:$G,3,FALSE))=TRUE," ",VLOOKUP($B102,CPY!$B:$G,3,FALSE))</f>
        <v> </v>
      </c>
      <c r="E102" s="65" t="str">
        <f>IF(ISNA(VLOOKUP($B102,CPY!$B:$G,4,FALSE))=TRUE," ",VLOOKUP($B102,CPY!$B:$G,4,FALSE))</f>
        <v> </v>
      </c>
      <c r="F102" s="62"/>
      <c r="G102" s="86"/>
      <c r="H102" s="87"/>
      <c r="I102" s="88"/>
      <c r="J102" s="88"/>
      <c r="K102" s="89">
        <f t="shared" si="5"/>
        <v>0</v>
      </c>
      <c r="L102" s="90" t="b">
        <f>IF((ISNUMBER(K102)),IF(AND(F102="Workdays",(SUMIFS(N:N,F:F,F102,H:H,H102,B:B,B102)&lt;=24)),IF(AND((K102*24)&gt;0,(K102*24)&lt;16),((K102*24)*MD!$I$6),IF((K102*24)&gt;=16,(MD!$J$6))),IF(AND(F102="Non_workdays",(SUMIFS(N:N,F:F,F102,H:H,H102,B:B,B102)&lt;=24)),IF(AND((K102*24)&gt;0,(K102*24)&lt;12),((K102*24)*MD!$I$5),IF((K102*24)&gt;=12,(MD!$J$5))))))</f>
        <v>0</v>
      </c>
      <c r="M102" s="62"/>
      <c r="N102" s="72">
        <f t="shared" si="4"/>
        <v>0</v>
      </c>
    </row>
    <row r="103" spans="1:14" x14ac:dyDescent="0.25">
      <c r="A103" s="62">
        <v>102</v>
      </c>
      <c r="B103" s="62"/>
      <c r="C103" s="85" t="str">
        <f>IF(ISNA(VLOOKUP($B103,CPY!$B:$G,2,FALSE))=TRUE," ",VLOOKUP($B103,CPY!$B:$G,2,FALSE))</f>
        <v> </v>
      </c>
      <c r="D103" s="50" t="str">
        <f>IF(ISNA(VLOOKUP($B103,CPY!$B:$G,3,FALSE))=TRUE," ",VLOOKUP($B103,CPY!$B:$G,3,FALSE))</f>
        <v> </v>
      </c>
      <c r="E103" s="65" t="str">
        <f>IF(ISNA(VLOOKUP($B103,CPY!$B:$G,4,FALSE))=TRUE," ",VLOOKUP($B103,CPY!$B:$G,4,FALSE))</f>
        <v> </v>
      </c>
      <c r="F103" s="62"/>
      <c r="G103" s="86"/>
      <c r="H103" s="87"/>
      <c r="I103" s="88"/>
      <c r="J103" s="88"/>
      <c r="K103" s="89">
        <f t="shared" si="5"/>
        <v>0</v>
      </c>
      <c r="L103" s="90" t="b">
        <f>IF((ISNUMBER(K103)),IF(AND(F103="Workdays",(SUMIFS(N:N,F:F,F103,H:H,H103,B:B,B103)&lt;=24)),IF(AND((K103*24)&gt;0,(K103*24)&lt;16),((K103*24)*MD!$I$6),IF((K103*24)&gt;=16,(MD!$J$6))),IF(AND(F103="Non_workdays",(SUMIFS(N:N,F:F,F103,H:H,H103,B:B,B103)&lt;=24)),IF(AND((K103*24)&gt;0,(K103*24)&lt;12),((K103*24)*MD!$I$5),IF((K103*24)&gt;=12,(MD!$J$5))))))</f>
        <v>0</v>
      </c>
      <c r="M103" s="62"/>
      <c r="N103" s="72">
        <f t="shared" si="4"/>
        <v>0</v>
      </c>
    </row>
    <row r="104" spans="1:14" x14ac:dyDescent="0.25">
      <c r="A104" s="62">
        <v>103</v>
      </c>
      <c r="B104" s="62"/>
      <c r="C104" s="85" t="str">
        <f>IF(ISNA(VLOOKUP($B104,CPY!$B:$G,2,FALSE))=TRUE," ",VLOOKUP($B104,CPY!$B:$G,2,FALSE))</f>
        <v> </v>
      </c>
      <c r="D104" s="50" t="str">
        <f>IF(ISNA(VLOOKUP($B104,CPY!$B:$G,3,FALSE))=TRUE," ",VLOOKUP($B104,CPY!$B:$G,3,FALSE))</f>
        <v> </v>
      </c>
      <c r="E104" s="65" t="str">
        <f>IF(ISNA(VLOOKUP($B104,CPY!$B:$G,4,FALSE))=TRUE," ",VLOOKUP($B104,CPY!$B:$G,4,FALSE))</f>
        <v> </v>
      </c>
      <c r="F104" s="62"/>
      <c r="G104" s="86"/>
      <c r="H104" s="87"/>
      <c r="I104" s="88"/>
      <c r="J104" s="88"/>
      <c r="K104" s="89">
        <f t="shared" si="5"/>
        <v>0</v>
      </c>
      <c r="L104" s="90" t="b">
        <f>IF((ISNUMBER(K104)),IF(AND(F104="Workdays",(SUMIFS(N:N,F:F,F104,H:H,H104,B:B,B104)&lt;=24)),IF(AND((K104*24)&gt;0,(K104*24)&lt;16),((K104*24)*MD!$I$6),IF((K104*24)&gt;=16,(MD!$J$6))),IF(AND(F104="Non_workdays",(SUMIFS(N:N,F:F,F104,H:H,H104,B:B,B104)&lt;=24)),IF(AND((K104*24)&gt;0,(K104*24)&lt;12),((K104*24)*MD!$I$5),IF((K104*24)&gt;=12,(MD!$J$5))))))</f>
        <v>0</v>
      </c>
      <c r="M104" s="62"/>
      <c r="N104" s="72">
        <f t="shared" si="4"/>
        <v>0</v>
      </c>
    </row>
    <row r="105" spans="1:14" x14ac:dyDescent="0.25">
      <c r="A105" s="62">
        <v>104</v>
      </c>
      <c r="B105" s="62"/>
      <c r="C105" s="85" t="str">
        <f>IF(ISNA(VLOOKUP($B105,CPY!$B:$G,2,FALSE))=TRUE," ",VLOOKUP($B105,CPY!$B:$G,2,FALSE))</f>
        <v> </v>
      </c>
      <c r="D105" s="50" t="str">
        <f>IF(ISNA(VLOOKUP($B105,CPY!$B:$G,3,FALSE))=TRUE," ",VLOOKUP($B105,CPY!$B:$G,3,FALSE))</f>
        <v> </v>
      </c>
      <c r="E105" s="65" t="str">
        <f>IF(ISNA(VLOOKUP($B105,CPY!$B:$G,4,FALSE))=TRUE," ",VLOOKUP($B105,CPY!$B:$G,4,FALSE))</f>
        <v> </v>
      </c>
      <c r="F105" s="62"/>
      <c r="G105" s="86"/>
      <c r="H105" s="87"/>
      <c r="I105" s="88"/>
      <c r="J105" s="88"/>
      <c r="K105" s="89">
        <f t="shared" si="5"/>
        <v>0</v>
      </c>
      <c r="L105" s="90" t="b">
        <f>IF((ISNUMBER(K105)),IF(AND(F105="Workdays",(SUMIFS(N:N,F:F,F105,H:H,H105,B:B,B105)&lt;=24)),IF(AND((K105*24)&gt;0,(K105*24)&lt;16),((K105*24)*MD!$I$6),IF((K105*24)&gt;=16,(MD!$J$6))),IF(AND(F105="Non_workdays",(SUMIFS(N:N,F:F,F105,H:H,H105,B:B,B105)&lt;=24)),IF(AND((K105*24)&gt;0,(K105*24)&lt;12),((K105*24)*MD!$I$5),IF((K105*24)&gt;=12,(MD!$J$5))))))</f>
        <v>0</v>
      </c>
      <c r="M105" s="62"/>
      <c r="N105" s="72">
        <f t="shared" si="4"/>
        <v>0</v>
      </c>
    </row>
    <row r="106" spans="1:14" x14ac:dyDescent="0.25">
      <c r="A106" s="62">
        <v>105</v>
      </c>
      <c r="B106" s="62"/>
      <c r="C106" s="85" t="str">
        <f>IF(ISNA(VLOOKUP($B106,CPY!$B:$G,2,FALSE))=TRUE," ",VLOOKUP($B106,CPY!$B:$G,2,FALSE))</f>
        <v> </v>
      </c>
      <c r="D106" s="50" t="str">
        <f>IF(ISNA(VLOOKUP($B106,CPY!$B:$G,3,FALSE))=TRUE," ",VLOOKUP($B106,CPY!$B:$G,3,FALSE))</f>
        <v> </v>
      </c>
      <c r="E106" s="65" t="str">
        <f>IF(ISNA(VLOOKUP($B106,CPY!$B:$G,4,FALSE))=TRUE," ",VLOOKUP($B106,CPY!$B:$G,4,FALSE))</f>
        <v> </v>
      </c>
      <c r="F106" s="62"/>
      <c r="G106" s="86"/>
      <c r="H106" s="87"/>
      <c r="I106" s="88"/>
      <c r="J106" s="88"/>
      <c r="K106" s="89">
        <f t="shared" si="5"/>
        <v>0</v>
      </c>
      <c r="L106" s="90" t="b">
        <f>IF((ISNUMBER(K106)),IF(AND(F106="Workdays",(SUMIFS(N:N,F:F,F106,H:H,H106,B:B,B106)&lt;=24)),IF(AND((K106*24)&gt;0,(K106*24)&lt;16),((K106*24)*MD!$I$6),IF((K106*24)&gt;=16,(MD!$J$6))),IF(AND(F106="Non_workdays",(SUMIFS(N:N,F:F,F106,H:H,H106,B:B,B106)&lt;=24)),IF(AND((K106*24)&gt;0,(K106*24)&lt;12),((K106*24)*MD!$I$5),IF((K106*24)&gt;=12,(MD!$J$5))))))</f>
        <v>0</v>
      </c>
      <c r="M106" s="62"/>
      <c r="N106" s="72">
        <f t="shared" si="4"/>
        <v>0</v>
      </c>
    </row>
    <row r="107" spans="1:14" x14ac:dyDescent="0.25">
      <c r="A107" s="62">
        <v>106</v>
      </c>
      <c r="B107" s="62"/>
      <c r="C107" s="85" t="str">
        <f>IF(ISNA(VLOOKUP($B107,CPY!$B:$G,2,FALSE))=TRUE," ",VLOOKUP($B107,CPY!$B:$G,2,FALSE))</f>
        <v> </v>
      </c>
      <c r="D107" s="50" t="str">
        <f>IF(ISNA(VLOOKUP($B107,CPY!$B:$G,3,FALSE))=TRUE," ",VLOOKUP($B107,CPY!$B:$G,3,FALSE))</f>
        <v> </v>
      </c>
      <c r="E107" s="65" t="str">
        <f>IF(ISNA(VLOOKUP($B107,CPY!$B:$G,4,FALSE))=TRUE," ",VLOOKUP($B107,CPY!$B:$G,4,FALSE))</f>
        <v> </v>
      </c>
      <c r="F107" s="62"/>
      <c r="G107" s="86"/>
      <c r="H107" s="87"/>
      <c r="I107" s="88"/>
      <c r="J107" s="88"/>
      <c r="K107" s="89">
        <f t="shared" si="5"/>
        <v>0</v>
      </c>
      <c r="L107" s="90" t="b">
        <f>IF((ISNUMBER(K107)),IF(AND(F107="Workdays",(SUMIFS(N:N,F:F,F107,H:H,H107,B:B,B107)&lt;=24)),IF(AND((K107*24)&gt;0,(K107*24)&lt;16),((K107*24)*MD!$I$6),IF((K107*24)&gt;=16,(MD!$J$6))),IF(AND(F107="Non_workdays",(SUMIFS(N:N,F:F,F107,H:H,H107,B:B,B107)&lt;=24)),IF(AND((K107*24)&gt;0,(K107*24)&lt;12),((K107*24)*MD!$I$5),IF((K107*24)&gt;=12,(MD!$J$5))))))</f>
        <v>0</v>
      </c>
      <c r="M107" s="62"/>
      <c r="N107" s="72">
        <f t="shared" si="4"/>
        <v>0</v>
      </c>
    </row>
    <row r="108" spans="1:14" x14ac:dyDescent="0.25">
      <c r="A108" s="62">
        <v>107</v>
      </c>
      <c r="B108" s="62"/>
      <c r="C108" s="85" t="str">
        <f>IF(ISNA(VLOOKUP($B108,CPY!$B:$G,2,FALSE))=TRUE," ",VLOOKUP($B108,CPY!$B:$G,2,FALSE))</f>
        <v> </v>
      </c>
      <c r="D108" s="50" t="str">
        <f>IF(ISNA(VLOOKUP($B108,CPY!$B:$G,3,FALSE))=TRUE," ",VLOOKUP($B108,CPY!$B:$G,3,FALSE))</f>
        <v> </v>
      </c>
      <c r="E108" s="65" t="str">
        <f>IF(ISNA(VLOOKUP($B108,CPY!$B:$G,4,FALSE))=TRUE," ",VLOOKUP($B108,CPY!$B:$G,4,FALSE))</f>
        <v> </v>
      </c>
      <c r="F108" s="62"/>
      <c r="G108" s="86"/>
      <c r="H108" s="87"/>
      <c r="I108" s="88"/>
      <c r="J108" s="88"/>
      <c r="K108" s="89">
        <f t="shared" si="5"/>
        <v>0</v>
      </c>
      <c r="L108" s="90" t="b">
        <f>IF((ISNUMBER(K108)),IF(AND(F108="Workdays",(SUMIFS(N:N,F:F,F108,H:H,H108,B:B,B108)&lt;=24)),IF(AND((K108*24)&gt;0,(K108*24)&lt;16),((K108*24)*MD!$I$6),IF((K108*24)&gt;=16,(MD!$J$6))),IF(AND(F108="Non_workdays",(SUMIFS(N:N,F:F,F108,H:H,H108,B:B,B108)&lt;=24)),IF(AND((K108*24)&gt;0,(K108*24)&lt;12),((K108*24)*MD!$I$5),IF((K108*24)&gt;=12,(MD!$J$5))))))</f>
        <v>0</v>
      </c>
      <c r="M108" s="62"/>
      <c r="N108" s="72">
        <f t="shared" si="4"/>
        <v>0</v>
      </c>
    </row>
    <row r="109" spans="1:14" x14ac:dyDescent="0.25">
      <c r="A109" s="62">
        <v>108</v>
      </c>
      <c r="B109" s="62"/>
      <c r="C109" s="85" t="str">
        <f>IF(ISNA(VLOOKUP($B109,CPY!$B:$G,2,FALSE))=TRUE," ",VLOOKUP($B109,CPY!$B:$G,2,FALSE))</f>
        <v> </v>
      </c>
      <c r="D109" s="50" t="str">
        <f>IF(ISNA(VLOOKUP($B109,CPY!$B:$G,3,FALSE))=TRUE," ",VLOOKUP($B109,CPY!$B:$G,3,FALSE))</f>
        <v> </v>
      </c>
      <c r="E109" s="65" t="str">
        <f>IF(ISNA(VLOOKUP($B109,CPY!$B:$G,4,FALSE))=TRUE," ",VLOOKUP($B109,CPY!$B:$G,4,FALSE))</f>
        <v> </v>
      </c>
      <c r="F109" s="62"/>
      <c r="G109" s="86"/>
      <c r="H109" s="87"/>
      <c r="I109" s="88"/>
      <c r="J109" s="88"/>
      <c r="K109" s="89">
        <f t="shared" si="5"/>
        <v>0</v>
      </c>
      <c r="L109" s="90" t="b">
        <f>IF((ISNUMBER(K109)),IF(AND(F109="Workdays",(SUMIFS(N:N,F:F,F109,H:H,H109,B:B,B109)&lt;=24)),IF(AND((K109*24)&gt;0,(K109*24)&lt;16),((K109*24)*MD!$I$6),IF((K109*24)&gt;=16,(MD!$J$6))),IF(AND(F109="Non_workdays",(SUMIFS(N:N,F:F,F109,H:H,H109,B:B,B109)&lt;=24)),IF(AND((K109*24)&gt;0,(K109*24)&lt;12),((K109*24)*MD!$I$5),IF((K109*24)&gt;=12,(MD!$J$5))))))</f>
        <v>0</v>
      </c>
      <c r="M109" s="62"/>
      <c r="N109" s="72">
        <f t="shared" si="4"/>
        <v>0</v>
      </c>
    </row>
    <row r="110" spans="1:14" x14ac:dyDescent="0.25">
      <c r="A110" s="62">
        <v>109</v>
      </c>
      <c r="B110" s="62"/>
      <c r="C110" s="85" t="str">
        <f>IF(ISNA(VLOOKUP($B110,CPY!$B:$G,2,FALSE))=TRUE," ",VLOOKUP($B110,CPY!$B:$G,2,FALSE))</f>
        <v> </v>
      </c>
      <c r="D110" s="50" t="str">
        <f>IF(ISNA(VLOOKUP($B110,CPY!$B:$G,3,FALSE))=TRUE," ",VLOOKUP($B110,CPY!$B:$G,3,FALSE))</f>
        <v> </v>
      </c>
      <c r="E110" s="65" t="str">
        <f>IF(ISNA(VLOOKUP($B110,CPY!$B:$G,4,FALSE))=TRUE," ",VLOOKUP($B110,CPY!$B:$G,4,FALSE))</f>
        <v> </v>
      </c>
      <c r="F110" s="62"/>
      <c r="G110" s="86"/>
      <c r="H110" s="87"/>
      <c r="I110" s="88"/>
      <c r="J110" s="88"/>
      <c r="K110" s="89">
        <f t="shared" si="5"/>
        <v>0</v>
      </c>
      <c r="L110" s="90" t="b">
        <f>IF((ISNUMBER(K110)),IF(AND(F110="Workdays",(SUMIFS(N:N,F:F,F110,H:H,H110,B:B,B110)&lt;=24)),IF(AND((K110*24)&gt;0,(K110*24)&lt;16),((K110*24)*MD!$I$6),IF((K110*24)&gt;=16,(MD!$J$6))),IF(AND(F110="Non_workdays",(SUMIFS(N:N,F:F,F110,H:H,H110,B:B,B110)&lt;=24)),IF(AND((K110*24)&gt;0,(K110*24)&lt;12),((K110*24)*MD!$I$5),IF((K110*24)&gt;=12,(MD!$J$5))))))</f>
        <v>0</v>
      </c>
      <c r="M110" s="62"/>
      <c r="N110" s="72">
        <f t="shared" si="4"/>
        <v>0</v>
      </c>
    </row>
    <row r="111" spans="1:14" x14ac:dyDescent="0.25">
      <c r="A111" s="62">
        <v>110</v>
      </c>
      <c r="B111" s="62"/>
      <c r="C111" s="85" t="str">
        <f>IF(ISNA(VLOOKUP($B111,CPY!$B:$G,2,FALSE))=TRUE," ",VLOOKUP($B111,CPY!$B:$G,2,FALSE))</f>
        <v> </v>
      </c>
      <c r="D111" s="50" t="str">
        <f>IF(ISNA(VLOOKUP($B111,CPY!$B:$G,3,FALSE))=TRUE," ",VLOOKUP($B111,CPY!$B:$G,3,FALSE))</f>
        <v> </v>
      </c>
      <c r="E111" s="65" t="str">
        <f>IF(ISNA(VLOOKUP($B111,CPY!$B:$G,4,FALSE))=TRUE," ",VLOOKUP($B111,CPY!$B:$G,4,FALSE))</f>
        <v> </v>
      </c>
      <c r="F111" s="62"/>
      <c r="G111" s="86"/>
      <c r="H111" s="87"/>
      <c r="I111" s="88"/>
      <c r="J111" s="88"/>
      <c r="K111" s="89">
        <f t="shared" si="5"/>
        <v>0</v>
      </c>
      <c r="L111" s="90" t="b">
        <f>IF((ISNUMBER(K111)),IF(AND(F111="Workdays",(SUMIFS(N:N,F:F,F111,H:H,H111,B:B,B111)&lt;=24)),IF(AND((K111*24)&gt;0,(K111*24)&lt;16),((K111*24)*MD!$I$6),IF((K111*24)&gt;=16,(MD!$J$6))),IF(AND(F111="Non_workdays",(SUMIFS(N:N,F:F,F111,H:H,H111,B:B,B111)&lt;=24)),IF(AND((K111*24)&gt;0,(K111*24)&lt;12),((K111*24)*MD!$I$5),IF((K111*24)&gt;=12,(MD!$J$5))))))</f>
        <v>0</v>
      </c>
      <c r="M111" s="62"/>
      <c r="N111" s="72">
        <f t="shared" si="4"/>
        <v>0</v>
      </c>
    </row>
    <row r="112" spans="1:14" x14ac:dyDescent="0.25">
      <c r="A112" s="62">
        <v>111</v>
      </c>
      <c r="B112" s="62"/>
      <c r="C112" s="85" t="str">
        <f>IF(ISNA(VLOOKUP($B112,CPY!$B:$G,2,FALSE))=TRUE," ",VLOOKUP($B112,CPY!$B:$G,2,FALSE))</f>
        <v> </v>
      </c>
      <c r="D112" s="50" t="str">
        <f>IF(ISNA(VLOOKUP($B112,CPY!$B:$G,3,FALSE))=TRUE," ",VLOOKUP($B112,CPY!$B:$G,3,FALSE))</f>
        <v> </v>
      </c>
      <c r="E112" s="65" t="str">
        <f>IF(ISNA(VLOOKUP($B112,CPY!$B:$G,4,FALSE))=TRUE," ",VLOOKUP($B112,CPY!$B:$G,4,FALSE))</f>
        <v> </v>
      </c>
      <c r="F112" s="62"/>
      <c r="G112" s="86"/>
      <c r="H112" s="87"/>
      <c r="I112" s="88"/>
      <c r="J112" s="88"/>
      <c r="K112" s="89">
        <f t="shared" si="5"/>
        <v>0</v>
      </c>
      <c r="L112" s="90" t="b">
        <f>IF((ISNUMBER(K112)),IF(AND(F112="Workdays",(SUMIFS(N:N,F:F,F112,H:H,H112,B:B,B112)&lt;=24)),IF(AND((K112*24)&gt;0,(K112*24)&lt;16),((K112*24)*MD!$I$6),IF((K112*24)&gt;=16,(MD!$J$6))),IF(AND(F112="Non_workdays",(SUMIFS(N:N,F:F,F112,H:H,H112,B:B,B112)&lt;=24)),IF(AND((K112*24)&gt;0,(K112*24)&lt;12),((K112*24)*MD!$I$5),IF((K112*24)&gt;=12,(MD!$J$5))))))</f>
        <v>0</v>
      </c>
      <c r="M112" s="62"/>
      <c r="N112" s="72">
        <f t="shared" si="4"/>
        <v>0</v>
      </c>
    </row>
    <row r="113" spans="1:14" x14ac:dyDescent="0.25">
      <c r="A113" s="62">
        <v>112</v>
      </c>
      <c r="B113" s="62"/>
      <c r="C113" s="85" t="str">
        <f>IF(ISNA(VLOOKUP($B113,CPY!$B:$G,2,FALSE))=TRUE," ",VLOOKUP($B113,CPY!$B:$G,2,FALSE))</f>
        <v> </v>
      </c>
      <c r="D113" s="50" t="str">
        <f>IF(ISNA(VLOOKUP($B113,CPY!$B:$G,3,FALSE))=TRUE," ",VLOOKUP($B113,CPY!$B:$G,3,FALSE))</f>
        <v> </v>
      </c>
      <c r="E113" s="65" t="str">
        <f>IF(ISNA(VLOOKUP($B113,CPY!$B:$G,4,FALSE))=TRUE," ",VLOOKUP($B113,CPY!$B:$G,4,FALSE))</f>
        <v> </v>
      </c>
      <c r="F113" s="62"/>
      <c r="G113" s="86"/>
      <c r="H113" s="87"/>
      <c r="I113" s="88"/>
      <c r="J113" s="88"/>
      <c r="K113" s="89">
        <f t="shared" si="5"/>
        <v>0</v>
      </c>
      <c r="L113" s="90" t="b">
        <f>IF((ISNUMBER(K113)),IF(AND(F113="Workdays",(SUMIFS(N:N,F:F,F113,H:H,H113,B:B,B113)&lt;=24)),IF(AND((K113*24)&gt;0,(K113*24)&lt;16),((K113*24)*MD!$I$6),IF((K113*24)&gt;=16,(MD!$J$6))),IF(AND(F113="Non_workdays",(SUMIFS(N:N,F:F,F113,H:H,H113,B:B,B113)&lt;=24)),IF(AND((K113*24)&gt;0,(K113*24)&lt;12),((K113*24)*MD!$I$5),IF((K113*24)&gt;=12,(MD!$J$5))))))</f>
        <v>0</v>
      </c>
      <c r="M113" s="62"/>
      <c r="N113" s="72">
        <f t="shared" si="4"/>
        <v>0</v>
      </c>
    </row>
    <row r="114" spans="1:14" x14ac:dyDescent="0.25">
      <c r="A114" s="62">
        <v>113</v>
      </c>
      <c r="B114" s="62"/>
      <c r="C114" s="85" t="str">
        <f>IF(ISNA(VLOOKUP($B114,CPY!$B:$G,2,FALSE))=TRUE," ",VLOOKUP($B114,CPY!$B:$G,2,FALSE))</f>
        <v> </v>
      </c>
      <c r="D114" s="50" t="str">
        <f>IF(ISNA(VLOOKUP($B114,CPY!$B:$G,3,FALSE))=TRUE," ",VLOOKUP($B114,CPY!$B:$G,3,FALSE))</f>
        <v> </v>
      </c>
      <c r="E114" s="65" t="str">
        <f>IF(ISNA(VLOOKUP($B114,CPY!$B:$G,4,FALSE))=TRUE," ",VLOOKUP($B114,CPY!$B:$G,4,FALSE))</f>
        <v> </v>
      </c>
      <c r="F114" s="62"/>
      <c r="G114" s="86"/>
      <c r="H114" s="87"/>
      <c r="I114" s="88"/>
      <c r="J114" s="88"/>
      <c r="K114" s="89">
        <f t="shared" si="5"/>
        <v>0</v>
      </c>
      <c r="L114" s="90" t="b">
        <f>IF((ISNUMBER(K114)),IF(AND(F114="Workdays",(SUMIFS(N:N,F:F,F114,H:H,H114,B:B,B114)&lt;=24)),IF(AND((K114*24)&gt;0,(K114*24)&lt;16),((K114*24)*MD!$I$6),IF((K114*24)&gt;=16,(MD!$J$6))),IF(AND(F114="Non_workdays",(SUMIFS(N:N,F:F,F114,H:H,H114,B:B,B114)&lt;=24)),IF(AND((K114*24)&gt;0,(K114*24)&lt;12),((K114*24)*MD!$I$5),IF((K114*24)&gt;=12,(MD!$J$5))))))</f>
        <v>0</v>
      </c>
      <c r="M114" s="62"/>
      <c r="N114" s="72">
        <f t="shared" si="4"/>
        <v>0</v>
      </c>
    </row>
    <row r="115" spans="1:14" x14ac:dyDescent="0.25">
      <c r="A115" s="62">
        <v>114</v>
      </c>
      <c r="B115" s="62"/>
      <c r="C115" s="85" t="str">
        <f>IF(ISNA(VLOOKUP($B115,CPY!$B:$G,2,FALSE))=TRUE," ",VLOOKUP($B115,CPY!$B:$G,2,FALSE))</f>
        <v> </v>
      </c>
      <c r="D115" s="50" t="str">
        <f>IF(ISNA(VLOOKUP($B115,CPY!$B:$G,3,FALSE))=TRUE," ",VLOOKUP($B115,CPY!$B:$G,3,FALSE))</f>
        <v> </v>
      </c>
      <c r="E115" s="65" t="str">
        <f>IF(ISNA(VLOOKUP($B115,CPY!$B:$G,4,FALSE))=TRUE," ",VLOOKUP($B115,CPY!$B:$G,4,FALSE))</f>
        <v> </v>
      </c>
      <c r="F115" s="62"/>
      <c r="G115" s="86"/>
      <c r="H115" s="87"/>
      <c r="I115" s="88"/>
      <c r="J115" s="88"/>
      <c r="K115" s="89">
        <f t="shared" si="5"/>
        <v>0</v>
      </c>
      <c r="L115" s="90" t="b">
        <f>IF((ISNUMBER(K115)),IF(AND(F115="Workdays",(SUMIFS(N:N,F:F,F115,H:H,H115,B:B,B115)&lt;=24)),IF(AND((K115*24)&gt;0,(K115*24)&lt;16),((K115*24)*MD!$I$6),IF((K115*24)&gt;=16,(MD!$J$6))),IF(AND(F115="Non_workdays",(SUMIFS(N:N,F:F,F115,H:H,H115,B:B,B115)&lt;=24)),IF(AND((K115*24)&gt;0,(K115*24)&lt;12),((K115*24)*MD!$I$5),IF((K115*24)&gt;=12,(MD!$J$5))))))</f>
        <v>0</v>
      </c>
      <c r="M115" s="62"/>
      <c r="N115" s="72">
        <f t="shared" si="4"/>
        <v>0</v>
      </c>
    </row>
    <row r="116" spans="1:14" x14ac:dyDescent="0.25">
      <c r="A116" s="62">
        <v>115</v>
      </c>
      <c r="B116" s="62"/>
      <c r="C116" s="85" t="str">
        <f>IF(ISNA(VLOOKUP($B116,CPY!$B:$G,2,FALSE))=TRUE," ",VLOOKUP($B116,CPY!$B:$G,2,FALSE))</f>
        <v> </v>
      </c>
      <c r="D116" s="50" t="str">
        <f>IF(ISNA(VLOOKUP($B116,CPY!$B:$G,3,FALSE))=TRUE," ",VLOOKUP($B116,CPY!$B:$G,3,FALSE))</f>
        <v> </v>
      </c>
      <c r="E116" s="65" t="str">
        <f>IF(ISNA(VLOOKUP($B116,CPY!$B:$G,4,FALSE))=TRUE," ",VLOOKUP($B116,CPY!$B:$G,4,FALSE))</f>
        <v> </v>
      </c>
      <c r="F116" s="62"/>
      <c r="G116" s="86"/>
      <c r="H116" s="87"/>
      <c r="I116" s="88"/>
      <c r="J116" s="88"/>
      <c r="K116" s="89">
        <f t="shared" si="5"/>
        <v>0</v>
      </c>
      <c r="L116" s="90" t="b">
        <f>IF((ISNUMBER(K116)),IF(AND(F116="Workdays",(SUMIFS(N:N,F:F,F116,H:H,H116,B:B,B116)&lt;=24)),IF(AND((K116*24)&gt;0,(K116*24)&lt;16),((K116*24)*MD!$I$6),IF((K116*24)&gt;=16,(MD!$J$6))),IF(AND(F116="Non_workdays",(SUMIFS(N:N,F:F,F116,H:H,H116,B:B,B116)&lt;=24)),IF(AND((K116*24)&gt;0,(K116*24)&lt;12),((K116*24)*MD!$I$5),IF((K116*24)&gt;=12,(MD!$J$5))))))</f>
        <v>0</v>
      </c>
      <c r="M116" s="62"/>
      <c r="N116" s="72">
        <f t="shared" si="4"/>
        <v>0</v>
      </c>
    </row>
    <row r="117" spans="1:14" x14ac:dyDescent="0.25">
      <c r="A117" s="62">
        <v>116</v>
      </c>
      <c r="B117" s="62"/>
      <c r="C117" s="85" t="str">
        <f>IF(ISNA(VLOOKUP($B117,CPY!$B:$G,2,FALSE))=TRUE," ",VLOOKUP($B117,CPY!$B:$G,2,FALSE))</f>
        <v> </v>
      </c>
      <c r="D117" s="50" t="str">
        <f>IF(ISNA(VLOOKUP($B117,CPY!$B:$G,3,FALSE))=TRUE," ",VLOOKUP($B117,CPY!$B:$G,3,FALSE))</f>
        <v> </v>
      </c>
      <c r="E117" s="65" t="str">
        <f>IF(ISNA(VLOOKUP($B117,CPY!$B:$G,4,FALSE))=TRUE," ",VLOOKUP($B117,CPY!$B:$G,4,FALSE))</f>
        <v> </v>
      </c>
      <c r="F117" s="62"/>
      <c r="G117" s="86"/>
      <c r="H117" s="87"/>
      <c r="I117" s="88"/>
      <c r="J117" s="88"/>
      <c r="K117" s="89">
        <f t="shared" si="5"/>
        <v>0</v>
      </c>
      <c r="L117" s="90" t="b">
        <f>IF((ISNUMBER(K117)),IF(AND(F117="Workdays",(SUMIFS(N:N,F:F,F117,H:H,H117,B:B,B117)&lt;=24)),IF(AND((K117*24)&gt;0,(K117*24)&lt;16),((K117*24)*MD!$I$6),IF((K117*24)&gt;=16,(MD!$J$6))),IF(AND(F117="Non_workdays",(SUMIFS(N:N,F:F,F117,H:H,H117,B:B,B117)&lt;=24)),IF(AND((K117*24)&gt;0,(K117*24)&lt;12),((K117*24)*MD!$I$5),IF((K117*24)&gt;=12,(MD!$J$5))))))</f>
        <v>0</v>
      </c>
      <c r="M117" s="62"/>
      <c r="N117" s="72">
        <f t="shared" si="4"/>
        <v>0</v>
      </c>
    </row>
    <row r="118" spans="1:14" x14ac:dyDescent="0.25">
      <c r="A118" s="62">
        <v>117</v>
      </c>
      <c r="B118" s="62"/>
      <c r="C118" s="85" t="str">
        <f>IF(ISNA(VLOOKUP($B118,CPY!$B:$G,2,FALSE))=TRUE," ",VLOOKUP($B118,CPY!$B:$G,2,FALSE))</f>
        <v> </v>
      </c>
      <c r="D118" s="50" t="str">
        <f>IF(ISNA(VLOOKUP($B118,CPY!$B:$G,3,FALSE))=TRUE," ",VLOOKUP($B118,CPY!$B:$G,3,FALSE))</f>
        <v> </v>
      </c>
      <c r="E118" s="65" t="str">
        <f>IF(ISNA(VLOOKUP($B118,CPY!$B:$G,4,FALSE))=TRUE," ",VLOOKUP($B118,CPY!$B:$G,4,FALSE))</f>
        <v> </v>
      </c>
      <c r="F118" s="62"/>
      <c r="G118" s="86"/>
      <c r="H118" s="87"/>
      <c r="I118" s="88"/>
      <c r="J118" s="88"/>
      <c r="K118" s="89">
        <f t="shared" si="5"/>
        <v>0</v>
      </c>
      <c r="L118" s="90" t="b">
        <f>IF((ISNUMBER(K118)),IF(AND(F118="Workdays",(SUMIFS(N:N,F:F,F118,H:H,H118,B:B,B118)&lt;=24)),IF(AND((K118*24)&gt;0,(K118*24)&lt;16),((K118*24)*MD!$I$6),IF((K118*24)&gt;=16,(MD!$J$6))),IF(AND(F118="Non_workdays",(SUMIFS(N:N,F:F,F118,H:H,H118,B:B,B118)&lt;=24)),IF(AND((K118*24)&gt;0,(K118*24)&lt;12),((K118*24)*MD!$I$5),IF((K118*24)&gt;=12,(MD!$J$5))))))</f>
        <v>0</v>
      </c>
      <c r="M118" s="62"/>
      <c r="N118" s="72">
        <f t="shared" si="4"/>
        <v>0</v>
      </c>
    </row>
    <row r="119" spans="1:14" x14ac:dyDescent="0.25">
      <c r="A119" s="62">
        <v>118</v>
      </c>
      <c r="B119" s="62"/>
      <c r="C119" s="85" t="str">
        <f>IF(ISNA(VLOOKUP($B119,CPY!$B:$G,2,FALSE))=TRUE," ",VLOOKUP($B119,CPY!$B:$G,2,FALSE))</f>
        <v> </v>
      </c>
      <c r="D119" s="50" t="str">
        <f>IF(ISNA(VLOOKUP($B119,CPY!$B:$G,3,FALSE))=TRUE," ",VLOOKUP($B119,CPY!$B:$G,3,FALSE))</f>
        <v> </v>
      </c>
      <c r="E119" s="65" t="str">
        <f>IF(ISNA(VLOOKUP($B119,CPY!$B:$G,4,FALSE))=TRUE," ",VLOOKUP($B119,CPY!$B:$G,4,FALSE))</f>
        <v> </v>
      </c>
      <c r="F119" s="62"/>
      <c r="G119" s="86"/>
      <c r="H119" s="87"/>
      <c r="I119" s="88"/>
      <c r="J119" s="88"/>
      <c r="K119" s="89">
        <f t="shared" si="5"/>
        <v>0</v>
      </c>
      <c r="L119" s="90" t="b">
        <f>IF((ISNUMBER(K119)),IF(AND(F119="Workdays",(SUMIFS(N:N,F:F,F119,H:H,H119,B:B,B119)&lt;=24)),IF(AND((K119*24)&gt;0,(K119*24)&lt;16),((K119*24)*MD!$I$6),IF((K119*24)&gt;=16,(MD!$J$6))),IF(AND(F119="Non_workdays",(SUMIFS(N:N,F:F,F119,H:H,H119,B:B,B119)&lt;=24)),IF(AND((K119*24)&gt;0,(K119*24)&lt;12),((K119*24)*MD!$I$5),IF((K119*24)&gt;=12,(MD!$J$5))))))</f>
        <v>0</v>
      </c>
      <c r="M119" s="62"/>
      <c r="N119" s="72">
        <f t="shared" si="4"/>
        <v>0</v>
      </c>
    </row>
    <row r="120" spans="1:14" x14ac:dyDescent="0.25">
      <c r="A120" s="62">
        <v>119</v>
      </c>
      <c r="B120" s="62"/>
      <c r="C120" s="85" t="str">
        <f>IF(ISNA(VLOOKUP($B120,CPY!$B:$G,2,FALSE))=TRUE," ",VLOOKUP($B120,CPY!$B:$G,2,FALSE))</f>
        <v> </v>
      </c>
      <c r="D120" s="50" t="str">
        <f>IF(ISNA(VLOOKUP($B120,CPY!$B:$G,3,FALSE))=TRUE," ",VLOOKUP($B120,CPY!$B:$G,3,FALSE))</f>
        <v> </v>
      </c>
      <c r="E120" s="65" t="str">
        <f>IF(ISNA(VLOOKUP($B120,CPY!$B:$G,4,FALSE))=TRUE," ",VLOOKUP($B120,CPY!$B:$G,4,FALSE))</f>
        <v> </v>
      </c>
      <c r="F120" s="62"/>
      <c r="G120" s="86"/>
      <c r="H120" s="87"/>
      <c r="I120" s="88"/>
      <c r="J120" s="88"/>
      <c r="K120" s="89">
        <f t="shared" si="5"/>
        <v>0</v>
      </c>
      <c r="L120" s="90" t="b">
        <f>IF((ISNUMBER(K120)),IF(AND(F120="Workdays",(SUMIFS(N:N,F:F,F120,H:H,H120,B:B,B120)&lt;=24)),IF(AND((K120*24)&gt;0,(K120*24)&lt;16),((K120*24)*MD!$I$6),IF((K120*24)&gt;=16,(MD!$J$6))),IF(AND(F120="Non_workdays",(SUMIFS(N:N,F:F,F120,H:H,H120,B:B,B120)&lt;=24)),IF(AND((K120*24)&gt;0,(K120*24)&lt;12),((K120*24)*MD!$I$5),IF((K120*24)&gt;=12,(MD!$J$5))))))</f>
        <v>0</v>
      </c>
      <c r="M120" s="62"/>
      <c r="N120" s="72">
        <f t="shared" si="4"/>
        <v>0</v>
      </c>
    </row>
    <row r="121" spans="1:14" x14ac:dyDescent="0.25">
      <c r="A121" s="62">
        <v>120</v>
      </c>
      <c r="B121" s="62"/>
      <c r="C121" s="85" t="str">
        <f>IF(ISNA(VLOOKUP($B121,CPY!$B:$G,2,FALSE))=TRUE," ",VLOOKUP($B121,CPY!$B:$G,2,FALSE))</f>
        <v> </v>
      </c>
      <c r="D121" s="50" t="str">
        <f>IF(ISNA(VLOOKUP($B121,CPY!$B:$G,3,FALSE))=TRUE," ",VLOOKUP($B121,CPY!$B:$G,3,FALSE))</f>
        <v> </v>
      </c>
      <c r="E121" s="65" t="str">
        <f>IF(ISNA(VLOOKUP($B121,CPY!$B:$G,4,FALSE))=TRUE," ",VLOOKUP($B121,CPY!$B:$G,4,FALSE))</f>
        <v> </v>
      </c>
      <c r="F121" s="62"/>
      <c r="G121" s="86"/>
      <c r="H121" s="87"/>
      <c r="I121" s="88"/>
      <c r="J121" s="88"/>
      <c r="K121" s="89">
        <f t="shared" si="5"/>
        <v>0</v>
      </c>
      <c r="L121" s="90" t="b">
        <f>IF((ISNUMBER(K121)),IF(AND(F121="Workdays",(SUMIFS(N:N,F:F,F121,H:H,H121,B:B,B121)&lt;=24)),IF(AND((K121*24)&gt;0,(K121*24)&lt;16),((K121*24)*MD!$I$6),IF((K121*24)&gt;=16,(MD!$J$6))),IF(AND(F121="Non_workdays",(SUMIFS(N:N,F:F,F121,H:H,H121,B:B,B121)&lt;=24)),IF(AND((K121*24)&gt;0,(K121*24)&lt;12),((K121*24)*MD!$I$5),IF((K121*24)&gt;=12,(MD!$J$5))))))</f>
        <v>0</v>
      </c>
      <c r="M121" s="62"/>
      <c r="N121" s="72">
        <f t="shared" si="4"/>
        <v>0</v>
      </c>
    </row>
    <row r="122" spans="1:14" x14ac:dyDescent="0.25">
      <c r="A122" s="62">
        <v>121</v>
      </c>
      <c r="B122" s="62"/>
      <c r="C122" s="85" t="str">
        <f>IF(ISNA(VLOOKUP($B122,CPY!$B:$G,2,FALSE))=TRUE," ",VLOOKUP($B122,CPY!$B:$G,2,FALSE))</f>
        <v> </v>
      </c>
      <c r="D122" s="50" t="str">
        <f>IF(ISNA(VLOOKUP($B122,CPY!$B:$G,3,FALSE))=TRUE," ",VLOOKUP($B122,CPY!$B:$G,3,FALSE))</f>
        <v> </v>
      </c>
      <c r="E122" s="65" t="str">
        <f>IF(ISNA(VLOOKUP($B122,CPY!$B:$G,4,FALSE))=TRUE," ",VLOOKUP($B122,CPY!$B:$G,4,FALSE))</f>
        <v> </v>
      </c>
      <c r="F122" s="62"/>
      <c r="G122" s="86"/>
      <c r="H122" s="87"/>
      <c r="I122" s="88"/>
      <c r="J122" s="88"/>
      <c r="K122" s="89">
        <f t="shared" si="5"/>
        <v>0</v>
      </c>
      <c r="L122" s="90" t="b">
        <f>IF((ISNUMBER(K122)),IF(AND(F122="Workdays",(SUMIFS(N:N,F:F,F122,H:H,H122,B:B,B122)&lt;=24)),IF(AND((K122*24)&gt;0,(K122*24)&lt;16),((K122*24)*MD!$I$6),IF((K122*24)&gt;=16,(MD!$J$6))),IF(AND(F122="Non_workdays",(SUMIFS(N:N,F:F,F122,H:H,H122,B:B,B122)&lt;=24)),IF(AND((K122*24)&gt;0,(K122*24)&lt;12),((K122*24)*MD!$I$5),IF((K122*24)&gt;=12,(MD!$J$5))))))</f>
        <v>0</v>
      </c>
      <c r="M122" s="62"/>
      <c r="N122" s="72">
        <f t="shared" si="4"/>
        <v>0</v>
      </c>
    </row>
    <row r="123" spans="1:14" x14ac:dyDescent="0.25">
      <c r="A123" s="62">
        <v>122</v>
      </c>
      <c r="B123" s="62"/>
      <c r="C123" s="85" t="str">
        <f>IF(ISNA(VLOOKUP($B123,CPY!$B:$G,2,FALSE))=TRUE," ",VLOOKUP($B123,CPY!$B:$G,2,FALSE))</f>
        <v> </v>
      </c>
      <c r="D123" s="50" t="str">
        <f>IF(ISNA(VLOOKUP($B123,CPY!$B:$G,3,FALSE))=TRUE," ",VLOOKUP($B123,CPY!$B:$G,3,FALSE))</f>
        <v> </v>
      </c>
      <c r="E123" s="65" t="str">
        <f>IF(ISNA(VLOOKUP($B123,CPY!$B:$G,4,FALSE))=TRUE," ",VLOOKUP($B123,CPY!$B:$G,4,FALSE))</f>
        <v> </v>
      </c>
      <c r="F123" s="62"/>
      <c r="G123" s="86"/>
      <c r="H123" s="87"/>
      <c r="I123" s="88"/>
      <c r="J123" s="88"/>
      <c r="K123" s="89">
        <f t="shared" si="5"/>
        <v>0</v>
      </c>
      <c r="L123" s="90" t="b">
        <f>IF((ISNUMBER(K123)),IF(AND(F123="Workdays",(SUMIFS(N:N,F:F,F123,H:H,H123,B:B,B123)&lt;=24)),IF(AND((K123*24)&gt;0,(K123*24)&lt;16),((K123*24)*MD!$I$6),IF((K123*24)&gt;=16,(MD!$J$6))),IF(AND(F123="Non_workdays",(SUMIFS(N:N,F:F,F123,H:H,H123,B:B,B123)&lt;=24)),IF(AND((K123*24)&gt;0,(K123*24)&lt;12),((K123*24)*MD!$I$5),IF((K123*24)&gt;=12,(MD!$J$5))))))</f>
        <v>0</v>
      </c>
      <c r="M123" s="62"/>
      <c r="N123" s="72">
        <f t="shared" si="4"/>
        <v>0</v>
      </c>
    </row>
    <row r="124" spans="1:14" x14ac:dyDescent="0.25">
      <c r="A124" s="62">
        <v>123</v>
      </c>
      <c r="B124" s="62"/>
      <c r="C124" s="85" t="str">
        <f>IF(ISNA(VLOOKUP($B124,CPY!$B:$G,2,FALSE))=TRUE," ",VLOOKUP($B124,CPY!$B:$G,2,FALSE))</f>
        <v> </v>
      </c>
      <c r="D124" s="50" t="str">
        <f>IF(ISNA(VLOOKUP($B124,CPY!$B:$G,3,FALSE))=TRUE," ",VLOOKUP($B124,CPY!$B:$G,3,FALSE))</f>
        <v> </v>
      </c>
      <c r="E124" s="65" t="str">
        <f>IF(ISNA(VLOOKUP($B124,CPY!$B:$G,4,FALSE))=TRUE," ",VLOOKUP($B124,CPY!$B:$G,4,FALSE))</f>
        <v> </v>
      </c>
      <c r="F124" s="62"/>
      <c r="G124" s="86"/>
      <c r="H124" s="87"/>
      <c r="I124" s="88"/>
      <c r="J124" s="88"/>
      <c r="K124" s="89">
        <f t="shared" si="5"/>
        <v>0</v>
      </c>
      <c r="L124" s="90" t="b">
        <f>IF((ISNUMBER(K124)),IF(AND(F124="Workdays",(SUMIFS(N:N,F:F,F124,H:H,H124,B:B,B124)&lt;=24)),IF(AND((K124*24)&gt;0,(K124*24)&lt;16),((K124*24)*MD!$I$6),IF((K124*24)&gt;=16,(MD!$J$6))),IF(AND(F124="Non_workdays",(SUMIFS(N:N,F:F,F124,H:H,H124,B:B,B124)&lt;=24)),IF(AND((K124*24)&gt;0,(K124*24)&lt;12),((K124*24)*MD!$I$5),IF((K124*24)&gt;=12,(MD!$J$5))))))</f>
        <v>0</v>
      </c>
      <c r="M124" s="62"/>
      <c r="N124" s="72">
        <f t="shared" si="4"/>
        <v>0</v>
      </c>
    </row>
    <row r="125" spans="1:14" x14ac:dyDescent="0.25">
      <c r="A125" s="62">
        <v>124</v>
      </c>
      <c r="B125" s="62"/>
      <c r="C125" s="85" t="str">
        <f>IF(ISNA(VLOOKUP($B125,CPY!$B:$G,2,FALSE))=TRUE," ",VLOOKUP($B125,CPY!$B:$G,2,FALSE))</f>
        <v> </v>
      </c>
      <c r="D125" s="50" t="str">
        <f>IF(ISNA(VLOOKUP($B125,CPY!$B:$G,3,FALSE))=TRUE," ",VLOOKUP($B125,CPY!$B:$G,3,FALSE))</f>
        <v> </v>
      </c>
      <c r="E125" s="65" t="str">
        <f>IF(ISNA(VLOOKUP($B125,CPY!$B:$G,4,FALSE))=TRUE," ",VLOOKUP($B125,CPY!$B:$G,4,FALSE))</f>
        <v> </v>
      </c>
      <c r="F125" s="62"/>
      <c r="G125" s="86"/>
      <c r="H125" s="87"/>
      <c r="I125" s="88"/>
      <c r="J125" s="88"/>
      <c r="K125" s="89">
        <f t="shared" si="5"/>
        <v>0</v>
      </c>
      <c r="L125" s="90" t="b">
        <f>IF((ISNUMBER(K125)),IF(AND(F125="Workdays",(SUMIFS(N:N,F:F,F125,H:H,H125,B:B,B125)&lt;=24)),IF(AND((K125*24)&gt;0,(K125*24)&lt;16),((K125*24)*MD!$I$6),IF((K125*24)&gt;=16,(MD!$J$6))),IF(AND(F125="Non_workdays",(SUMIFS(N:N,F:F,F125,H:H,H125,B:B,B125)&lt;=24)),IF(AND((K125*24)&gt;0,(K125*24)&lt;12),((K125*24)*MD!$I$5),IF((K125*24)&gt;=12,(MD!$J$5))))))</f>
        <v>0</v>
      </c>
      <c r="M125" s="62"/>
      <c r="N125" s="72">
        <f t="shared" si="4"/>
        <v>0</v>
      </c>
    </row>
    <row r="126" spans="1:14" x14ac:dyDescent="0.25">
      <c r="A126" s="62">
        <v>125</v>
      </c>
      <c r="B126" s="62"/>
      <c r="C126" s="85" t="str">
        <f>IF(ISNA(VLOOKUP($B126,CPY!$B:$G,2,FALSE))=TRUE," ",VLOOKUP($B126,CPY!$B:$G,2,FALSE))</f>
        <v> </v>
      </c>
      <c r="D126" s="50" t="str">
        <f>IF(ISNA(VLOOKUP($B126,CPY!$B:$G,3,FALSE))=TRUE," ",VLOOKUP($B126,CPY!$B:$G,3,FALSE))</f>
        <v> </v>
      </c>
      <c r="E126" s="65" t="str">
        <f>IF(ISNA(VLOOKUP($B126,CPY!$B:$G,4,FALSE))=TRUE," ",VLOOKUP($B126,CPY!$B:$G,4,FALSE))</f>
        <v> </v>
      </c>
      <c r="F126" s="62"/>
      <c r="G126" s="86"/>
      <c r="H126" s="87"/>
      <c r="I126" s="88"/>
      <c r="J126" s="88"/>
      <c r="K126" s="89">
        <f t="shared" si="5"/>
        <v>0</v>
      </c>
      <c r="L126" s="90" t="b">
        <f>IF((ISNUMBER(K126)),IF(AND(F126="Workdays",(SUMIFS(N:N,F:F,F126,H:H,H126,B:B,B126)&lt;=24)),IF(AND((K126*24)&gt;0,(K126*24)&lt;16),((K126*24)*MD!$I$6),IF((K126*24)&gt;=16,(MD!$J$6))),IF(AND(F126="Non_workdays",(SUMIFS(N:N,F:F,F126,H:H,H126,B:B,B126)&lt;=24)),IF(AND((K126*24)&gt;0,(K126*24)&lt;12),((K126*24)*MD!$I$5),IF((K126*24)&gt;=12,(MD!$J$5))))))</f>
        <v>0</v>
      </c>
      <c r="M126" s="62"/>
      <c r="N126" s="72">
        <f t="shared" si="4"/>
        <v>0</v>
      </c>
    </row>
    <row r="127" spans="1:14" x14ac:dyDescent="0.25">
      <c r="A127" s="62">
        <v>126</v>
      </c>
      <c r="B127" s="62"/>
      <c r="C127" s="85" t="str">
        <f>IF(ISNA(VLOOKUP($B127,CPY!$B:$G,2,FALSE))=TRUE," ",VLOOKUP($B127,CPY!$B:$G,2,FALSE))</f>
        <v> </v>
      </c>
      <c r="D127" s="50" t="str">
        <f>IF(ISNA(VLOOKUP($B127,CPY!$B:$G,3,FALSE))=TRUE," ",VLOOKUP($B127,CPY!$B:$G,3,FALSE))</f>
        <v> </v>
      </c>
      <c r="E127" s="65" t="str">
        <f>IF(ISNA(VLOOKUP($B127,CPY!$B:$G,4,FALSE))=TRUE," ",VLOOKUP($B127,CPY!$B:$G,4,FALSE))</f>
        <v> </v>
      </c>
      <c r="F127" s="62"/>
      <c r="G127" s="86"/>
      <c r="H127" s="87"/>
      <c r="I127" s="88"/>
      <c r="J127" s="88"/>
      <c r="K127" s="89">
        <f t="shared" si="5"/>
        <v>0</v>
      </c>
      <c r="L127" s="90" t="b">
        <f>IF((ISNUMBER(K127)),IF(AND(F127="Workdays",(SUMIFS(N:N,F:F,F127,H:H,H127,B:B,B127)&lt;=24)),IF(AND((K127*24)&gt;0,(K127*24)&lt;16),((K127*24)*MD!$I$6),IF((K127*24)&gt;=16,(MD!$J$6))),IF(AND(F127="Non_workdays",(SUMIFS(N:N,F:F,F127,H:H,H127,B:B,B127)&lt;=24)),IF(AND((K127*24)&gt;0,(K127*24)&lt;12),((K127*24)*MD!$I$5),IF((K127*24)&gt;=12,(MD!$J$5))))))</f>
        <v>0</v>
      </c>
      <c r="M127" s="62"/>
      <c r="N127" s="72">
        <f t="shared" si="4"/>
        <v>0</v>
      </c>
    </row>
    <row r="128" spans="1:14" x14ac:dyDescent="0.25">
      <c r="A128" s="62">
        <v>127</v>
      </c>
      <c r="B128" s="62"/>
      <c r="C128" s="85" t="str">
        <f>IF(ISNA(VLOOKUP($B128,CPY!$B:$G,2,FALSE))=TRUE," ",VLOOKUP($B128,CPY!$B:$G,2,FALSE))</f>
        <v> </v>
      </c>
      <c r="D128" s="50" t="str">
        <f>IF(ISNA(VLOOKUP($B128,CPY!$B:$G,3,FALSE))=TRUE," ",VLOOKUP($B128,CPY!$B:$G,3,FALSE))</f>
        <v> </v>
      </c>
      <c r="E128" s="65" t="str">
        <f>IF(ISNA(VLOOKUP($B128,CPY!$B:$G,4,FALSE))=TRUE," ",VLOOKUP($B128,CPY!$B:$G,4,FALSE))</f>
        <v> </v>
      </c>
      <c r="F128" s="62"/>
      <c r="G128" s="86"/>
      <c r="H128" s="87"/>
      <c r="I128" s="88"/>
      <c r="J128" s="88"/>
      <c r="K128" s="89">
        <f t="shared" si="5"/>
        <v>0</v>
      </c>
      <c r="L128" s="90" t="b">
        <f>IF((ISNUMBER(K128)),IF(AND(F128="Workdays",(SUMIFS(N:N,F:F,F128,H:H,H128,B:B,B128)&lt;=24)),IF(AND((K128*24)&gt;0,(K128*24)&lt;16),((K128*24)*MD!$I$6),IF((K128*24)&gt;=16,(MD!$J$6))),IF(AND(F128="Non_workdays",(SUMIFS(N:N,F:F,F128,H:H,H128,B:B,B128)&lt;=24)),IF(AND((K128*24)&gt;0,(K128*24)&lt;12),((K128*24)*MD!$I$5),IF((K128*24)&gt;=12,(MD!$J$5))))))</f>
        <v>0</v>
      </c>
      <c r="M128" s="62"/>
      <c r="N128" s="72">
        <f t="shared" si="4"/>
        <v>0</v>
      </c>
    </row>
    <row r="129" spans="1:14" x14ac:dyDescent="0.25">
      <c r="A129" s="62">
        <v>128</v>
      </c>
      <c r="B129" s="62"/>
      <c r="C129" s="85" t="str">
        <f>IF(ISNA(VLOOKUP($B129,CPY!$B:$G,2,FALSE))=TRUE," ",VLOOKUP($B129,CPY!$B:$G,2,FALSE))</f>
        <v> </v>
      </c>
      <c r="D129" s="50" t="str">
        <f>IF(ISNA(VLOOKUP($B129,CPY!$B:$G,3,FALSE))=TRUE," ",VLOOKUP($B129,CPY!$B:$G,3,FALSE))</f>
        <v> </v>
      </c>
      <c r="E129" s="65" t="str">
        <f>IF(ISNA(VLOOKUP($B129,CPY!$B:$G,4,FALSE))=TRUE," ",VLOOKUP($B129,CPY!$B:$G,4,FALSE))</f>
        <v> </v>
      </c>
      <c r="F129" s="62"/>
      <c r="G129" s="86"/>
      <c r="H129" s="87"/>
      <c r="I129" s="88"/>
      <c r="J129" s="88"/>
      <c r="K129" s="89">
        <f t="shared" si="5"/>
        <v>0</v>
      </c>
      <c r="L129" s="90" t="b">
        <f>IF((ISNUMBER(K129)),IF(AND(F129="Workdays",(SUMIFS(N:N,F:F,F129,H:H,H129,B:B,B129)&lt;=24)),IF(AND((K129*24)&gt;0,(K129*24)&lt;16),((K129*24)*MD!$I$6),IF((K129*24)&gt;=16,(MD!$J$6))),IF(AND(F129="Non_workdays",(SUMIFS(N:N,F:F,F129,H:H,H129,B:B,B129)&lt;=24)),IF(AND((K129*24)&gt;0,(K129*24)&lt;12),((K129*24)*MD!$I$5),IF((K129*24)&gt;=12,(MD!$J$5))))))</f>
        <v>0</v>
      </c>
      <c r="M129" s="62"/>
      <c r="N129" s="72">
        <f t="shared" si="4"/>
        <v>0</v>
      </c>
    </row>
    <row r="130" spans="1:14" x14ac:dyDescent="0.25">
      <c r="A130" s="62">
        <v>129</v>
      </c>
      <c r="B130" s="62"/>
      <c r="C130" s="85" t="str">
        <f>IF(ISNA(VLOOKUP($B130,CPY!$B:$G,2,FALSE))=TRUE," ",VLOOKUP($B130,CPY!$B:$G,2,FALSE))</f>
        <v> </v>
      </c>
      <c r="D130" s="50" t="str">
        <f>IF(ISNA(VLOOKUP($B130,CPY!$B:$G,3,FALSE))=TRUE," ",VLOOKUP($B130,CPY!$B:$G,3,FALSE))</f>
        <v> </v>
      </c>
      <c r="E130" s="65" t="str">
        <f>IF(ISNA(VLOOKUP($B130,CPY!$B:$G,4,FALSE))=TRUE," ",VLOOKUP($B130,CPY!$B:$G,4,FALSE))</f>
        <v> </v>
      </c>
      <c r="F130" s="62"/>
      <c r="G130" s="86"/>
      <c r="H130" s="87"/>
      <c r="I130" s="88"/>
      <c r="J130" s="88"/>
      <c r="K130" s="89">
        <f t="shared" si="5"/>
        <v>0</v>
      </c>
      <c r="L130" s="90" t="b">
        <f>IF((ISNUMBER(K130)),IF(AND(F130="Workdays",(SUMIFS(N:N,F:F,F130,H:H,H130,B:B,B130)&lt;=24)),IF(AND((K130*24)&gt;0,(K130*24)&lt;16),((K130*24)*MD!$I$6),IF((K130*24)&gt;=16,(MD!$J$6))),IF(AND(F130="Non_workdays",(SUMIFS(N:N,F:F,F130,H:H,H130,B:B,B130)&lt;=24)),IF(AND((K130*24)&gt;0,(K130*24)&lt;12),((K130*24)*MD!$I$5),IF((K130*24)&gt;=12,(MD!$J$5))))))</f>
        <v>0</v>
      </c>
      <c r="M130" s="62"/>
      <c r="N130" s="72">
        <f t="shared" si="4"/>
        <v>0</v>
      </c>
    </row>
    <row r="131" spans="1:14" x14ac:dyDescent="0.25">
      <c r="A131" s="62">
        <v>130</v>
      </c>
      <c r="B131" s="62"/>
      <c r="C131" s="85" t="str">
        <f>IF(ISNA(VLOOKUP($B131,CPY!$B:$G,2,FALSE))=TRUE," ",VLOOKUP($B131,CPY!$B:$G,2,FALSE))</f>
        <v> </v>
      </c>
      <c r="D131" s="50" t="str">
        <f>IF(ISNA(VLOOKUP($B131,CPY!$B:$G,3,FALSE))=TRUE," ",VLOOKUP($B131,CPY!$B:$G,3,FALSE))</f>
        <v> </v>
      </c>
      <c r="E131" s="65" t="str">
        <f>IF(ISNA(VLOOKUP($B131,CPY!$B:$G,4,FALSE))=TRUE," ",VLOOKUP($B131,CPY!$B:$G,4,FALSE))</f>
        <v> </v>
      </c>
      <c r="F131" s="62"/>
      <c r="G131" s="86"/>
      <c r="H131" s="87"/>
      <c r="I131" s="88"/>
      <c r="J131" s="88"/>
      <c r="K131" s="89">
        <f t="shared" si="5"/>
        <v>0</v>
      </c>
      <c r="L131" s="90" t="b">
        <f>IF((ISNUMBER(K131)),IF(AND(F131="Workdays",(SUMIFS(N:N,F:F,F131,H:H,H131,B:B,B131)&lt;=24)),IF(AND((K131*24)&gt;0,(K131*24)&lt;16),((K131*24)*MD!$I$6),IF((K131*24)&gt;=16,(MD!$J$6))),IF(AND(F131="Non_workdays",(SUMIFS(N:N,F:F,F131,H:H,H131,B:B,B131)&lt;=24)),IF(AND((K131*24)&gt;0,(K131*24)&lt;12),((K131*24)*MD!$I$5),IF((K131*24)&gt;=12,(MD!$J$5))))))</f>
        <v>0</v>
      </c>
      <c r="M131" s="62"/>
      <c r="N131" s="72">
        <f t="shared" ref="N131:N194" si="6">K131*24</f>
        <v>0</v>
      </c>
    </row>
    <row r="132" spans="1:14" x14ac:dyDescent="0.25">
      <c r="A132" s="62">
        <v>131</v>
      </c>
      <c r="B132" s="62"/>
      <c r="C132" s="85" t="str">
        <f>IF(ISNA(VLOOKUP($B132,CPY!$B:$G,2,FALSE))=TRUE," ",VLOOKUP($B132,CPY!$B:$G,2,FALSE))</f>
        <v> </v>
      </c>
      <c r="D132" s="50" t="str">
        <f>IF(ISNA(VLOOKUP($B132,CPY!$B:$G,3,FALSE))=TRUE," ",VLOOKUP($B132,CPY!$B:$G,3,FALSE))</f>
        <v> </v>
      </c>
      <c r="E132" s="65" t="str">
        <f>IF(ISNA(VLOOKUP($B132,CPY!$B:$G,4,FALSE))=TRUE," ",VLOOKUP($B132,CPY!$B:$G,4,FALSE))</f>
        <v> </v>
      </c>
      <c r="F132" s="62"/>
      <c r="G132" s="86"/>
      <c r="H132" s="87"/>
      <c r="I132" s="88"/>
      <c r="J132" s="88"/>
      <c r="K132" s="89">
        <f t="shared" ref="K132:K195" si="7">IF(NOT(ISBLANK($J132)),(IF(J132&lt;I132,J132+1,J132)-I132))</f>
        <v>0</v>
      </c>
      <c r="L132" s="90" t="b">
        <f>IF((ISNUMBER(K132)),IF(AND(F132="Workdays",(SUMIFS(N:N,F:F,F132,H:H,H132,B:B,B132)&lt;=24)),IF(AND((K132*24)&gt;0,(K132*24)&lt;16),((K132*24)*MD!$I$6),IF((K132*24)&gt;=16,(MD!$J$6))),IF(AND(F132="Non_workdays",(SUMIFS(N:N,F:F,F132,H:H,H132,B:B,B132)&lt;=24)),IF(AND((K132*24)&gt;0,(K132*24)&lt;12),((K132*24)*MD!$I$5),IF((K132*24)&gt;=12,(MD!$J$5))))))</f>
        <v>0</v>
      </c>
      <c r="M132" s="62"/>
      <c r="N132" s="72">
        <f t="shared" si="6"/>
        <v>0</v>
      </c>
    </row>
    <row r="133" spans="1:14" x14ac:dyDescent="0.25">
      <c r="A133" s="62">
        <v>132</v>
      </c>
      <c r="B133" s="62"/>
      <c r="C133" s="85" t="str">
        <f>IF(ISNA(VLOOKUP($B133,CPY!$B:$G,2,FALSE))=TRUE," ",VLOOKUP($B133,CPY!$B:$G,2,FALSE))</f>
        <v> </v>
      </c>
      <c r="D133" s="50" t="str">
        <f>IF(ISNA(VLOOKUP($B133,CPY!$B:$G,3,FALSE))=TRUE," ",VLOOKUP($B133,CPY!$B:$G,3,FALSE))</f>
        <v> </v>
      </c>
      <c r="E133" s="65" t="str">
        <f>IF(ISNA(VLOOKUP($B133,CPY!$B:$G,4,FALSE))=TRUE," ",VLOOKUP($B133,CPY!$B:$G,4,FALSE))</f>
        <v> </v>
      </c>
      <c r="F133" s="62"/>
      <c r="G133" s="86"/>
      <c r="H133" s="87"/>
      <c r="I133" s="88"/>
      <c r="J133" s="88"/>
      <c r="K133" s="89">
        <f t="shared" si="7"/>
        <v>0</v>
      </c>
      <c r="L133" s="90" t="b">
        <f>IF((ISNUMBER(K133)),IF(AND(F133="Workdays",(SUMIFS(N:N,F:F,F133,H:H,H133,B:B,B133)&lt;=24)),IF(AND((K133*24)&gt;0,(K133*24)&lt;16),((K133*24)*MD!$I$6),IF((K133*24)&gt;=16,(MD!$J$6))),IF(AND(F133="Non_workdays",(SUMIFS(N:N,F:F,F133,H:H,H133,B:B,B133)&lt;=24)),IF(AND((K133*24)&gt;0,(K133*24)&lt;12),((K133*24)*MD!$I$5),IF((K133*24)&gt;=12,(MD!$J$5))))))</f>
        <v>0</v>
      </c>
      <c r="M133" s="62"/>
      <c r="N133" s="72">
        <f t="shared" si="6"/>
        <v>0</v>
      </c>
    </row>
    <row r="134" spans="1:14" x14ac:dyDescent="0.25">
      <c r="A134" s="62">
        <v>133</v>
      </c>
      <c r="B134" s="62"/>
      <c r="C134" s="85" t="str">
        <f>IF(ISNA(VLOOKUP($B134,CPY!$B:$G,2,FALSE))=TRUE," ",VLOOKUP($B134,CPY!$B:$G,2,FALSE))</f>
        <v> </v>
      </c>
      <c r="D134" s="50" t="str">
        <f>IF(ISNA(VLOOKUP($B134,CPY!$B:$G,3,FALSE))=TRUE," ",VLOOKUP($B134,CPY!$B:$G,3,FALSE))</f>
        <v> </v>
      </c>
      <c r="E134" s="65" t="str">
        <f>IF(ISNA(VLOOKUP($B134,CPY!$B:$G,4,FALSE))=TRUE," ",VLOOKUP($B134,CPY!$B:$G,4,FALSE))</f>
        <v> </v>
      </c>
      <c r="F134" s="62"/>
      <c r="G134" s="86"/>
      <c r="H134" s="87"/>
      <c r="I134" s="88"/>
      <c r="J134" s="88"/>
      <c r="K134" s="89">
        <f t="shared" si="7"/>
        <v>0</v>
      </c>
      <c r="L134" s="90" t="b">
        <f>IF((ISNUMBER(K134)),IF(AND(F134="Workdays",(SUMIFS(N:N,F:F,F134,H:H,H134,B:B,B134)&lt;=24)),IF(AND((K134*24)&gt;0,(K134*24)&lt;16),((K134*24)*MD!$I$6),IF((K134*24)&gt;=16,(MD!$J$6))),IF(AND(F134="Non_workdays",(SUMIFS(N:N,F:F,F134,H:H,H134,B:B,B134)&lt;=24)),IF(AND((K134*24)&gt;0,(K134*24)&lt;12),((K134*24)*MD!$I$5),IF((K134*24)&gt;=12,(MD!$J$5))))))</f>
        <v>0</v>
      </c>
      <c r="M134" s="62"/>
      <c r="N134" s="72">
        <f t="shared" si="6"/>
        <v>0</v>
      </c>
    </row>
    <row r="135" spans="1:14" x14ac:dyDescent="0.25">
      <c r="A135" s="62">
        <v>134</v>
      </c>
      <c r="B135" s="62"/>
      <c r="C135" s="85" t="str">
        <f>IF(ISNA(VLOOKUP($B135,CPY!$B:$G,2,FALSE))=TRUE," ",VLOOKUP($B135,CPY!$B:$G,2,FALSE))</f>
        <v> </v>
      </c>
      <c r="D135" s="50" t="str">
        <f>IF(ISNA(VLOOKUP($B135,CPY!$B:$G,3,FALSE))=TRUE," ",VLOOKUP($B135,CPY!$B:$G,3,FALSE))</f>
        <v> </v>
      </c>
      <c r="E135" s="65" t="str">
        <f>IF(ISNA(VLOOKUP($B135,CPY!$B:$G,4,FALSE))=TRUE," ",VLOOKUP($B135,CPY!$B:$G,4,FALSE))</f>
        <v> </v>
      </c>
      <c r="F135" s="62"/>
      <c r="G135" s="86"/>
      <c r="H135" s="87"/>
      <c r="I135" s="88"/>
      <c r="J135" s="88"/>
      <c r="K135" s="89">
        <f t="shared" si="7"/>
        <v>0</v>
      </c>
      <c r="L135" s="90" t="b">
        <f>IF((ISNUMBER(K135)),IF(AND(F135="Workdays",(SUMIFS(N:N,F:F,F135,H:H,H135,B:B,B135)&lt;=24)),IF(AND((K135*24)&gt;0,(K135*24)&lt;16),((K135*24)*MD!$I$6),IF((K135*24)&gt;=16,(MD!$J$6))),IF(AND(F135="Non_workdays",(SUMIFS(N:N,F:F,F135,H:H,H135,B:B,B135)&lt;=24)),IF(AND((K135*24)&gt;0,(K135*24)&lt;12),((K135*24)*MD!$I$5),IF((K135*24)&gt;=12,(MD!$J$5))))))</f>
        <v>0</v>
      </c>
      <c r="M135" s="62"/>
      <c r="N135" s="72">
        <f t="shared" si="6"/>
        <v>0</v>
      </c>
    </row>
    <row r="136" spans="1:14" x14ac:dyDescent="0.25">
      <c r="A136" s="62">
        <v>135</v>
      </c>
      <c r="B136" s="62"/>
      <c r="C136" s="85" t="str">
        <f>IF(ISNA(VLOOKUP($B136,CPY!$B:$G,2,FALSE))=TRUE," ",VLOOKUP($B136,CPY!$B:$G,2,FALSE))</f>
        <v> </v>
      </c>
      <c r="D136" s="50" t="str">
        <f>IF(ISNA(VLOOKUP($B136,CPY!$B:$G,3,FALSE))=TRUE," ",VLOOKUP($B136,CPY!$B:$G,3,FALSE))</f>
        <v> </v>
      </c>
      <c r="E136" s="65" t="str">
        <f>IF(ISNA(VLOOKUP($B136,CPY!$B:$G,4,FALSE))=TRUE," ",VLOOKUP($B136,CPY!$B:$G,4,FALSE))</f>
        <v> </v>
      </c>
      <c r="F136" s="62"/>
      <c r="G136" s="86"/>
      <c r="H136" s="87"/>
      <c r="I136" s="88"/>
      <c r="J136" s="88"/>
      <c r="K136" s="89">
        <f t="shared" si="7"/>
        <v>0</v>
      </c>
      <c r="L136" s="90" t="b">
        <f>IF((ISNUMBER(K136)),IF(AND(F136="Workdays",(SUMIFS(N:N,F:F,F136,H:H,H136,B:B,B136)&lt;=24)),IF(AND((K136*24)&gt;0,(K136*24)&lt;16),((K136*24)*MD!$I$6),IF((K136*24)&gt;=16,(MD!$J$6))),IF(AND(F136="Non_workdays",(SUMIFS(N:N,F:F,F136,H:H,H136,B:B,B136)&lt;=24)),IF(AND((K136*24)&gt;0,(K136*24)&lt;12),((K136*24)*MD!$I$5),IF((K136*24)&gt;=12,(MD!$J$5))))))</f>
        <v>0</v>
      </c>
      <c r="M136" s="62"/>
      <c r="N136" s="72">
        <f t="shared" si="6"/>
        <v>0</v>
      </c>
    </row>
    <row r="137" spans="1:14" x14ac:dyDescent="0.25">
      <c r="A137" s="62">
        <v>136</v>
      </c>
      <c r="B137" s="62"/>
      <c r="C137" s="85" t="str">
        <f>IF(ISNA(VLOOKUP($B137,CPY!$B:$G,2,FALSE))=TRUE," ",VLOOKUP($B137,CPY!$B:$G,2,FALSE))</f>
        <v> </v>
      </c>
      <c r="D137" s="50" t="str">
        <f>IF(ISNA(VLOOKUP($B137,CPY!$B:$G,3,FALSE))=TRUE," ",VLOOKUP($B137,CPY!$B:$G,3,FALSE))</f>
        <v> </v>
      </c>
      <c r="E137" s="65" t="str">
        <f>IF(ISNA(VLOOKUP($B137,CPY!$B:$G,4,FALSE))=TRUE," ",VLOOKUP($B137,CPY!$B:$G,4,FALSE))</f>
        <v> </v>
      </c>
      <c r="F137" s="62"/>
      <c r="G137" s="86"/>
      <c r="H137" s="87"/>
      <c r="I137" s="88"/>
      <c r="J137" s="88"/>
      <c r="K137" s="89">
        <f t="shared" si="7"/>
        <v>0</v>
      </c>
      <c r="L137" s="90" t="b">
        <f>IF((ISNUMBER(K137)),IF(AND(F137="Workdays",(SUMIFS(N:N,F:F,F137,H:H,H137,B:B,B137)&lt;=24)),IF(AND((K137*24)&gt;0,(K137*24)&lt;16),((K137*24)*MD!$I$6),IF((K137*24)&gt;=16,(MD!$J$6))),IF(AND(F137="Non_workdays",(SUMIFS(N:N,F:F,F137,H:H,H137,B:B,B137)&lt;=24)),IF(AND((K137*24)&gt;0,(K137*24)&lt;12),((K137*24)*MD!$I$5),IF((K137*24)&gt;=12,(MD!$J$5))))))</f>
        <v>0</v>
      </c>
      <c r="M137" s="62"/>
      <c r="N137" s="72">
        <f t="shared" si="6"/>
        <v>0</v>
      </c>
    </row>
    <row r="138" spans="1:14" x14ac:dyDescent="0.25">
      <c r="A138" s="62">
        <v>137</v>
      </c>
      <c r="B138" s="62"/>
      <c r="C138" s="85" t="str">
        <f>IF(ISNA(VLOOKUP($B138,CPY!$B:$G,2,FALSE))=TRUE," ",VLOOKUP($B138,CPY!$B:$G,2,FALSE))</f>
        <v> </v>
      </c>
      <c r="D138" s="50" t="str">
        <f>IF(ISNA(VLOOKUP($B138,CPY!$B:$G,3,FALSE))=TRUE," ",VLOOKUP($B138,CPY!$B:$G,3,FALSE))</f>
        <v> </v>
      </c>
      <c r="E138" s="65" t="str">
        <f>IF(ISNA(VLOOKUP($B138,CPY!$B:$G,4,FALSE))=TRUE," ",VLOOKUP($B138,CPY!$B:$G,4,FALSE))</f>
        <v> </v>
      </c>
      <c r="F138" s="62"/>
      <c r="G138" s="86"/>
      <c r="H138" s="87"/>
      <c r="I138" s="88"/>
      <c r="J138" s="88"/>
      <c r="K138" s="89">
        <f t="shared" si="7"/>
        <v>0</v>
      </c>
      <c r="L138" s="90" t="b">
        <f>IF((ISNUMBER(K138)),IF(AND(F138="Workdays",(SUMIFS(N:N,F:F,F138,H:H,H138,B:B,B138)&lt;=24)),IF(AND((K138*24)&gt;0,(K138*24)&lt;16),((K138*24)*MD!$I$6),IF((K138*24)&gt;=16,(MD!$J$6))),IF(AND(F138="Non_workdays",(SUMIFS(N:N,F:F,F138,H:H,H138,B:B,B138)&lt;=24)),IF(AND((K138*24)&gt;0,(K138*24)&lt;12),((K138*24)*MD!$I$5),IF((K138*24)&gt;=12,(MD!$J$5))))))</f>
        <v>0</v>
      </c>
      <c r="M138" s="62"/>
      <c r="N138" s="72">
        <f t="shared" si="6"/>
        <v>0</v>
      </c>
    </row>
    <row r="139" spans="1:14" x14ac:dyDescent="0.25">
      <c r="A139" s="62">
        <v>138</v>
      </c>
      <c r="B139" s="62"/>
      <c r="C139" s="85" t="str">
        <f>IF(ISNA(VLOOKUP($B139,CPY!$B:$G,2,FALSE))=TRUE," ",VLOOKUP($B139,CPY!$B:$G,2,FALSE))</f>
        <v> </v>
      </c>
      <c r="D139" s="50" t="str">
        <f>IF(ISNA(VLOOKUP($B139,CPY!$B:$G,3,FALSE))=TRUE," ",VLOOKUP($B139,CPY!$B:$G,3,FALSE))</f>
        <v> </v>
      </c>
      <c r="E139" s="65" t="str">
        <f>IF(ISNA(VLOOKUP($B139,CPY!$B:$G,4,FALSE))=TRUE," ",VLOOKUP($B139,CPY!$B:$G,4,FALSE))</f>
        <v> </v>
      </c>
      <c r="F139" s="62"/>
      <c r="G139" s="86"/>
      <c r="H139" s="87"/>
      <c r="I139" s="88"/>
      <c r="J139" s="88"/>
      <c r="K139" s="89">
        <f t="shared" si="7"/>
        <v>0</v>
      </c>
      <c r="L139" s="90" t="b">
        <f>IF((ISNUMBER(K139)),IF(AND(F139="Workdays",(SUMIFS(N:N,F:F,F139,H:H,H139,B:B,B139)&lt;=24)),IF(AND((K139*24)&gt;0,(K139*24)&lt;16),((K139*24)*MD!$I$6),IF((K139*24)&gt;=16,(MD!$J$6))),IF(AND(F139="Non_workdays",(SUMIFS(N:N,F:F,F139,H:H,H139,B:B,B139)&lt;=24)),IF(AND((K139*24)&gt;0,(K139*24)&lt;12),((K139*24)*MD!$I$5),IF((K139*24)&gt;=12,(MD!$J$5))))))</f>
        <v>0</v>
      </c>
      <c r="M139" s="62"/>
      <c r="N139" s="72">
        <f t="shared" si="6"/>
        <v>0</v>
      </c>
    </row>
    <row r="140" spans="1:14" x14ac:dyDescent="0.25">
      <c r="A140" s="62">
        <v>139</v>
      </c>
      <c r="B140" s="62"/>
      <c r="C140" s="85" t="str">
        <f>IF(ISNA(VLOOKUP($B140,CPY!$B:$G,2,FALSE))=TRUE," ",VLOOKUP($B140,CPY!$B:$G,2,FALSE))</f>
        <v> </v>
      </c>
      <c r="D140" s="50" t="str">
        <f>IF(ISNA(VLOOKUP($B140,CPY!$B:$G,3,FALSE))=TRUE," ",VLOOKUP($B140,CPY!$B:$G,3,FALSE))</f>
        <v> </v>
      </c>
      <c r="E140" s="65" t="str">
        <f>IF(ISNA(VLOOKUP($B140,CPY!$B:$G,4,FALSE))=TRUE," ",VLOOKUP($B140,CPY!$B:$G,4,FALSE))</f>
        <v> </v>
      </c>
      <c r="F140" s="62"/>
      <c r="G140" s="86"/>
      <c r="H140" s="87"/>
      <c r="I140" s="88"/>
      <c r="J140" s="88"/>
      <c r="K140" s="89">
        <f t="shared" si="7"/>
        <v>0</v>
      </c>
      <c r="L140" s="90" t="b">
        <f>IF((ISNUMBER(K140)),IF(AND(F140="Workdays",(SUMIFS(N:N,F:F,F140,H:H,H140,B:B,B140)&lt;=24)),IF(AND((K140*24)&gt;0,(K140*24)&lt;16),((K140*24)*MD!$I$6),IF((K140*24)&gt;=16,(MD!$J$6))),IF(AND(F140="Non_workdays",(SUMIFS(N:N,F:F,F140,H:H,H140,B:B,B140)&lt;=24)),IF(AND((K140*24)&gt;0,(K140*24)&lt;12),((K140*24)*MD!$I$5),IF((K140*24)&gt;=12,(MD!$J$5))))))</f>
        <v>0</v>
      </c>
      <c r="M140" s="62"/>
      <c r="N140" s="72">
        <f t="shared" si="6"/>
        <v>0</v>
      </c>
    </row>
    <row r="141" spans="1:14" x14ac:dyDescent="0.25">
      <c r="A141" s="62">
        <v>140</v>
      </c>
      <c r="B141" s="62"/>
      <c r="C141" s="85" t="str">
        <f>IF(ISNA(VLOOKUP($B141,CPY!$B:$G,2,FALSE))=TRUE," ",VLOOKUP($B141,CPY!$B:$G,2,FALSE))</f>
        <v> </v>
      </c>
      <c r="D141" s="50" t="str">
        <f>IF(ISNA(VLOOKUP($B141,CPY!$B:$G,3,FALSE))=TRUE," ",VLOOKUP($B141,CPY!$B:$G,3,FALSE))</f>
        <v> </v>
      </c>
      <c r="E141" s="65" t="str">
        <f>IF(ISNA(VLOOKUP($B141,CPY!$B:$G,4,FALSE))=TRUE," ",VLOOKUP($B141,CPY!$B:$G,4,FALSE))</f>
        <v> </v>
      </c>
      <c r="F141" s="62"/>
      <c r="G141" s="86"/>
      <c r="H141" s="87"/>
      <c r="I141" s="88"/>
      <c r="J141" s="88"/>
      <c r="K141" s="89">
        <f t="shared" si="7"/>
        <v>0</v>
      </c>
      <c r="L141" s="90" t="b">
        <f>IF((ISNUMBER(K141)),IF(AND(F141="Workdays",(SUMIFS(N:N,F:F,F141,H:H,H141,B:B,B141)&lt;=24)),IF(AND((K141*24)&gt;0,(K141*24)&lt;16),((K141*24)*MD!$I$6),IF((K141*24)&gt;=16,(MD!$J$6))),IF(AND(F141="Non_workdays",(SUMIFS(N:N,F:F,F141,H:H,H141,B:B,B141)&lt;=24)),IF(AND((K141*24)&gt;0,(K141*24)&lt;12),((K141*24)*MD!$I$5),IF((K141*24)&gt;=12,(MD!$J$5))))))</f>
        <v>0</v>
      </c>
      <c r="M141" s="62"/>
      <c r="N141" s="72">
        <f t="shared" si="6"/>
        <v>0</v>
      </c>
    </row>
    <row r="142" spans="1:14" x14ac:dyDescent="0.25">
      <c r="A142" s="62">
        <v>141</v>
      </c>
      <c r="B142" s="62"/>
      <c r="C142" s="85" t="str">
        <f>IF(ISNA(VLOOKUP($B142,CPY!$B:$G,2,FALSE))=TRUE," ",VLOOKUP($B142,CPY!$B:$G,2,FALSE))</f>
        <v> </v>
      </c>
      <c r="D142" s="50" t="str">
        <f>IF(ISNA(VLOOKUP($B142,CPY!$B:$G,3,FALSE))=TRUE," ",VLOOKUP($B142,CPY!$B:$G,3,FALSE))</f>
        <v> </v>
      </c>
      <c r="E142" s="65" t="str">
        <f>IF(ISNA(VLOOKUP($B142,CPY!$B:$G,4,FALSE))=TRUE," ",VLOOKUP($B142,CPY!$B:$G,4,FALSE))</f>
        <v> </v>
      </c>
      <c r="F142" s="62"/>
      <c r="G142" s="86"/>
      <c r="H142" s="87"/>
      <c r="I142" s="88"/>
      <c r="J142" s="88"/>
      <c r="K142" s="89">
        <f t="shared" si="7"/>
        <v>0</v>
      </c>
      <c r="L142" s="90" t="b">
        <f>IF((ISNUMBER(K142)),IF(AND(F142="Workdays",(SUMIFS(N:N,F:F,F142,H:H,H142,B:B,B142)&lt;=24)),IF(AND((K142*24)&gt;0,(K142*24)&lt;16),((K142*24)*MD!$I$6),IF((K142*24)&gt;=16,(MD!$J$6))),IF(AND(F142="Non_workdays",(SUMIFS(N:N,F:F,F142,H:H,H142,B:B,B142)&lt;=24)),IF(AND((K142*24)&gt;0,(K142*24)&lt;12),((K142*24)*MD!$I$5),IF((K142*24)&gt;=12,(MD!$J$5))))))</f>
        <v>0</v>
      </c>
      <c r="M142" s="62"/>
      <c r="N142" s="72">
        <f t="shared" si="6"/>
        <v>0</v>
      </c>
    </row>
    <row r="143" spans="1:14" x14ac:dyDescent="0.25">
      <c r="A143" s="62">
        <v>142</v>
      </c>
      <c r="B143" s="62"/>
      <c r="C143" s="85" t="str">
        <f>IF(ISNA(VLOOKUP($B143,CPY!$B:$G,2,FALSE))=TRUE," ",VLOOKUP($B143,CPY!$B:$G,2,FALSE))</f>
        <v> </v>
      </c>
      <c r="D143" s="50" t="str">
        <f>IF(ISNA(VLOOKUP($B143,CPY!$B:$G,3,FALSE))=TRUE," ",VLOOKUP($B143,CPY!$B:$G,3,FALSE))</f>
        <v> </v>
      </c>
      <c r="E143" s="65" t="str">
        <f>IF(ISNA(VLOOKUP($B143,CPY!$B:$G,4,FALSE))=TRUE," ",VLOOKUP($B143,CPY!$B:$G,4,FALSE))</f>
        <v> </v>
      </c>
      <c r="F143" s="62"/>
      <c r="G143" s="86"/>
      <c r="H143" s="87"/>
      <c r="I143" s="88"/>
      <c r="J143" s="88"/>
      <c r="K143" s="89">
        <f t="shared" si="7"/>
        <v>0</v>
      </c>
      <c r="L143" s="90" t="b">
        <f>IF((ISNUMBER(K143)),IF(AND(F143="Workdays",(SUMIFS(N:N,F:F,F143,H:H,H143,B:B,B143)&lt;=24)),IF(AND((K143*24)&gt;0,(K143*24)&lt;16),((K143*24)*MD!$I$6),IF((K143*24)&gt;=16,(MD!$J$6))),IF(AND(F143="Non_workdays",(SUMIFS(N:N,F:F,F143,H:H,H143,B:B,B143)&lt;=24)),IF(AND((K143*24)&gt;0,(K143*24)&lt;12),((K143*24)*MD!$I$5),IF((K143*24)&gt;=12,(MD!$J$5))))))</f>
        <v>0</v>
      </c>
      <c r="M143" s="62"/>
      <c r="N143" s="72">
        <f t="shared" si="6"/>
        <v>0</v>
      </c>
    </row>
    <row r="144" spans="1:14" x14ac:dyDescent="0.25">
      <c r="A144" s="62">
        <v>143</v>
      </c>
      <c r="B144" s="62"/>
      <c r="C144" s="85" t="str">
        <f>IF(ISNA(VLOOKUP($B144,CPY!$B:$G,2,FALSE))=TRUE," ",VLOOKUP($B144,CPY!$B:$G,2,FALSE))</f>
        <v> </v>
      </c>
      <c r="D144" s="50" t="str">
        <f>IF(ISNA(VLOOKUP($B144,CPY!$B:$G,3,FALSE))=TRUE," ",VLOOKUP($B144,CPY!$B:$G,3,FALSE))</f>
        <v> </v>
      </c>
      <c r="E144" s="65" t="str">
        <f>IF(ISNA(VLOOKUP($B144,CPY!$B:$G,4,FALSE))=TRUE," ",VLOOKUP($B144,CPY!$B:$G,4,FALSE))</f>
        <v> </v>
      </c>
      <c r="F144" s="62"/>
      <c r="G144" s="86"/>
      <c r="H144" s="87"/>
      <c r="I144" s="88"/>
      <c r="J144" s="88"/>
      <c r="K144" s="89">
        <f t="shared" si="7"/>
        <v>0</v>
      </c>
      <c r="L144" s="90" t="b">
        <f>IF((ISNUMBER(K144)),IF(AND(F144="Workdays",(SUMIFS(N:N,F:F,F144,H:H,H144,B:B,B144)&lt;=24)),IF(AND((K144*24)&gt;0,(K144*24)&lt;16),((K144*24)*MD!$I$6),IF((K144*24)&gt;=16,(MD!$J$6))),IF(AND(F144="Non_workdays",(SUMIFS(N:N,F:F,F144,H:H,H144,B:B,B144)&lt;=24)),IF(AND((K144*24)&gt;0,(K144*24)&lt;12),((K144*24)*MD!$I$5),IF((K144*24)&gt;=12,(MD!$J$5))))))</f>
        <v>0</v>
      </c>
      <c r="M144" s="62"/>
      <c r="N144" s="72">
        <f t="shared" si="6"/>
        <v>0</v>
      </c>
    </row>
    <row r="145" spans="1:14" x14ac:dyDescent="0.25">
      <c r="A145" s="62">
        <v>144</v>
      </c>
      <c r="B145" s="62"/>
      <c r="C145" s="85" t="str">
        <f>IF(ISNA(VLOOKUP($B145,CPY!$B:$G,2,FALSE))=TRUE," ",VLOOKUP($B145,CPY!$B:$G,2,FALSE))</f>
        <v> </v>
      </c>
      <c r="D145" s="50" t="str">
        <f>IF(ISNA(VLOOKUP($B145,CPY!$B:$G,3,FALSE))=TRUE," ",VLOOKUP($B145,CPY!$B:$G,3,FALSE))</f>
        <v> </v>
      </c>
      <c r="E145" s="65" t="str">
        <f>IF(ISNA(VLOOKUP($B145,CPY!$B:$G,4,FALSE))=TRUE," ",VLOOKUP($B145,CPY!$B:$G,4,FALSE))</f>
        <v> </v>
      </c>
      <c r="F145" s="62"/>
      <c r="G145" s="86"/>
      <c r="H145" s="87"/>
      <c r="I145" s="88"/>
      <c r="J145" s="88"/>
      <c r="K145" s="89">
        <f t="shared" si="7"/>
        <v>0</v>
      </c>
      <c r="L145" s="90" t="b">
        <f>IF((ISNUMBER(K145)),IF(AND(F145="Workdays",(SUMIFS(N:N,F:F,F145,H:H,H145,B:B,B145)&lt;=24)),IF(AND((K145*24)&gt;0,(K145*24)&lt;16),((K145*24)*MD!$I$6),IF((K145*24)&gt;=16,(MD!$J$6))),IF(AND(F145="Non_workdays",(SUMIFS(N:N,F:F,F145,H:H,H145,B:B,B145)&lt;=24)),IF(AND((K145*24)&gt;0,(K145*24)&lt;12),((K145*24)*MD!$I$5),IF((K145*24)&gt;=12,(MD!$J$5))))))</f>
        <v>0</v>
      </c>
      <c r="M145" s="62"/>
      <c r="N145" s="72">
        <f t="shared" si="6"/>
        <v>0</v>
      </c>
    </row>
    <row r="146" spans="1:14" x14ac:dyDescent="0.25">
      <c r="A146" s="62">
        <v>145</v>
      </c>
      <c r="B146" s="62"/>
      <c r="C146" s="85" t="str">
        <f>IF(ISNA(VLOOKUP($B146,CPY!$B:$G,2,FALSE))=TRUE," ",VLOOKUP($B146,CPY!$B:$G,2,FALSE))</f>
        <v> </v>
      </c>
      <c r="D146" s="50" t="str">
        <f>IF(ISNA(VLOOKUP($B146,CPY!$B:$G,3,FALSE))=TRUE," ",VLOOKUP($B146,CPY!$B:$G,3,FALSE))</f>
        <v> </v>
      </c>
      <c r="E146" s="65" t="str">
        <f>IF(ISNA(VLOOKUP($B146,CPY!$B:$G,4,FALSE))=TRUE," ",VLOOKUP($B146,CPY!$B:$G,4,FALSE))</f>
        <v> </v>
      </c>
      <c r="F146" s="62"/>
      <c r="G146" s="86"/>
      <c r="H146" s="87"/>
      <c r="I146" s="88"/>
      <c r="J146" s="88"/>
      <c r="K146" s="89">
        <f t="shared" si="7"/>
        <v>0</v>
      </c>
      <c r="L146" s="90" t="b">
        <f>IF((ISNUMBER(K146)),IF(AND(F146="Workdays",(SUMIFS(N:N,F:F,F146,H:H,H146,B:B,B146)&lt;=24)),IF(AND((K146*24)&gt;0,(K146*24)&lt;16),((K146*24)*MD!$I$6),IF((K146*24)&gt;=16,(MD!$J$6))),IF(AND(F146="Non_workdays",(SUMIFS(N:N,F:F,F146,H:H,H146,B:B,B146)&lt;=24)),IF(AND((K146*24)&gt;0,(K146*24)&lt;12),((K146*24)*MD!$I$5),IF((K146*24)&gt;=12,(MD!$J$5))))))</f>
        <v>0</v>
      </c>
      <c r="M146" s="62"/>
      <c r="N146" s="72">
        <f t="shared" si="6"/>
        <v>0</v>
      </c>
    </row>
    <row r="147" spans="1:14" x14ac:dyDescent="0.25">
      <c r="A147" s="62">
        <v>146</v>
      </c>
      <c r="B147" s="62"/>
      <c r="C147" s="85" t="str">
        <f>IF(ISNA(VLOOKUP($B147,CPY!$B:$G,2,FALSE))=TRUE," ",VLOOKUP($B147,CPY!$B:$G,2,FALSE))</f>
        <v> </v>
      </c>
      <c r="D147" s="50" t="str">
        <f>IF(ISNA(VLOOKUP($B147,CPY!$B:$G,3,FALSE))=TRUE," ",VLOOKUP($B147,CPY!$B:$G,3,FALSE))</f>
        <v> </v>
      </c>
      <c r="E147" s="65" t="str">
        <f>IF(ISNA(VLOOKUP($B147,CPY!$B:$G,4,FALSE))=TRUE," ",VLOOKUP($B147,CPY!$B:$G,4,FALSE))</f>
        <v> </v>
      </c>
      <c r="F147" s="62"/>
      <c r="G147" s="86"/>
      <c r="H147" s="87"/>
      <c r="I147" s="88"/>
      <c r="J147" s="88"/>
      <c r="K147" s="89">
        <f t="shared" si="7"/>
        <v>0</v>
      </c>
      <c r="L147" s="90" t="b">
        <f>IF((ISNUMBER(K147)),IF(AND(F147="Workdays",(SUMIFS(N:N,F:F,F147,H:H,H147,B:B,B147)&lt;=24)),IF(AND((K147*24)&gt;0,(K147*24)&lt;16),((K147*24)*MD!$I$6),IF((K147*24)&gt;=16,(MD!$J$6))),IF(AND(F147="Non_workdays",(SUMIFS(N:N,F:F,F147,H:H,H147,B:B,B147)&lt;=24)),IF(AND((K147*24)&gt;0,(K147*24)&lt;12),((K147*24)*MD!$I$5),IF((K147*24)&gt;=12,(MD!$J$5))))))</f>
        <v>0</v>
      </c>
      <c r="M147" s="62"/>
      <c r="N147" s="72">
        <f t="shared" si="6"/>
        <v>0</v>
      </c>
    </row>
    <row r="148" spans="1:14" x14ac:dyDescent="0.25">
      <c r="A148" s="62">
        <v>147</v>
      </c>
      <c r="B148" s="62"/>
      <c r="C148" s="85" t="str">
        <f>IF(ISNA(VLOOKUP($B148,CPY!$B:$G,2,FALSE))=TRUE," ",VLOOKUP($B148,CPY!$B:$G,2,FALSE))</f>
        <v> </v>
      </c>
      <c r="D148" s="50" t="str">
        <f>IF(ISNA(VLOOKUP($B148,CPY!$B:$G,3,FALSE))=TRUE," ",VLOOKUP($B148,CPY!$B:$G,3,FALSE))</f>
        <v> </v>
      </c>
      <c r="E148" s="65" t="str">
        <f>IF(ISNA(VLOOKUP($B148,CPY!$B:$G,4,FALSE))=TRUE," ",VLOOKUP($B148,CPY!$B:$G,4,FALSE))</f>
        <v> </v>
      </c>
      <c r="F148" s="62"/>
      <c r="G148" s="86"/>
      <c r="H148" s="87"/>
      <c r="I148" s="88"/>
      <c r="J148" s="88"/>
      <c r="K148" s="89">
        <f t="shared" si="7"/>
        <v>0</v>
      </c>
      <c r="L148" s="90" t="b">
        <f>IF((ISNUMBER(K148)),IF(AND(F148="Workdays",(SUMIFS(N:N,F:F,F148,H:H,H148,B:B,B148)&lt;=24)),IF(AND((K148*24)&gt;0,(K148*24)&lt;16),((K148*24)*MD!$I$6),IF((K148*24)&gt;=16,(MD!$J$6))),IF(AND(F148="Non_workdays",(SUMIFS(N:N,F:F,F148,H:H,H148,B:B,B148)&lt;=24)),IF(AND((K148*24)&gt;0,(K148*24)&lt;12),((K148*24)*MD!$I$5),IF((K148*24)&gt;=12,(MD!$J$5))))))</f>
        <v>0</v>
      </c>
      <c r="M148" s="62"/>
      <c r="N148" s="72">
        <f t="shared" si="6"/>
        <v>0</v>
      </c>
    </row>
    <row r="149" spans="1:14" x14ac:dyDescent="0.25">
      <c r="A149" s="62">
        <v>148</v>
      </c>
      <c r="B149" s="62"/>
      <c r="C149" s="85" t="str">
        <f>IF(ISNA(VLOOKUP($B149,CPY!$B:$G,2,FALSE))=TRUE," ",VLOOKUP($B149,CPY!$B:$G,2,FALSE))</f>
        <v> </v>
      </c>
      <c r="D149" s="50" t="str">
        <f>IF(ISNA(VLOOKUP($B149,CPY!$B:$G,3,FALSE))=TRUE," ",VLOOKUP($B149,CPY!$B:$G,3,FALSE))</f>
        <v> </v>
      </c>
      <c r="E149" s="65" t="str">
        <f>IF(ISNA(VLOOKUP($B149,CPY!$B:$G,4,FALSE))=TRUE," ",VLOOKUP($B149,CPY!$B:$G,4,FALSE))</f>
        <v> </v>
      </c>
      <c r="F149" s="62"/>
      <c r="G149" s="86"/>
      <c r="H149" s="87"/>
      <c r="I149" s="88"/>
      <c r="J149" s="88"/>
      <c r="K149" s="89">
        <f t="shared" si="7"/>
        <v>0</v>
      </c>
      <c r="L149" s="90" t="b">
        <f>IF((ISNUMBER(K149)),IF(AND(F149="Workdays",(SUMIFS(N:N,F:F,F149,H:H,H149,B:B,B149)&lt;=24)),IF(AND((K149*24)&gt;0,(K149*24)&lt;16),((K149*24)*MD!$I$6),IF((K149*24)&gt;=16,(MD!$J$6))),IF(AND(F149="Non_workdays",(SUMIFS(N:N,F:F,F149,H:H,H149,B:B,B149)&lt;=24)),IF(AND((K149*24)&gt;0,(K149*24)&lt;12),((K149*24)*MD!$I$5),IF((K149*24)&gt;=12,(MD!$J$5))))))</f>
        <v>0</v>
      </c>
      <c r="M149" s="62"/>
      <c r="N149" s="72">
        <f t="shared" si="6"/>
        <v>0</v>
      </c>
    </row>
    <row r="150" spans="1:14" x14ac:dyDescent="0.25">
      <c r="A150" s="62">
        <v>149</v>
      </c>
      <c r="B150" s="62"/>
      <c r="C150" s="85" t="str">
        <f>IF(ISNA(VLOOKUP($B150,CPY!$B:$G,2,FALSE))=TRUE," ",VLOOKUP($B150,CPY!$B:$G,2,FALSE))</f>
        <v> </v>
      </c>
      <c r="D150" s="50" t="str">
        <f>IF(ISNA(VLOOKUP($B150,CPY!$B:$G,3,FALSE))=TRUE," ",VLOOKUP($B150,CPY!$B:$G,3,FALSE))</f>
        <v> </v>
      </c>
      <c r="E150" s="65" t="str">
        <f>IF(ISNA(VLOOKUP($B150,CPY!$B:$G,4,FALSE))=TRUE," ",VLOOKUP($B150,CPY!$B:$G,4,FALSE))</f>
        <v> </v>
      </c>
      <c r="F150" s="62"/>
      <c r="G150" s="86"/>
      <c r="H150" s="87"/>
      <c r="I150" s="88"/>
      <c r="J150" s="88"/>
      <c r="K150" s="89">
        <f t="shared" si="7"/>
        <v>0</v>
      </c>
      <c r="L150" s="90" t="b">
        <f>IF((ISNUMBER(K150)),IF(AND(F150="Workdays",(SUMIFS(N:N,F:F,F150,H:H,H150,B:B,B150)&lt;=24)),IF(AND((K150*24)&gt;0,(K150*24)&lt;16),((K150*24)*MD!$I$6),IF((K150*24)&gt;=16,(MD!$J$6))),IF(AND(F150="Non_workdays",(SUMIFS(N:N,F:F,F150,H:H,H150,B:B,B150)&lt;=24)),IF(AND((K150*24)&gt;0,(K150*24)&lt;12),((K150*24)*MD!$I$5),IF((K150*24)&gt;=12,(MD!$J$5))))))</f>
        <v>0</v>
      </c>
      <c r="M150" s="62"/>
      <c r="N150" s="72">
        <f t="shared" si="6"/>
        <v>0</v>
      </c>
    </row>
    <row r="151" spans="1:14" x14ac:dyDescent="0.25">
      <c r="A151" s="62">
        <v>150</v>
      </c>
      <c r="B151" s="62"/>
      <c r="C151" s="85" t="str">
        <f>IF(ISNA(VLOOKUP($B151,CPY!$B:$G,2,FALSE))=TRUE," ",VLOOKUP($B151,CPY!$B:$G,2,FALSE))</f>
        <v> </v>
      </c>
      <c r="D151" s="50" t="str">
        <f>IF(ISNA(VLOOKUP($B151,CPY!$B:$G,3,FALSE))=TRUE," ",VLOOKUP($B151,CPY!$B:$G,3,FALSE))</f>
        <v> </v>
      </c>
      <c r="E151" s="65" t="str">
        <f>IF(ISNA(VLOOKUP($B151,CPY!$B:$G,4,FALSE))=TRUE," ",VLOOKUP($B151,CPY!$B:$G,4,FALSE))</f>
        <v> </v>
      </c>
      <c r="F151" s="62"/>
      <c r="G151" s="86"/>
      <c r="H151" s="87"/>
      <c r="I151" s="88"/>
      <c r="J151" s="88"/>
      <c r="K151" s="89">
        <f t="shared" si="7"/>
        <v>0</v>
      </c>
      <c r="L151" s="90" t="b">
        <f>IF((ISNUMBER(K151)),IF(AND(F151="Workdays",(SUMIFS(N:N,F:F,F151,H:H,H151,B:B,B151)&lt;=24)),IF(AND((K151*24)&gt;0,(K151*24)&lt;16),((K151*24)*MD!$I$6),IF((K151*24)&gt;=16,(MD!$J$6))),IF(AND(F151="Non_workdays",(SUMIFS(N:N,F:F,F151,H:H,H151,B:B,B151)&lt;=24)),IF(AND((K151*24)&gt;0,(K151*24)&lt;12),((K151*24)*MD!$I$5),IF((K151*24)&gt;=12,(MD!$J$5))))))</f>
        <v>0</v>
      </c>
      <c r="M151" s="62"/>
      <c r="N151" s="72">
        <f t="shared" si="6"/>
        <v>0</v>
      </c>
    </row>
    <row r="152" spans="1:14" x14ac:dyDescent="0.25">
      <c r="A152" s="62">
        <v>151</v>
      </c>
      <c r="B152" s="62"/>
      <c r="C152" s="85" t="str">
        <f>IF(ISNA(VLOOKUP($B152,CPY!$B:$G,2,FALSE))=TRUE," ",VLOOKUP($B152,CPY!$B:$G,2,FALSE))</f>
        <v> </v>
      </c>
      <c r="D152" s="50" t="str">
        <f>IF(ISNA(VLOOKUP($B152,CPY!$B:$G,3,FALSE))=TRUE," ",VLOOKUP($B152,CPY!$B:$G,3,FALSE))</f>
        <v> </v>
      </c>
      <c r="E152" s="65" t="str">
        <f>IF(ISNA(VLOOKUP($B152,CPY!$B:$G,4,FALSE))=TRUE," ",VLOOKUP($B152,CPY!$B:$G,4,FALSE))</f>
        <v> </v>
      </c>
      <c r="F152" s="62"/>
      <c r="G152" s="86"/>
      <c r="H152" s="87"/>
      <c r="I152" s="88"/>
      <c r="J152" s="88"/>
      <c r="K152" s="89">
        <f t="shared" si="7"/>
        <v>0</v>
      </c>
      <c r="L152" s="90" t="b">
        <f>IF((ISNUMBER(K152)),IF(AND(F152="Workdays",(SUMIFS(N:N,F:F,F152,H:H,H152,B:B,B152)&lt;=24)),IF(AND((K152*24)&gt;0,(K152*24)&lt;16),((K152*24)*MD!$I$6),IF((K152*24)&gt;=16,(MD!$J$6))),IF(AND(F152="Non_workdays",(SUMIFS(N:N,F:F,F152,H:H,H152,B:B,B152)&lt;=24)),IF(AND((K152*24)&gt;0,(K152*24)&lt;12),((K152*24)*MD!$I$5),IF((K152*24)&gt;=12,(MD!$J$5))))))</f>
        <v>0</v>
      </c>
      <c r="M152" s="62"/>
      <c r="N152" s="72">
        <f t="shared" si="6"/>
        <v>0</v>
      </c>
    </row>
    <row r="153" spans="1:14" x14ac:dyDescent="0.25">
      <c r="A153" s="62">
        <v>152</v>
      </c>
      <c r="B153" s="62"/>
      <c r="C153" s="85" t="str">
        <f>IF(ISNA(VLOOKUP($B153,CPY!$B:$G,2,FALSE))=TRUE," ",VLOOKUP($B153,CPY!$B:$G,2,FALSE))</f>
        <v> </v>
      </c>
      <c r="D153" s="50" t="str">
        <f>IF(ISNA(VLOOKUP($B153,CPY!$B:$G,3,FALSE))=TRUE," ",VLOOKUP($B153,CPY!$B:$G,3,FALSE))</f>
        <v> </v>
      </c>
      <c r="E153" s="65" t="str">
        <f>IF(ISNA(VLOOKUP($B153,CPY!$B:$G,4,FALSE))=TRUE," ",VLOOKUP($B153,CPY!$B:$G,4,FALSE))</f>
        <v> </v>
      </c>
      <c r="F153" s="62"/>
      <c r="G153" s="86"/>
      <c r="H153" s="87"/>
      <c r="I153" s="88"/>
      <c r="J153" s="88"/>
      <c r="K153" s="89">
        <f t="shared" si="7"/>
        <v>0</v>
      </c>
      <c r="L153" s="90" t="b">
        <f>IF((ISNUMBER(K153)),IF(AND(F153="Workdays",(SUMIFS(N:N,F:F,F153,H:H,H153,B:B,B153)&lt;=24)),IF(AND((K153*24)&gt;0,(K153*24)&lt;16),((K153*24)*MD!$I$6),IF((K153*24)&gt;=16,(MD!$J$6))),IF(AND(F153="Non_workdays",(SUMIFS(N:N,F:F,F153,H:H,H153,B:B,B153)&lt;=24)),IF(AND((K153*24)&gt;0,(K153*24)&lt;12),((K153*24)*MD!$I$5),IF((K153*24)&gt;=12,(MD!$J$5))))))</f>
        <v>0</v>
      </c>
      <c r="M153" s="62"/>
      <c r="N153" s="72">
        <f t="shared" si="6"/>
        <v>0</v>
      </c>
    </row>
    <row r="154" spans="1:14" x14ac:dyDescent="0.25">
      <c r="A154" s="62">
        <v>153</v>
      </c>
      <c r="B154" s="62"/>
      <c r="C154" s="85" t="str">
        <f>IF(ISNA(VLOOKUP($B154,CPY!$B:$G,2,FALSE))=TRUE," ",VLOOKUP($B154,CPY!$B:$G,2,FALSE))</f>
        <v> </v>
      </c>
      <c r="D154" s="50" t="str">
        <f>IF(ISNA(VLOOKUP($B154,CPY!$B:$G,3,FALSE))=TRUE," ",VLOOKUP($B154,CPY!$B:$G,3,FALSE))</f>
        <v> </v>
      </c>
      <c r="E154" s="65" t="str">
        <f>IF(ISNA(VLOOKUP($B154,CPY!$B:$G,4,FALSE))=TRUE," ",VLOOKUP($B154,CPY!$B:$G,4,FALSE))</f>
        <v> </v>
      </c>
      <c r="F154" s="62"/>
      <c r="G154" s="86"/>
      <c r="H154" s="87"/>
      <c r="I154" s="88"/>
      <c r="J154" s="88"/>
      <c r="K154" s="89">
        <f t="shared" si="7"/>
        <v>0</v>
      </c>
      <c r="L154" s="90" t="b">
        <f>IF((ISNUMBER(K154)),IF(AND(F154="Workdays",(SUMIFS(N:N,F:F,F154,H:H,H154,B:B,B154)&lt;=24)),IF(AND((K154*24)&gt;0,(K154*24)&lt;16),((K154*24)*MD!$I$6),IF((K154*24)&gt;=16,(MD!$J$6))),IF(AND(F154="Non_workdays",(SUMIFS(N:N,F:F,F154,H:H,H154,B:B,B154)&lt;=24)),IF(AND((K154*24)&gt;0,(K154*24)&lt;12),((K154*24)*MD!$I$5),IF((K154*24)&gt;=12,(MD!$J$5))))))</f>
        <v>0</v>
      </c>
      <c r="M154" s="62"/>
      <c r="N154" s="72">
        <f t="shared" si="6"/>
        <v>0</v>
      </c>
    </row>
    <row r="155" spans="1:14" x14ac:dyDescent="0.25">
      <c r="A155" s="62">
        <v>154</v>
      </c>
      <c r="B155" s="62"/>
      <c r="C155" s="85" t="str">
        <f>IF(ISNA(VLOOKUP($B155,CPY!$B:$G,2,FALSE))=TRUE," ",VLOOKUP($B155,CPY!$B:$G,2,FALSE))</f>
        <v> </v>
      </c>
      <c r="D155" s="50" t="str">
        <f>IF(ISNA(VLOOKUP($B155,CPY!$B:$G,3,FALSE))=TRUE," ",VLOOKUP($B155,CPY!$B:$G,3,FALSE))</f>
        <v> </v>
      </c>
      <c r="E155" s="65" t="str">
        <f>IF(ISNA(VLOOKUP($B155,CPY!$B:$G,4,FALSE))=TRUE," ",VLOOKUP($B155,CPY!$B:$G,4,FALSE))</f>
        <v> </v>
      </c>
      <c r="F155" s="62"/>
      <c r="G155" s="86"/>
      <c r="H155" s="87"/>
      <c r="I155" s="88"/>
      <c r="J155" s="88"/>
      <c r="K155" s="89">
        <f t="shared" si="7"/>
        <v>0</v>
      </c>
      <c r="L155" s="90" t="b">
        <f>IF((ISNUMBER(K155)),IF(AND(F155="Workdays",(SUMIFS(N:N,F:F,F155,H:H,H155,B:B,B155)&lt;=24)),IF(AND((K155*24)&gt;0,(K155*24)&lt;16),((K155*24)*MD!$I$6),IF((K155*24)&gt;=16,(MD!$J$6))),IF(AND(F155="Non_workdays",(SUMIFS(N:N,F:F,F155,H:H,H155,B:B,B155)&lt;=24)),IF(AND((K155*24)&gt;0,(K155*24)&lt;12),((K155*24)*MD!$I$5),IF((K155*24)&gt;=12,(MD!$J$5))))))</f>
        <v>0</v>
      </c>
      <c r="M155" s="62"/>
      <c r="N155" s="72">
        <f t="shared" si="6"/>
        <v>0</v>
      </c>
    </row>
    <row r="156" spans="1:14" x14ac:dyDescent="0.25">
      <c r="A156" s="62">
        <v>155</v>
      </c>
      <c r="B156" s="62"/>
      <c r="C156" s="85" t="str">
        <f>IF(ISNA(VLOOKUP($B156,CPY!$B:$G,2,FALSE))=TRUE," ",VLOOKUP($B156,CPY!$B:$G,2,FALSE))</f>
        <v> </v>
      </c>
      <c r="D156" s="50" t="str">
        <f>IF(ISNA(VLOOKUP($B156,CPY!$B:$G,3,FALSE))=TRUE," ",VLOOKUP($B156,CPY!$B:$G,3,FALSE))</f>
        <v> </v>
      </c>
      <c r="E156" s="65" t="str">
        <f>IF(ISNA(VLOOKUP($B156,CPY!$B:$G,4,FALSE))=TRUE," ",VLOOKUP($B156,CPY!$B:$G,4,FALSE))</f>
        <v> </v>
      </c>
      <c r="F156" s="62"/>
      <c r="G156" s="86"/>
      <c r="H156" s="87"/>
      <c r="I156" s="88"/>
      <c r="J156" s="88"/>
      <c r="K156" s="89">
        <f t="shared" si="7"/>
        <v>0</v>
      </c>
      <c r="L156" s="90" t="b">
        <f>IF((ISNUMBER(K156)),IF(AND(F156="Workdays",(SUMIFS(N:N,F:F,F156,H:H,H156,B:B,B156)&lt;=24)),IF(AND((K156*24)&gt;0,(K156*24)&lt;16),((K156*24)*MD!$I$6),IF((K156*24)&gt;=16,(MD!$J$6))),IF(AND(F156="Non_workdays",(SUMIFS(N:N,F:F,F156,H:H,H156,B:B,B156)&lt;=24)),IF(AND((K156*24)&gt;0,(K156*24)&lt;12),((K156*24)*MD!$I$5),IF((K156*24)&gt;=12,(MD!$J$5))))))</f>
        <v>0</v>
      </c>
      <c r="M156" s="62"/>
      <c r="N156" s="72">
        <f t="shared" si="6"/>
        <v>0</v>
      </c>
    </row>
    <row r="157" spans="1:14" x14ac:dyDescent="0.25">
      <c r="A157" s="62">
        <v>156</v>
      </c>
      <c r="B157" s="62"/>
      <c r="C157" s="85" t="str">
        <f>IF(ISNA(VLOOKUP($B157,CPY!$B:$G,2,FALSE))=TRUE," ",VLOOKUP($B157,CPY!$B:$G,2,FALSE))</f>
        <v> </v>
      </c>
      <c r="D157" s="50" t="str">
        <f>IF(ISNA(VLOOKUP($B157,CPY!$B:$G,3,FALSE))=TRUE," ",VLOOKUP($B157,CPY!$B:$G,3,FALSE))</f>
        <v> </v>
      </c>
      <c r="E157" s="65" t="str">
        <f>IF(ISNA(VLOOKUP($B157,CPY!$B:$G,4,FALSE))=TRUE," ",VLOOKUP($B157,CPY!$B:$G,4,FALSE))</f>
        <v> </v>
      </c>
      <c r="F157" s="62"/>
      <c r="G157" s="86"/>
      <c r="H157" s="87"/>
      <c r="I157" s="88"/>
      <c r="J157" s="88"/>
      <c r="K157" s="89">
        <f t="shared" si="7"/>
        <v>0</v>
      </c>
      <c r="L157" s="90" t="b">
        <f>IF((ISNUMBER(K157)),IF(AND(F157="Workdays",(SUMIFS(N:N,F:F,F157,H:H,H157,B:B,B157)&lt;=24)),IF(AND((K157*24)&gt;0,(K157*24)&lt;16),((K157*24)*MD!$I$6),IF((K157*24)&gt;=16,(MD!$J$6))),IF(AND(F157="Non_workdays",(SUMIFS(N:N,F:F,F157,H:H,H157,B:B,B157)&lt;=24)),IF(AND((K157*24)&gt;0,(K157*24)&lt;12),((K157*24)*MD!$I$5),IF((K157*24)&gt;=12,(MD!$J$5))))))</f>
        <v>0</v>
      </c>
      <c r="M157" s="62"/>
      <c r="N157" s="72">
        <f t="shared" si="6"/>
        <v>0</v>
      </c>
    </row>
    <row r="158" spans="1:14" x14ac:dyDescent="0.25">
      <c r="A158" s="62">
        <v>157</v>
      </c>
      <c r="B158" s="62"/>
      <c r="C158" s="85" t="str">
        <f>IF(ISNA(VLOOKUP($B158,CPY!$B:$G,2,FALSE))=TRUE," ",VLOOKUP($B158,CPY!$B:$G,2,FALSE))</f>
        <v> </v>
      </c>
      <c r="D158" s="50" t="str">
        <f>IF(ISNA(VLOOKUP($B158,CPY!$B:$G,3,FALSE))=TRUE," ",VLOOKUP($B158,CPY!$B:$G,3,FALSE))</f>
        <v> </v>
      </c>
      <c r="E158" s="65" t="str">
        <f>IF(ISNA(VLOOKUP($B158,CPY!$B:$G,4,FALSE))=TRUE," ",VLOOKUP($B158,CPY!$B:$G,4,FALSE))</f>
        <v> </v>
      </c>
      <c r="F158" s="62"/>
      <c r="G158" s="86"/>
      <c r="H158" s="87"/>
      <c r="I158" s="88"/>
      <c r="J158" s="88"/>
      <c r="K158" s="89">
        <f t="shared" si="7"/>
        <v>0</v>
      </c>
      <c r="L158" s="90" t="b">
        <f>IF((ISNUMBER(K158)),IF(AND(F158="Workdays",(SUMIFS(N:N,F:F,F158,H:H,H158,B:B,B158)&lt;=24)),IF(AND((K158*24)&gt;0,(K158*24)&lt;16),((K158*24)*MD!$I$6),IF((K158*24)&gt;=16,(MD!$J$6))),IF(AND(F158="Non_workdays",(SUMIFS(N:N,F:F,F158,H:H,H158,B:B,B158)&lt;=24)),IF(AND((K158*24)&gt;0,(K158*24)&lt;12),((K158*24)*MD!$I$5),IF((K158*24)&gt;=12,(MD!$J$5))))))</f>
        <v>0</v>
      </c>
      <c r="M158" s="62"/>
      <c r="N158" s="72">
        <f t="shared" si="6"/>
        <v>0</v>
      </c>
    </row>
    <row r="159" spans="1:14" x14ac:dyDescent="0.25">
      <c r="A159" s="62">
        <v>158</v>
      </c>
      <c r="B159" s="62"/>
      <c r="C159" s="85" t="str">
        <f>IF(ISNA(VLOOKUP($B159,CPY!$B:$G,2,FALSE))=TRUE," ",VLOOKUP($B159,CPY!$B:$G,2,FALSE))</f>
        <v> </v>
      </c>
      <c r="D159" s="50" t="str">
        <f>IF(ISNA(VLOOKUP($B159,CPY!$B:$G,3,FALSE))=TRUE," ",VLOOKUP($B159,CPY!$B:$G,3,FALSE))</f>
        <v> </v>
      </c>
      <c r="E159" s="65" t="str">
        <f>IF(ISNA(VLOOKUP($B159,CPY!$B:$G,4,FALSE))=TRUE," ",VLOOKUP($B159,CPY!$B:$G,4,FALSE))</f>
        <v> </v>
      </c>
      <c r="F159" s="62"/>
      <c r="G159" s="86"/>
      <c r="H159" s="87"/>
      <c r="I159" s="88"/>
      <c r="J159" s="88"/>
      <c r="K159" s="89">
        <f t="shared" si="7"/>
        <v>0</v>
      </c>
      <c r="L159" s="90" t="b">
        <f>IF((ISNUMBER(K159)),IF(AND(F159="Workdays",(SUMIFS(N:N,F:F,F159,H:H,H159,B:B,B159)&lt;=24)),IF(AND((K159*24)&gt;0,(K159*24)&lt;16),((K159*24)*MD!$I$6),IF((K159*24)&gt;=16,(MD!$J$6))),IF(AND(F159="Non_workdays",(SUMIFS(N:N,F:F,F159,H:H,H159,B:B,B159)&lt;=24)),IF(AND((K159*24)&gt;0,(K159*24)&lt;12),((K159*24)*MD!$I$5),IF((K159*24)&gt;=12,(MD!$J$5))))))</f>
        <v>0</v>
      </c>
      <c r="M159" s="62"/>
      <c r="N159" s="72">
        <f t="shared" si="6"/>
        <v>0</v>
      </c>
    </row>
    <row r="160" spans="1:14" x14ac:dyDescent="0.25">
      <c r="A160" s="62">
        <v>159</v>
      </c>
      <c r="B160" s="62"/>
      <c r="C160" s="85" t="str">
        <f>IF(ISNA(VLOOKUP($B160,CPY!$B:$G,2,FALSE))=TRUE," ",VLOOKUP($B160,CPY!$B:$G,2,FALSE))</f>
        <v> </v>
      </c>
      <c r="D160" s="50" t="str">
        <f>IF(ISNA(VLOOKUP($B160,CPY!$B:$G,3,FALSE))=TRUE," ",VLOOKUP($B160,CPY!$B:$G,3,FALSE))</f>
        <v> </v>
      </c>
      <c r="E160" s="65" t="str">
        <f>IF(ISNA(VLOOKUP($B160,CPY!$B:$G,4,FALSE))=TRUE," ",VLOOKUP($B160,CPY!$B:$G,4,FALSE))</f>
        <v> </v>
      </c>
      <c r="F160" s="62"/>
      <c r="G160" s="86"/>
      <c r="H160" s="87"/>
      <c r="I160" s="88"/>
      <c r="J160" s="88"/>
      <c r="K160" s="89">
        <f t="shared" si="7"/>
        <v>0</v>
      </c>
      <c r="L160" s="90" t="b">
        <f>IF((ISNUMBER(K160)),IF(AND(F160="Workdays",(SUMIFS(N:N,F:F,F160,H:H,H160,B:B,B160)&lt;=24)),IF(AND((K160*24)&gt;0,(K160*24)&lt;16),((K160*24)*MD!$I$6),IF((K160*24)&gt;=16,(MD!$J$6))),IF(AND(F160="Non_workdays",(SUMIFS(N:N,F:F,F160,H:H,H160,B:B,B160)&lt;=24)),IF(AND((K160*24)&gt;0,(K160*24)&lt;12),((K160*24)*MD!$I$5),IF((K160*24)&gt;=12,(MD!$J$5))))))</f>
        <v>0</v>
      </c>
      <c r="M160" s="62"/>
      <c r="N160" s="72">
        <f t="shared" si="6"/>
        <v>0</v>
      </c>
    </row>
    <row r="161" spans="1:14" x14ac:dyDescent="0.25">
      <c r="A161" s="62">
        <v>160</v>
      </c>
      <c r="B161" s="62"/>
      <c r="C161" s="85" t="str">
        <f>IF(ISNA(VLOOKUP($B161,CPY!$B:$G,2,FALSE))=TRUE," ",VLOOKUP($B161,CPY!$B:$G,2,FALSE))</f>
        <v> </v>
      </c>
      <c r="D161" s="50" t="str">
        <f>IF(ISNA(VLOOKUP($B161,CPY!$B:$G,3,FALSE))=TRUE," ",VLOOKUP($B161,CPY!$B:$G,3,FALSE))</f>
        <v> </v>
      </c>
      <c r="E161" s="65" t="str">
        <f>IF(ISNA(VLOOKUP($B161,CPY!$B:$G,4,FALSE))=TRUE," ",VLOOKUP($B161,CPY!$B:$G,4,FALSE))</f>
        <v> </v>
      </c>
      <c r="F161" s="62"/>
      <c r="G161" s="86"/>
      <c r="H161" s="87"/>
      <c r="I161" s="88"/>
      <c r="J161" s="88"/>
      <c r="K161" s="89">
        <f t="shared" si="7"/>
        <v>0</v>
      </c>
      <c r="L161" s="90" t="b">
        <f>IF((ISNUMBER(K161)),IF(AND(F161="Workdays",(SUMIFS(N:N,F:F,F161,H:H,H161,B:B,B161)&lt;=24)),IF(AND((K161*24)&gt;0,(K161*24)&lt;16),((K161*24)*MD!$I$6),IF((K161*24)&gt;=16,(MD!$J$6))),IF(AND(F161="Non_workdays",(SUMIFS(N:N,F:F,F161,H:H,H161,B:B,B161)&lt;=24)),IF(AND((K161*24)&gt;0,(K161*24)&lt;12),((K161*24)*MD!$I$5),IF((K161*24)&gt;=12,(MD!$J$5))))))</f>
        <v>0</v>
      </c>
      <c r="M161" s="62"/>
      <c r="N161" s="72">
        <f t="shared" si="6"/>
        <v>0</v>
      </c>
    </row>
    <row r="162" spans="1:14" x14ac:dyDescent="0.25">
      <c r="A162" s="62">
        <v>161</v>
      </c>
      <c r="B162" s="62"/>
      <c r="C162" s="85" t="str">
        <f>IF(ISNA(VLOOKUP($B162,CPY!$B:$G,2,FALSE))=TRUE," ",VLOOKUP($B162,CPY!$B:$G,2,FALSE))</f>
        <v> </v>
      </c>
      <c r="D162" s="50" t="str">
        <f>IF(ISNA(VLOOKUP($B162,CPY!$B:$G,3,FALSE))=TRUE," ",VLOOKUP($B162,CPY!$B:$G,3,FALSE))</f>
        <v> </v>
      </c>
      <c r="E162" s="65" t="str">
        <f>IF(ISNA(VLOOKUP($B162,CPY!$B:$G,4,FALSE))=TRUE," ",VLOOKUP($B162,CPY!$B:$G,4,FALSE))</f>
        <v> </v>
      </c>
      <c r="F162" s="62"/>
      <c r="G162" s="86"/>
      <c r="H162" s="87"/>
      <c r="I162" s="88"/>
      <c r="J162" s="88"/>
      <c r="K162" s="89">
        <f t="shared" si="7"/>
        <v>0</v>
      </c>
      <c r="L162" s="90" t="b">
        <f>IF((ISNUMBER(K162)),IF(AND(F162="Workdays",(SUMIFS(N:N,F:F,F162,H:H,H162,B:B,B162)&lt;=24)),IF(AND((K162*24)&gt;0,(K162*24)&lt;16),((K162*24)*MD!$I$6),IF((K162*24)&gt;=16,(MD!$J$6))),IF(AND(F162="Non_workdays",(SUMIFS(N:N,F:F,F162,H:H,H162,B:B,B162)&lt;=24)),IF(AND((K162*24)&gt;0,(K162*24)&lt;12),((K162*24)*MD!$I$5),IF((K162*24)&gt;=12,(MD!$J$5))))))</f>
        <v>0</v>
      </c>
      <c r="M162" s="62"/>
      <c r="N162" s="72">
        <f t="shared" si="6"/>
        <v>0</v>
      </c>
    </row>
    <row r="163" spans="1:14" x14ac:dyDescent="0.25">
      <c r="A163" s="62">
        <v>162</v>
      </c>
      <c r="B163" s="62"/>
      <c r="C163" s="85" t="str">
        <f>IF(ISNA(VLOOKUP($B163,CPY!$B:$G,2,FALSE))=TRUE," ",VLOOKUP($B163,CPY!$B:$G,2,FALSE))</f>
        <v> </v>
      </c>
      <c r="D163" s="50" t="str">
        <f>IF(ISNA(VLOOKUP($B163,CPY!$B:$G,3,FALSE))=TRUE," ",VLOOKUP($B163,CPY!$B:$G,3,FALSE))</f>
        <v> </v>
      </c>
      <c r="E163" s="65" t="str">
        <f>IF(ISNA(VLOOKUP($B163,CPY!$B:$G,4,FALSE))=TRUE," ",VLOOKUP($B163,CPY!$B:$G,4,FALSE))</f>
        <v> </v>
      </c>
      <c r="F163" s="62"/>
      <c r="G163" s="86"/>
      <c r="H163" s="87"/>
      <c r="I163" s="88"/>
      <c r="J163" s="88"/>
      <c r="K163" s="89">
        <f t="shared" si="7"/>
        <v>0</v>
      </c>
      <c r="L163" s="90" t="b">
        <f>IF((ISNUMBER(K163)),IF(AND(F163="Workdays",(SUMIFS(N:N,F:F,F163,H:H,H163,B:B,B163)&lt;=24)),IF(AND((K163*24)&gt;0,(K163*24)&lt;16),((K163*24)*MD!$I$6),IF((K163*24)&gt;=16,(MD!$J$6))),IF(AND(F163="Non_workdays",(SUMIFS(N:N,F:F,F163,H:H,H163,B:B,B163)&lt;=24)),IF(AND((K163*24)&gt;0,(K163*24)&lt;12),((K163*24)*MD!$I$5),IF((K163*24)&gt;=12,(MD!$J$5))))))</f>
        <v>0</v>
      </c>
      <c r="M163" s="62"/>
      <c r="N163" s="72">
        <f t="shared" si="6"/>
        <v>0</v>
      </c>
    </row>
    <row r="164" spans="1:14" x14ac:dyDescent="0.25">
      <c r="A164" s="62">
        <v>163</v>
      </c>
      <c r="B164" s="62"/>
      <c r="C164" s="85" t="str">
        <f>IF(ISNA(VLOOKUP($B164,CPY!$B:$G,2,FALSE))=TRUE," ",VLOOKUP($B164,CPY!$B:$G,2,FALSE))</f>
        <v> </v>
      </c>
      <c r="D164" s="50" t="str">
        <f>IF(ISNA(VLOOKUP($B164,CPY!$B:$G,3,FALSE))=TRUE," ",VLOOKUP($B164,CPY!$B:$G,3,FALSE))</f>
        <v> </v>
      </c>
      <c r="E164" s="65" t="str">
        <f>IF(ISNA(VLOOKUP($B164,CPY!$B:$G,4,FALSE))=TRUE," ",VLOOKUP($B164,CPY!$B:$G,4,FALSE))</f>
        <v> </v>
      </c>
      <c r="F164" s="62"/>
      <c r="G164" s="86"/>
      <c r="H164" s="87"/>
      <c r="I164" s="88"/>
      <c r="J164" s="88"/>
      <c r="K164" s="89">
        <f t="shared" si="7"/>
        <v>0</v>
      </c>
      <c r="L164" s="90" t="b">
        <f>IF((ISNUMBER(K164)),IF(AND(F164="Workdays",(SUMIFS(N:N,F:F,F164,H:H,H164,B:B,B164)&lt;=24)),IF(AND((K164*24)&gt;0,(K164*24)&lt;16),((K164*24)*MD!$I$6),IF((K164*24)&gt;=16,(MD!$J$6))),IF(AND(F164="Non_workdays",(SUMIFS(N:N,F:F,F164,H:H,H164,B:B,B164)&lt;=24)),IF(AND((K164*24)&gt;0,(K164*24)&lt;12),((K164*24)*MD!$I$5),IF((K164*24)&gt;=12,(MD!$J$5))))))</f>
        <v>0</v>
      </c>
      <c r="M164" s="62"/>
      <c r="N164" s="72">
        <f t="shared" si="6"/>
        <v>0</v>
      </c>
    </row>
    <row r="165" spans="1:14" x14ac:dyDescent="0.25">
      <c r="A165" s="62">
        <v>164</v>
      </c>
      <c r="B165" s="62"/>
      <c r="C165" s="85" t="str">
        <f>IF(ISNA(VLOOKUP($B165,CPY!$B:$G,2,FALSE))=TRUE," ",VLOOKUP($B165,CPY!$B:$G,2,FALSE))</f>
        <v> </v>
      </c>
      <c r="D165" s="50" t="str">
        <f>IF(ISNA(VLOOKUP($B165,CPY!$B:$G,3,FALSE))=TRUE," ",VLOOKUP($B165,CPY!$B:$G,3,FALSE))</f>
        <v> </v>
      </c>
      <c r="E165" s="65" t="str">
        <f>IF(ISNA(VLOOKUP($B165,CPY!$B:$G,4,FALSE))=TRUE," ",VLOOKUP($B165,CPY!$B:$G,4,FALSE))</f>
        <v> </v>
      </c>
      <c r="F165" s="62"/>
      <c r="G165" s="86"/>
      <c r="H165" s="87"/>
      <c r="I165" s="88"/>
      <c r="J165" s="88"/>
      <c r="K165" s="89">
        <f t="shared" si="7"/>
        <v>0</v>
      </c>
      <c r="L165" s="90" t="b">
        <f>IF((ISNUMBER(K165)),IF(AND(F165="Workdays",(SUMIFS(N:N,F:F,F165,H:H,H165,B:B,B165)&lt;=24)),IF(AND((K165*24)&gt;0,(K165*24)&lt;16),((K165*24)*MD!$I$6),IF((K165*24)&gt;=16,(MD!$J$6))),IF(AND(F165="Non_workdays",(SUMIFS(N:N,F:F,F165,H:H,H165,B:B,B165)&lt;=24)),IF(AND((K165*24)&gt;0,(K165*24)&lt;12),((K165*24)*MD!$I$5),IF((K165*24)&gt;=12,(MD!$J$5))))))</f>
        <v>0</v>
      </c>
      <c r="M165" s="62"/>
      <c r="N165" s="72">
        <f t="shared" si="6"/>
        <v>0</v>
      </c>
    </row>
    <row r="166" spans="1:14" x14ac:dyDescent="0.25">
      <c r="A166" s="62">
        <v>165</v>
      </c>
      <c r="B166" s="62"/>
      <c r="C166" s="85" t="str">
        <f>IF(ISNA(VLOOKUP($B166,CPY!$B:$G,2,FALSE))=TRUE," ",VLOOKUP($B166,CPY!$B:$G,2,FALSE))</f>
        <v> </v>
      </c>
      <c r="D166" s="50" t="str">
        <f>IF(ISNA(VLOOKUP($B166,CPY!$B:$G,3,FALSE))=TRUE," ",VLOOKUP($B166,CPY!$B:$G,3,FALSE))</f>
        <v> </v>
      </c>
      <c r="E166" s="65" t="str">
        <f>IF(ISNA(VLOOKUP($B166,CPY!$B:$G,4,FALSE))=TRUE," ",VLOOKUP($B166,CPY!$B:$G,4,FALSE))</f>
        <v> </v>
      </c>
      <c r="F166" s="62"/>
      <c r="G166" s="86"/>
      <c r="H166" s="87"/>
      <c r="I166" s="88"/>
      <c r="J166" s="88"/>
      <c r="K166" s="89">
        <f t="shared" si="7"/>
        <v>0</v>
      </c>
      <c r="L166" s="90" t="b">
        <f>IF((ISNUMBER(K166)),IF(AND(F166="Workdays",(SUMIFS(N:N,F:F,F166,H:H,H166,B:B,B166)&lt;=24)),IF(AND((K166*24)&gt;0,(K166*24)&lt;16),((K166*24)*MD!$I$6),IF((K166*24)&gt;=16,(MD!$J$6))),IF(AND(F166="Non_workdays",(SUMIFS(N:N,F:F,F166,H:H,H166,B:B,B166)&lt;=24)),IF(AND((K166*24)&gt;0,(K166*24)&lt;12),((K166*24)*MD!$I$5),IF((K166*24)&gt;=12,(MD!$J$5))))))</f>
        <v>0</v>
      </c>
      <c r="M166" s="62"/>
      <c r="N166" s="72">
        <f t="shared" si="6"/>
        <v>0</v>
      </c>
    </row>
    <row r="167" spans="1:14" x14ac:dyDescent="0.25">
      <c r="A167" s="62">
        <v>166</v>
      </c>
      <c r="B167" s="62"/>
      <c r="C167" s="85" t="str">
        <f>IF(ISNA(VLOOKUP($B167,CPY!$B:$G,2,FALSE))=TRUE," ",VLOOKUP($B167,CPY!$B:$G,2,FALSE))</f>
        <v> </v>
      </c>
      <c r="D167" s="50" t="str">
        <f>IF(ISNA(VLOOKUP($B167,CPY!$B:$G,3,FALSE))=TRUE," ",VLOOKUP($B167,CPY!$B:$G,3,FALSE))</f>
        <v> </v>
      </c>
      <c r="E167" s="65" t="str">
        <f>IF(ISNA(VLOOKUP($B167,CPY!$B:$G,4,FALSE))=TRUE," ",VLOOKUP($B167,CPY!$B:$G,4,FALSE))</f>
        <v> </v>
      </c>
      <c r="F167" s="62"/>
      <c r="G167" s="86"/>
      <c r="H167" s="87"/>
      <c r="I167" s="88"/>
      <c r="J167" s="88"/>
      <c r="K167" s="89">
        <f t="shared" si="7"/>
        <v>0</v>
      </c>
      <c r="L167" s="90" t="b">
        <f>IF((ISNUMBER(K167)),IF(AND(F167="Workdays",(SUMIFS(N:N,F:F,F167,H:H,H167,B:B,B167)&lt;=24)),IF(AND((K167*24)&gt;0,(K167*24)&lt;16),((K167*24)*MD!$I$6),IF((K167*24)&gt;=16,(MD!$J$6))),IF(AND(F167="Non_workdays",(SUMIFS(N:N,F:F,F167,H:H,H167,B:B,B167)&lt;=24)),IF(AND((K167*24)&gt;0,(K167*24)&lt;12),((K167*24)*MD!$I$5),IF((K167*24)&gt;=12,(MD!$J$5))))))</f>
        <v>0</v>
      </c>
      <c r="M167" s="62"/>
      <c r="N167" s="72">
        <f t="shared" si="6"/>
        <v>0</v>
      </c>
    </row>
    <row r="168" spans="1:14" x14ac:dyDescent="0.25">
      <c r="A168" s="62">
        <v>167</v>
      </c>
      <c r="B168" s="62"/>
      <c r="C168" s="85" t="str">
        <f>IF(ISNA(VLOOKUP($B168,CPY!$B:$G,2,FALSE))=TRUE," ",VLOOKUP($B168,CPY!$B:$G,2,FALSE))</f>
        <v> </v>
      </c>
      <c r="D168" s="50" t="str">
        <f>IF(ISNA(VLOOKUP($B168,CPY!$B:$G,3,FALSE))=TRUE," ",VLOOKUP($B168,CPY!$B:$G,3,FALSE))</f>
        <v> </v>
      </c>
      <c r="E168" s="65" t="str">
        <f>IF(ISNA(VLOOKUP($B168,CPY!$B:$G,4,FALSE))=TRUE," ",VLOOKUP($B168,CPY!$B:$G,4,FALSE))</f>
        <v> </v>
      </c>
      <c r="F168" s="62"/>
      <c r="G168" s="86"/>
      <c r="H168" s="87"/>
      <c r="I168" s="88"/>
      <c r="J168" s="88"/>
      <c r="K168" s="89">
        <f t="shared" si="7"/>
        <v>0</v>
      </c>
      <c r="L168" s="90" t="b">
        <f>IF((ISNUMBER(K168)),IF(AND(F168="Workdays",(SUMIFS(N:N,F:F,F168,H:H,H168,B:B,B168)&lt;=24)),IF(AND((K168*24)&gt;0,(K168*24)&lt;16),((K168*24)*MD!$I$6),IF((K168*24)&gt;=16,(MD!$J$6))),IF(AND(F168="Non_workdays",(SUMIFS(N:N,F:F,F168,H:H,H168,B:B,B168)&lt;=24)),IF(AND((K168*24)&gt;0,(K168*24)&lt;12),((K168*24)*MD!$I$5),IF((K168*24)&gt;=12,(MD!$J$5))))))</f>
        <v>0</v>
      </c>
      <c r="M168" s="62"/>
      <c r="N168" s="72">
        <f t="shared" si="6"/>
        <v>0</v>
      </c>
    </row>
    <row r="169" spans="1:14" x14ac:dyDescent="0.25">
      <c r="A169" s="62">
        <v>168</v>
      </c>
      <c r="B169" s="62"/>
      <c r="C169" s="85" t="str">
        <f>IF(ISNA(VLOOKUP($B169,CPY!$B:$G,2,FALSE))=TRUE," ",VLOOKUP($B169,CPY!$B:$G,2,FALSE))</f>
        <v> </v>
      </c>
      <c r="D169" s="50" t="str">
        <f>IF(ISNA(VLOOKUP($B169,CPY!$B:$G,3,FALSE))=TRUE," ",VLOOKUP($B169,CPY!$B:$G,3,FALSE))</f>
        <v> </v>
      </c>
      <c r="E169" s="65" t="str">
        <f>IF(ISNA(VLOOKUP($B169,CPY!$B:$G,4,FALSE))=TRUE," ",VLOOKUP($B169,CPY!$B:$G,4,FALSE))</f>
        <v> </v>
      </c>
      <c r="F169" s="62"/>
      <c r="G169" s="86"/>
      <c r="H169" s="87"/>
      <c r="I169" s="88"/>
      <c r="J169" s="88"/>
      <c r="K169" s="89">
        <f t="shared" si="7"/>
        <v>0</v>
      </c>
      <c r="L169" s="90" t="b">
        <f>IF((ISNUMBER(K169)),IF(AND(F169="Workdays",(SUMIFS(N:N,F:F,F169,H:H,H169,B:B,B169)&lt;=24)),IF(AND((K169*24)&gt;0,(K169*24)&lt;16),((K169*24)*MD!$I$6),IF((K169*24)&gt;=16,(MD!$J$6))),IF(AND(F169="Non_workdays",(SUMIFS(N:N,F:F,F169,H:H,H169,B:B,B169)&lt;=24)),IF(AND((K169*24)&gt;0,(K169*24)&lt;12),((K169*24)*MD!$I$5),IF((K169*24)&gt;=12,(MD!$J$5))))))</f>
        <v>0</v>
      </c>
      <c r="M169" s="62"/>
      <c r="N169" s="72">
        <f t="shared" si="6"/>
        <v>0</v>
      </c>
    </row>
    <row r="170" spans="1:14" x14ac:dyDescent="0.25">
      <c r="A170" s="62">
        <v>169</v>
      </c>
      <c r="B170" s="62"/>
      <c r="C170" s="85" t="str">
        <f>IF(ISNA(VLOOKUP($B170,CPY!$B:$G,2,FALSE))=TRUE," ",VLOOKUP($B170,CPY!$B:$G,2,FALSE))</f>
        <v> </v>
      </c>
      <c r="D170" s="50" t="str">
        <f>IF(ISNA(VLOOKUP($B170,CPY!$B:$G,3,FALSE))=TRUE," ",VLOOKUP($B170,CPY!$B:$G,3,FALSE))</f>
        <v> </v>
      </c>
      <c r="E170" s="65" t="str">
        <f>IF(ISNA(VLOOKUP($B170,CPY!$B:$G,4,FALSE))=TRUE," ",VLOOKUP($B170,CPY!$B:$G,4,FALSE))</f>
        <v> </v>
      </c>
      <c r="F170" s="62"/>
      <c r="G170" s="86"/>
      <c r="H170" s="87"/>
      <c r="I170" s="88"/>
      <c r="J170" s="88"/>
      <c r="K170" s="89">
        <f t="shared" si="7"/>
        <v>0</v>
      </c>
      <c r="L170" s="90" t="b">
        <f>IF((ISNUMBER(K170)),IF(AND(F170="Workdays",(SUMIFS(N:N,F:F,F170,H:H,H170,B:B,B170)&lt;=24)),IF(AND((K170*24)&gt;0,(K170*24)&lt;16),((K170*24)*MD!$I$6),IF((K170*24)&gt;=16,(MD!$J$6))),IF(AND(F170="Non_workdays",(SUMIFS(N:N,F:F,F170,H:H,H170,B:B,B170)&lt;=24)),IF(AND((K170*24)&gt;0,(K170*24)&lt;12),((K170*24)*MD!$I$5),IF((K170*24)&gt;=12,(MD!$J$5))))))</f>
        <v>0</v>
      </c>
      <c r="M170" s="62"/>
      <c r="N170" s="72">
        <f t="shared" si="6"/>
        <v>0</v>
      </c>
    </row>
    <row r="171" spans="1:14" x14ac:dyDescent="0.25">
      <c r="A171" s="62">
        <v>170</v>
      </c>
      <c r="B171" s="62"/>
      <c r="C171" s="85" t="str">
        <f>IF(ISNA(VLOOKUP($B171,CPY!$B:$G,2,FALSE))=TRUE," ",VLOOKUP($B171,CPY!$B:$G,2,FALSE))</f>
        <v> </v>
      </c>
      <c r="D171" s="50" t="str">
        <f>IF(ISNA(VLOOKUP($B171,CPY!$B:$G,3,FALSE))=TRUE," ",VLOOKUP($B171,CPY!$B:$G,3,FALSE))</f>
        <v> </v>
      </c>
      <c r="E171" s="65" t="str">
        <f>IF(ISNA(VLOOKUP($B171,CPY!$B:$G,4,FALSE))=TRUE," ",VLOOKUP($B171,CPY!$B:$G,4,FALSE))</f>
        <v> </v>
      </c>
      <c r="F171" s="62"/>
      <c r="G171" s="86"/>
      <c r="H171" s="87"/>
      <c r="I171" s="88"/>
      <c r="J171" s="88"/>
      <c r="K171" s="89">
        <f t="shared" si="7"/>
        <v>0</v>
      </c>
      <c r="L171" s="90" t="b">
        <f>IF((ISNUMBER(K171)),IF(AND(F171="Workdays",(SUMIFS(N:N,F:F,F171,H:H,H171,B:B,B171)&lt;=24)),IF(AND((K171*24)&gt;0,(K171*24)&lt;16),((K171*24)*MD!$I$6),IF((K171*24)&gt;=16,(MD!$J$6))),IF(AND(F171="Non_workdays",(SUMIFS(N:N,F:F,F171,H:H,H171,B:B,B171)&lt;=24)),IF(AND((K171*24)&gt;0,(K171*24)&lt;12),((K171*24)*MD!$I$5),IF((K171*24)&gt;=12,(MD!$J$5))))))</f>
        <v>0</v>
      </c>
      <c r="M171" s="62"/>
      <c r="N171" s="72">
        <f t="shared" si="6"/>
        <v>0</v>
      </c>
    </row>
    <row r="172" spans="1:14" x14ac:dyDescent="0.25">
      <c r="A172" s="62">
        <v>171</v>
      </c>
      <c r="B172" s="62"/>
      <c r="C172" s="85" t="str">
        <f>IF(ISNA(VLOOKUP($B172,CPY!$B:$G,2,FALSE))=TRUE," ",VLOOKUP($B172,CPY!$B:$G,2,FALSE))</f>
        <v> </v>
      </c>
      <c r="D172" s="50" t="str">
        <f>IF(ISNA(VLOOKUP($B172,CPY!$B:$G,3,FALSE))=TRUE," ",VLOOKUP($B172,CPY!$B:$G,3,FALSE))</f>
        <v> </v>
      </c>
      <c r="E172" s="65" t="str">
        <f>IF(ISNA(VLOOKUP($B172,CPY!$B:$G,4,FALSE))=TRUE," ",VLOOKUP($B172,CPY!$B:$G,4,FALSE))</f>
        <v> </v>
      </c>
      <c r="F172" s="62"/>
      <c r="G172" s="86"/>
      <c r="H172" s="87"/>
      <c r="I172" s="88"/>
      <c r="J172" s="88"/>
      <c r="K172" s="89">
        <f t="shared" si="7"/>
        <v>0</v>
      </c>
      <c r="L172" s="90" t="b">
        <f>IF((ISNUMBER(K172)),IF(AND(F172="Workdays",(SUMIFS(N:N,F:F,F172,H:H,H172,B:B,B172)&lt;=24)),IF(AND((K172*24)&gt;0,(K172*24)&lt;16),((K172*24)*MD!$I$6),IF((K172*24)&gt;=16,(MD!$J$6))),IF(AND(F172="Non_workdays",(SUMIFS(N:N,F:F,F172,H:H,H172,B:B,B172)&lt;=24)),IF(AND((K172*24)&gt;0,(K172*24)&lt;12),((K172*24)*MD!$I$5),IF((K172*24)&gt;=12,(MD!$J$5))))))</f>
        <v>0</v>
      </c>
      <c r="M172" s="62"/>
      <c r="N172" s="72">
        <f t="shared" si="6"/>
        <v>0</v>
      </c>
    </row>
    <row r="173" spans="1:14" x14ac:dyDescent="0.25">
      <c r="A173" s="62">
        <v>172</v>
      </c>
      <c r="B173" s="62"/>
      <c r="C173" s="85" t="str">
        <f>IF(ISNA(VLOOKUP($B173,CPY!$B:$G,2,FALSE))=TRUE," ",VLOOKUP($B173,CPY!$B:$G,2,FALSE))</f>
        <v> </v>
      </c>
      <c r="D173" s="50" t="str">
        <f>IF(ISNA(VLOOKUP($B173,CPY!$B:$G,3,FALSE))=TRUE," ",VLOOKUP($B173,CPY!$B:$G,3,FALSE))</f>
        <v> </v>
      </c>
      <c r="E173" s="65" t="str">
        <f>IF(ISNA(VLOOKUP($B173,CPY!$B:$G,4,FALSE))=TRUE," ",VLOOKUP($B173,CPY!$B:$G,4,FALSE))</f>
        <v> </v>
      </c>
      <c r="F173" s="62"/>
      <c r="G173" s="86"/>
      <c r="H173" s="87"/>
      <c r="I173" s="88"/>
      <c r="J173" s="88"/>
      <c r="K173" s="89">
        <f t="shared" si="7"/>
        <v>0</v>
      </c>
      <c r="L173" s="90" t="b">
        <f>IF((ISNUMBER(K173)),IF(AND(F173="Workdays",(SUMIFS(N:N,F:F,F173,H:H,H173,B:B,B173)&lt;=24)),IF(AND((K173*24)&gt;0,(K173*24)&lt;16),((K173*24)*MD!$I$6),IF((K173*24)&gt;=16,(MD!$J$6))),IF(AND(F173="Non_workdays",(SUMIFS(N:N,F:F,F173,H:H,H173,B:B,B173)&lt;=24)),IF(AND((K173*24)&gt;0,(K173*24)&lt;12),((K173*24)*MD!$I$5),IF((K173*24)&gt;=12,(MD!$J$5))))))</f>
        <v>0</v>
      </c>
      <c r="M173" s="62"/>
      <c r="N173" s="72">
        <f t="shared" si="6"/>
        <v>0</v>
      </c>
    </row>
    <row r="174" spans="1:14" x14ac:dyDescent="0.25">
      <c r="A174" s="62">
        <v>173</v>
      </c>
      <c r="B174" s="62"/>
      <c r="C174" s="85" t="str">
        <f>IF(ISNA(VLOOKUP($B174,CPY!$B:$G,2,FALSE))=TRUE," ",VLOOKUP($B174,CPY!$B:$G,2,FALSE))</f>
        <v> </v>
      </c>
      <c r="D174" s="50" t="str">
        <f>IF(ISNA(VLOOKUP($B174,CPY!$B:$G,3,FALSE))=TRUE," ",VLOOKUP($B174,CPY!$B:$G,3,FALSE))</f>
        <v> </v>
      </c>
      <c r="E174" s="65" t="str">
        <f>IF(ISNA(VLOOKUP($B174,CPY!$B:$G,4,FALSE))=TRUE," ",VLOOKUP($B174,CPY!$B:$G,4,FALSE))</f>
        <v> </v>
      </c>
      <c r="F174" s="62"/>
      <c r="G174" s="86"/>
      <c r="H174" s="87"/>
      <c r="I174" s="88"/>
      <c r="J174" s="88"/>
      <c r="K174" s="89">
        <f t="shared" si="7"/>
        <v>0</v>
      </c>
      <c r="L174" s="90" t="b">
        <f>IF((ISNUMBER(K174)),IF(AND(F174="Workdays",(SUMIFS(N:N,F:F,F174,H:H,H174,B:B,B174)&lt;=24)),IF(AND((K174*24)&gt;0,(K174*24)&lt;16),((K174*24)*MD!$I$6),IF((K174*24)&gt;=16,(MD!$J$6))),IF(AND(F174="Non_workdays",(SUMIFS(N:N,F:F,F174,H:H,H174,B:B,B174)&lt;=24)),IF(AND((K174*24)&gt;0,(K174*24)&lt;12),((K174*24)*MD!$I$5),IF((K174*24)&gt;=12,(MD!$J$5))))))</f>
        <v>0</v>
      </c>
      <c r="M174" s="62"/>
      <c r="N174" s="72">
        <f t="shared" si="6"/>
        <v>0</v>
      </c>
    </row>
    <row r="175" spans="1:14" x14ac:dyDescent="0.25">
      <c r="A175" s="62">
        <v>174</v>
      </c>
      <c r="B175" s="62"/>
      <c r="C175" s="85" t="str">
        <f>IF(ISNA(VLOOKUP($B175,CPY!$B:$G,2,FALSE))=TRUE," ",VLOOKUP($B175,CPY!$B:$G,2,FALSE))</f>
        <v> </v>
      </c>
      <c r="D175" s="50" t="str">
        <f>IF(ISNA(VLOOKUP($B175,CPY!$B:$G,3,FALSE))=TRUE," ",VLOOKUP($B175,CPY!$B:$G,3,FALSE))</f>
        <v> </v>
      </c>
      <c r="E175" s="65" t="str">
        <f>IF(ISNA(VLOOKUP($B175,CPY!$B:$G,4,FALSE))=TRUE," ",VLOOKUP($B175,CPY!$B:$G,4,FALSE))</f>
        <v> </v>
      </c>
      <c r="F175" s="62"/>
      <c r="G175" s="86"/>
      <c r="H175" s="87"/>
      <c r="I175" s="88"/>
      <c r="J175" s="88"/>
      <c r="K175" s="89">
        <f t="shared" si="7"/>
        <v>0</v>
      </c>
      <c r="L175" s="90" t="b">
        <f>IF((ISNUMBER(K175)),IF(AND(F175="Workdays",(SUMIFS(N:N,F:F,F175,H:H,H175,B:B,B175)&lt;=24)),IF(AND((K175*24)&gt;0,(K175*24)&lt;16),((K175*24)*MD!$I$6),IF((K175*24)&gt;=16,(MD!$J$6))),IF(AND(F175="Non_workdays",(SUMIFS(N:N,F:F,F175,H:H,H175,B:B,B175)&lt;=24)),IF(AND((K175*24)&gt;0,(K175*24)&lt;12),((K175*24)*MD!$I$5),IF((K175*24)&gt;=12,(MD!$J$5))))))</f>
        <v>0</v>
      </c>
      <c r="M175" s="62"/>
      <c r="N175" s="72">
        <f t="shared" si="6"/>
        <v>0</v>
      </c>
    </row>
    <row r="176" spans="1:14" x14ac:dyDescent="0.25">
      <c r="A176" s="62">
        <v>175</v>
      </c>
      <c r="B176" s="62"/>
      <c r="C176" s="85" t="str">
        <f>IF(ISNA(VLOOKUP($B176,CPY!$B:$G,2,FALSE))=TRUE," ",VLOOKUP($B176,CPY!$B:$G,2,FALSE))</f>
        <v> </v>
      </c>
      <c r="D176" s="50" t="str">
        <f>IF(ISNA(VLOOKUP($B176,CPY!$B:$G,3,FALSE))=TRUE," ",VLOOKUP($B176,CPY!$B:$G,3,FALSE))</f>
        <v> </v>
      </c>
      <c r="E176" s="65" t="str">
        <f>IF(ISNA(VLOOKUP($B176,CPY!$B:$G,4,FALSE))=TRUE," ",VLOOKUP($B176,CPY!$B:$G,4,FALSE))</f>
        <v> </v>
      </c>
      <c r="F176" s="62"/>
      <c r="G176" s="86"/>
      <c r="H176" s="87"/>
      <c r="I176" s="88"/>
      <c r="J176" s="88"/>
      <c r="K176" s="89">
        <f t="shared" si="7"/>
        <v>0</v>
      </c>
      <c r="L176" s="90" t="b">
        <f>IF((ISNUMBER(K176)),IF(AND(F176="Workdays",(SUMIFS(N:N,F:F,F176,H:H,H176,B:B,B176)&lt;=24)),IF(AND((K176*24)&gt;0,(K176*24)&lt;16),((K176*24)*MD!$I$6),IF((K176*24)&gt;=16,(MD!$J$6))),IF(AND(F176="Non_workdays",(SUMIFS(N:N,F:F,F176,H:H,H176,B:B,B176)&lt;=24)),IF(AND((K176*24)&gt;0,(K176*24)&lt;12),((K176*24)*MD!$I$5),IF((K176*24)&gt;=12,(MD!$J$5))))))</f>
        <v>0</v>
      </c>
      <c r="M176" s="62"/>
      <c r="N176" s="72">
        <f t="shared" si="6"/>
        <v>0</v>
      </c>
    </row>
    <row r="177" spans="1:14" x14ac:dyDescent="0.25">
      <c r="A177" s="62">
        <v>176</v>
      </c>
      <c r="B177" s="62"/>
      <c r="C177" s="85" t="str">
        <f>IF(ISNA(VLOOKUP($B177,CPY!$B:$G,2,FALSE))=TRUE," ",VLOOKUP($B177,CPY!$B:$G,2,FALSE))</f>
        <v> </v>
      </c>
      <c r="D177" s="50" t="str">
        <f>IF(ISNA(VLOOKUP($B177,CPY!$B:$G,3,FALSE))=TRUE," ",VLOOKUP($B177,CPY!$B:$G,3,FALSE))</f>
        <v> </v>
      </c>
      <c r="E177" s="65" t="str">
        <f>IF(ISNA(VLOOKUP($B177,CPY!$B:$G,4,FALSE))=TRUE," ",VLOOKUP($B177,CPY!$B:$G,4,FALSE))</f>
        <v> </v>
      </c>
      <c r="F177" s="62"/>
      <c r="G177" s="86"/>
      <c r="H177" s="87"/>
      <c r="I177" s="88"/>
      <c r="J177" s="88"/>
      <c r="K177" s="89">
        <f t="shared" si="7"/>
        <v>0</v>
      </c>
      <c r="L177" s="90" t="b">
        <f>IF((ISNUMBER(K177)),IF(AND(F177="Workdays",(SUMIFS(N:N,F:F,F177,H:H,H177,B:B,B177)&lt;=24)),IF(AND((K177*24)&gt;0,(K177*24)&lt;16),((K177*24)*MD!$I$6),IF((K177*24)&gt;=16,(MD!$J$6))),IF(AND(F177="Non_workdays",(SUMIFS(N:N,F:F,F177,H:H,H177,B:B,B177)&lt;=24)),IF(AND((K177*24)&gt;0,(K177*24)&lt;12),((K177*24)*MD!$I$5),IF((K177*24)&gt;=12,(MD!$J$5))))))</f>
        <v>0</v>
      </c>
      <c r="M177" s="62"/>
      <c r="N177" s="72">
        <f t="shared" si="6"/>
        <v>0</v>
      </c>
    </row>
    <row r="178" spans="1:14" x14ac:dyDescent="0.25">
      <c r="A178" s="62">
        <v>177</v>
      </c>
      <c r="B178" s="62"/>
      <c r="C178" s="85" t="str">
        <f>IF(ISNA(VLOOKUP($B178,CPY!$B:$G,2,FALSE))=TRUE," ",VLOOKUP($B178,CPY!$B:$G,2,FALSE))</f>
        <v> </v>
      </c>
      <c r="D178" s="50" t="str">
        <f>IF(ISNA(VLOOKUP($B178,CPY!$B:$G,3,FALSE))=TRUE," ",VLOOKUP($B178,CPY!$B:$G,3,FALSE))</f>
        <v> </v>
      </c>
      <c r="E178" s="65" t="str">
        <f>IF(ISNA(VLOOKUP($B178,CPY!$B:$G,4,FALSE))=TRUE," ",VLOOKUP($B178,CPY!$B:$G,4,FALSE))</f>
        <v> </v>
      </c>
      <c r="F178" s="62"/>
      <c r="G178" s="86"/>
      <c r="H178" s="87"/>
      <c r="I178" s="88"/>
      <c r="J178" s="88"/>
      <c r="K178" s="89">
        <f t="shared" si="7"/>
        <v>0</v>
      </c>
      <c r="L178" s="90" t="b">
        <f>IF((ISNUMBER(K178)),IF(AND(F178="Workdays",(SUMIFS(N:N,F:F,F178,H:H,H178,B:B,B178)&lt;=24)),IF(AND((K178*24)&gt;0,(K178*24)&lt;16),((K178*24)*MD!$I$6),IF((K178*24)&gt;=16,(MD!$J$6))),IF(AND(F178="Non_workdays",(SUMIFS(N:N,F:F,F178,H:H,H178,B:B,B178)&lt;=24)),IF(AND((K178*24)&gt;0,(K178*24)&lt;12),((K178*24)*MD!$I$5),IF((K178*24)&gt;=12,(MD!$J$5))))))</f>
        <v>0</v>
      </c>
      <c r="M178" s="62"/>
      <c r="N178" s="72">
        <f t="shared" si="6"/>
        <v>0</v>
      </c>
    </row>
    <row r="179" spans="1:14" x14ac:dyDescent="0.25">
      <c r="A179" s="62">
        <v>178</v>
      </c>
      <c r="B179" s="62"/>
      <c r="C179" s="85" t="str">
        <f>IF(ISNA(VLOOKUP($B179,CPY!$B:$G,2,FALSE))=TRUE," ",VLOOKUP($B179,CPY!$B:$G,2,FALSE))</f>
        <v> </v>
      </c>
      <c r="D179" s="50" t="str">
        <f>IF(ISNA(VLOOKUP($B179,CPY!$B:$G,3,FALSE))=TRUE," ",VLOOKUP($B179,CPY!$B:$G,3,FALSE))</f>
        <v> </v>
      </c>
      <c r="E179" s="65" t="str">
        <f>IF(ISNA(VLOOKUP($B179,CPY!$B:$G,4,FALSE))=TRUE," ",VLOOKUP($B179,CPY!$B:$G,4,FALSE))</f>
        <v> </v>
      </c>
      <c r="F179" s="62"/>
      <c r="G179" s="86"/>
      <c r="H179" s="87"/>
      <c r="I179" s="88"/>
      <c r="J179" s="88"/>
      <c r="K179" s="89">
        <f t="shared" si="7"/>
        <v>0</v>
      </c>
      <c r="L179" s="90" t="b">
        <f>IF((ISNUMBER(K179)),IF(AND(F179="Workdays",(SUMIFS(N:N,F:F,F179,H:H,H179,B:B,B179)&lt;=24)),IF(AND((K179*24)&gt;0,(K179*24)&lt;16),((K179*24)*MD!$I$6),IF((K179*24)&gt;=16,(MD!$J$6))),IF(AND(F179="Non_workdays",(SUMIFS(N:N,F:F,F179,H:H,H179,B:B,B179)&lt;=24)),IF(AND((K179*24)&gt;0,(K179*24)&lt;12),((K179*24)*MD!$I$5),IF((K179*24)&gt;=12,(MD!$J$5))))))</f>
        <v>0</v>
      </c>
      <c r="M179" s="62"/>
      <c r="N179" s="72">
        <f t="shared" si="6"/>
        <v>0</v>
      </c>
    </row>
    <row r="180" spans="1:14" x14ac:dyDescent="0.25">
      <c r="A180" s="62">
        <v>179</v>
      </c>
      <c r="B180" s="62"/>
      <c r="C180" s="85" t="str">
        <f>IF(ISNA(VLOOKUP($B180,CPY!$B:$G,2,FALSE))=TRUE," ",VLOOKUP($B180,CPY!$B:$G,2,FALSE))</f>
        <v> </v>
      </c>
      <c r="D180" s="50" t="str">
        <f>IF(ISNA(VLOOKUP($B180,CPY!$B:$G,3,FALSE))=TRUE," ",VLOOKUP($B180,CPY!$B:$G,3,FALSE))</f>
        <v> </v>
      </c>
      <c r="E180" s="65" t="str">
        <f>IF(ISNA(VLOOKUP($B180,CPY!$B:$G,4,FALSE))=TRUE," ",VLOOKUP($B180,CPY!$B:$G,4,FALSE))</f>
        <v> </v>
      </c>
      <c r="F180" s="62"/>
      <c r="G180" s="86"/>
      <c r="H180" s="87"/>
      <c r="I180" s="88"/>
      <c r="J180" s="88"/>
      <c r="K180" s="89">
        <f t="shared" si="7"/>
        <v>0</v>
      </c>
      <c r="L180" s="90" t="b">
        <f>IF((ISNUMBER(K180)),IF(AND(F180="Workdays",(SUMIFS(N:N,F:F,F180,H:H,H180,B:B,B180)&lt;=24)),IF(AND((K180*24)&gt;0,(K180*24)&lt;16),((K180*24)*MD!$I$6),IF((K180*24)&gt;=16,(MD!$J$6))),IF(AND(F180="Non_workdays",(SUMIFS(N:N,F:F,F180,H:H,H180,B:B,B180)&lt;=24)),IF(AND((K180*24)&gt;0,(K180*24)&lt;12),((K180*24)*MD!$I$5),IF((K180*24)&gt;=12,(MD!$J$5))))))</f>
        <v>0</v>
      </c>
      <c r="M180" s="62"/>
      <c r="N180" s="72">
        <f t="shared" si="6"/>
        <v>0</v>
      </c>
    </row>
    <row r="181" spans="1:14" x14ac:dyDescent="0.25">
      <c r="A181" s="62">
        <v>180</v>
      </c>
      <c r="B181" s="62"/>
      <c r="C181" s="85" t="str">
        <f>IF(ISNA(VLOOKUP($B181,CPY!$B:$G,2,FALSE))=TRUE," ",VLOOKUP($B181,CPY!$B:$G,2,FALSE))</f>
        <v> </v>
      </c>
      <c r="D181" s="50" t="str">
        <f>IF(ISNA(VLOOKUP($B181,CPY!$B:$G,3,FALSE))=TRUE," ",VLOOKUP($B181,CPY!$B:$G,3,FALSE))</f>
        <v> </v>
      </c>
      <c r="E181" s="65" t="str">
        <f>IF(ISNA(VLOOKUP($B181,CPY!$B:$G,4,FALSE))=TRUE," ",VLOOKUP($B181,CPY!$B:$G,4,FALSE))</f>
        <v> </v>
      </c>
      <c r="F181" s="62"/>
      <c r="G181" s="86"/>
      <c r="H181" s="87"/>
      <c r="I181" s="88"/>
      <c r="J181" s="88"/>
      <c r="K181" s="89">
        <f t="shared" si="7"/>
        <v>0</v>
      </c>
      <c r="L181" s="90" t="b">
        <f>IF((ISNUMBER(K181)),IF(AND(F181="Workdays",(SUMIFS(N:N,F:F,F181,H:H,H181,B:B,B181)&lt;=24)),IF(AND((K181*24)&gt;0,(K181*24)&lt;16),((K181*24)*MD!$I$6),IF((K181*24)&gt;=16,(MD!$J$6))),IF(AND(F181="Non_workdays",(SUMIFS(N:N,F:F,F181,H:H,H181,B:B,B181)&lt;=24)),IF(AND((K181*24)&gt;0,(K181*24)&lt;12),((K181*24)*MD!$I$5),IF((K181*24)&gt;=12,(MD!$J$5))))))</f>
        <v>0</v>
      </c>
      <c r="M181" s="62"/>
      <c r="N181" s="72">
        <f t="shared" si="6"/>
        <v>0</v>
      </c>
    </row>
    <row r="182" spans="1:14" x14ac:dyDescent="0.25">
      <c r="A182" s="62">
        <v>181</v>
      </c>
      <c r="B182" s="62"/>
      <c r="C182" s="85" t="str">
        <f>IF(ISNA(VLOOKUP($B182,CPY!$B:$G,2,FALSE))=TRUE," ",VLOOKUP($B182,CPY!$B:$G,2,FALSE))</f>
        <v> </v>
      </c>
      <c r="D182" s="50" t="str">
        <f>IF(ISNA(VLOOKUP($B182,CPY!$B:$G,3,FALSE))=TRUE," ",VLOOKUP($B182,CPY!$B:$G,3,FALSE))</f>
        <v> </v>
      </c>
      <c r="E182" s="65" t="str">
        <f>IF(ISNA(VLOOKUP($B182,CPY!$B:$G,4,FALSE))=TRUE," ",VLOOKUP($B182,CPY!$B:$G,4,FALSE))</f>
        <v> </v>
      </c>
      <c r="F182" s="62"/>
      <c r="G182" s="86"/>
      <c r="H182" s="87"/>
      <c r="I182" s="88"/>
      <c r="J182" s="88"/>
      <c r="K182" s="89">
        <f t="shared" si="7"/>
        <v>0</v>
      </c>
      <c r="L182" s="90" t="b">
        <f>IF((ISNUMBER(K182)),IF(AND(F182="Workdays",(SUMIFS(N:N,F:F,F182,H:H,H182,B:B,B182)&lt;=24)),IF(AND((K182*24)&gt;0,(K182*24)&lt;16),((K182*24)*MD!$I$6),IF((K182*24)&gt;=16,(MD!$J$6))),IF(AND(F182="Non_workdays",(SUMIFS(N:N,F:F,F182,H:H,H182,B:B,B182)&lt;=24)),IF(AND((K182*24)&gt;0,(K182*24)&lt;12),((K182*24)*MD!$I$5),IF((K182*24)&gt;=12,(MD!$J$5))))))</f>
        <v>0</v>
      </c>
      <c r="M182" s="62"/>
      <c r="N182" s="72">
        <f t="shared" si="6"/>
        <v>0</v>
      </c>
    </row>
    <row r="183" spans="1:14" x14ac:dyDescent="0.25">
      <c r="A183" s="62">
        <v>182</v>
      </c>
      <c r="B183" s="62"/>
      <c r="C183" s="85" t="str">
        <f>IF(ISNA(VLOOKUP($B183,CPY!$B:$G,2,FALSE))=TRUE," ",VLOOKUP($B183,CPY!$B:$G,2,FALSE))</f>
        <v> </v>
      </c>
      <c r="D183" s="50" t="str">
        <f>IF(ISNA(VLOOKUP($B183,CPY!$B:$G,3,FALSE))=TRUE," ",VLOOKUP($B183,CPY!$B:$G,3,FALSE))</f>
        <v> </v>
      </c>
      <c r="E183" s="65" t="str">
        <f>IF(ISNA(VLOOKUP($B183,CPY!$B:$G,4,FALSE))=TRUE," ",VLOOKUP($B183,CPY!$B:$G,4,FALSE))</f>
        <v> </v>
      </c>
      <c r="F183" s="62"/>
      <c r="G183" s="86"/>
      <c r="H183" s="87"/>
      <c r="I183" s="88"/>
      <c r="J183" s="88"/>
      <c r="K183" s="89">
        <f t="shared" si="7"/>
        <v>0</v>
      </c>
      <c r="L183" s="90" t="b">
        <f>IF((ISNUMBER(K183)),IF(AND(F183="Workdays",(SUMIFS(N:N,F:F,F183,H:H,H183,B:B,B183)&lt;=24)),IF(AND((K183*24)&gt;0,(K183*24)&lt;16),((K183*24)*MD!$I$6),IF((K183*24)&gt;=16,(MD!$J$6))),IF(AND(F183="Non_workdays",(SUMIFS(N:N,F:F,F183,H:H,H183,B:B,B183)&lt;=24)),IF(AND((K183*24)&gt;0,(K183*24)&lt;12),((K183*24)*MD!$I$5),IF((K183*24)&gt;=12,(MD!$J$5))))))</f>
        <v>0</v>
      </c>
      <c r="M183" s="62"/>
      <c r="N183" s="72">
        <f t="shared" si="6"/>
        <v>0</v>
      </c>
    </row>
    <row r="184" spans="1:14" x14ac:dyDescent="0.25">
      <c r="A184" s="62">
        <v>183</v>
      </c>
      <c r="B184" s="62"/>
      <c r="C184" s="85" t="str">
        <f>IF(ISNA(VLOOKUP($B184,CPY!$B:$G,2,FALSE))=TRUE," ",VLOOKUP($B184,CPY!$B:$G,2,FALSE))</f>
        <v> </v>
      </c>
      <c r="D184" s="50" t="str">
        <f>IF(ISNA(VLOOKUP($B184,CPY!$B:$G,3,FALSE))=TRUE," ",VLOOKUP($B184,CPY!$B:$G,3,FALSE))</f>
        <v> </v>
      </c>
      <c r="E184" s="65" t="str">
        <f>IF(ISNA(VLOOKUP($B184,CPY!$B:$G,4,FALSE))=TRUE," ",VLOOKUP($B184,CPY!$B:$G,4,FALSE))</f>
        <v> </v>
      </c>
      <c r="F184" s="62"/>
      <c r="G184" s="86"/>
      <c r="H184" s="87"/>
      <c r="I184" s="88"/>
      <c r="J184" s="88"/>
      <c r="K184" s="89">
        <f t="shared" si="7"/>
        <v>0</v>
      </c>
      <c r="L184" s="90" t="b">
        <f>IF((ISNUMBER(K184)),IF(AND(F184="Workdays",(SUMIFS(N:N,F:F,F184,H:H,H184,B:B,B184)&lt;=24)),IF(AND((K184*24)&gt;0,(K184*24)&lt;16),((K184*24)*MD!$I$6),IF((K184*24)&gt;=16,(MD!$J$6))),IF(AND(F184="Non_workdays",(SUMIFS(N:N,F:F,F184,H:H,H184,B:B,B184)&lt;=24)),IF(AND((K184*24)&gt;0,(K184*24)&lt;12),((K184*24)*MD!$I$5),IF((K184*24)&gt;=12,(MD!$J$5))))))</f>
        <v>0</v>
      </c>
      <c r="M184" s="62"/>
      <c r="N184" s="72">
        <f t="shared" si="6"/>
        <v>0</v>
      </c>
    </row>
    <row r="185" spans="1:14" x14ac:dyDescent="0.25">
      <c r="A185" s="62">
        <v>184</v>
      </c>
      <c r="B185" s="62"/>
      <c r="C185" s="85" t="str">
        <f>IF(ISNA(VLOOKUP($B185,CPY!$B:$G,2,FALSE))=TRUE," ",VLOOKUP($B185,CPY!$B:$G,2,FALSE))</f>
        <v> </v>
      </c>
      <c r="D185" s="50" t="str">
        <f>IF(ISNA(VLOOKUP($B185,CPY!$B:$G,3,FALSE))=TRUE," ",VLOOKUP($B185,CPY!$B:$G,3,FALSE))</f>
        <v> </v>
      </c>
      <c r="E185" s="65" t="str">
        <f>IF(ISNA(VLOOKUP($B185,CPY!$B:$G,4,FALSE))=TRUE," ",VLOOKUP($B185,CPY!$B:$G,4,FALSE))</f>
        <v> </v>
      </c>
      <c r="F185" s="62"/>
      <c r="G185" s="86"/>
      <c r="H185" s="87"/>
      <c r="I185" s="88"/>
      <c r="J185" s="88"/>
      <c r="K185" s="89">
        <f t="shared" si="7"/>
        <v>0</v>
      </c>
      <c r="L185" s="90" t="b">
        <f>IF((ISNUMBER(K185)),IF(AND(F185="Workdays",(SUMIFS(N:N,F:F,F185,H:H,H185,B:B,B185)&lt;=24)),IF(AND((K185*24)&gt;0,(K185*24)&lt;16),((K185*24)*MD!$I$6),IF((K185*24)&gt;=16,(MD!$J$6))),IF(AND(F185="Non_workdays",(SUMIFS(N:N,F:F,F185,H:H,H185,B:B,B185)&lt;=24)),IF(AND((K185*24)&gt;0,(K185*24)&lt;12),((K185*24)*MD!$I$5),IF((K185*24)&gt;=12,(MD!$J$5))))))</f>
        <v>0</v>
      </c>
      <c r="M185" s="62"/>
      <c r="N185" s="72">
        <f t="shared" si="6"/>
        <v>0</v>
      </c>
    </row>
    <row r="186" spans="1:14" x14ac:dyDescent="0.25">
      <c r="A186" s="62">
        <v>185</v>
      </c>
      <c r="B186" s="62"/>
      <c r="C186" s="85" t="str">
        <f>IF(ISNA(VLOOKUP($B186,CPY!$B:$G,2,FALSE))=TRUE," ",VLOOKUP($B186,CPY!$B:$G,2,FALSE))</f>
        <v> </v>
      </c>
      <c r="D186" s="50" t="str">
        <f>IF(ISNA(VLOOKUP($B186,CPY!$B:$G,3,FALSE))=TRUE," ",VLOOKUP($B186,CPY!$B:$G,3,FALSE))</f>
        <v> </v>
      </c>
      <c r="E186" s="65" t="str">
        <f>IF(ISNA(VLOOKUP($B186,CPY!$B:$G,4,FALSE))=TRUE," ",VLOOKUP($B186,CPY!$B:$G,4,FALSE))</f>
        <v> </v>
      </c>
      <c r="F186" s="62"/>
      <c r="G186" s="86"/>
      <c r="H186" s="87"/>
      <c r="I186" s="88"/>
      <c r="J186" s="88"/>
      <c r="K186" s="89">
        <f t="shared" si="7"/>
        <v>0</v>
      </c>
      <c r="L186" s="90" t="b">
        <f>IF((ISNUMBER(K186)),IF(AND(F186="Workdays",(SUMIFS(N:N,F:F,F186,H:H,H186,B:B,B186)&lt;=24)),IF(AND((K186*24)&gt;0,(K186*24)&lt;16),((K186*24)*MD!$I$6),IF((K186*24)&gt;=16,(MD!$J$6))),IF(AND(F186="Non_workdays",(SUMIFS(N:N,F:F,F186,H:H,H186,B:B,B186)&lt;=24)),IF(AND((K186*24)&gt;0,(K186*24)&lt;12),((K186*24)*MD!$I$5),IF((K186*24)&gt;=12,(MD!$J$5))))))</f>
        <v>0</v>
      </c>
      <c r="M186" s="62"/>
      <c r="N186" s="72">
        <f t="shared" si="6"/>
        <v>0</v>
      </c>
    </row>
    <row r="187" spans="1:14" x14ac:dyDescent="0.25">
      <c r="A187" s="62">
        <v>186</v>
      </c>
      <c r="B187" s="62"/>
      <c r="C187" s="85" t="str">
        <f>IF(ISNA(VLOOKUP($B187,CPY!$B:$G,2,FALSE))=TRUE," ",VLOOKUP($B187,CPY!$B:$G,2,FALSE))</f>
        <v> </v>
      </c>
      <c r="D187" s="50" t="str">
        <f>IF(ISNA(VLOOKUP($B187,CPY!$B:$G,3,FALSE))=TRUE," ",VLOOKUP($B187,CPY!$B:$G,3,FALSE))</f>
        <v> </v>
      </c>
      <c r="E187" s="65" t="str">
        <f>IF(ISNA(VLOOKUP($B187,CPY!$B:$G,4,FALSE))=TRUE," ",VLOOKUP($B187,CPY!$B:$G,4,FALSE))</f>
        <v> </v>
      </c>
      <c r="F187" s="62"/>
      <c r="G187" s="86"/>
      <c r="H187" s="87"/>
      <c r="I187" s="88"/>
      <c r="J187" s="88"/>
      <c r="K187" s="89">
        <f t="shared" si="7"/>
        <v>0</v>
      </c>
      <c r="L187" s="90" t="b">
        <f>IF((ISNUMBER(K187)),IF(AND(F187="Workdays",(SUMIFS(N:N,F:F,F187,H:H,H187,B:B,B187)&lt;=24)),IF(AND((K187*24)&gt;0,(K187*24)&lt;16),((K187*24)*MD!$I$6),IF((K187*24)&gt;=16,(MD!$J$6))),IF(AND(F187="Non_workdays",(SUMIFS(N:N,F:F,F187,H:H,H187,B:B,B187)&lt;=24)),IF(AND((K187*24)&gt;0,(K187*24)&lt;12),((K187*24)*MD!$I$5),IF((K187*24)&gt;=12,(MD!$J$5))))))</f>
        <v>0</v>
      </c>
      <c r="M187" s="62"/>
      <c r="N187" s="72">
        <f t="shared" si="6"/>
        <v>0</v>
      </c>
    </row>
    <row r="188" spans="1:14" x14ac:dyDescent="0.25">
      <c r="A188" s="62">
        <v>187</v>
      </c>
      <c r="B188" s="62"/>
      <c r="C188" s="85" t="str">
        <f>IF(ISNA(VLOOKUP($B188,CPY!$B:$G,2,FALSE))=TRUE," ",VLOOKUP($B188,CPY!$B:$G,2,FALSE))</f>
        <v> </v>
      </c>
      <c r="D188" s="50" t="str">
        <f>IF(ISNA(VLOOKUP($B188,CPY!$B:$G,3,FALSE))=TRUE," ",VLOOKUP($B188,CPY!$B:$G,3,FALSE))</f>
        <v> </v>
      </c>
      <c r="E188" s="65" t="str">
        <f>IF(ISNA(VLOOKUP($B188,CPY!$B:$G,4,FALSE))=TRUE," ",VLOOKUP($B188,CPY!$B:$G,4,FALSE))</f>
        <v> </v>
      </c>
      <c r="F188" s="62"/>
      <c r="G188" s="86"/>
      <c r="H188" s="87"/>
      <c r="I188" s="88"/>
      <c r="J188" s="88"/>
      <c r="K188" s="89">
        <f t="shared" si="7"/>
        <v>0</v>
      </c>
      <c r="L188" s="90" t="b">
        <f>IF((ISNUMBER(K188)),IF(AND(F188="Workdays",(SUMIFS(N:N,F:F,F188,H:H,H188,B:B,B188)&lt;=24)),IF(AND((K188*24)&gt;0,(K188*24)&lt;16),((K188*24)*MD!$I$6),IF((K188*24)&gt;=16,(MD!$J$6))),IF(AND(F188="Non_workdays",(SUMIFS(N:N,F:F,F188,H:H,H188,B:B,B188)&lt;=24)),IF(AND((K188*24)&gt;0,(K188*24)&lt;12),((K188*24)*MD!$I$5),IF((K188*24)&gt;=12,(MD!$J$5))))))</f>
        <v>0</v>
      </c>
      <c r="M188" s="62"/>
      <c r="N188" s="72">
        <f t="shared" si="6"/>
        <v>0</v>
      </c>
    </row>
    <row r="189" spans="1:14" x14ac:dyDescent="0.25">
      <c r="A189" s="62">
        <v>188</v>
      </c>
      <c r="B189" s="62"/>
      <c r="C189" s="85" t="str">
        <f>IF(ISNA(VLOOKUP($B189,CPY!$B:$G,2,FALSE))=TRUE," ",VLOOKUP($B189,CPY!$B:$G,2,FALSE))</f>
        <v> </v>
      </c>
      <c r="D189" s="50" t="str">
        <f>IF(ISNA(VLOOKUP($B189,CPY!$B:$G,3,FALSE))=TRUE," ",VLOOKUP($B189,CPY!$B:$G,3,FALSE))</f>
        <v> </v>
      </c>
      <c r="E189" s="65" t="str">
        <f>IF(ISNA(VLOOKUP($B189,CPY!$B:$G,4,FALSE))=TRUE," ",VLOOKUP($B189,CPY!$B:$G,4,FALSE))</f>
        <v> </v>
      </c>
      <c r="F189" s="62"/>
      <c r="G189" s="86"/>
      <c r="H189" s="87"/>
      <c r="I189" s="88"/>
      <c r="J189" s="88"/>
      <c r="K189" s="89">
        <f t="shared" si="7"/>
        <v>0</v>
      </c>
      <c r="L189" s="90" t="b">
        <f>IF((ISNUMBER(K189)),IF(AND(F189="Workdays",(SUMIFS(N:N,F:F,F189,H:H,H189,B:B,B189)&lt;=24)),IF(AND((K189*24)&gt;0,(K189*24)&lt;16),((K189*24)*MD!$I$6),IF((K189*24)&gt;=16,(MD!$J$6))),IF(AND(F189="Non_workdays",(SUMIFS(N:N,F:F,F189,H:H,H189,B:B,B189)&lt;=24)),IF(AND((K189*24)&gt;0,(K189*24)&lt;12),((K189*24)*MD!$I$5),IF((K189*24)&gt;=12,(MD!$J$5))))))</f>
        <v>0</v>
      </c>
      <c r="M189" s="62"/>
      <c r="N189" s="72">
        <f t="shared" si="6"/>
        <v>0</v>
      </c>
    </row>
    <row r="190" spans="1:14" x14ac:dyDescent="0.25">
      <c r="A190" s="62">
        <v>189</v>
      </c>
      <c r="B190" s="62"/>
      <c r="C190" s="85" t="str">
        <f>IF(ISNA(VLOOKUP($B190,CPY!$B:$G,2,FALSE))=TRUE," ",VLOOKUP($B190,CPY!$B:$G,2,FALSE))</f>
        <v> </v>
      </c>
      <c r="D190" s="50" t="str">
        <f>IF(ISNA(VLOOKUP($B190,CPY!$B:$G,3,FALSE))=TRUE," ",VLOOKUP($B190,CPY!$B:$G,3,FALSE))</f>
        <v> </v>
      </c>
      <c r="E190" s="65" t="str">
        <f>IF(ISNA(VLOOKUP($B190,CPY!$B:$G,4,FALSE))=TRUE," ",VLOOKUP($B190,CPY!$B:$G,4,FALSE))</f>
        <v> </v>
      </c>
      <c r="F190" s="62"/>
      <c r="G190" s="86"/>
      <c r="H190" s="87"/>
      <c r="I190" s="88"/>
      <c r="J190" s="88"/>
      <c r="K190" s="89">
        <f t="shared" si="7"/>
        <v>0</v>
      </c>
      <c r="L190" s="90" t="b">
        <f>IF((ISNUMBER(K190)),IF(AND(F190="Workdays",(SUMIFS(N:N,F:F,F190,H:H,H190,B:B,B190)&lt;=24)),IF(AND((K190*24)&gt;0,(K190*24)&lt;16),((K190*24)*MD!$I$6),IF((K190*24)&gt;=16,(MD!$J$6))),IF(AND(F190="Non_workdays",(SUMIFS(N:N,F:F,F190,H:H,H190,B:B,B190)&lt;=24)),IF(AND((K190*24)&gt;0,(K190*24)&lt;12),((K190*24)*MD!$I$5),IF((K190*24)&gt;=12,(MD!$J$5))))))</f>
        <v>0</v>
      </c>
      <c r="M190" s="62"/>
      <c r="N190" s="72">
        <f t="shared" si="6"/>
        <v>0</v>
      </c>
    </row>
    <row r="191" spans="1:14" x14ac:dyDescent="0.25">
      <c r="A191" s="62">
        <v>190</v>
      </c>
      <c r="B191" s="62"/>
      <c r="C191" s="85" t="str">
        <f>IF(ISNA(VLOOKUP($B191,CPY!$B:$G,2,FALSE))=TRUE," ",VLOOKUP($B191,CPY!$B:$G,2,FALSE))</f>
        <v> </v>
      </c>
      <c r="D191" s="50" t="str">
        <f>IF(ISNA(VLOOKUP($B191,CPY!$B:$G,3,FALSE))=TRUE," ",VLOOKUP($B191,CPY!$B:$G,3,FALSE))</f>
        <v> </v>
      </c>
      <c r="E191" s="65" t="str">
        <f>IF(ISNA(VLOOKUP($B191,CPY!$B:$G,4,FALSE))=TRUE," ",VLOOKUP($B191,CPY!$B:$G,4,FALSE))</f>
        <v> </v>
      </c>
      <c r="F191" s="62"/>
      <c r="G191" s="86"/>
      <c r="H191" s="87"/>
      <c r="I191" s="88"/>
      <c r="J191" s="88"/>
      <c r="K191" s="89">
        <f t="shared" si="7"/>
        <v>0</v>
      </c>
      <c r="L191" s="90" t="b">
        <f>IF((ISNUMBER(K191)),IF(AND(F191="Workdays",(SUMIFS(N:N,F:F,F191,H:H,H191,B:B,B191)&lt;=24)),IF(AND((K191*24)&gt;0,(K191*24)&lt;16),((K191*24)*MD!$I$6),IF((K191*24)&gt;=16,(MD!$J$6))),IF(AND(F191="Non_workdays",(SUMIFS(N:N,F:F,F191,H:H,H191,B:B,B191)&lt;=24)),IF(AND((K191*24)&gt;0,(K191*24)&lt;12),((K191*24)*MD!$I$5),IF((K191*24)&gt;=12,(MD!$J$5))))))</f>
        <v>0</v>
      </c>
      <c r="M191" s="62"/>
      <c r="N191" s="72">
        <f t="shared" si="6"/>
        <v>0</v>
      </c>
    </row>
    <row r="192" spans="1:14" x14ac:dyDescent="0.25">
      <c r="A192" s="62">
        <v>191</v>
      </c>
      <c r="B192" s="62"/>
      <c r="C192" s="85" t="str">
        <f>IF(ISNA(VLOOKUP($B192,CPY!$B:$G,2,FALSE))=TRUE," ",VLOOKUP($B192,CPY!$B:$G,2,FALSE))</f>
        <v> </v>
      </c>
      <c r="D192" s="50" t="str">
        <f>IF(ISNA(VLOOKUP($B192,CPY!$B:$G,3,FALSE))=TRUE," ",VLOOKUP($B192,CPY!$B:$G,3,FALSE))</f>
        <v> </v>
      </c>
      <c r="E192" s="65" t="str">
        <f>IF(ISNA(VLOOKUP($B192,CPY!$B:$G,4,FALSE))=TRUE," ",VLOOKUP($B192,CPY!$B:$G,4,FALSE))</f>
        <v> </v>
      </c>
      <c r="F192" s="62"/>
      <c r="G192" s="86"/>
      <c r="H192" s="87"/>
      <c r="I192" s="88"/>
      <c r="J192" s="88"/>
      <c r="K192" s="89">
        <f t="shared" si="7"/>
        <v>0</v>
      </c>
      <c r="L192" s="90" t="b">
        <f>IF((ISNUMBER(K192)),IF(AND(F192="Workdays",(SUMIFS(N:N,F:F,F192,H:H,H192,B:B,B192)&lt;=24)),IF(AND((K192*24)&gt;0,(K192*24)&lt;16),((K192*24)*MD!$I$6),IF((K192*24)&gt;=16,(MD!$J$6))),IF(AND(F192="Non_workdays",(SUMIFS(N:N,F:F,F192,H:H,H192,B:B,B192)&lt;=24)),IF(AND((K192*24)&gt;0,(K192*24)&lt;12),((K192*24)*MD!$I$5),IF((K192*24)&gt;=12,(MD!$J$5))))))</f>
        <v>0</v>
      </c>
      <c r="M192" s="62"/>
      <c r="N192" s="72">
        <f t="shared" si="6"/>
        <v>0</v>
      </c>
    </row>
    <row r="193" spans="1:14" x14ac:dyDescent="0.25">
      <c r="A193" s="62">
        <v>192</v>
      </c>
      <c r="B193" s="62"/>
      <c r="C193" s="85" t="str">
        <f>IF(ISNA(VLOOKUP($B193,CPY!$B:$G,2,FALSE))=TRUE," ",VLOOKUP($B193,CPY!$B:$G,2,FALSE))</f>
        <v> </v>
      </c>
      <c r="D193" s="50" t="str">
        <f>IF(ISNA(VLOOKUP($B193,CPY!$B:$G,3,FALSE))=TRUE," ",VLOOKUP($B193,CPY!$B:$G,3,FALSE))</f>
        <v> </v>
      </c>
      <c r="E193" s="65" t="str">
        <f>IF(ISNA(VLOOKUP($B193,CPY!$B:$G,4,FALSE))=TRUE," ",VLOOKUP($B193,CPY!$B:$G,4,FALSE))</f>
        <v> </v>
      </c>
      <c r="F193" s="62"/>
      <c r="G193" s="86"/>
      <c r="H193" s="87"/>
      <c r="I193" s="88"/>
      <c r="J193" s="88"/>
      <c r="K193" s="89">
        <f t="shared" si="7"/>
        <v>0</v>
      </c>
      <c r="L193" s="90" t="b">
        <f>IF((ISNUMBER(K193)),IF(AND(F193="Workdays",(SUMIFS(N:N,F:F,F193,H:H,H193,B:B,B193)&lt;=24)),IF(AND((K193*24)&gt;0,(K193*24)&lt;16),((K193*24)*MD!$I$6),IF((K193*24)&gt;=16,(MD!$J$6))),IF(AND(F193="Non_workdays",(SUMIFS(N:N,F:F,F193,H:H,H193,B:B,B193)&lt;=24)),IF(AND((K193*24)&gt;0,(K193*24)&lt;12),((K193*24)*MD!$I$5),IF((K193*24)&gt;=12,(MD!$J$5))))))</f>
        <v>0</v>
      </c>
      <c r="M193" s="62"/>
      <c r="N193" s="72">
        <f t="shared" si="6"/>
        <v>0</v>
      </c>
    </row>
    <row r="194" spans="1:14" x14ac:dyDescent="0.25">
      <c r="A194" s="62">
        <v>193</v>
      </c>
      <c r="B194" s="62"/>
      <c r="C194" s="85" t="str">
        <f>IF(ISNA(VLOOKUP($B194,CPY!$B:$G,2,FALSE))=TRUE," ",VLOOKUP($B194,CPY!$B:$G,2,FALSE))</f>
        <v> </v>
      </c>
      <c r="D194" s="50" t="str">
        <f>IF(ISNA(VLOOKUP($B194,CPY!$B:$G,3,FALSE))=TRUE," ",VLOOKUP($B194,CPY!$B:$G,3,FALSE))</f>
        <v> </v>
      </c>
      <c r="E194" s="65" t="str">
        <f>IF(ISNA(VLOOKUP($B194,CPY!$B:$G,4,FALSE))=TRUE," ",VLOOKUP($B194,CPY!$B:$G,4,FALSE))</f>
        <v> </v>
      </c>
      <c r="F194" s="62"/>
      <c r="G194" s="86"/>
      <c r="H194" s="87"/>
      <c r="I194" s="88"/>
      <c r="J194" s="88"/>
      <c r="K194" s="89">
        <f t="shared" si="7"/>
        <v>0</v>
      </c>
      <c r="L194" s="90" t="b">
        <f>IF((ISNUMBER(K194)),IF(AND(F194="Workdays",(SUMIFS(N:N,F:F,F194,H:H,H194,B:B,B194)&lt;=24)),IF(AND((K194*24)&gt;0,(K194*24)&lt;16),((K194*24)*MD!$I$6),IF((K194*24)&gt;=16,(MD!$J$6))),IF(AND(F194="Non_workdays",(SUMIFS(N:N,F:F,F194,H:H,H194,B:B,B194)&lt;=24)),IF(AND((K194*24)&gt;0,(K194*24)&lt;12),((K194*24)*MD!$I$5),IF((K194*24)&gt;=12,(MD!$J$5))))))</f>
        <v>0</v>
      </c>
      <c r="M194" s="62"/>
      <c r="N194" s="72">
        <f t="shared" si="6"/>
        <v>0</v>
      </c>
    </row>
    <row r="195" spans="1:14" x14ac:dyDescent="0.25">
      <c r="A195" s="62">
        <v>194</v>
      </c>
      <c r="B195" s="62"/>
      <c r="C195" s="85" t="str">
        <f>IF(ISNA(VLOOKUP($B195,CPY!$B:$G,2,FALSE))=TRUE," ",VLOOKUP($B195,CPY!$B:$G,2,FALSE))</f>
        <v> </v>
      </c>
      <c r="D195" s="50" t="str">
        <f>IF(ISNA(VLOOKUP($B195,CPY!$B:$G,3,FALSE))=TRUE," ",VLOOKUP($B195,CPY!$B:$G,3,FALSE))</f>
        <v> </v>
      </c>
      <c r="E195" s="65" t="str">
        <f>IF(ISNA(VLOOKUP($B195,CPY!$B:$G,4,FALSE))=TRUE," ",VLOOKUP($B195,CPY!$B:$G,4,FALSE))</f>
        <v> </v>
      </c>
      <c r="F195" s="62"/>
      <c r="G195" s="86"/>
      <c r="H195" s="87"/>
      <c r="I195" s="88"/>
      <c r="J195" s="88"/>
      <c r="K195" s="89">
        <f t="shared" si="7"/>
        <v>0</v>
      </c>
      <c r="L195" s="90" t="b">
        <f>IF((ISNUMBER(K195)),IF(AND(F195="Workdays",(SUMIFS(N:N,F:F,F195,H:H,H195,B:B,B195)&lt;=24)),IF(AND((K195*24)&gt;0,(K195*24)&lt;16),((K195*24)*MD!$I$6),IF((K195*24)&gt;=16,(MD!$J$6))),IF(AND(F195="Non_workdays",(SUMIFS(N:N,F:F,F195,H:H,H195,B:B,B195)&lt;=24)),IF(AND((K195*24)&gt;0,(K195*24)&lt;12),((K195*24)*MD!$I$5),IF((K195*24)&gt;=12,(MD!$J$5))))))</f>
        <v>0</v>
      </c>
      <c r="M195" s="62"/>
      <c r="N195" s="72">
        <f t="shared" ref="N195:N258" si="8">K195*24</f>
        <v>0</v>
      </c>
    </row>
    <row r="196" spans="1:14" x14ac:dyDescent="0.25">
      <c r="A196" s="62">
        <v>195</v>
      </c>
      <c r="B196" s="62"/>
      <c r="C196" s="85" t="str">
        <f>IF(ISNA(VLOOKUP($B196,CPY!$B:$G,2,FALSE))=TRUE," ",VLOOKUP($B196,CPY!$B:$G,2,FALSE))</f>
        <v> </v>
      </c>
      <c r="D196" s="50" t="str">
        <f>IF(ISNA(VLOOKUP($B196,CPY!$B:$G,3,FALSE))=TRUE," ",VLOOKUP($B196,CPY!$B:$G,3,FALSE))</f>
        <v> </v>
      </c>
      <c r="E196" s="65" t="str">
        <f>IF(ISNA(VLOOKUP($B196,CPY!$B:$G,4,FALSE))=TRUE," ",VLOOKUP($B196,CPY!$B:$G,4,FALSE))</f>
        <v> </v>
      </c>
      <c r="F196" s="62"/>
      <c r="G196" s="86"/>
      <c r="H196" s="87"/>
      <c r="I196" s="88"/>
      <c r="J196" s="88"/>
      <c r="K196" s="89">
        <f t="shared" ref="K196:K259" si="9">IF(NOT(ISBLANK($J196)),(IF(J196&lt;I196,J196+1,J196)-I196))</f>
        <v>0</v>
      </c>
      <c r="L196" s="90" t="b">
        <f>IF((ISNUMBER(K196)),IF(AND(F196="Workdays",(SUMIFS(N:N,F:F,F196,H:H,H196,B:B,B196)&lt;=24)),IF(AND((K196*24)&gt;0,(K196*24)&lt;16),((K196*24)*MD!$I$6),IF((K196*24)&gt;=16,(MD!$J$6))),IF(AND(F196="Non_workdays",(SUMIFS(N:N,F:F,F196,H:H,H196,B:B,B196)&lt;=24)),IF(AND((K196*24)&gt;0,(K196*24)&lt;12),((K196*24)*MD!$I$5),IF((K196*24)&gt;=12,(MD!$J$5))))))</f>
        <v>0</v>
      </c>
      <c r="M196" s="62"/>
      <c r="N196" s="72">
        <f t="shared" si="8"/>
        <v>0</v>
      </c>
    </row>
    <row r="197" spans="1:14" x14ac:dyDescent="0.25">
      <c r="A197" s="62">
        <v>196</v>
      </c>
      <c r="B197" s="62"/>
      <c r="C197" s="85" t="str">
        <f>IF(ISNA(VLOOKUP($B197,CPY!$B:$G,2,FALSE))=TRUE," ",VLOOKUP($B197,CPY!$B:$G,2,FALSE))</f>
        <v> </v>
      </c>
      <c r="D197" s="50" t="str">
        <f>IF(ISNA(VLOOKUP($B197,CPY!$B:$G,3,FALSE))=TRUE," ",VLOOKUP($B197,CPY!$B:$G,3,FALSE))</f>
        <v> </v>
      </c>
      <c r="E197" s="65" t="str">
        <f>IF(ISNA(VLOOKUP($B197,CPY!$B:$G,4,FALSE))=TRUE," ",VLOOKUP($B197,CPY!$B:$G,4,FALSE))</f>
        <v> </v>
      </c>
      <c r="F197" s="62"/>
      <c r="G197" s="86"/>
      <c r="H197" s="87"/>
      <c r="I197" s="88"/>
      <c r="J197" s="88"/>
      <c r="K197" s="89">
        <f t="shared" si="9"/>
        <v>0</v>
      </c>
      <c r="L197" s="90" t="b">
        <f>IF((ISNUMBER(K197)),IF(AND(F197="Workdays",(SUMIFS(N:N,F:F,F197,H:H,H197,B:B,B197)&lt;=24)),IF(AND((K197*24)&gt;0,(K197*24)&lt;16),((K197*24)*MD!$I$6),IF((K197*24)&gt;=16,(MD!$J$6))),IF(AND(F197="Non_workdays",(SUMIFS(N:N,F:F,F197,H:H,H197,B:B,B197)&lt;=24)),IF(AND((K197*24)&gt;0,(K197*24)&lt;12),((K197*24)*MD!$I$5),IF((K197*24)&gt;=12,(MD!$J$5))))))</f>
        <v>0</v>
      </c>
      <c r="M197" s="62"/>
      <c r="N197" s="72">
        <f t="shared" si="8"/>
        <v>0</v>
      </c>
    </row>
    <row r="198" spans="1:14" x14ac:dyDescent="0.25">
      <c r="A198" s="62">
        <v>197</v>
      </c>
      <c r="B198" s="62"/>
      <c r="C198" s="85" t="str">
        <f>IF(ISNA(VLOOKUP($B198,CPY!$B:$G,2,FALSE))=TRUE," ",VLOOKUP($B198,CPY!$B:$G,2,FALSE))</f>
        <v> </v>
      </c>
      <c r="D198" s="50" t="str">
        <f>IF(ISNA(VLOOKUP($B198,CPY!$B:$G,3,FALSE))=TRUE," ",VLOOKUP($B198,CPY!$B:$G,3,FALSE))</f>
        <v> </v>
      </c>
      <c r="E198" s="65" t="str">
        <f>IF(ISNA(VLOOKUP($B198,CPY!$B:$G,4,FALSE))=TRUE," ",VLOOKUP($B198,CPY!$B:$G,4,FALSE))</f>
        <v> </v>
      </c>
      <c r="F198" s="62"/>
      <c r="G198" s="86"/>
      <c r="H198" s="87"/>
      <c r="I198" s="88"/>
      <c r="J198" s="88"/>
      <c r="K198" s="89">
        <f t="shared" si="9"/>
        <v>0</v>
      </c>
      <c r="L198" s="90" t="b">
        <f>IF((ISNUMBER(K198)),IF(AND(F198="Workdays",(SUMIFS(N:N,F:F,F198,H:H,H198,B:B,B198)&lt;=24)),IF(AND((K198*24)&gt;0,(K198*24)&lt;16),((K198*24)*MD!$I$6),IF((K198*24)&gt;=16,(MD!$J$6))),IF(AND(F198="Non_workdays",(SUMIFS(N:N,F:F,F198,H:H,H198,B:B,B198)&lt;=24)),IF(AND((K198*24)&gt;0,(K198*24)&lt;12),((K198*24)*MD!$I$5),IF((K198*24)&gt;=12,(MD!$J$5))))))</f>
        <v>0</v>
      </c>
      <c r="M198" s="62"/>
      <c r="N198" s="72">
        <f t="shared" si="8"/>
        <v>0</v>
      </c>
    </row>
    <row r="199" spans="1:14" x14ac:dyDescent="0.25">
      <c r="A199" s="62">
        <v>198</v>
      </c>
      <c r="B199" s="62"/>
      <c r="C199" s="85" t="str">
        <f>IF(ISNA(VLOOKUP($B199,CPY!$B:$G,2,FALSE))=TRUE," ",VLOOKUP($B199,CPY!$B:$G,2,FALSE))</f>
        <v> </v>
      </c>
      <c r="D199" s="50" t="str">
        <f>IF(ISNA(VLOOKUP($B199,CPY!$B:$G,3,FALSE))=TRUE," ",VLOOKUP($B199,CPY!$B:$G,3,FALSE))</f>
        <v> </v>
      </c>
      <c r="E199" s="65" t="str">
        <f>IF(ISNA(VLOOKUP($B199,CPY!$B:$G,4,FALSE))=TRUE," ",VLOOKUP($B199,CPY!$B:$G,4,FALSE))</f>
        <v> </v>
      </c>
      <c r="F199" s="62"/>
      <c r="G199" s="86"/>
      <c r="H199" s="87"/>
      <c r="I199" s="88"/>
      <c r="J199" s="88"/>
      <c r="K199" s="89">
        <f t="shared" si="9"/>
        <v>0</v>
      </c>
      <c r="L199" s="90" t="b">
        <f>IF((ISNUMBER(K199)),IF(AND(F199="Workdays",(SUMIFS(N:N,F:F,F199,H:H,H199,B:B,B199)&lt;=24)),IF(AND((K199*24)&gt;0,(K199*24)&lt;16),((K199*24)*MD!$I$6),IF((K199*24)&gt;=16,(MD!$J$6))),IF(AND(F199="Non_workdays",(SUMIFS(N:N,F:F,F199,H:H,H199,B:B,B199)&lt;=24)),IF(AND((K199*24)&gt;0,(K199*24)&lt;12),((K199*24)*MD!$I$5),IF((K199*24)&gt;=12,(MD!$J$5))))))</f>
        <v>0</v>
      </c>
      <c r="M199" s="62"/>
      <c r="N199" s="72">
        <f t="shared" si="8"/>
        <v>0</v>
      </c>
    </row>
    <row r="200" spans="1:14" x14ac:dyDescent="0.25">
      <c r="A200" s="62">
        <v>199</v>
      </c>
      <c r="B200" s="62"/>
      <c r="C200" s="85" t="str">
        <f>IF(ISNA(VLOOKUP($B200,CPY!$B:$G,2,FALSE))=TRUE," ",VLOOKUP($B200,CPY!$B:$G,2,FALSE))</f>
        <v> </v>
      </c>
      <c r="D200" s="50" t="str">
        <f>IF(ISNA(VLOOKUP($B200,CPY!$B:$G,3,FALSE))=TRUE," ",VLOOKUP($B200,CPY!$B:$G,3,FALSE))</f>
        <v> </v>
      </c>
      <c r="E200" s="65" t="str">
        <f>IF(ISNA(VLOOKUP($B200,CPY!$B:$G,4,FALSE))=TRUE," ",VLOOKUP($B200,CPY!$B:$G,4,FALSE))</f>
        <v> </v>
      </c>
      <c r="F200" s="62"/>
      <c r="G200" s="86"/>
      <c r="H200" s="87"/>
      <c r="I200" s="88"/>
      <c r="J200" s="88"/>
      <c r="K200" s="89">
        <f t="shared" si="9"/>
        <v>0</v>
      </c>
      <c r="L200" s="90" t="b">
        <f>IF((ISNUMBER(K200)),IF(AND(F200="Workdays",(SUMIFS(N:N,F:F,F200,H:H,H200,B:B,B200)&lt;=24)),IF(AND((K200*24)&gt;0,(K200*24)&lt;16),((K200*24)*MD!$I$6),IF((K200*24)&gt;=16,(MD!$J$6))),IF(AND(F200="Non_workdays",(SUMIFS(N:N,F:F,F200,H:H,H200,B:B,B200)&lt;=24)),IF(AND((K200*24)&gt;0,(K200*24)&lt;12),((K200*24)*MD!$I$5),IF((K200*24)&gt;=12,(MD!$J$5))))))</f>
        <v>0</v>
      </c>
      <c r="M200" s="62"/>
      <c r="N200" s="72">
        <f t="shared" si="8"/>
        <v>0</v>
      </c>
    </row>
    <row r="201" spans="1:14" x14ac:dyDescent="0.25">
      <c r="A201" s="62">
        <v>200</v>
      </c>
      <c r="B201" s="62"/>
      <c r="C201" s="85" t="str">
        <f>IF(ISNA(VLOOKUP($B201,CPY!$B:$G,2,FALSE))=TRUE," ",VLOOKUP($B201,CPY!$B:$G,2,FALSE))</f>
        <v> </v>
      </c>
      <c r="D201" s="50" t="str">
        <f>IF(ISNA(VLOOKUP($B201,CPY!$B:$G,3,FALSE))=TRUE," ",VLOOKUP($B201,CPY!$B:$G,3,FALSE))</f>
        <v> </v>
      </c>
      <c r="E201" s="65" t="str">
        <f>IF(ISNA(VLOOKUP($B201,CPY!$B:$G,4,FALSE))=TRUE," ",VLOOKUP($B201,CPY!$B:$G,4,FALSE))</f>
        <v> </v>
      </c>
      <c r="F201" s="62"/>
      <c r="G201" s="86"/>
      <c r="H201" s="87"/>
      <c r="I201" s="88"/>
      <c r="J201" s="88"/>
      <c r="K201" s="89">
        <f t="shared" si="9"/>
        <v>0</v>
      </c>
      <c r="L201" s="90" t="b">
        <f>IF((ISNUMBER(K201)),IF(AND(F201="Workdays",(SUMIFS(N:N,F:F,F201,H:H,H201,B:B,B201)&lt;=24)),IF(AND((K201*24)&gt;0,(K201*24)&lt;16),((K201*24)*MD!$I$6),IF((K201*24)&gt;=16,(MD!$J$6))),IF(AND(F201="Non_workdays",(SUMIFS(N:N,F:F,F201,H:H,H201,B:B,B201)&lt;=24)),IF(AND((K201*24)&gt;0,(K201*24)&lt;12),((K201*24)*MD!$I$5),IF((K201*24)&gt;=12,(MD!$J$5))))))</f>
        <v>0</v>
      </c>
      <c r="M201" s="62"/>
      <c r="N201" s="72">
        <f t="shared" si="8"/>
        <v>0</v>
      </c>
    </row>
    <row r="202" spans="1:14" x14ac:dyDescent="0.25">
      <c r="A202" s="62">
        <v>201</v>
      </c>
      <c r="B202" s="62"/>
      <c r="C202" s="85" t="str">
        <f>IF(ISNA(VLOOKUP($B202,CPY!$B:$G,2,FALSE))=TRUE," ",VLOOKUP($B202,CPY!$B:$G,2,FALSE))</f>
        <v> </v>
      </c>
      <c r="D202" s="50" t="str">
        <f>IF(ISNA(VLOOKUP($B202,CPY!$B:$G,3,FALSE))=TRUE," ",VLOOKUP($B202,CPY!$B:$G,3,FALSE))</f>
        <v> </v>
      </c>
      <c r="E202" s="65" t="str">
        <f>IF(ISNA(VLOOKUP($B202,CPY!$B:$G,4,FALSE))=TRUE," ",VLOOKUP($B202,CPY!$B:$G,4,FALSE))</f>
        <v> </v>
      </c>
      <c r="F202" s="62"/>
      <c r="G202" s="86"/>
      <c r="H202" s="87"/>
      <c r="I202" s="88"/>
      <c r="J202" s="88"/>
      <c r="K202" s="89">
        <f t="shared" si="9"/>
        <v>0</v>
      </c>
      <c r="L202" s="90" t="b">
        <f>IF((ISNUMBER(K202)),IF(AND(F202="Workdays",(SUMIFS(N:N,F:F,F202,H:H,H202,B:B,B202)&lt;=24)),IF(AND((K202*24)&gt;0,(K202*24)&lt;16),((K202*24)*MD!$I$6),IF((K202*24)&gt;=16,(MD!$J$6))),IF(AND(F202="Non_workdays",(SUMIFS(N:N,F:F,F202,H:H,H202,B:B,B202)&lt;=24)),IF(AND((K202*24)&gt;0,(K202*24)&lt;12),((K202*24)*MD!$I$5),IF((K202*24)&gt;=12,(MD!$J$5))))))</f>
        <v>0</v>
      </c>
      <c r="M202" s="62"/>
      <c r="N202" s="72">
        <f t="shared" si="8"/>
        <v>0</v>
      </c>
    </row>
    <row r="203" spans="1:14" x14ac:dyDescent="0.25">
      <c r="A203" s="62">
        <v>202</v>
      </c>
      <c r="B203" s="62"/>
      <c r="C203" s="85" t="str">
        <f>IF(ISNA(VLOOKUP($B203,CPY!$B:$G,2,FALSE))=TRUE," ",VLOOKUP($B203,CPY!$B:$G,2,FALSE))</f>
        <v> </v>
      </c>
      <c r="D203" s="50" t="str">
        <f>IF(ISNA(VLOOKUP($B203,CPY!$B:$G,3,FALSE))=TRUE," ",VLOOKUP($B203,CPY!$B:$G,3,FALSE))</f>
        <v> </v>
      </c>
      <c r="E203" s="65" t="str">
        <f>IF(ISNA(VLOOKUP($B203,CPY!$B:$G,4,FALSE))=TRUE," ",VLOOKUP($B203,CPY!$B:$G,4,FALSE))</f>
        <v> </v>
      </c>
      <c r="F203" s="62"/>
      <c r="G203" s="86"/>
      <c r="H203" s="87"/>
      <c r="I203" s="88"/>
      <c r="J203" s="88"/>
      <c r="K203" s="89">
        <f t="shared" si="9"/>
        <v>0</v>
      </c>
      <c r="L203" s="90" t="b">
        <f>IF((ISNUMBER(K203)),IF(AND(F203="Workdays",(SUMIFS(N:N,F:F,F203,H:H,H203,B:B,B203)&lt;=24)),IF(AND((K203*24)&gt;0,(K203*24)&lt;16),((K203*24)*MD!$I$6),IF((K203*24)&gt;=16,(MD!$J$6))),IF(AND(F203="Non_workdays",(SUMIFS(N:N,F:F,F203,H:H,H203,B:B,B203)&lt;=24)),IF(AND((K203*24)&gt;0,(K203*24)&lt;12),((K203*24)*MD!$I$5),IF((K203*24)&gt;=12,(MD!$J$5))))))</f>
        <v>0</v>
      </c>
      <c r="M203" s="62"/>
      <c r="N203" s="72">
        <f t="shared" si="8"/>
        <v>0</v>
      </c>
    </row>
    <row r="204" spans="1:14" x14ac:dyDescent="0.25">
      <c r="A204" s="62">
        <v>203</v>
      </c>
      <c r="B204" s="62"/>
      <c r="C204" s="85" t="str">
        <f>IF(ISNA(VLOOKUP($B204,CPY!$B:$G,2,FALSE))=TRUE," ",VLOOKUP($B204,CPY!$B:$G,2,FALSE))</f>
        <v> </v>
      </c>
      <c r="D204" s="50" t="str">
        <f>IF(ISNA(VLOOKUP($B204,CPY!$B:$G,3,FALSE))=TRUE," ",VLOOKUP($B204,CPY!$B:$G,3,FALSE))</f>
        <v> </v>
      </c>
      <c r="E204" s="65" t="str">
        <f>IF(ISNA(VLOOKUP($B204,CPY!$B:$G,4,FALSE))=TRUE," ",VLOOKUP($B204,CPY!$B:$G,4,FALSE))</f>
        <v> </v>
      </c>
      <c r="F204" s="62"/>
      <c r="G204" s="86"/>
      <c r="H204" s="87"/>
      <c r="I204" s="88"/>
      <c r="J204" s="88"/>
      <c r="K204" s="89">
        <f t="shared" si="9"/>
        <v>0</v>
      </c>
      <c r="L204" s="90" t="b">
        <f>IF((ISNUMBER(K204)),IF(AND(F204="Workdays",(SUMIFS(N:N,F:F,F204,H:H,H204,B:B,B204)&lt;=24)),IF(AND((K204*24)&gt;0,(K204*24)&lt;16),((K204*24)*MD!$I$6),IF((K204*24)&gt;=16,(MD!$J$6))),IF(AND(F204="Non_workdays",(SUMIFS(N:N,F:F,F204,H:H,H204,B:B,B204)&lt;=24)),IF(AND((K204*24)&gt;0,(K204*24)&lt;12),((K204*24)*MD!$I$5),IF((K204*24)&gt;=12,(MD!$J$5))))))</f>
        <v>0</v>
      </c>
      <c r="M204" s="62"/>
      <c r="N204" s="72">
        <f t="shared" si="8"/>
        <v>0</v>
      </c>
    </row>
    <row r="205" spans="1:14" x14ac:dyDescent="0.25">
      <c r="A205" s="62">
        <v>204</v>
      </c>
      <c r="B205" s="62"/>
      <c r="C205" s="85" t="str">
        <f>IF(ISNA(VLOOKUP($B205,CPY!$B:$G,2,FALSE))=TRUE," ",VLOOKUP($B205,CPY!$B:$G,2,FALSE))</f>
        <v> </v>
      </c>
      <c r="D205" s="50" t="str">
        <f>IF(ISNA(VLOOKUP($B205,CPY!$B:$G,3,FALSE))=TRUE," ",VLOOKUP($B205,CPY!$B:$G,3,FALSE))</f>
        <v> </v>
      </c>
      <c r="E205" s="65" t="str">
        <f>IF(ISNA(VLOOKUP($B205,CPY!$B:$G,4,FALSE))=TRUE," ",VLOOKUP($B205,CPY!$B:$G,4,FALSE))</f>
        <v> </v>
      </c>
      <c r="F205" s="62"/>
      <c r="G205" s="86"/>
      <c r="H205" s="87"/>
      <c r="I205" s="88"/>
      <c r="J205" s="88"/>
      <c r="K205" s="89">
        <f t="shared" si="9"/>
        <v>0</v>
      </c>
      <c r="L205" s="90" t="b">
        <f>IF((ISNUMBER(K205)),IF(AND(F205="Workdays",(SUMIFS(N:N,F:F,F205,H:H,H205,B:B,B205)&lt;=24)),IF(AND((K205*24)&gt;0,(K205*24)&lt;16),((K205*24)*MD!$I$6),IF((K205*24)&gt;=16,(MD!$J$6))),IF(AND(F205="Non_workdays",(SUMIFS(N:N,F:F,F205,H:H,H205,B:B,B205)&lt;=24)),IF(AND((K205*24)&gt;0,(K205*24)&lt;12),((K205*24)*MD!$I$5),IF((K205*24)&gt;=12,(MD!$J$5))))))</f>
        <v>0</v>
      </c>
      <c r="M205" s="62"/>
      <c r="N205" s="72">
        <f t="shared" si="8"/>
        <v>0</v>
      </c>
    </row>
    <row r="206" spans="1:14" x14ac:dyDescent="0.25">
      <c r="A206" s="62">
        <v>205</v>
      </c>
      <c r="B206" s="62"/>
      <c r="C206" s="85" t="str">
        <f>IF(ISNA(VLOOKUP($B206,CPY!$B:$G,2,FALSE))=TRUE," ",VLOOKUP($B206,CPY!$B:$G,2,FALSE))</f>
        <v> </v>
      </c>
      <c r="D206" s="50" t="str">
        <f>IF(ISNA(VLOOKUP($B206,CPY!$B:$G,3,FALSE))=TRUE," ",VLOOKUP($B206,CPY!$B:$G,3,FALSE))</f>
        <v> </v>
      </c>
      <c r="E206" s="65" t="str">
        <f>IF(ISNA(VLOOKUP($B206,CPY!$B:$G,4,FALSE))=TRUE," ",VLOOKUP($B206,CPY!$B:$G,4,FALSE))</f>
        <v> </v>
      </c>
      <c r="F206" s="62"/>
      <c r="G206" s="86"/>
      <c r="H206" s="87"/>
      <c r="I206" s="88"/>
      <c r="J206" s="88"/>
      <c r="K206" s="89">
        <f t="shared" si="9"/>
        <v>0</v>
      </c>
      <c r="L206" s="90" t="b">
        <f>IF((ISNUMBER(K206)),IF(AND(F206="Workdays",(SUMIFS(N:N,F:F,F206,H:H,H206,B:B,B206)&lt;=24)),IF(AND((K206*24)&gt;0,(K206*24)&lt;16),((K206*24)*MD!$I$6),IF((K206*24)&gt;=16,(MD!$J$6))),IF(AND(F206="Non_workdays",(SUMIFS(N:N,F:F,F206,H:H,H206,B:B,B206)&lt;=24)),IF(AND((K206*24)&gt;0,(K206*24)&lt;12),((K206*24)*MD!$I$5),IF((K206*24)&gt;=12,(MD!$J$5))))))</f>
        <v>0</v>
      </c>
      <c r="M206" s="62"/>
      <c r="N206" s="72">
        <f t="shared" si="8"/>
        <v>0</v>
      </c>
    </row>
    <row r="207" spans="1:14" x14ac:dyDescent="0.25">
      <c r="A207" s="62">
        <v>206</v>
      </c>
      <c r="B207" s="62"/>
      <c r="C207" s="85" t="str">
        <f>IF(ISNA(VLOOKUP($B207,CPY!$B:$G,2,FALSE))=TRUE," ",VLOOKUP($B207,CPY!$B:$G,2,FALSE))</f>
        <v> </v>
      </c>
      <c r="D207" s="50" t="str">
        <f>IF(ISNA(VLOOKUP($B207,CPY!$B:$G,3,FALSE))=TRUE," ",VLOOKUP($B207,CPY!$B:$G,3,FALSE))</f>
        <v> </v>
      </c>
      <c r="E207" s="65" t="str">
        <f>IF(ISNA(VLOOKUP($B207,CPY!$B:$G,4,FALSE))=TRUE," ",VLOOKUP($B207,CPY!$B:$G,4,FALSE))</f>
        <v> </v>
      </c>
      <c r="F207" s="62"/>
      <c r="G207" s="86"/>
      <c r="H207" s="87"/>
      <c r="I207" s="88"/>
      <c r="J207" s="88"/>
      <c r="K207" s="89">
        <f t="shared" si="9"/>
        <v>0</v>
      </c>
      <c r="L207" s="90" t="b">
        <f>IF((ISNUMBER(K207)),IF(AND(F207="Workdays",(SUMIFS(N:N,F:F,F207,H:H,H207,B:B,B207)&lt;=24)),IF(AND((K207*24)&gt;0,(K207*24)&lt;16),((K207*24)*MD!$I$6),IF((K207*24)&gt;=16,(MD!$J$6))),IF(AND(F207="Non_workdays",(SUMIFS(N:N,F:F,F207,H:H,H207,B:B,B207)&lt;=24)),IF(AND((K207*24)&gt;0,(K207*24)&lt;12),((K207*24)*MD!$I$5),IF((K207*24)&gt;=12,(MD!$J$5))))))</f>
        <v>0</v>
      </c>
      <c r="M207" s="62"/>
      <c r="N207" s="72">
        <f t="shared" si="8"/>
        <v>0</v>
      </c>
    </row>
    <row r="208" spans="1:14" x14ac:dyDescent="0.25">
      <c r="A208" s="62">
        <v>207</v>
      </c>
      <c r="B208" s="62"/>
      <c r="C208" s="85" t="str">
        <f>IF(ISNA(VLOOKUP($B208,CPY!$B:$G,2,FALSE))=TRUE," ",VLOOKUP($B208,CPY!$B:$G,2,FALSE))</f>
        <v> </v>
      </c>
      <c r="D208" s="50" t="str">
        <f>IF(ISNA(VLOOKUP($B208,CPY!$B:$G,3,FALSE))=TRUE," ",VLOOKUP($B208,CPY!$B:$G,3,FALSE))</f>
        <v> </v>
      </c>
      <c r="E208" s="65" t="str">
        <f>IF(ISNA(VLOOKUP($B208,CPY!$B:$G,4,FALSE))=TRUE," ",VLOOKUP($B208,CPY!$B:$G,4,FALSE))</f>
        <v> </v>
      </c>
      <c r="F208" s="62"/>
      <c r="G208" s="86"/>
      <c r="H208" s="87"/>
      <c r="I208" s="88"/>
      <c r="J208" s="88"/>
      <c r="K208" s="89">
        <f t="shared" si="9"/>
        <v>0</v>
      </c>
      <c r="L208" s="90" t="b">
        <f>IF((ISNUMBER(K208)),IF(AND(F208="Workdays",(SUMIFS(N:N,F:F,F208,H:H,H208,B:B,B208)&lt;=24)),IF(AND((K208*24)&gt;0,(K208*24)&lt;16),((K208*24)*MD!$I$6),IF((K208*24)&gt;=16,(MD!$J$6))),IF(AND(F208="Non_workdays",(SUMIFS(N:N,F:F,F208,H:H,H208,B:B,B208)&lt;=24)),IF(AND((K208*24)&gt;0,(K208*24)&lt;12),((K208*24)*MD!$I$5),IF((K208*24)&gt;=12,(MD!$J$5))))))</f>
        <v>0</v>
      </c>
      <c r="M208" s="62"/>
      <c r="N208" s="72">
        <f t="shared" si="8"/>
        <v>0</v>
      </c>
    </row>
    <row r="209" spans="1:14" x14ac:dyDescent="0.25">
      <c r="A209" s="62">
        <v>208</v>
      </c>
      <c r="B209" s="62"/>
      <c r="C209" s="85" t="str">
        <f>IF(ISNA(VLOOKUP($B209,CPY!$B:$G,2,FALSE))=TRUE," ",VLOOKUP($B209,CPY!$B:$G,2,FALSE))</f>
        <v> </v>
      </c>
      <c r="D209" s="50" t="str">
        <f>IF(ISNA(VLOOKUP($B209,CPY!$B:$G,3,FALSE))=TRUE," ",VLOOKUP($B209,CPY!$B:$G,3,FALSE))</f>
        <v> </v>
      </c>
      <c r="E209" s="65" t="str">
        <f>IF(ISNA(VLOOKUP($B209,CPY!$B:$G,4,FALSE))=TRUE," ",VLOOKUP($B209,CPY!$B:$G,4,FALSE))</f>
        <v> </v>
      </c>
      <c r="F209" s="62"/>
      <c r="G209" s="86"/>
      <c r="H209" s="87"/>
      <c r="I209" s="88"/>
      <c r="J209" s="88"/>
      <c r="K209" s="89">
        <f t="shared" si="9"/>
        <v>0</v>
      </c>
      <c r="L209" s="90" t="b">
        <f>IF((ISNUMBER(K209)),IF(AND(F209="Workdays",(SUMIFS(N:N,F:F,F209,H:H,H209,B:B,B209)&lt;=24)),IF(AND((K209*24)&gt;0,(K209*24)&lt;16),((K209*24)*MD!$I$6),IF((K209*24)&gt;=16,(MD!$J$6))),IF(AND(F209="Non_workdays",(SUMIFS(N:N,F:F,F209,H:H,H209,B:B,B209)&lt;=24)),IF(AND((K209*24)&gt;0,(K209*24)&lt;12),((K209*24)*MD!$I$5),IF((K209*24)&gt;=12,(MD!$J$5))))))</f>
        <v>0</v>
      </c>
      <c r="M209" s="62"/>
      <c r="N209" s="72">
        <f t="shared" si="8"/>
        <v>0</v>
      </c>
    </row>
    <row r="210" spans="1:14" x14ac:dyDescent="0.25">
      <c r="A210" s="62">
        <v>209</v>
      </c>
      <c r="B210" s="62"/>
      <c r="C210" s="85" t="str">
        <f>IF(ISNA(VLOOKUP($B210,CPY!$B:$G,2,FALSE))=TRUE," ",VLOOKUP($B210,CPY!$B:$G,2,FALSE))</f>
        <v> </v>
      </c>
      <c r="D210" s="50" t="str">
        <f>IF(ISNA(VLOOKUP($B210,CPY!$B:$G,3,FALSE))=TRUE," ",VLOOKUP($B210,CPY!$B:$G,3,FALSE))</f>
        <v> </v>
      </c>
      <c r="E210" s="65" t="str">
        <f>IF(ISNA(VLOOKUP($B210,CPY!$B:$G,4,FALSE))=TRUE," ",VLOOKUP($B210,CPY!$B:$G,4,FALSE))</f>
        <v> </v>
      </c>
      <c r="F210" s="62"/>
      <c r="G210" s="86"/>
      <c r="H210" s="87"/>
      <c r="I210" s="88"/>
      <c r="J210" s="88"/>
      <c r="K210" s="89">
        <f t="shared" si="9"/>
        <v>0</v>
      </c>
      <c r="L210" s="90" t="b">
        <f>IF((ISNUMBER(K210)),IF(AND(F210="Workdays",(SUMIFS(N:N,F:F,F210,H:H,H210,B:B,B210)&lt;=24)),IF(AND((K210*24)&gt;0,(K210*24)&lt;16),((K210*24)*MD!$I$6),IF((K210*24)&gt;=16,(MD!$J$6))),IF(AND(F210="Non_workdays",(SUMIFS(N:N,F:F,F210,H:H,H210,B:B,B210)&lt;=24)),IF(AND((K210*24)&gt;0,(K210*24)&lt;12),((K210*24)*MD!$I$5),IF((K210*24)&gt;=12,(MD!$J$5))))))</f>
        <v>0</v>
      </c>
      <c r="M210" s="62"/>
      <c r="N210" s="72">
        <f t="shared" si="8"/>
        <v>0</v>
      </c>
    </row>
    <row r="211" spans="1:14" x14ac:dyDescent="0.25">
      <c r="A211" s="62">
        <v>210</v>
      </c>
      <c r="B211" s="62"/>
      <c r="C211" s="85" t="str">
        <f>IF(ISNA(VLOOKUP($B211,CPY!$B:$G,2,FALSE))=TRUE," ",VLOOKUP($B211,CPY!$B:$G,2,FALSE))</f>
        <v> </v>
      </c>
      <c r="D211" s="50" t="str">
        <f>IF(ISNA(VLOOKUP($B211,CPY!$B:$G,3,FALSE))=TRUE," ",VLOOKUP($B211,CPY!$B:$G,3,FALSE))</f>
        <v> </v>
      </c>
      <c r="E211" s="65" t="str">
        <f>IF(ISNA(VLOOKUP($B211,CPY!$B:$G,4,FALSE))=TRUE," ",VLOOKUP($B211,CPY!$B:$G,4,FALSE))</f>
        <v> </v>
      </c>
      <c r="F211" s="62"/>
      <c r="G211" s="86"/>
      <c r="H211" s="87"/>
      <c r="I211" s="88"/>
      <c r="J211" s="88"/>
      <c r="K211" s="89">
        <f t="shared" si="9"/>
        <v>0</v>
      </c>
      <c r="L211" s="90" t="b">
        <f>IF((ISNUMBER(K211)),IF(AND(F211="Workdays",(SUMIFS(N:N,F:F,F211,H:H,H211,B:B,B211)&lt;=24)),IF(AND((K211*24)&gt;0,(K211*24)&lt;16),((K211*24)*MD!$I$6),IF((K211*24)&gt;=16,(MD!$J$6))),IF(AND(F211="Non_workdays",(SUMIFS(N:N,F:F,F211,H:H,H211,B:B,B211)&lt;=24)),IF(AND((K211*24)&gt;0,(K211*24)&lt;12),((K211*24)*MD!$I$5),IF((K211*24)&gt;=12,(MD!$J$5))))))</f>
        <v>0</v>
      </c>
      <c r="M211" s="62"/>
      <c r="N211" s="72">
        <f t="shared" si="8"/>
        <v>0</v>
      </c>
    </row>
    <row r="212" spans="1:14" x14ac:dyDescent="0.25">
      <c r="A212" s="62">
        <v>211</v>
      </c>
      <c r="B212" s="62"/>
      <c r="C212" s="85" t="str">
        <f>IF(ISNA(VLOOKUP($B212,CPY!$B:$G,2,FALSE))=TRUE," ",VLOOKUP($B212,CPY!$B:$G,2,FALSE))</f>
        <v> </v>
      </c>
      <c r="D212" s="50" t="str">
        <f>IF(ISNA(VLOOKUP($B212,CPY!$B:$G,3,FALSE))=TRUE," ",VLOOKUP($B212,CPY!$B:$G,3,FALSE))</f>
        <v> </v>
      </c>
      <c r="E212" s="65" t="str">
        <f>IF(ISNA(VLOOKUP($B212,CPY!$B:$G,4,FALSE))=TRUE," ",VLOOKUP($B212,CPY!$B:$G,4,FALSE))</f>
        <v> </v>
      </c>
      <c r="F212" s="62"/>
      <c r="G212" s="86"/>
      <c r="H212" s="87"/>
      <c r="I212" s="88"/>
      <c r="J212" s="88"/>
      <c r="K212" s="89">
        <f t="shared" si="9"/>
        <v>0</v>
      </c>
      <c r="L212" s="90" t="b">
        <f>IF((ISNUMBER(K212)),IF(AND(F212="Workdays",(SUMIFS(N:N,F:F,F212,H:H,H212,B:B,B212)&lt;=24)),IF(AND((K212*24)&gt;0,(K212*24)&lt;16),((K212*24)*MD!$I$6),IF((K212*24)&gt;=16,(MD!$J$6))),IF(AND(F212="Non_workdays",(SUMIFS(N:N,F:F,F212,H:H,H212,B:B,B212)&lt;=24)),IF(AND((K212*24)&gt;0,(K212*24)&lt;12),((K212*24)*MD!$I$5),IF((K212*24)&gt;=12,(MD!$J$5))))))</f>
        <v>0</v>
      </c>
      <c r="M212" s="62"/>
      <c r="N212" s="72">
        <f t="shared" si="8"/>
        <v>0</v>
      </c>
    </row>
    <row r="213" spans="1:14" x14ac:dyDescent="0.25">
      <c r="A213" s="62">
        <v>212</v>
      </c>
      <c r="B213" s="62"/>
      <c r="C213" s="85" t="str">
        <f>IF(ISNA(VLOOKUP($B213,CPY!$B:$G,2,FALSE))=TRUE," ",VLOOKUP($B213,CPY!$B:$G,2,FALSE))</f>
        <v> </v>
      </c>
      <c r="D213" s="50" t="str">
        <f>IF(ISNA(VLOOKUP($B213,CPY!$B:$G,3,FALSE))=TRUE," ",VLOOKUP($B213,CPY!$B:$G,3,FALSE))</f>
        <v> </v>
      </c>
      <c r="E213" s="65" t="str">
        <f>IF(ISNA(VLOOKUP($B213,CPY!$B:$G,4,FALSE))=TRUE," ",VLOOKUP($B213,CPY!$B:$G,4,FALSE))</f>
        <v> </v>
      </c>
      <c r="F213" s="62"/>
      <c r="G213" s="86"/>
      <c r="H213" s="87"/>
      <c r="I213" s="88"/>
      <c r="J213" s="88"/>
      <c r="K213" s="89">
        <f t="shared" si="9"/>
        <v>0</v>
      </c>
      <c r="L213" s="90" t="b">
        <f>IF((ISNUMBER(K213)),IF(AND(F213="Workdays",(SUMIFS(N:N,F:F,F213,H:H,H213,B:B,B213)&lt;=24)),IF(AND((K213*24)&gt;0,(K213*24)&lt;16),((K213*24)*MD!$I$6),IF((K213*24)&gt;=16,(MD!$J$6))),IF(AND(F213="Non_workdays",(SUMIFS(N:N,F:F,F213,H:H,H213,B:B,B213)&lt;=24)),IF(AND((K213*24)&gt;0,(K213*24)&lt;12),((K213*24)*MD!$I$5),IF((K213*24)&gt;=12,(MD!$J$5))))))</f>
        <v>0</v>
      </c>
      <c r="M213" s="62"/>
      <c r="N213" s="72">
        <f t="shared" si="8"/>
        <v>0</v>
      </c>
    </row>
    <row r="214" spans="1:14" x14ac:dyDescent="0.25">
      <c r="A214" s="62">
        <v>213</v>
      </c>
      <c r="B214" s="62"/>
      <c r="C214" s="85" t="str">
        <f>IF(ISNA(VLOOKUP($B214,CPY!$B:$G,2,FALSE))=TRUE," ",VLOOKUP($B214,CPY!$B:$G,2,FALSE))</f>
        <v> </v>
      </c>
      <c r="D214" s="50" t="str">
        <f>IF(ISNA(VLOOKUP($B214,CPY!$B:$G,3,FALSE))=TRUE," ",VLOOKUP($B214,CPY!$B:$G,3,FALSE))</f>
        <v> </v>
      </c>
      <c r="E214" s="65" t="str">
        <f>IF(ISNA(VLOOKUP($B214,CPY!$B:$G,4,FALSE))=TRUE," ",VLOOKUP($B214,CPY!$B:$G,4,FALSE))</f>
        <v> </v>
      </c>
      <c r="F214" s="62"/>
      <c r="G214" s="86"/>
      <c r="H214" s="87"/>
      <c r="I214" s="88"/>
      <c r="J214" s="88"/>
      <c r="K214" s="89">
        <f t="shared" si="9"/>
        <v>0</v>
      </c>
      <c r="L214" s="90" t="b">
        <f>IF((ISNUMBER(K214)),IF(AND(F214="Workdays",(SUMIFS(N:N,F:F,F214,H:H,H214,B:B,B214)&lt;=24)),IF(AND((K214*24)&gt;0,(K214*24)&lt;16),((K214*24)*MD!$I$6),IF((K214*24)&gt;=16,(MD!$J$6))),IF(AND(F214="Non_workdays",(SUMIFS(N:N,F:F,F214,H:H,H214,B:B,B214)&lt;=24)),IF(AND((K214*24)&gt;0,(K214*24)&lt;12),((K214*24)*MD!$I$5),IF((K214*24)&gt;=12,(MD!$J$5))))))</f>
        <v>0</v>
      </c>
      <c r="M214" s="62"/>
      <c r="N214" s="72">
        <f t="shared" si="8"/>
        <v>0</v>
      </c>
    </row>
    <row r="215" spans="1:14" x14ac:dyDescent="0.25">
      <c r="A215" s="62">
        <v>214</v>
      </c>
      <c r="B215" s="62"/>
      <c r="C215" s="85" t="str">
        <f>IF(ISNA(VLOOKUP($B215,CPY!$B:$G,2,FALSE))=TRUE," ",VLOOKUP($B215,CPY!$B:$G,2,FALSE))</f>
        <v> </v>
      </c>
      <c r="D215" s="50" t="str">
        <f>IF(ISNA(VLOOKUP($B215,CPY!$B:$G,3,FALSE))=TRUE," ",VLOOKUP($B215,CPY!$B:$G,3,FALSE))</f>
        <v> </v>
      </c>
      <c r="E215" s="65" t="str">
        <f>IF(ISNA(VLOOKUP($B215,CPY!$B:$G,4,FALSE))=TRUE," ",VLOOKUP($B215,CPY!$B:$G,4,FALSE))</f>
        <v> </v>
      </c>
      <c r="F215" s="62"/>
      <c r="G215" s="86"/>
      <c r="H215" s="87"/>
      <c r="I215" s="88"/>
      <c r="J215" s="88"/>
      <c r="K215" s="89">
        <f t="shared" si="9"/>
        <v>0</v>
      </c>
      <c r="L215" s="90" t="b">
        <f>IF((ISNUMBER(K215)),IF(AND(F215="Workdays",(SUMIFS(N:N,F:F,F215,H:H,H215,B:B,B215)&lt;=24)),IF(AND((K215*24)&gt;0,(K215*24)&lt;16),((K215*24)*MD!$I$6),IF((K215*24)&gt;=16,(MD!$J$6))),IF(AND(F215="Non_workdays",(SUMIFS(N:N,F:F,F215,H:H,H215,B:B,B215)&lt;=24)),IF(AND((K215*24)&gt;0,(K215*24)&lt;12),((K215*24)*MD!$I$5),IF((K215*24)&gt;=12,(MD!$J$5))))))</f>
        <v>0</v>
      </c>
      <c r="M215" s="62"/>
      <c r="N215" s="72">
        <f t="shared" si="8"/>
        <v>0</v>
      </c>
    </row>
    <row r="216" spans="1:14" x14ac:dyDescent="0.25">
      <c r="A216" s="62">
        <v>215</v>
      </c>
      <c r="B216" s="62"/>
      <c r="C216" s="85" t="str">
        <f>IF(ISNA(VLOOKUP($B216,CPY!$B:$G,2,FALSE))=TRUE," ",VLOOKUP($B216,CPY!$B:$G,2,FALSE))</f>
        <v> </v>
      </c>
      <c r="D216" s="50" t="str">
        <f>IF(ISNA(VLOOKUP($B216,CPY!$B:$G,3,FALSE))=TRUE," ",VLOOKUP($B216,CPY!$B:$G,3,FALSE))</f>
        <v> </v>
      </c>
      <c r="E216" s="65" t="str">
        <f>IF(ISNA(VLOOKUP($B216,CPY!$B:$G,4,FALSE))=TRUE," ",VLOOKUP($B216,CPY!$B:$G,4,FALSE))</f>
        <v> </v>
      </c>
      <c r="F216" s="62"/>
      <c r="G216" s="86"/>
      <c r="H216" s="87"/>
      <c r="I216" s="88"/>
      <c r="J216" s="88"/>
      <c r="K216" s="89">
        <f t="shared" si="9"/>
        <v>0</v>
      </c>
      <c r="L216" s="90" t="b">
        <f>IF((ISNUMBER(K216)),IF(AND(F216="Workdays",(SUMIFS(N:N,F:F,F216,H:H,H216,B:B,B216)&lt;=24)),IF(AND((K216*24)&gt;0,(K216*24)&lt;16),((K216*24)*MD!$I$6),IF((K216*24)&gt;=16,(MD!$J$6))),IF(AND(F216="Non_workdays",(SUMIFS(N:N,F:F,F216,H:H,H216,B:B,B216)&lt;=24)),IF(AND((K216*24)&gt;0,(K216*24)&lt;12),((K216*24)*MD!$I$5),IF((K216*24)&gt;=12,(MD!$J$5))))))</f>
        <v>0</v>
      </c>
      <c r="M216" s="62"/>
      <c r="N216" s="72">
        <f t="shared" si="8"/>
        <v>0</v>
      </c>
    </row>
    <row r="217" spans="1:14" x14ac:dyDescent="0.25">
      <c r="A217" s="62">
        <v>216</v>
      </c>
      <c r="B217" s="62"/>
      <c r="C217" s="85" t="str">
        <f>IF(ISNA(VLOOKUP($B217,CPY!$B:$G,2,FALSE))=TRUE," ",VLOOKUP($B217,CPY!$B:$G,2,FALSE))</f>
        <v> </v>
      </c>
      <c r="D217" s="50" t="str">
        <f>IF(ISNA(VLOOKUP($B217,CPY!$B:$G,3,FALSE))=TRUE," ",VLOOKUP($B217,CPY!$B:$G,3,FALSE))</f>
        <v> </v>
      </c>
      <c r="E217" s="65" t="str">
        <f>IF(ISNA(VLOOKUP($B217,CPY!$B:$G,4,FALSE))=TRUE," ",VLOOKUP($B217,CPY!$B:$G,4,FALSE))</f>
        <v> </v>
      </c>
      <c r="F217" s="62"/>
      <c r="G217" s="86"/>
      <c r="H217" s="87"/>
      <c r="I217" s="88"/>
      <c r="J217" s="88"/>
      <c r="K217" s="89">
        <f t="shared" si="9"/>
        <v>0</v>
      </c>
      <c r="L217" s="90" t="b">
        <f>IF((ISNUMBER(K217)),IF(AND(F217="Workdays",(SUMIFS(N:N,F:F,F217,H:H,H217,B:B,B217)&lt;=24)),IF(AND((K217*24)&gt;0,(K217*24)&lt;16),((K217*24)*MD!$I$6),IF((K217*24)&gt;=16,(MD!$J$6))),IF(AND(F217="Non_workdays",(SUMIFS(N:N,F:F,F217,H:H,H217,B:B,B217)&lt;=24)),IF(AND((K217*24)&gt;0,(K217*24)&lt;12),((K217*24)*MD!$I$5),IF((K217*24)&gt;=12,(MD!$J$5))))))</f>
        <v>0</v>
      </c>
      <c r="M217" s="62"/>
      <c r="N217" s="72">
        <f t="shared" si="8"/>
        <v>0</v>
      </c>
    </row>
    <row r="218" spans="1:14" x14ac:dyDescent="0.25">
      <c r="A218" s="62">
        <v>217</v>
      </c>
      <c r="B218" s="62"/>
      <c r="C218" s="85" t="str">
        <f>IF(ISNA(VLOOKUP($B218,CPY!$B:$G,2,FALSE))=TRUE," ",VLOOKUP($B218,CPY!$B:$G,2,FALSE))</f>
        <v> </v>
      </c>
      <c r="D218" s="50" t="str">
        <f>IF(ISNA(VLOOKUP($B218,CPY!$B:$G,3,FALSE))=TRUE," ",VLOOKUP($B218,CPY!$B:$G,3,FALSE))</f>
        <v> </v>
      </c>
      <c r="E218" s="65" t="str">
        <f>IF(ISNA(VLOOKUP($B218,CPY!$B:$G,4,FALSE))=TRUE," ",VLOOKUP($B218,CPY!$B:$G,4,FALSE))</f>
        <v> </v>
      </c>
      <c r="F218" s="62"/>
      <c r="G218" s="86"/>
      <c r="H218" s="87"/>
      <c r="I218" s="88"/>
      <c r="J218" s="88"/>
      <c r="K218" s="89">
        <f t="shared" si="9"/>
        <v>0</v>
      </c>
      <c r="L218" s="90" t="b">
        <f>IF((ISNUMBER(K218)),IF(AND(F218="Workdays",(SUMIFS(N:N,F:F,F218,H:H,H218,B:B,B218)&lt;=24)),IF(AND((K218*24)&gt;0,(K218*24)&lt;16),((K218*24)*MD!$I$6),IF((K218*24)&gt;=16,(MD!$J$6))),IF(AND(F218="Non_workdays",(SUMIFS(N:N,F:F,F218,H:H,H218,B:B,B218)&lt;=24)),IF(AND((K218*24)&gt;0,(K218*24)&lt;12),((K218*24)*MD!$I$5),IF((K218*24)&gt;=12,(MD!$J$5))))))</f>
        <v>0</v>
      </c>
      <c r="M218" s="62"/>
      <c r="N218" s="72">
        <f t="shared" si="8"/>
        <v>0</v>
      </c>
    </row>
    <row r="219" spans="1:14" x14ac:dyDescent="0.25">
      <c r="A219" s="62">
        <v>218</v>
      </c>
      <c r="B219" s="62"/>
      <c r="C219" s="85" t="str">
        <f>IF(ISNA(VLOOKUP($B219,CPY!$B:$G,2,FALSE))=TRUE," ",VLOOKUP($B219,CPY!$B:$G,2,FALSE))</f>
        <v> </v>
      </c>
      <c r="D219" s="50" t="str">
        <f>IF(ISNA(VLOOKUP($B219,CPY!$B:$G,3,FALSE))=TRUE," ",VLOOKUP($B219,CPY!$B:$G,3,FALSE))</f>
        <v> </v>
      </c>
      <c r="E219" s="65" t="str">
        <f>IF(ISNA(VLOOKUP($B219,CPY!$B:$G,4,FALSE))=TRUE," ",VLOOKUP($B219,CPY!$B:$G,4,FALSE))</f>
        <v> </v>
      </c>
      <c r="F219" s="62"/>
      <c r="G219" s="86"/>
      <c r="H219" s="87"/>
      <c r="I219" s="88"/>
      <c r="J219" s="88"/>
      <c r="K219" s="89">
        <f t="shared" si="9"/>
        <v>0</v>
      </c>
      <c r="L219" s="90" t="b">
        <f>IF((ISNUMBER(K219)),IF(AND(F219="Workdays",(SUMIFS(N:N,F:F,F219,H:H,H219,B:B,B219)&lt;=24)),IF(AND((K219*24)&gt;0,(K219*24)&lt;16),((K219*24)*MD!$I$6),IF((K219*24)&gt;=16,(MD!$J$6))),IF(AND(F219="Non_workdays",(SUMIFS(N:N,F:F,F219,H:H,H219,B:B,B219)&lt;=24)),IF(AND((K219*24)&gt;0,(K219*24)&lt;12),((K219*24)*MD!$I$5),IF((K219*24)&gt;=12,(MD!$J$5))))))</f>
        <v>0</v>
      </c>
      <c r="M219" s="62"/>
      <c r="N219" s="72">
        <f t="shared" si="8"/>
        <v>0</v>
      </c>
    </row>
    <row r="220" spans="1:14" x14ac:dyDescent="0.25">
      <c r="A220" s="62">
        <v>219</v>
      </c>
      <c r="B220" s="62"/>
      <c r="C220" s="85" t="str">
        <f>IF(ISNA(VLOOKUP($B220,CPY!$B:$G,2,FALSE))=TRUE," ",VLOOKUP($B220,CPY!$B:$G,2,FALSE))</f>
        <v> </v>
      </c>
      <c r="D220" s="50" t="str">
        <f>IF(ISNA(VLOOKUP($B220,CPY!$B:$G,3,FALSE))=TRUE," ",VLOOKUP($B220,CPY!$B:$G,3,FALSE))</f>
        <v> </v>
      </c>
      <c r="E220" s="65" t="str">
        <f>IF(ISNA(VLOOKUP($B220,CPY!$B:$G,4,FALSE))=TRUE," ",VLOOKUP($B220,CPY!$B:$G,4,FALSE))</f>
        <v> </v>
      </c>
      <c r="F220" s="62"/>
      <c r="G220" s="86"/>
      <c r="H220" s="87"/>
      <c r="I220" s="88"/>
      <c r="J220" s="88"/>
      <c r="K220" s="89">
        <f t="shared" si="9"/>
        <v>0</v>
      </c>
      <c r="L220" s="90" t="b">
        <f>IF((ISNUMBER(K220)),IF(AND(F220="Workdays",(SUMIFS(N:N,F:F,F220,H:H,H220,B:B,B220)&lt;=24)),IF(AND((K220*24)&gt;0,(K220*24)&lt;16),((K220*24)*MD!$I$6),IF((K220*24)&gt;=16,(MD!$J$6))),IF(AND(F220="Non_workdays",(SUMIFS(N:N,F:F,F220,H:H,H220,B:B,B220)&lt;=24)),IF(AND((K220*24)&gt;0,(K220*24)&lt;12),((K220*24)*MD!$I$5),IF((K220*24)&gt;=12,(MD!$J$5))))))</f>
        <v>0</v>
      </c>
      <c r="M220" s="62"/>
      <c r="N220" s="72">
        <f t="shared" si="8"/>
        <v>0</v>
      </c>
    </row>
    <row r="221" spans="1:14" x14ac:dyDescent="0.25">
      <c r="A221" s="62">
        <v>220</v>
      </c>
      <c r="B221" s="62"/>
      <c r="C221" s="85" t="str">
        <f>IF(ISNA(VLOOKUP($B221,CPY!$B:$G,2,FALSE))=TRUE," ",VLOOKUP($B221,CPY!$B:$G,2,FALSE))</f>
        <v> </v>
      </c>
      <c r="D221" s="50" t="str">
        <f>IF(ISNA(VLOOKUP($B221,CPY!$B:$G,3,FALSE))=TRUE," ",VLOOKUP($B221,CPY!$B:$G,3,FALSE))</f>
        <v> </v>
      </c>
      <c r="E221" s="65" t="str">
        <f>IF(ISNA(VLOOKUP($B221,CPY!$B:$G,4,FALSE))=TRUE," ",VLOOKUP($B221,CPY!$B:$G,4,FALSE))</f>
        <v> </v>
      </c>
      <c r="F221" s="62"/>
      <c r="G221" s="86"/>
      <c r="H221" s="87"/>
      <c r="I221" s="88"/>
      <c r="J221" s="88"/>
      <c r="K221" s="89">
        <f t="shared" si="9"/>
        <v>0</v>
      </c>
      <c r="L221" s="90" t="b">
        <f>IF((ISNUMBER(K221)),IF(AND(F221="Workdays",(SUMIFS(N:N,F:F,F221,H:H,H221,B:B,B221)&lt;=24)),IF(AND((K221*24)&gt;0,(K221*24)&lt;16),((K221*24)*MD!$I$6),IF((K221*24)&gt;=16,(MD!$J$6))),IF(AND(F221="Non_workdays",(SUMIFS(N:N,F:F,F221,H:H,H221,B:B,B221)&lt;=24)),IF(AND((K221*24)&gt;0,(K221*24)&lt;12),((K221*24)*MD!$I$5),IF((K221*24)&gt;=12,(MD!$J$5))))))</f>
        <v>0</v>
      </c>
      <c r="M221" s="62"/>
      <c r="N221" s="72">
        <f t="shared" si="8"/>
        <v>0</v>
      </c>
    </row>
    <row r="222" spans="1:14" x14ac:dyDescent="0.25">
      <c r="A222" s="62">
        <v>221</v>
      </c>
      <c r="B222" s="62"/>
      <c r="C222" s="85" t="str">
        <f>IF(ISNA(VLOOKUP($B222,CPY!$B:$G,2,FALSE))=TRUE," ",VLOOKUP($B222,CPY!$B:$G,2,FALSE))</f>
        <v> </v>
      </c>
      <c r="D222" s="50" t="str">
        <f>IF(ISNA(VLOOKUP($B222,CPY!$B:$G,3,FALSE))=TRUE," ",VLOOKUP($B222,CPY!$B:$G,3,FALSE))</f>
        <v> </v>
      </c>
      <c r="E222" s="65" t="str">
        <f>IF(ISNA(VLOOKUP($B222,CPY!$B:$G,4,FALSE))=TRUE," ",VLOOKUP($B222,CPY!$B:$G,4,FALSE))</f>
        <v> </v>
      </c>
      <c r="F222" s="62"/>
      <c r="G222" s="86"/>
      <c r="H222" s="87"/>
      <c r="I222" s="88"/>
      <c r="J222" s="88"/>
      <c r="K222" s="89">
        <f t="shared" si="9"/>
        <v>0</v>
      </c>
      <c r="L222" s="90" t="b">
        <f>IF((ISNUMBER(K222)),IF(AND(F222="Workdays",(SUMIFS(N:N,F:F,F222,H:H,H222,B:B,B222)&lt;=24)),IF(AND((K222*24)&gt;0,(K222*24)&lt;16),((K222*24)*MD!$I$6),IF((K222*24)&gt;=16,(MD!$J$6))),IF(AND(F222="Non_workdays",(SUMIFS(N:N,F:F,F222,H:H,H222,B:B,B222)&lt;=24)),IF(AND((K222*24)&gt;0,(K222*24)&lt;12),((K222*24)*MD!$I$5),IF((K222*24)&gt;=12,(MD!$J$5))))))</f>
        <v>0</v>
      </c>
      <c r="M222" s="62"/>
      <c r="N222" s="72">
        <f t="shared" si="8"/>
        <v>0</v>
      </c>
    </row>
    <row r="223" spans="1:14" x14ac:dyDescent="0.25">
      <c r="A223" s="62">
        <v>222</v>
      </c>
      <c r="B223" s="62"/>
      <c r="C223" s="85" t="str">
        <f>IF(ISNA(VLOOKUP($B223,CPY!$B:$G,2,FALSE))=TRUE," ",VLOOKUP($B223,CPY!$B:$G,2,FALSE))</f>
        <v> </v>
      </c>
      <c r="D223" s="50" t="str">
        <f>IF(ISNA(VLOOKUP($B223,CPY!$B:$G,3,FALSE))=TRUE," ",VLOOKUP($B223,CPY!$B:$G,3,FALSE))</f>
        <v> </v>
      </c>
      <c r="E223" s="65" t="str">
        <f>IF(ISNA(VLOOKUP($B223,CPY!$B:$G,4,FALSE))=TRUE," ",VLOOKUP($B223,CPY!$B:$G,4,FALSE))</f>
        <v> </v>
      </c>
      <c r="F223" s="62"/>
      <c r="G223" s="86"/>
      <c r="H223" s="87"/>
      <c r="I223" s="88"/>
      <c r="J223" s="88"/>
      <c r="K223" s="89">
        <f t="shared" si="9"/>
        <v>0</v>
      </c>
      <c r="L223" s="90" t="b">
        <f>IF((ISNUMBER(K223)),IF(AND(F223="Workdays",(SUMIFS(N:N,F:F,F223,H:H,H223,B:B,B223)&lt;=24)),IF(AND((K223*24)&gt;0,(K223*24)&lt;16),((K223*24)*MD!$I$6),IF((K223*24)&gt;=16,(MD!$J$6))),IF(AND(F223="Non_workdays",(SUMIFS(N:N,F:F,F223,H:H,H223,B:B,B223)&lt;=24)),IF(AND((K223*24)&gt;0,(K223*24)&lt;12),((K223*24)*MD!$I$5),IF((K223*24)&gt;=12,(MD!$J$5))))))</f>
        <v>0</v>
      </c>
      <c r="M223" s="62"/>
      <c r="N223" s="72">
        <f t="shared" si="8"/>
        <v>0</v>
      </c>
    </row>
    <row r="224" spans="1:14" x14ac:dyDescent="0.25">
      <c r="A224" s="62">
        <v>223</v>
      </c>
      <c r="B224" s="62"/>
      <c r="C224" s="85" t="str">
        <f>IF(ISNA(VLOOKUP($B224,CPY!$B:$G,2,FALSE))=TRUE," ",VLOOKUP($B224,CPY!$B:$G,2,FALSE))</f>
        <v> </v>
      </c>
      <c r="D224" s="50" t="str">
        <f>IF(ISNA(VLOOKUP($B224,CPY!$B:$G,3,FALSE))=TRUE," ",VLOOKUP($B224,CPY!$B:$G,3,FALSE))</f>
        <v> </v>
      </c>
      <c r="E224" s="65" t="str">
        <f>IF(ISNA(VLOOKUP($B224,CPY!$B:$G,4,FALSE))=TRUE," ",VLOOKUP($B224,CPY!$B:$G,4,FALSE))</f>
        <v> </v>
      </c>
      <c r="F224" s="62"/>
      <c r="G224" s="86"/>
      <c r="H224" s="87"/>
      <c r="I224" s="88"/>
      <c r="J224" s="88"/>
      <c r="K224" s="89">
        <f t="shared" si="9"/>
        <v>0</v>
      </c>
      <c r="L224" s="90" t="b">
        <f>IF((ISNUMBER(K224)),IF(AND(F224="Workdays",(SUMIFS(N:N,F:F,F224,H:H,H224,B:B,B224)&lt;=24)),IF(AND((K224*24)&gt;0,(K224*24)&lt;16),((K224*24)*MD!$I$6),IF((K224*24)&gt;=16,(MD!$J$6))),IF(AND(F224="Non_workdays",(SUMIFS(N:N,F:F,F224,H:H,H224,B:B,B224)&lt;=24)),IF(AND((K224*24)&gt;0,(K224*24)&lt;12),((K224*24)*MD!$I$5),IF((K224*24)&gt;=12,(MD!$J$5))))))</f>
        <v>0</v>
      </c>
      <c r="M224" s="62"/>
      <c r="N224" s="72">
        <f t="shared" si="8"/>
        <v>0</v>
      </c>
    </row>
    <row r="225" spans="1:14" x14ac:dyDescent="0.25">
      <c r="A225" s="62">
        <v>224</v>
      </c>
      <c r="B225" s="62"/>
      <c r="C225" s="85" t="str">
        <f>IF(ISNA(VLOOKUP($B225,CPY!$B:$G,2,FALSE))=TRUE," ",VLOOKUP($B225,CPY!$B:$G,2,FALSE))</f>
        <v> </v>
      </c>
      <c r="D225" s="50" t="str">
        <f>IF(ISNA(VLOOKUP($B225,CPY!$B:$G,3,FALSE))=TRUE," ",VLOOKUP($B225,CPY!$B:$G,3,FALSE))</f>
        <v> </v>
      </c>
      <c r="E225" s="65" t="str">
        <f>IF(ISNA(VLOOKUP($B225,CPY!$B:$G,4,FALSE))=TRUE," ",VLOOKUP($B225,CPY!$B:$G,4,FALSE))</f>
        <v> </v>
      </c>
      <c r="F225" s="62"/>
      <c r="G225" s="86"/>
      <c r="H225" s="87"/>
      <c r="I225" s="88"/>
      <c r="J225" s="88"/>
      <c r="K225" s="89">
        <f t="shared" si="9"/>
        <v>0</v>
      </c>
      <c r="L225" s="90" t="b">
        <f>IF((ISNUMBER(K225)),IF(AND(F225="Workdays",(SUMIFS(N:N,F:F,F225,H:H,H225,B:B,B225)&lt;=24)),IF(AND((K225*24)&gt;0,(K225*24)&lt;16),((K225*24)*MD!$I$6),IF((K225*24)&gt;=16,(MD!$J$6))),IF(AND(F225="Non_workdays",(SUMIFS(N:N,F:F,F225,H:H,H225,B:B,B225)&lt;=24)),IF(AND((K225*24)&gt;0,(K225*24)&lt;12),((K225*24)*MD!$I$5),IF((K225*24)&gt;=12,(MD!$J$5))))))</f>
        <v>0</v>
      </c>
      <c r="M225" s="62"/>
      <c r="N225" s="72">
        <f t="shared" si="8"/>
        <v>0</v>
      </c>
    </row>
    <row r="226" spans="1:14" x14ac:dyDescent="0.25">
      <c r="A226" s="62">
        <v>225</v>
      </c>
      <c r="B226" s="62"/>
      <c r="C226" s="85" t="str">
        <f>IF(ISNA(VLOOKUP($B226,CPY!$B:$G,2,FALSE))=TRUE," ",VLOOKUP($B226,CPY!$B:$G,2,FALSE))</f>
        <v> </v>
      </c>
      <c r="D226" s="50" t="str">
        <f>IF(ISNA(VLOOKUP($B226,CPY!$B:$G,3,FALSE))=TRUE," ",VLOOKUP($B226,CPY!$B:$G,3,FALSE))</f>
        <v> </v>
      </c>
      <c r="E226" s="65" t="str">
        <f>IF(ISNA(VLOOKUP($B226,CPY!$B:$G,4,FALSE))=TRUE," ",VLOOKUP($B226,CPY!$B:$G,4,FALSE))</f>
        <v> </v>
      </c>
      <c r="F226" s="62"/>
      <c r="G226" s="86"/>
      <c r="H226" s="87"/>
      <c r="I226" s="88"/>
      <c r="J226" s="88"/>
      <c r="K226" s="89">
        <f t="shared" si="9"/>
        <v>0</v>
      </c>
      <c r="L226" s="90" t="b">
        <f>IF((ISNUMBER(K226)),IF(AND(F226="Workdays",(SUMIFS(N:N,F:F,F226,H:H,H226,B:B,B226)&lt;=24)),IF(AND((K226*24)&gt;0,(K226*24)&lt;16),((K226*24)*MD!$I$6),IF((K226*24)&gt;=16,(MD!$J$6))),IF(AND(F226="Non_workdays",(SUMIFS(N:N,F:F,F226,H:H,H226,B:B,B226)&lt;=24)),IF(AND((K226*24)&gt;0,(K226*24)&lt;12),((K226*24)*MD!$I$5),IF((K226*24)&gt;=12,(MD!$J$5))))))</f>
        <v>0</v>
      </c>
      <c r="M226" s="62"/>
      <c r="N226" s="72">
        <f t="shared" si="8"/>
        <v>0</v>
      </c>
    </row>
    <row r="227" spans="1:14" x14ac:dyDescent="0.25">
      <c r="A227" s="62">
        <v>226</v>
      </c>
      <c r="B227" s="62"/>
      <c r="C227" s="85" t="str">
        <f>IF(ISNA(VLOOKUP($B227,CPY!$B:$G,2,FALSE))=TRUE," ",VLOOKUP($B227,CPY!$B:$G,2,FALSE))</f>
        <v> </v>
      </c>
      <c r="D227" s="50" t="str">
        <f>IF(ISNA(VLOOKUP($B227,CPY!$B:$G,3,FALSE))=TRUE," ",VLOOKUP($B227,CPY!$B:$G,3,FALSE))</f>
        <v> </v>
      </c>
      <c r="E227" s="65" t="str">
        <f>IF(ISNA(VLOOKUP($B227,CPY!$B:$G,4,FALSE))=TRUE," ",VLOOKUP($B227,CPY!$B:$G,4,FALSE))</f>
        <v> </v>
      </c>
      <c r="F227" s="62"/>
      <c r="G227" s="86"/>
      <c r="H227" s="87"/>
      <c r="I227" s="88"/>
      <c r="J227" s="88"/>
      <c r="K227" s="89">
        <f t="shared" si="9"/>
        <v>0</v>
      </c>
      <c r="L227" s="90" t="b">
        <f>IF((ISNUMBER(K227)),IF(AND(F227="Workdays",(SUMIFS(N:N,F:F,F227,H:H,H227,B:B,B227)&lt;=24)),IF(AND((K227*24)&gt;0,(K227*24)&lt;16),((K227*24)*MD!$I$6),IF((K227*24)&gt;=16,(MD!$J$6))),IF(AND(F227="Non_workdays",(SUMIFS(N:N,F:F,F227,H:H,H227,B:B,B227)&lt;=24)),IF(AND((K227*24)&gt;0,(K227*24)&lt;12),((K227*24)*MD!$I$5),IF((K227*24)&gt;=12,(MD!$J$5))))))</f>
        <v>0</v>
      </c>
      <c r="M227" s="62"/>
      <c r="N227" s="72">
        <f t="shared" si="8"/>
        <v>0</v>
      </c>
    </row>
    <row r="228" spans="1:14" x14ac:dyDescent="0.25">
      <c r="A228" s="62">
        <v>227</v>
      </c>
      <c r="B228" s="62"/>
      <c r="C228" s="85" t="str">
        <f>IF(ISNA(VLOOKUP($B228,CPY!$B:$G,2,FALSE))=TRUE," ",VLOOKUP($B228,CPY!$B:$G,2,FALSE))</f>
        <v> </v>
      </c>
      <c r="D228" s="50" t="str">
        <f>IF(ISNA(VLOOKUP($B228,CPY!$B:$G,3,FALSE))=TRUE," ",VLOOKUP($B228,CPY!$B:$G,3,FALSE))</f>
        <v> </v>
      </c>
      <c r="E228" s="65" t="str">
        <f>IF(ISNA(VLOOKUP($B228,CPY!$B:$G,4,FALSE))=TRUE," ",VLOOKUP($B228,CPY!$B:$G,4,FALSE))</f>
        <v> </v>
      </c>
      <c r="F228" s="62"/>
      <c r="G228" s="86"/>
      <c r="H228" s="87"/>
      <c r="I228" s="88"/>
      <c r="J228" s="88"/>
      <c r="K228" s="89">
        <f t="shared" si="9"/>
        <v>0</v>
      </c>
      <c r="L228" s="90" t="b">
        <f>IF((ISNUMBER(K228)),IF(AND(F228="Workdays",(SUMIFS(N:N,F:F,F228,H:H,H228,B:B,B228)&lt;=24)),IF(AND((K228*24)&gt;0,(K228*24)&lt;16),((K228*24)*MD!$I$6),IF((K228*24)&gt;=16,(MD!$J$6))),IF(AND(F228="Non_workdays",(SUMIFS(N:N,F:F,F228,H:H,H228,B:B,B228)&lt;=24)),IF(AND((K228*24)&gt;0,(K228*24)&lt;12),((K228*24)*MD!$I$5),IF((K228*24)&gt;=12,(MD!$J$5))))))</f>
        <v>0</v>
      </c>
      <c r="M228" s="62"/>
      <c r="N228" s="72">
        <f t="shared" si="8"/>
        <v>0</v>
      </c>
    </row>
    <row r="229" spans="1:14" x14ac:dyDescent="0.25">
      <c r="A229" s="62">
        <v>228</v>
      </c>
      <c r="B229" s="62"/>
      <c r="C229" s="85" t="str">
        <f>IF(ISNA(VLOOKUP($B229,CPY!$B:$G,2,FALSE))=TRUE," ",VLOOKUP($B229,CPY!$B:$G,2,FALSE))</f>
        <v> </v>
      </c>
      <c r="D229" s="50" t="str">
        <f>IF(ISNA(VLOOKUP($B229,CPY!$B:$G,3,FALSE))=TRUE," ",VLOOKUP($B229,CPY!$B:$G,3,FALSE))</f>
        <v> </v>
      </c>
      <c r="E229" s="65" t="str">
        <f>IF(ISNA(VLOOKUP($B229,CPY!$B:$G,4,FALSE))=TRUE," ",VLOOKUP($B229,CPY!$B:$G,4,FALSE))</f>
        <v> </v>
      </c>
      <c r="F229" s="62"/>
      <c r="G229" s="86"/>
      <c r="H229" s="87"/>
      <c r="I229" s="88"/>
      <c r="J229" s="88"/>
      <c r="K229" s="89">
        <f t="shared" si="9"/>
        <v>0</v>
      </c>
      <c r="L229" s="90" t="b">
        <f>IF((ISNUMBER(K229)),IF(AND(F229="Workdays",(SUMIFS(N:N,F:F,F229,H:H,H229,B:B,B229)&lt;=24)),IF(AND((K229*24)&gt;0,(K229*24)&lt;16),((K229*24)*MD!$I$6),IF((K229*24)&gt;=16,(MD!$J$6))),IF(AND(F229="Non_workdays",(SUMIFS(N:N,F:F,F229,H:H,H229,B:B,B229)&lt;=24)),IF(AND((K229*24)&gt;0,(K229*24)&lt;12),((K229*24)*MD!$I$5),IF((K229*24)&gt;=12,(MD!$J$5))))))</f>
        <v>0</v>
      </c>
      <c r="M229" s="62"/>
      <c r="N229" s="72">
        <f t="shared" si="8"/>
        <v>0</v>
      </c>
    </row>
    <row r="230" spans="1:14" x14ac:dyDescent="0.25">
      <c r="A230" s="62">
        <v>229</v>
      </c>
      <c r="B230" s="62"/>
      <c r="C230" s="85" t="str">
        <f>IF(ISNA(VLOOKUP($B230,CPY!$B:$G,2,FALSE))=TRUE," ",VLOOKUP($B230,CPY!$B:$G,2,FALSE))</f>
        <v> </v>
      </c>
      <c r="D230" s="50" t="str">
        <f>IF(ISNA(VLOOKUP($B230,CPY!$B:$G,3,FALSE))=TRUE," ",VLOOKUP($B230,CPY!$B:$G,3,FALSE))</f>
        <v> </v>
      </c>
      <c r="E230" s="65" t="str">
        <f>IF(ISNA(VLOOKUP($B230,CPY!$B:$G,4,FALSE))=TRUE," ",VLOOKUP($B230,CPY!$B:$G,4,FALSE))</f>
        <v> </v>
      </c>
      <c r="F230" s="62"/>
      <c r="G230" s="86"/>
      <c r="H230" s="87"/>
      <c r="I230" s="88"/>
      <c r="J230" s="88"/>
      <c r="K230" s="89">
        <f t="shared" si="9"/>
        <v>0</v>
      </c>
      <c r="L230" s="90" t="b">
        <f>IF((ISNUMBER(K230)),IF(AND(F230="Workdays",(SUMIFS(N:N,F:F,F230,H:H,H230,B:B,B230)&lt;=24)),IF(AND((K230*24)&gt;0,(K230*24)&lt;16),((K230*24)*MD!$I$6),IF((K230*24)&gt;=16,(MD!$J$6))),IF(AND(F230="Non_workdays",(SUMIFS(N:N,F:F,F230,H:H,H230,B:B,B230)&lt;=24)),IF(AND((K230*24)&gt;0,(K230*24)&lt;12),((K230*24)*MD!$I$5),IF((K230*24)&gt;=12,(MD!$J$5))))))</f>
        <v>0</v>
      </c>
      <c r="M230" s="62"/>
      <c r="N230" s="72">
        <f t="shared" si="8"/>
        <v>0</v>
      </c>
    </row>
    <row r="231" spans="1:14" x14ac:dyDescent="0.25">
      <c r="A231" s="62">
        <v>230</v>
      </c>
      <c r="B231" s="62"/>
      <c r="C231" s="85" t="str">
        <f>IF(ISNA(VLOOKUP($B231,CPY!$B:$G,2,FALSE))=TRUE," ",VLOOKUP($B231,CPY!$B:$G,2,FALSE))</f>
        <v> </v>
      </c>
      <c r="D231" s="50" t="str">
        <f>IF(ISNA(VLOOKUP($B231,CPY!$B:$G,3,FALSE))=TRUE," ",VLOOKUP($B231,CPY!$B:$G,3,FALSE))</f>
        <v> </v>
      </c>
      <c r="E231" s="65" t="str">
        <f>IF(ISNA(VLOOKUP($B231,CPY!$B:$G,4,FALSE))=TRUE," ",VLOOKUP($B231,CPY!$B:$G,4,FALSE))</f>
        <v> </v>
      </c>
      <c r="F231" s="62"/>
      <c r="G231" s="86"/>
      <c r="H231" s="87"/>
      <c r="I231" s="88"/>
      <c r="J231" s="88"/>
      <c r="K231" s="89">
        <f t="shared" si="9"/>
        <v>0</v>
      </c>
      <c r="L231" s="90" t="b">
        <f>IF((ISNUMBER(K231)),IF(AND(F231="Workdays",(SUMIFS(N:N,F:F,F231,H:H,H231,B:B,B231)&lt;=24)),IF(AND((K231*24)&gt;0,(K231*24)&lt;16),((K231*24)*MD!$I$6),IF((K231*24)&gt;=16,(MD!$J$6))),IF(AND(F231="Non_workdays",(SUMIFS(N:N,F:F,F231,H:H,H231,B:B,B231)&lt;=24)),IF(AND((K231*24)&gt;0,(K231*24)&lt;12),((K231*24)*MD!$I$5),IF((K231*24)&gt;=12,(MD!$J$5))))))</f>
        <v>0</v>
      </c>
      <c r="M231" s="62"/>
      <c r="N231" s="72">
        <f t="shared" si="8"/>
        <v>0</v>
      </c>
    </row>
    <row r="232" spans="1:14" x14ac:dyDescent="0.25">
      <c r="A232" s="62">
        <v>231</v>
      </c>
      <c r="B232" s="62"/>
      <c r="C232" s="85" t="str">
        <f>IF(ISNA(VLOOKUP($B232,CPY!$B:$G,2,FALSE))=TRUE," ",VLOOKUP($B232,CPY!$B:$G,2,FALSE))</f>
        <v> </v>
      </c>
      <c r="D232" s="50" t="str">
        <f>IF(ISNA(VLOOKUP($B232,CPY!$B:$G,3,FALSE))=TRUE," ",VLOOKUP($B232,CPY!$B:$G,3,FALSE))</f>
        <v> </v>
      </c>
      <c r="E232" s="65" t="str">
        <f>IF(ISNA(VLOOKUP($B232,CPY!$B:$G,4,FALSE))=TRUE," ",VLOOKUP($B232,CPY!$B:$G,4,FALSE))</f>
        <v> </v>
      </c>
      <c r="F232" s="62"/>
      <c r="G232" s="86"/>
      <c r="H232" s="87"/>
      <c r="I232" s="88"/>
      <c r="J232" s="88"/>
      <c r="K232" s="89">
        <f t="shared" si="9"/>
        <v>0</v>
      </c>
      <c r="L232" s="90" t="b">
        <f>IF((ISNUMBER(K232)),IF(AND(F232="Workdays",(SUMIFS(N:N,F:F,F232,H:H,H232,B:B,B232)&lt;=24)),IF(AND((K232*24)&gt;0,(K232*24)&lt;16),((K232*24)*MD!$I$6),IF((K232*24)&gt;=16,(MD!$J$6))),IF(AND(F232="Non_workdays",(SUMIFS(N:N,F:F,F232,H:H,H232,B:B,B232)&lt;=24)),IF(AND((K232*24)&gt;0,(K232*24)&lt;12),((K232*24)*MD!$I$5),IF((K232*24)&gt;=12,(MD!$J$5))))))</f>
        <v>0</v>
      </c>
      <c r="M232" s="62"/>
      <c r="N232" s="72">
        <f t="shared" si="8"/>
        <v>0</v>
      </c>
    </row>
    <row r="233" spans="1:14" x14ac:dyDescent="0.25">
      <c r="A233" s="62">
        <v>232</v>
      </c>
      <c r="B233" s="62"/>
      <c r="C233" s="85" t="str">
        <f>IF(ISNA(VLOOKUP($B233,CPY!$B:$G,2,FALSE))=TRUE," ",VLOOKUP($B233,CPY!$B:$G,2,FALSE))</f>
        <v> </v>
      </c>
      <c r="D233" s="50" t="str">
        <f>IF(ISNA(VLOOKUP($B233,CPY!$B:$G,3,FALSE))=TRUE," ",VLOOKUP($B233,CPY!$B:$G,3,FALSE))</f>
        <v> </v>
      </c>
      <c r="E233" s="65" t="str">
        <f>IF(ISNA(VLOOKUP($B233,CPY!$B:$G,4,FALSE))=TRUE," ",VLOOKUP($B233,CPY!$B:$G,4,FALSE))</f>
        <v> </v>
      </c>
      <c r="F233" s="62"/>
      <c r="G233" s="86"/>
      <c r="H233" s="87"/>
      <c r="I233" s="88"/>
      <c r="J233" s="88"/>
      <c r="K233" s="89">
        <f t="shared" si="9"/>
        <v>0</v>
      </c>
      <c r="L233" s="90" t="b">
        <f>IF((ISNUMBER(K233)),IF(AND(F233="Workdays",(SUMIFS(N:N,F:F,F233,H:H,H233,B:B,B233)&lt;=24)),IF(AND((K233*24)&gt;0,(K233*24)&lt;16),((K233*24)*MD!$I$6),IF((K233*24)&gt;=16,(MD!$J$6))),IF(AND(F233="Non_workdays",(SUMIFS(N:N,F:F,F233,H:H,H233,B:B,B233)&lt;=24)),IF(AND((K233*24)&gt;0,(K233*24)&lt;12),((K233*24)*MD!$I$5),IF((K233*24)&gt;=12,(MD!$J$5))))))</f>
        <v>0</v>
      </c>
      <c r="M233" s="62"/>
      <c r="N233" s="72">
        <f t="shared" si="8"/>
        <v>0</v>
      </c>
    </row>
    <row r="234" spans="1:14" x14ac:dyDescent="0.25">
      <c r="A234" s="62">
        <v>233</v>
      </c>
      <c r="B234" s="62"/>
      <c r="C234" s="85" t="str">
        <f>IF(ISNA(VLOOKUP($B234,CPY!$B:$G,2,FALSE))=TRUE," ",VLOOKUP($B234,CPY!$B:$G,2,FALSE))</f>
        <v> </v>
      </c>
      <c r="D234" s="50" t="str">
        <f>IF(ISNA(VLOOKUP($B234,CPY!$B:$G,3,FALSE))=TRUE," ",VLOOKUP($B234,CPY!$B:$G,3,FALSE))</f>
        <v> </v>
      </c>
      <c r="E234" s="65" t="str">
        <f>IF(ISNA(VLOOKUP($B234,CPY!$B:$G,4,FALSE))=TRUE," ",VLOOKUP($B234,CPY!$B:$G,4,FALSE))</f>
        <v> </v>
      </c>
      <c r="F234" s="62"/>
      <c r="G234" s="86"/>
      <c r="H234" s="87"/>
      <c r="I234" s="88"/>
      <c r="J234" s="88"/>
      <c r="K234" s="89">
        <f t="shared" si="9"/>
        <v>0</v>
      </c>
      <c r="L234" s="90" t="b">
        <f>IF((ISNUMBER(K234)),IF(AND(F234="Workdays",(SUMIFS(N:N,F:F,F234,H:H,H234,B:B,B234)&lt;=24)),IF(AND((K234*24)&gt;0,(K234*24)&lt;16),((K234*24)*MD!$I$6),IF((K234*24)&gt;=16,(MD!$J$6))),IF(AND(F234="Non_workdays",(SUMIFS(N:N,F:F,F234,H:H,H234,B:B,B234)&lt;=24)),IF(AND((K234*24)&gt;0,(K234*24)&lt;12),((K234*24)*MD!$I$5),IF((K234*24)&gt;=12,(MD!$J$5))))))</f>
        <v>0</v>
      </c>
      <c r="M234" s="62"/>
      <c r="N234" s="72">
        <f t="shared" si="8"/>
        <v>0</v>
      </c>
    </row>
    <row r="235" spans="1:14" x14ac:dyDescent="0.25">
      <c r="A235" s="62">
        <v>234</v>
      </c>
      <c r="B235" s="62"/>
      <c r="C235" s="85" t="str">
        <f>IF(ISNA(VLOOKUP($B235,CPY!$B:$G,2,FALSE))=TRUE," ",VLOOKUP($B235,CPY!$B:$G,2,FALSE))</f>
        <v> </v>
      </c>
      <c r="D235" s="50" t="str">
        <f>IF(ISNA(VLOOKUP($B235,CPY!$B:$G,3,FALSE))=TRUE," ",VLOOKUP($B235,CPY!$B:$G,3,FALSE))</f>
        <v> </v>
      </c>
      <c r="E235" s="65" t="str">
        <f>IF(ISNA(VLOOKUP($B235,CPY!$B:$G,4,FALSE))=TRUE," ",VLOOKUP($B235,CPY!$B:$G,4,FALSE))</f>
        <v> </v>
      </c>
      <c r="F235" s="62"/>
      <c r="G235" s="86"/>
      <c r="H235" s="87"/>
      <c r="I235" s="88"/>
      <c r="J235" s="88"/>
      <c r="K235" s="89">
        <f t="shared" si="9"/>
        <v>0</v>
      </c>
      <c r="L235" s="90" t="b">
        <f>IF((ISNUMBER(K235)),IF(AND(F235="Workdays",(SUMIFS(N:N,F:F,F235,H:H,H235,B:B,B235)&lt;=24)),IF(AND((K235*24)&gt;0,(K235*24)&lt;16),((K235*24)*MD!$I$6),IF((K235*24)&gt;=16,(MD!$J$6))),IF(AND(F235="Non_workdays",(SUMIFS(N:N,F:F,F235,H:H,H235,B:B,B235)&lt;=24)),IF(AND((K235*24)&gt;0,(K235*24)&lt;12),((K235*24)*MD!$I$5),IF((K235*24)&gt;=12,(MD!$J$5))))))</f>
        <v>0</v>
      </c>
      <c r="M235" s="62"/>
      <c r="N235" s="72">
        <f t="shared" si="8"/>
        <v>0</v>
      </c>
    </row>
    <row r="236" spans="1:14" x14ac:dyDescent="0.25">
      <c r="A236" s="62">
        <v>235</v>
      </c>
      <c r="B236" s="62"/>
      <c r="C236" s="85" t="str">
        <f>IF(ISNA(VLOOKUP($B236,CPY!$B:$G,2,FALSE))=TRUE," ",VLOOKUP($B236,CPY!$B:$G,2,FALSE))</f>
        <v> </v>
      </c>
      <c r="D236" s="50" t="str">
        <f>IF(ISNA(VLOOKUP($B236,CPY!$B:$G,3,FALSE))=TRUE," ",VLOOKUP($B236,CPY!$B:$G,3,FALSE))</f>
        <v> </v>
      </c>
      <c r="E236" s="65" t="str">
        <f>IF(ISNA(VLOOKUP($B236,CPY!$B:$G,4,FALSE))=TRUE," ",VLOOKUP($B236,CPY!$B:$G,4,FALSE))</f>
        <v> </v>
      </c>
      <c r="F236" s="62"/>
      <c r="G236" s="86"/>
      <c r="H236" s="87"/>
      <c r="I236" s="88"/>
      <c r="J236" s="88"/>
      <c r="K236" s="89">
        <f t="shared" si="9"/>
        <v>0</v>
      </c>
      <c r="L236" s="90" t="b">
        <f>IF((ISNUMBER(K236)),IF(AND(F236="Workdays",(SUMIFS(N:N,F:F,F236,H:H,H236,B:B,B236)&lt;=24)),IF(AND((K236*24)&gt;0,(K236*24)&lt;16),((K236*24)*MD!$I$6),IF((K236*24)&gt;=16,(MD!$J$6))),IF(AND(F236="Non_workdays",(SUMIFS(N:N,F:F,F236,H:H,H236,B:B,B236)&lt;=24)),IF(AND((K236*24)&gt;0,(K236*24)&lt;12),((K236*24)*MD!$I$5),IF((K236*24)&gt;=12,(MD!$J$5))))))</f>
        <v>0</v>
      </c>
      <c r="M236" s="62"/>
      <c r="N236" s="72">
        <f t="shared" si="8"/>
        <v>0</v>
      </c>
    </row>
    <row r="237" spans="1:14" x14ac:dyDescent="0.25">
      <c r="A237" s="62">
        <v>236</v>
      </c>
      <c r="B237" s="62"/>
      <c r="C237" s="85" t="str">
        <f>IF(ISNA(VLOOKUP($B237,CPY!$B:$G,2,FALSE))=TRUE," ",VLOOKUP($B237,CPY!$B:$G,2,FALSE))</f>
        <v> </v>
      </c>
      <c r="D237" s="50" t="str">
        <f>IF(ISNA(VLOOKUP($B237,CPY!$B:$G,3,FALSE))=TRUE," ",VLOOKUP($B237,CPY!$B:$G,3,FALSE))</f>
        <v> </v>
      </c>
      <c r="E237" s="65" t="str">
        <f>IF(ISNA(VLOOKUP($B237,CPY!$B:$G,4,FALSE))=TRUE," ",VLOOKUP($B237,CPY!$B:$G,4,FALSE))</f>
        <v> </v>
      </c>
      <c r="F237" s="62"/>
      <c r="G237" s="86"/>
      <c r="H237" s="87"/>
      <c r="I237" s="88"/>
      <c r="J237" s="88"/>
      <c r="K237" s="89">
        <f t="shared" si="9"/>
        <v>0</v>
      </c>
      <c r="L237" s="90" t="b">
        <f>IF((ISNUMBER(K237)),IF(AND(F237="Workdays",(SUMIFS(N:N,F:F,F237,H:H,H237,B:B,B237)&lt;=24)),IF(AND((K237*24)&gt;0,(K237*24)&lt;16),((K237*24)*MD!$I$6),IF((K237*24)&gt;=16,(MD!$J$6))),IF(AND(F237="Non_workdays",(SUMIFS(N:N,F:F,F237,H:H,H237,B:B,B237)&lt;=24)),IF(AND((K237*24)&gt;0,(K237*24)&lt;12),((K237*24)*MD!$I$5),IF((K237*24)&gt;=12,(MD!$J$5))))))</f>
        <v>0</v>
      </c>
      <c r="M237" s="62"/>
      <c r="N237" s="72">
        <f t="shared" si="8"/>
        <v>0</v>
      </c>
    </row>
    <row r="238" spans="1:14" x14ac:dyDescent="0.25">
      <c r="A238" s="62">
        <v>237</v>
      </c>
      <c r="B238" s="62"/>
      <c r="C238" s="85" t="str">
        <f>IF(ISNA(VLOOKUP($B238,CPY!$B:$G,2,FALSE))=TRUE," ",VLOOKUP($B238,CPY!$B:$G,2,FALSE))</f>
        <v> </v>
      </c>
      <c r="D238" s="50" t="str">
        <f>IF(ISNA(VLOOKUP($B238,CPY!$B:$G,3,FALSE))=TRUE," ",VLOOKUP($B238,CPY!$B:$G,3,FALSE))</f>
        <v> </v>
      </c>
      <c r="E238" s="65" t="str">
        <f>IF(ISNA(VLOOKUP($B238,CPY!$B:$G,4,FALSE))=TRUE," ",VLOOKUP($B238,CPY!$B:$G,4,FALSE))</f>
        <v> </v>
      </c>
      <c r="F238" s="62"/>
      <c r="G238" s="86"/>
      <c r="H238" s="87"/>
      <c r="I238" s="88"/>
      <c r="J238" s="88"/>
      <c r="K238" s="89">
        <f t="shared" si="9"/>
        <v>0</v>
      </c>
      <c r="L238" s="90" t="b">
        <f>IF((ISNUMBER(K238)),IF(AND(F238="Workdays",(SUMIFS(N:N,F:F,F238,H:H,H238,B:B,B238)&lt;=24)),IF(AND((K238*24)&gt;0,(K238*24)&lt;16),((K238*24)*MD!$I$6),IF((K238*24)&gt;=16,(MD!$J$6))),IF(AND(F238="Non_workdays",(SUMIFS(N:N,F:F,F238,H:H,H238,B:B,B238)&lt;=24)),IF(AND((K238*24)&gt;0,(K238*24)&lt;12),((K238*24)*MD!$I$5),IF((K238*24)&gt;=12,(MD!$J$5))))))</f>
        <v>0</v>
      </c>
      <c r="M238" s="62"/>
      <c r="N238" s="72">
        <f t="shared" si="8"/>
        <v>0</v>
      </c>
    </row>
    <row r="239" spans="1:14" x14ac:dyDescent="0.25">
      <c r="A239" s="62">
        <v>238</v>
      </c>
      <c r="B239" s="62"/>
      <c r="C239" s="85" t="str">
        <f>IF(ISNA(VLOOKUP($B239,CPY!$B:$G,2,FALSE))=TRUE," ",VLOOKUP($B239,CPY!$B:$G,2,FALSE))</f>
        <v> </v>
      </c>
      <c r="D239" s="50" t="str">
        <f>IF(ISNA(VLOOKUP($B239,CPY!$B:$G,3,FALSE))=TRUE," ",VLOOKUP($B239,CPY!$B:$G,3,FALSE))</f>
        <v> </v>
      </c>
      <c r="E239" s="65" t="str">
        <f>IF(ISNA(VLOOKUP($B239,CPY!$B:$G,4,FALSE))=TRUE," ",VLOOKUP($B239,CPY!$B:$G,4,FALSE))</f>
        <v> </v>
      </c>
      <c r="F239" s="62"/>
      <c r="G239" s="86"/>
      <c r="H239" s="87"/>
      <c r="I239" s="88"/>
      <c r="J239" s="88"/>
      <c r="K239" s="89">
        <f t="shared" si="9"/>
        <v>0</v>
      </c>
      <c r="L239" s="90" t="b">
        <f>IF((ISNUMBER(K239)),IF(AND(F239="Workdays",(SUMIFS(N:N,F:F,F239,H:H,H239,B:B,B239)&lt;=24)),IF(AND((K239*24)&gt;0,(K239*24)&lt;16),((K239*24)*MD!$I$6),IF((K239*24)&gt;=16,(MD!$J$6))),IF(AND(F239="Non_workdays",(SUMIFS(N:N,F:F,F239,H:H,H239,B:B,B239)&lt;=24)),IF(AND((K239*24)&gt;0,(K239*24)&lt;12),((K239*24)*MD!$I$5),IF((K239*24)&gt;=12,(MD!$J$5))))))</f>
        <v>0</v>
      </c>
      <c r="M239" s="62"/>
      <c r="N239" s="72">
        <f t="shared" si="8"/>
        <v>0</v>
      </c>
    </row>
    <row r="240" spans="1:14" x14ac:dyDescent="0.25">
      <c r="A240" s="62">
        <v>239</v>
      </c>
      <c r="B240" s="62"/>
      <c r="C240" s="85" t="str">
        <f>IF(ISNA(VLOOKUP($B240,CPY!$B:$G,2,FALSE))=TRUE," ",VLOOKUP($B240,CPY!$B:$G,2,FALSE))</f>
        <v> </v>
      </c>
      <c r="D240" s="50" t="str">
        <f>IF(ISNA(VLOOKUP($B240,CPY!$B:$G,3,FALSE))=TRUE," ",VLOOKUP($B240,CPY!$B:$G,3,FALSE))</f>
        <v> </v>
      </c>
      <c r="E240" s="65" t="str">
        <f>IF(ISNA(VLOOKUP($B240,CPY!$B:$G,4,FALSE))=TRUE," ",VLOOKUP($B240,CPY!$B:$G,4,FALSE))</f>
        <v> </v>
      </c>
      <c r="F240" s="62"/>
      <c r="G240" s="86"/>
      <c r="H240" s="87"/>
      <c r="I240" s="88"/>
      <c r="J240" s="88"/>
      <c r="K240" s="89">
        <f t="shared" si="9"/>
        <v>0</v>
      </c>
      <c r="L240" s="90" t="b">
        <f>IF((ISNUMBER(K240)),IF(AND(F240="Workdays",(SUMIFS(N:N,F:F,F240,H:H,H240,B:B,B240)&lt;=24)),IF(AND((K240*24)&gt;0,(K240*24)&lt;16),((K240*24)*MD!$I$6),IF((K240*24)&gt;=16,(MD!$J$6))),IF(AND(F240="Non_workdays",(SUMIFS(N:N,F:F,F240,H:H,H240,B:B,B240)&lt;=24)),IF(AND((K240*24)&gt;0,(K240*24)&lt;12),((K240*24)*MD!$I$5),IF((K240*24)&gt;=12,(MD!$J$5))))))</f>
        <v>0</v>
      </c>
      <c r="M240" s="62"/>
      <c r="N240" s="72">
        <f t="shared" si="8"/>
        <v>0</v>
      </c>
    </row>
    <row r="241" spans="1:14" x14ac:dyDescent="0.25">
      <c r="A241" s="62">
        <v>240</v>
      </c>
      <c r="B241" s="62"/>
      <c r="C241" s="85" t="str">
        <f>IF(ISNA(VLOOKUP($B241,CPY!$B:$G,2,FALSE))=TRUE," ",VLOOKUP($B241,CPY!$B:$G,2,FALSE))</f>
        <v> </v>
      </c>
      <c r="D241" s="50" t="str">
        <f>IF(ISNA(VLOOKUP($B241,CPY!$B:$G,3,FALSE))=TRUE," ",VLOOKUP($B241,CPY!$B:$G,3,FALSE))</f>
        <v> </v>
      </c>
      <c r="E241" s="65" t="str">
        <f>IF(ISNA(VLOOKUP($B241,CPY!$B:$G,4,FALSE))=TRUE," ",VLOOKUP($B241,CPY!$B:$G,4,FALSE))</f>
        <v> </v>
      </c>
      <c r="F241" s="62"/>
      <c r="G241" s="86"/>
      <c r="H241" s="87"/>
      <c r="I241" s="88"/>
      <c r="J241" s="88"/>
      <c r="K241" s="89">
        <f t="shared" si="9"/>
        <v>0</v>
      </c>
      <c r="L241" s="90" t="b">
        <f>IF((ISNUMBER(K241)),IF(AND(F241="Workdays",(SUMIFS(N:N,F:F,F241,H:H,H241,B:B,B241)&lt;=24)),IF(AND((K241*24)&gt;0,(K241*24)&lt;16),((K241*24)*MD!$I$6),IF((K241*24)&gt;=16,(MD!$J$6))),IF(AND(F241="Non_workdays",(SUMIFS(N:N,F:F,F241,H:H,H241,B:B,B241)&lt;=24)),IF(AND((K241*24)&gt;0,(K241*24)&lt;12),((K241*24)*MD!$I$5),IF((K241*24)&gt;=12,(MD!$J$5))))))</f>
        <v>0</v>
      </c>
      <c r="M241" s="62"/>
      <c r="N241" s="72">
        <f t="shared" si="8"/>
        <v>0</v>
      </c>
    </row>
    <row r="242" spans="1:14" x14ac:dyDescent="0.25">
      <c r="A242" s="62">
        <v>241</v>
      </c>
      <c r="B242" s="62"/>
      <c r="C242" s="85" t="str">
        <f>IF(ISNA(VLOOKUP($B242,CPY!$B:$G,2,FALSE))=TRUE," ",VLOOKUP($B242,CPY!$B:$G,2,FALSE))</f>
        <v> </v>
      </c>
      <c r="D242" s="50" t="str">
        <f>IF(ISNA(VLOOKUP($B242,CPY!$B:$G,3,FALSE))=TRUE," ",VLOOKUP($B242,CPY!$B:$G,3,FALSE))</f>
        <v> </v>
      </c>
      <c r="E242" s="65" t="str">
        <f>IF(ISNA(VLOOKUP($B242,CPY!$B:$G,4,FALSE))=TRUE," ",VLOOKUP($B242,CPY!$B:$G,4,FALSE))</f>
        <v> </v>
      </c>
      <c r="F242" s="62"/>
      <c r="G242" s="86"/>
      <c r="H242" s="87"/>
      <c r="I242" s="88"/>
      <c r="J242" s="88"/>
      <c r="K242" s="89">
        <f t="shared" si="9"/>
        <v>0</v>
      </c>
      <c r="L242" s="90" t="b">
        <f>IF((ISNUMBER(K242)),IF(AND(F242="Workdays",(SUMIFS(N:N,F:F,F242,H:H,H242,B:B,B242)&lt;=24)),IF(AND((K242*24)&gt;0,(K242*24)&lt;16),((K242*24)*MD!$I$6),IF((K242*24)&gt;=16,(MD!$J$6))),IF(AND(F242="Non_workdays",(SUMIFS(N:N,F:F,F242,H:H,H242,B:B,B242)&lt;=24)),IF(AND((K242*24)&gt;0,(K242*24)&lt;12),((K242*24)*MD!$I$5),IF((K242*24)&gt;=12,(MD!$J$5))))))</f>
        <v>0</v>
      </c>
      <c r="M242" s="62"/>
      <c r="N242" s="72">
        <f t="shared" si="8"/>
        <v>0</v>
      </c>
    </row>
    <row r="243" spans="1:14" x14ac:dyDescent="0.25">
      <c r="A243" s="62">
        <v>242</v>
      </c>
      <c r="B243" s="62"/>
      <c r="C243" s="85" t="str">
        <f>IF(ISNA(VLOOKUP($B243,CPY!$B:$G,2,FALSE))=TRUE," ",VLOOKUP($B243,CPY!$B:$G,2,FALSE))</f>
        <v> </v>
      </c>
      <c r="D243" s="50" t="str">
        <f>IF(ISNA(VLOOKUP($B243,CPY!$B:$G,3,FALSE))=TRUE," ",VLOOKUP($B243,CPY!$B:$G,3,FALSE))</f>
        <v> </v>
      </c>
      <c r="E243" s="65" t="str">
        <f>IF(ISNA(VLOOKUP($B243,CPY!$B:$G,4,FALSE))=TRUE," ",VLOOKUP($B243,CPY!$B:$G,4,FALSE))</f>
        <v> </v>
      </c>
      <c r="F243" s="62"/>
      <c r="G243" s="86"/>
      <c r="H243" s="87"/>
      <c r="I243" s="88"/>
      <c r="J243" s="88"/>
      <c r="K243" s="89">
        <f t="shared" si="9"/>
        <v>0</v>
      </c>
      <c r="L243" s="90" t="b">
        <f>IF((ISNUMBER(K243)),IF(AND(F243="Workdays",(SUMIFS(N:N,F:F,F243,H:H,H243,B:B,B243)&lt;=24)),IF(AND((K243*24)&gt;0,(K243*24)&lt;16),((K243*24)*MD!$I$6),IF((K243*24)&gt;=16,(MD!$J$6))),IF(AND(F243="Non_workdays",(SUMIFS(N:N,F:F,F243,H:H,H243,B:B,B243)&lt;=24)),IF(AND((K243*24)&gt;0,(K243*24)&lt;12),((K243*24)*MD!$I$5),IF((K243*24)&gt;=12,(MD!$J$5))))))</f>
        <v>0</v>
      </c>
      <c r="M243" s="62"/>
      <c r="N243" s="72">
        <f t="shared" si="8"/>
        <v>0</v>
      </c>
    </row>
    <row r="244" spans="1:14" x14ac:dyDescent="0.25">
      <c r="A244" s="62">
        <v>243</v>
      </c>
      <c r="B244" s="62"/>
      <c r="C244" s="85" t="str">
        <f>IF(ISNA(VLOOKUP($B244,CPY!$B:$G,2,FALSE))=TRUE," ",VLOOKUP($B244,CPY!$B:$G,2,FALSE))</f>
        <v> </v>
      </c>
      <c r="D244" s="50" t="str">
        <f>IF(ISNA(VLOOKUP($B244,CPY!$B:$G,3,FALSE))=TRUE," ",VLOOKUP($B244,CPY!$B:$G,3,FALSE))</f>
        <v> </v>
      </c>
      <c r="E244" s="65" t="str">
        <f>IF(ISNA(VLOOKUP($B244,CPY!$B:$G,4,FALSE))=TRUE," ",VLOOKUP($B244,CPY!$B:$G,4,FALSE))</f>
        <v> </v>
      </c>
      <c r="F244" s="62"/>
      <c r="G244" s="86"/>
      <c r="H244" s="87"/>
      <c r="I244" s="88"/>
      <c r="J244" s="88"/>
      <c r="K244" s="89">
        <f t="shared" si="9"/>
        <v>0</v>
      </c>
      <c r="L244" s="90" t="b">
        <f>IF((ISNUMBER(K244)),IF(AND(F244="Workdays",(SUMIFS(N:N,F:F,F244,H:H,H244,B:B,B244)&lt;=24)),IF(AND((K244*24)&gt;0,(K244*24)&lt;16),((K244*24)*MD!$I$6),IF((K244*24)&gt;=16,(MD!$J$6))),IF(AND(F244="Non_workdays",(SUMIFS(N:N,F:F,F244,H:H,H244,B:B,B244)&lt;=24)),IF(AND((K244*24)&gt;0,(K244*24)&lt;12),((K244*24)*MD!$I$5),IF((K244*24)&gt;=12,(MD!$J$5))))))</f>
        <v>0</v>
      </c>
      <c r="M244" s="62"/>
      <c r="N244" s="72">
        <f t="shared" si="8"/>
        <v>0</v>
      </c>
    </row>
    <row r="245" spans="1:14" x14ac:dyDescent="0.25">
      <c r="A245" s="62">
        <v>244</v>
      </c>
      <c r="B245" s="62"/>
      <c r="C245" s="85" t="str">
        <f>IF(ISNA(VLOOKUP($B245,CPY!$B:$G,2,FALSE))=TRUE," ",VLOOKUP($B245,CPY!$B:$G,2,FALSE))</f>
        <v> </v>
      </c>
      <c r="D245" s="50" t="str">
        <f>IF(ISNA(VLOOKUP($B245,CPY!$B:$G,3,FALSE))=TRUE," ",VLOOKUP($B245,CPY!$B:$G,3,FALSE))</f>
        <v> </v>
      </c>
      <c r="E245" s="65" t="str">
        <f>IF(ISNA(VLOOKUP($B245,CPY!$B:$G,4,FALSE))=TRUE," ",VLOOKUP($B245,CPY!$B:$G,4,FALSE))</f>
        <v> </v>
      </c>
      <c r="F245" s="62"/>
      <c r="G245" s="86"/>
      <c r="H245" s="87"/>
      <c r="I245" s="88"/>
      <c r="J245" s="88"/>
      <c r="K245" s="89">
        <f t="shared" si="9"/>
        <v>0</v>
      </c>
      <c r="L245" s="90" t="b">
        <f>IF((ISNUMBER(K245)),IF(AND(F245="Workdays",(SUMIFS(N:N,F:F,F245,H:H,H245,B:B,B245)&lt;=24)),IF(AND((K245*24)&gt;0,(K245*24)&lt;16),((K245*24)*MD!$I$6),IF((K245*24)&gt;=16,(MD!$J$6))),IF(AND(F245="Non_workdays",(SUMIFS(N:N,F:F,F245,H:H,H245,B:B,B245)&lt;=24)),IF(AND((K245*24)&gt;0,(K245*24)&lt;12),((K245*24)*MD!$I$5),IF((K245*24)&gt;=12,(MD!$J$5))))))</f>
        <v>0</v>
      </c>
      <c r="M245" s="62"/>
      <c r="N245" s="72">
        <f t="shared" si="8"/>
        <v>0</v>
      </c>
    </row>
    <row r="246" spans="1:14" x14ac:dyDescent="0.25">
      <c r="A246" s="62">
        <v>245</v>
      </c>
      <c r="B246" s="62"/>
      <c r="C246" s="85" t="str">
        <f>IF(ISNA(VLOOKUP($B246,CPY!$B:$G,2,FALSE))=TRUE," ",VLOOKUP($B246,CPY!$B:$G,2,FALSE))</f>
        <v> </v>
      </c>
      <c r="D246" s="50" t="str">
        <f>IF(ISNA(VLOOKUP($B246,CPY!$B:$G,3,FALSE))=TRUE," ",VLOOKUP($B246,CPY!$B:$G,3,FALSE))</f>
        <v> </v>
      </c>
      <c r="E246" s="65" t="str">
        <f>IF(ISNA(VLOOKUP($B246,CPY!$B:$G,4,FALSE))=TRUE," ",VLOOKUP($B246,CPY!$B:$G,4,FALSE))</f>
        <v> </v>
      </c>
      <c r="F246" s="62"/>
      <c r="G246" s="86"/>
      <c r="H246" s="87"/>
      <c r="I246" s="88"/>
      <c r="J246" s="88"/>
      <c r="K246" s="89">
        <f t="shared" si="9"/>
        <v>0</v>
      </c>
      <c r="L246" s="90" t="b">
        <f>IF((ISNUMBER(K246)),IF(AND(F246="Workdays",(SUMIFS(N:N,F:F,F246,H:H,H246,B:B,B246)&lt;=24)),IF(AND((K246*24)&gt;0,(K246*24)&lt;16),((K246*24)*MD!$I$6),IF((K246*24)&gt;=16,(MD!$J$6))),IF(AND(F246="Non_workdays",(SUMIFS(N:N,F:F,F246,H:H,H246,B:B,B246)&lt;=24)),IF(AND((K246*24)&gt;0,(K246*24)&lt;12),((K246*24)*MD!$I$5),IF((K246*24)&gt;=12,(MD!$J$5))))))</f>
        <v>0</v>
      </c>
      <c r="M246" s="62"/>
      <c r="N246" s="72">
        <f t="shared" si="8"/>
        <v>0</v>
      </c>
    </row>
    <row r="247" spans="1:14" x14ac:dyDescent="0.25">
      <c r="A247" s="62">
        <v>246</v>
      </c>
      <c r="B247" s="62"/>
      <c r="C247" s="85" t="str">
        <f>IF(ISNA(VLOOKUP($B247,CPY!$B:$G,2,FALSE))=TRUE," ",VLOOKUP($B247,CPY!$B:$G,2,FALSE))</f>
        <v> </v>
      </c>
      <c r="D247" s="50" t="str">
        <f>IF(ISNA(VLOOKUP($B247,CPY!$B:$G,3,FALSE))=TRUE," ",VLOOKUP($B247,CPY!$B:$G,3,FALSE))</f>
        <v> </v>
      </c>
      <c r="E247" s="65" t="str">
        <f>IF(ISNA(VLOOKUP($B247,CPY!$B:$G,4,FALSE))=TRUE," ",VLOOKUP($B247,CPY!$B:$G,4,FALSE))</f>
        <v> </v>
      </c>
      <c r="F247" s="62"/>
      <c r="G247" s="86"/>
      <c r="H247" s="87"/>
      <c r="I247" s="88"/>
      <c r="J247" s="88"/>
      <c r="K247" s="89">
        <f t="shared" si="9"/>
        <v>0</v>
      </c>
      <c r="L247" s="90" t="b">
        <f>IF((ISNUMBER(K247)),IF(AND(F247="Workdays",(SUMIFS(N:N,F:F,F247,H:H,H247,B:B,B247)&lt;=24)),IF(AND((K247*24)&gt;0,(K247*24)&lt;16),((K247*24)*MD!$I$6),IF((K247*24)&gt;=16,(MD!$J$6))),IF(AND(F247="Non_workdays",(SUMIFS(N:N,F:F,F247,H:H,H247,B:B,B247)&lt;=24)),IF(AND((K247*24)&gt;0,(K247*24)&lt;12),((K247*24)*MD!$I$5),IF((K247*24)&gt;=12,(MD!$J$5))))))</f>
        <v>0</v>
      </c>
      <c r="M247" s="62"/>
      <c r="N247" s="72">
        <f t="shared" si="8"/>
        <v>0</v>
      </c>
    </row>
    <row r="248" spans="1:14" x14ac:dyDescent="0.25">
      <c r="A248" s="62">
        <v>247</v>
      </c>
      <c r="B248" s="62"/>
      <c r="C248" s="85" t="str">
        <f>IF(ISNA(VLOOKUP($B248,CPY!$B:$G,2,FALSE))=TRUE," ",VLOOKUP($B248,CPY!$B:$G,2,FALSE))</f>
        <v> </v>
      </c>
      <c r="D248" s="50" t="str">
        <f>IF(ISNA(VLOOKUP($B248,CPY!$B:$G,3,FALSE))=TRUE," ",VLOOKUP($B248,CPY!$B:$G,3,FALSE))</f>
        <v> </v>
      </c>
      <c r="E248" s="65" t="str">
        <f>IF(ISNA(VLOOKUP($B248,CPY!$B:$G,4,FALSE))=TRUE," ",VLOOKUP($B248,CPY!$B:$G,4,FALSE))</f>
        <v> </v>
      </c>
      <c r="F248" s="62"/>
      <c r="G248" s="86"/>
      <c r="H248" s="87"/>
      <c r="I248" s="88"/>
      <c r="J248" s="88"/>
      <c r="K248" s="89">
        <f t="shared" si="9"/>
        <v>0</v>
      </c>
      <c r="L248" s="90" t="b">
        <f>IF((ISNUMBER(K248)),IF(AND(F248="Workdays",(SUMIFS(N:N,F:F,F248,H:H,H248,B:B,B248)&lt;=24)),IF(AND((K248*24)&gt;0,(K248*24)&lt;16),((K248*24)*MD!$I$6),IF((K248*24)&gt;=16,(MD!$J$6))),IF(AND(F248="Non_workdays",(SUMIFS(N:N,F:F,F248,H:H,H248,B:B,B248)&lt;=24)),IF(AND((K248*24)&gt;0,(K248*24)&lt;12),((K248*24)*MD!$I$5),IF((K248*24)&gt;=12,(MD!$J$5))))))</f>
        <v>0</v>
      </c>
      <c r="M248" s="62"/>
      <c r="N248" s="72">
        <f t="shared" si="8"/>
        <v>0</v>
      </c>
    </row>
    <row r="249" spans="1:14" x14ac:dyDescent="0.25">
      <c r="A249" s="62">
        <v>248</v>
      </c>
      <c r="B249" s="62"/>
      <c r="C249" s="85" t="str">
        <f>IF(ISNA(VLOOKUP($B249,CPY!$B:$G,2,FALSE))=TRUE," ",VLOOKUP($B249,CPY!$B:$G,2,FALSE))</f>
        <v> </v>
      </c>
      <c r="D249" s="50" t="str">
        <f>IF(ISNA(VLOOKUP($B249,CPY!$B:$G,3,FALSE))=TRUE," ",VLOOKUP($B249,CPY!$B:$G,3,FALSE))</f>
        <v> </v>
      </c>
      <c r="E249" s="65" t="str">
        <f>IF(ISNA(VLOOKUP($B249,CPY!$B:$G,4,FALSE))=TRUE," ",VLOOKUP($B249,CPY!$B:$G,4,FALSE))</f>
        <v> </v>
      </c>
      <c r="F249" s="62"/>
      <c r="G249" s="86"/>
      <c r="H249" s="87"/>
      <c r="I249" s="88"/>
      <c r="J249" s="88"/>
      <c r="K249" s="89">
        <f t="shared" si="9"/>
        <v>0</v>
      </c>
      <c r="L249" s="90" t="b">
        <f>IF((ISNUMBER(K249)),IF(AND(F249="Workdays",(SUMIFS(N:N,F:F,F249,H:H,H249,B:B,B249)&lt;=24)),IF(AND((K249*24)&gt;0,(K249*24)&lt;16),((K249*24)*MD!$I$6),IF((K249*24)&gt;=16,(MD!$J$6))),IF(AND(F249="Non_workdays",(SUMIFS(N:N,F:F,F249,H:H,H249,B:B,B249)&lt;=24)),IF(AND((K249*24)&gt;0,(K249*24)&lt;12),((K249*24)*MD!$I$5),IF((K249*24)&gt;=12,(MD!$J$5))))))</f>
        <v>0</v>
      </c>
      <c r="M249" s="62"/>
      <c r="N249" s="72">
        <f t="shared" si="8"/>
        <v>0</v>
      </c>
    </row>
    <row r="250" spans="1:14" x14ac:dyDescent="0.25">
      <c r="A250" s="62">
        <v>249</v>
      </c>
      <c r="B250" s="62"/>
      <c r="C250" s="85" t="str">
        <f>IF(ISNA(VLOOKUP($B250,CPY!$B:$G,2,FALSE))=TRUE," ",VLOOKUP($B250,CPY!$B:$G,2,FALSE))</f>
        <v> </v>
      </c>
      <c r="D250" s="50" t="str">
        <f>IF(ISNA(VLOOKUP($B250,CPY!$B:$G,3,FALSE))=TRUE," ",VLOOKUP($B250,CPY!$B:$G,3,FALSE))</f>
        <v> </v>
      </c>
      <c r="E250" s="65" t="str">
        <f>IF(ISNA(VLOOKUP($B250,CPY!$B:$G,4,FALSE))=TRUE," ",VLOOKUP($B250,CPY!$B:$G,4,FALSE))</f>
        <v> </v>
      </c>
      <c r="F250" s="62"/>
      <c r="G250" s="86"/>
      <c r="H250" s="87"/>
      <c r="I250" s="88"/>
      <c r="J250" s="88"/>
      <c r="K250" s="89">
        <f t="shared" si="9"/>
        <v>0</v>
      </c>
      <c r="L250" s="90" t="b">
        <f>IF((ISNUMBER(K250)),IF(AND(F250="Workdays",(SUMIFS(N:N,F:F,F250,H:H,H250,B:B,B250)&lt;=24)),IF(AND((K250*24)&gt;0,(K250*24)&lt;16),((K250*24)*MD!$I$6),IF((K250*24)&gt;=16,(MD!$J$6))),IF(AND(F250="Non_workdays",(SUMIFS(N:N,F:F,F250,H:H,H250,B:B,B250)&lt;=24)),IF(AND((K250*24)&gt;0,(K250*24)&lt;12),((K250*24)*MD!$I$5),IF((K250*24)&gt;=12,(MD!$J$5))))))</f>
        <v>0</v>
      </c>
      <c r="M250" s="62"/>
      <c r="N250" s="72">
        <f t="shared" si="8"/>
        <v>0</v>
      </c>
    </row>
    <row r="251" spans="1:14" x14ac:dyDescent="0.25">
      <c r="A251" s="62">
        <v>250</v>
      </c>
      <c r="B251" s="62"/>
      <c r="C251" s="85" t="str">
        <f>IF(ISNA(VLOOKUP($B251,CPY!$B:$G,2,FALSE))=TRUE," ",VLOOKUP($B251,CPY!$B:$G,2,FALSE))</f>
        <v> </v>
      </c>
      <c r="D251" s="50" t="str">
        <f>IF(ISNA(VLOOKUP($B251,CPY!$B:$G,3,FALSE))=TRUE," ",VLOOKUP($B251,CPY!$B:$G,3,FALSE))</f>
        <v> </v>
      </c>
      <c r="E251" s="65" t="str">
        <f>IF(ISNA(VLOOKUP($B251,CPY!$B:$G,4,FALSE))=TRUE," ",VLOOKUP($B251,CPY!$B:$G,4,FALSE))</f>
        <v> </v>
      </c>
      <c r="F251" s="62"/>
      <c r="G251" s="86"/>
      <c r="H251" s="87"/>
      <c r="I251" s="88"/>
      <c r="J251" s="88"/>
      <c r="K251" s="89">
        <f t="shared" si="9"/>
        <v>0</v>
      </c>
      <c r="L251" s="90" t="b">
        <f>IF((ISNUMBER(K251)),IF(AND(F251="Workdays",(SUMIFS(N:N,F:F,F251,H:H,H251,B:B,B251)&lt;=24)),IF(AND((K251*24)&gt;0,(K251*24)&lt;16),((K251*24)*MD!$I$6),IF((K251*24)&gt;=16,(MD!$J$6))),IF(AND(F251="Non_workdays",(SUMIFS(N:N,F:F,F251,H:H,H251,B:B,B251)&lt;=24)),IF(AND((K251*24)&gt;0,(K251*24)&lt;12),((K251*24)*MD!$I$5),IF((K251*24)&gt;=12,(MD!$J$5))))))</f>
        <v>0</v>
      </c>
      <c r="M251" s="62"/>
      <c r="N251" s="72">
        <f t="shared" si="8"/>
        <v>0</v>
      </c>
    </row>
    <row r="252" spans="1:14" x14ac:dyDescent="0.25">
      <c r="A252" s="62">
        <v>251</v>
      </c>
      <c r="B252" s="62"/>
      <c r="C252" s="85" t="str">
        <f>IF(ISNA(VLOOKUP($B252,CPY!$B:$G,2,FALSE))=TRUE," ",VLOOKUP($B252,CPY!$B:$G,2,FALSE))</f>
        <v> </v>
      </c>
      <c r="D252" s="50" t="str">
        <f>IF(ISNA(VLOOKUP($B252,CPY!$B:$G,3,FALSE))=TRUE," ",VLOOKUP($B252,CPY!$B:$G,3,FALSE))</f>
        <v> </v>
      </c>
      <c r="E252" s="65" t="str">
        <f>IF(ISNA(VLOOKUP($B252,CPY!$B:$G,4,FALSE))=TRUE," ",VLOOKUP($B252,CPY!$B:$G,4,FALSE))</f>
        <v> </v>
      </c>
      <c r="F252" s="62"/>
      <c r="G252" s="86"/>
      <c r="H252" s="87"/>
      <c r="I252" s="88"/>
      <c r="J252" s="88"/>
      <c r="K252" s="89">
        <f t="shared" si="9"/>
        <v>0</v>
      </c>
      <c r="L252" s="90" t="b">
        <f>IF((ISNUMBER(K252)),IF(AND(F252="Workdays",(SUMIFS(N:N,F:F,F252,H:H,H252,B:B,B252)&lt;=24)),IF(AND((K252*24)&gt;0,(K252*24)&lt;16),((K252*24)*MD!$I$6),IF((K252*24)&gt;=16,(MD!$J$6))),IF(AND(F252="Non_workdays",(SUMIFS(N:N,F:F,F252,H:H,H252,B:B,B252)&lt;=24)),IF(AND((K252*24)&gt;0,(K252*24)&lt;12),((K252*24)*MD!$I$5),IF((K252*24)&gt;=12,(MD!$J$5))))))</f>
        <v>0</v>
      </c>
      <c r="M252" s="62"/>
      <c r="N252" s="72">
        <f t="shared" si="8"/>
        <v>0</v>
      </c>
    </row>
    <row r="253" spans="1:14" x14ac:dyDescent="0.25">
      <c r="A253" s="62">
        <v>252</v>
      </c>
      <c r="B253" s="62"/>
      <c r="C253" s="85" t="str">
        <f>IF(ISNA(VLOOKUP($B253,CPY!$B:$G,2,FALSE))=TRUE," ",VLOOKUP($B253,CPY!$B:$G,2,FALSE))</f>
        <v> </v>
      </c>
      <c r="D253" s="50" t="str">
        <f>IF(ISNA(VLOOKUP($B253,CPY!$B:$G,3,FALSE))=TRUE," ",VLOOKUP($B253,CPY!$B:$G,3,FALSE))</f>
        <v> </v>
      </c>
      <c r="E253" s="65" t="str">
        <f>IF(ISNA(VLOOKUP($B253,CPY!$B:$G,4,FALSE))=TRUE," ",VLOOKUP($B253,CPY!$B:$G,4,FALSE))</f>
        <v> </v>
      </c>
      <c r="F253" s="62"/>
      <c r="G253" s="86"/>
      <c r="H253" s="87"/>
      <c r="I253" s="88"/>
      <c r="J253" s="88"/>
      <c r="K253" s="89">
        <f t="shared" si="9"/>
        <v>0</v>
      </c>
      <c r="L253" s="90" t="b">
        <f>IF((ISNUMBER(K253)),IF(AND(F253="Workdays",(SUMIFS(N:N,F:F,F253,H:H,H253,B:B,B253)&lt;=24)),IF(AND((K253*24)&gt;0,(K253*24)&lt;16),((K253*24)*MD!$I$6),IF((K253*24)&gt;=16,(MD!$J$6))),IF(AND(F253="Non_workdays",(SUMIFS(N:N,F:F,F253,H:H,H253,B:B,B253)&lt;=24)),IF(AND((K253*24)&gt;0,(K253*24)&lt;12),((K253*24)*MD!$I$5),IF((K253*24)&gt;=12,(MD!$J$5))))))</f>
        <v>0</v>
      </c>
      <c r="M253" s="62"/>
      <c r="N253" s="72">
        <f t="shared" si="8"/>
        <v>0</v>
      </c>
    </row>
    <row r="254" spans="1:14" x14ac:dyDescent="0.25">
      <c r="A254" s="62">
        <v>253</v>
      </c>
      <c r="B254" s="62"/>
      <c r="C254" s="85" t="str">
        <f>IF(ISNA(VLOOKUP($B254,CPY!$B:$G,2,FALSE))=TRUE," ",VLOOKUP($B254,CPY!$B:$G,2,FALSE))</f>
        <v> </v>
      </c>
      <c r="D254" s="50" t="str">
        <f>IF(ISNA(VLOOKUP($B254,CPY!$B:$G,3,FALSE))=TRUE," ",VLOOKUP($B254,CPY!$B:$G,3,FALSE))</f>
        <v> </v>
      </c>
      <c r="E254" s="65" t="str">
        <f>IF(ISNA(VLOOKUP($B254,CPY!$B:$G,4,FALSE))=TRUE," ",VLOOKUP($B254,CPY!$B:$G,4,FALSE))</f>
        <v> </v>
      </c>
      <c r="F254" s="62"/>
      <c r="G254" s="86"/>
      <c r="H254" s="87"/>
      <c r="I254" s="88"/>
      <c r="J254" s="88"/>
      <c r="K254" s="89">
        <f t="shared" si="9"/>
        <v>0</v>
      </c>
      <c r="L254" s="90" t="b">
        <f>IF((ISNUMBER(K254)),IF(AND(F254="Workdays",(SUMIFS(N:N,F:F,F254,H:H,H254,B:B,B254)&lt;=24)),IF(AND((K254*24)&gt;0,(K254*24)&lt;16),((K254*24)*MD!$I$6),IF((K254*24)&gt;=16,(MD!$J$6))),IF(AND(F254="Non_workdays",(SUMIFS(N:N,F:F,F254,H:H,H254,B:B,B254)&lt;=24)),IF(AND((K254*24)&gt;0,(K254*24)&lt;12),((K254*24)*MD!$I$5),IF((K254*24)&gt;=12,(MD!$J$5))))))</f>
        <v>0</v>
      </c>
      <c r="M254" s="62"/>
      <c r="N254" s="72">
        <f t="shared" si="8"/>
        <v>0</v>
      </c>
    </row>
    <row r="255" spans="1:14" x14ac:dyDescent="0.25">
      <c r="A255" s="62">
        <v>254</v>
      </c>
      <c r="B255" s="62"/>
      <c r="C255" s="85" t="str">
        <f>IF(ISNA(VLOOKUP($B255,CPY!$B:$G,2,FALSE))=TRUE," ",VLOOKUP($B255,CPY!$B:$G,2,FALSE))</f>
        <v> </v>
      </c>
      <c r="D255" s="50" t="str">
        <f>IF(ISNA(VLOOKUP($B255,CPY!$B:$G,3,FALSE))=TRUE," ",VLOOKUP($B255,CPY!$B:$G,3,FALSE))</f>
        <v> </v>
      </c>
      <c r="E255" s="65" t="str">
        <f>IF(ISNA(VLOOKUP($B255,CPY!$B:$G,4,FALSE))=TRUE," ",VLOOKUP($B255,CPY!$B:$G,4,FALSE))</f>
        <v> </v>
      </c>
      <c r="F255" s="62"/>
      <c r="G255" s="86"/>
      <c r="H255" s="87"/>
      <c r="I255" s="88"/>
      <c r="J255" s="88"/>
      <c r="K255" s="89">
        <f t="shared" si="9"/>
        <v>0</v>
      </c>
      <c r="L255" s="90" t="b">
        <f>IF((ISNUMBER(K255)),IF(AND(F255="Workdays",(SUMIFS(N:N,F:F,F255,H:H,H255,B:B,B255)&lt;=24)),IF(AND((K255*24)&gt;0,(K255*24)&lt;16),((K255*24)*MD!$I$6),IF((K255*24)&gt;=16,(MD!$J$6))),IF(AND(F255="Non_workdays",(SUMIFS(N:N,F:F,F255,H:H,H255,B:B,B255)&lt;=24)),IF(AND((K255*24)&gt;0,(K255*24)&lt;12),((K255*24)*MD!$I$5),IF((K255*24)&gt;=12,(MD!$J$5))))))</f>
        <v>0</v>
      </c>
      <c r="M255" s="62"/>
      <c r="N255" s="72">
        <f t="shared" si="8"/>
        <v>0</v>
      </c>
    </row>
    <row r="256" spans="1:14" x14ac:dyDescent="0.25">
      <c r="A256" s="62">
        <v>255</v>
      </c>
      <c r="B256" s="62"/>
      <c r="C256" s="85" t="str">
        <f>IF(ISNA(VLOOKUP($B256,CPY!$B:$G,2,FALSE))=TRUE," ",VLOOKUP($B256,CPY!$B:$G,2,FALSE))</f>
        <v> </v>
      </c>
      <c r="D256" s="50" t="str">
        <f>IF(ISNA(VLOOKUP($B256,CPY!$B:$G,3,FALSE))=TRUE," ",VLOOKUP($B256,CPY!$B:$G,3,FALSE))</f>
        <v> </v>
      </c>
      <c r="E256" s="65" t="str">
        <f>IF(ISNA(VLOOKUP($B256,CPY!$B:$G,4,FALSE))=TRUE," ",VLOOKUP($B256,CPY!$B:$G,4,FALSE))</f>
        <v> </v>
      </c>
      <c r="F256" s="62"/>
      <c r="G256" s="86"/>
      <c r="H256" s="87"/>
      <c r="I256" s="88"/>
      <c r="J256" s="88"/>
      <c r="K256" s="89">
        <f t="shared" si="9"/>
        <v>0</v>
      </c>
      <c r="L256" s="90" t="b">
        <f>IF((ISNUMBER(K256)),IF(AND(F256="Workdays",(SUMIFS(N:N,F:F,F256,H:H,H256,B:B,B256)&lt;=24)),IF(AND((K256*24)&gt;0,(K256*24)&lt;16),((K256*24)*MD!$I$6),IF((K256*24)&gt;=16,(MD!$J$6))),IF(AND(F256="Non_workdays",(SUMIFS(N:N,F:F,F256,H:H,H256,B:B,B256)&lt;=24)),IF(AND((K256*24)&gt;0,(K256*24)&lt;12),((K256*24)*MD!$I$5),IF((K256*24)&gt;=12,(MD!$J$5))))))</f>
        <v>0</v>
      </c>
      <c r="M256" s="62"/>
      <c r="N256" s="72">
        <f t="shared" si="8"/>
        <v>0</v>
      </c>
    </row>
    <row r="257" spans="1:14" x14ac:dyDescent="0.25">
      <c r="A257" s="62">
        <v>256</v>
      </c>
      <c r="B257" s="62"/>
      <c r="C257" s="85" t="str">
        <f>IF(ISNA(VLOOKUP($B257,CPY!$B:$G,2,FALSE))=TRUE," ",VLOOKUP($B257,CPY!$B:$G,2,FALSE))</f>
        <v> </v>
      </c>
      <c r="D257" s="50" t="str">
        <f>IF(ISNA(VLOOKUP($B257,CPY!$B:$G,3,FALSE))=TRUE," ",VLOOKUP($B257,CPY!$B:$G,3,FALSE))</f>
        <v> </v>
      </c>
      <c r="E257" s="65" t="str">
        <f>IF(ISNA(VLOOKUP($B257,CPY!$B:$G,4,FALSE))=TRUE," ",VLOOKUP($B257,CPY!$B:$G,4,FALSE))</f>
        <v> </v>
      </c>
      <c r="F257" s="62"/>
      <c r="G257" s="86"/>
      <c r="H257" s="87"/>
      <c r="I257" s="88"/>
      <c r="J257" s="88"/>
      <c r="K257" s="89">
        <f t="shared" si="9"/>
        <v>0</v>
      </c>
      <c r="L257" s="90" t="b">
        <f>IF((ISNUMBER(K257)),IF(AND(F257="Workdays",(SUMIFS(N:N,F:F,F257,H:H,H257,B:B,B257)&lt;=24)),IF(AND((K257*24)&gt;0,(K257*24)&lt;16),((K257*24)*MD!$I$6),IF((K257*24)&gt;=16,(MD!$J$6))),IF(AND(F257="Non_workdays",(SUMIFS(N:N,F:F,F257,H:H,H257,B:B,B257)&lt;=24)),IF(AND((K257*24)&gt;0,(K257*24)&lt;12),((K257*24)*MD!$I$5),IF((K257*24)&gt;=12,(MD!$J$5))))))</f>
        <v>0</v>
      </c>
      <c r="M257" s="62"/>
      <c r="N257" s="72">
        <f t="shared" si="8"/>
        <v>0</v>
      </c>
    </row>
    <row r="258" spans="1:14" x14ac:dyDescent="0.25">
      <c r="A258" s="62">
        <v>257</v>
      </c>
      <c r="B258" s="62"/>
      <c r="C258" s="85" t="str">
        <f>IF(ISNA(VLOOKUP($B258,CPY!$B:$G,2,FALSE))=TRUE," ",VLOOKUP($B258,CPY!$B:$G,2,FALSE))</f>
        <v> </v>
      </c>
      <c r="D258" s="50" t="str">
        <f>IF(ISNA(VLOOKUP($B258,CPY!$B:$G,3,FALSE))=TRUE," ",VLOOKUP($B258,CPY!$B:$G,3,FALSE))</f>
        <v> </v>
      </c>
      <c r="E258" s="65" t="str">
        <f>IF(ISNA(VLOOKUP($B258,CPY!$B:$G,4,FALSE))=TRUE," ",VLOOKUP($B258,CPY!$B:$G,4,FALSE))</f>
        <v> </v>
      </c>
      <c r="F258" s="62"/>
      <c r="G258" s="86"/>
      <c r="H258" s="87"/>
      <c r="I258" s="88"/>
      <c r="J258" s="88"/>
      <c r="K258" s="89">
        <f t="shared" si="9"/>
        <v>0</v>
      </c>
      <c r="L258" s="90" t="b">
        <f>IF((ISNUMBER(K258)),IF(AND(F258="Workdays",(SUMIFS(N:N,F:F,F258,H:H,H258,B:B,B258)&lt;=24)),IF(AND((K258*24)&gt;0,(K258*24)&lt;16),((K258*24)*MD!$I$6),IF((K258*24)&gt;=16,(MD!$J$6))),IF(AND(F258="Non_workdays",(SUMIFS(N:N,F:F,F258,H:H,H258,B:B,B258)&lt;=24)),IF(AND((K258*24)&gt;0,(K258*24)&lt;12),((K258*24)*MD!$I$5),IF((K258*24)&gt;=12,(MD!$J$5))))))</f>
        <v>0</v>
      </c>
      <c r="M258" s="62"/>
      <c r="N258" s="72">
        <f t="shared" si="8"/>
        <v>0</v>
      </c>
    </row>
    <row r="259" spans="1:14" x14ac:dyDescent="0.25">
      <c r="A259" s="62">
        <v>258</v>
      </c>
      <c r="B259" s="62"/>
      <c r="C259" s="85" t="str">
        <f>IF(ISNA(VLOOKUP($B259,CPY!$B:$G,2,FALSE))=TRUE," ",VLOOKUP($B259,CPY!$B:$G,2,FALSE))</f>
        <v> </v>
      </c>
      <c r="D259" s="50" t="str">
        <f>IF(ISNA(VLOOKUP($B259,CPY!$B:$G,3,FALSE))=TRUE," ",VLOOKUP($B259,CPY!$B:$G,3,FALSE))</f>
        <v> </v>
      </c>
      <c r="E259" s="65" t="str">
        <f>IF(ISNA(VLOOKUP($B259,CPY!$B:$G,4,FALSE))=TRUE," ",VLOOKUP($B259,CPY!$B:$G,4,FALSE))</f>
        <v> </v>
      </c>
      <c r="F259" s="62"/>
      <c r="G259" s="86"/>
      <c r="H259" s="87"/>
      <c r="I259" s="88"/>
      <c r="J259" s="88"/>
      <c r="K259" s="89">
        <f t="shared" si="9"/>
        <v>0</v>
      </c>
      <c r="L259" s="90" t="b">
        <f>IF((ISNUMBER(K259)),IF(AND(F259="Workdays",(SUMIFS(N:N,F:F,F259,H:H,H259,B:B,B259)&lt;=24)),IF(AND((K259*24)&gt;0,(K259*24)&lt;16),((K259*24)*MD!$I$6),IF((K259*24)&gt;=16,(MD!$J$6))),IF(AND(F259="Non_workdays",(SUMIFS(N:N,F:F,F259,H:H,H259,B:B,B259)&lt;=24)),IF(AND((K259*24)&gt;0,(K259*24)&lt;12),((K259*24)*MD!$I$5),IF((K259*24)&gt;=12,(MD!$J$5))))))</f>
        <v>0</v>
      </c>
      <c r="M259" s="62"/>
      <c r="N259" s="72">
        <f t="shared" ref="N259:N322" si="10">K259*24</f>
        <v>0</v>
      </c>
    </row>
    <row r="260" spans="1:14" x14ac:dyDescent="0.25">
      <c r="A260" s="62">
        <v>259</v>
      </c>
      <c r="B260" s="62"/>
      <c r="C260" s="85" t="str">
        <f>IF(ISNA(VLOOKUP($B260,CPY!$B:$G,2,FALSE))=TRUE," ",VLOOKUP($B260,CPY!$B:$G,2,FALSE))</f>
        <v> </v>
      </c>
      <c r="D260" s="50" t="str">
        <f>IF(ISNA(VLOOKUP($B260,CPY!$B:$G,3,FALSE))=TRUE," ",VLOOKUP($B260,CPY!$B:$G,3,FALSE))</f>
        <v> </v>
      </c>
      <c r="E260" s="65" t="str">
        <f>IF(ISNA(VLOOKUP($B260,CPY!$B:$G,4,FALSE))=TRUE," ",VLOOKUP($B260,CPY!$B:$G,4,FALSE))</f>
        <v> </v>
      </c>
      <c r="F260" s="62"/>
      <c r="G260" s="86"/>
      <c r="H260" s="87"/>
      <c r="I260" s="88"/>
      <c r="J260" s="88"/>
      <c r="K260" s="89">
        <f t="shared" ref="K260:K323" si="11">IF(NOT(ISBLANK($J260)),(IF(J260&lt;I260,J260+1,J260)-I260))</f>
        <v>0</v>
      </c>
      <c r="L260" s="90" t="b">
        <f>IF((ISNUMBER(K260)),IF(AND(F260="Workdays",(SUMIFS(N:N,F:F,F260,H:H,H260,B:B,B260)&lt;=24)),IF(AND((K260*24)&gt;0,(K260*24)&lt;16),((K260*24)*MD!$I$6),IF((K260*24)&gt;=16,(MD!$J$6))),IF(AND(F260="Non_workdays",(SUMIFS(N:N,F:F,F260,H:H,H260,B:B,B260)&lt;=24)),IF(AND((K260*24)&gt;0,(K260*24)&lt;12),((K260*24)*MD!$I$5),IF((K260*24)&gt;=12,(MD!$J$5))))))</f>
        <v>0</v>
      </c>
      <c r="M260" s="62"/>
      <c r="N260" s="72">
        <f t="shared" si="10"/>
        <v>0</v>
      </c>
    </row>
    <row r="261" spans="1:14" x14ac:dyDescent="0.25">
      <c r="A261" s="62">
        <v>260</v>
      </c>
      <c r="B261" s="62"/>
      <c r="C261" s="85" t="str">
        <f>IF(ISNA(VLOOKUP($B261,CPY!$B:$G,2,FALSE))=TRUE," ",VLOOKUP($B261,CPY!$B:$G,2,FALSE))</f>
        <v> </v>
      </c>
      <c r="D261" s="50" t="str">
        <f>IF(ISNA(VLOOKUP($B261,CPY!$B:$G,3,FALSE))=TRUE," ",VLOOKUP($B261,CPY!$B:$G,3,FALSE))</f>
        <v> </v>
      </c>
      <c r="E261" s="65" t="str">
        <f>IF(ISNA(VLOOKUP($B261,CPY!$B:$G,4,FALSE))=TRUE," ",VLOOKUP($B261,CPY!$B:$G,4,FALSE))</f>
        <v> </v>
      </c>
      <c r="F261" s="62"/>
      <c r="G261" s="86"/>
      <c r="H261" s="87"/>
      <c r="I261" s="88"/>
      <c r="J261" s="88"/>
      <c r="K261" s="89">
        <f t="shared" si="11"/>
        <v>0</v>
      </c>
      <c r="L261" s="90" t="b">
        <f>IF((ISNUMBER(K261)),IF(AND(F261="Workdays",(SUMIFS(N:N,F:F,F261,H:H,H261,B:B,B261)&lt;=24)),IF(AND((K261*24)&gt;0,(K261*24)&lt;16),((K261*24)*MD!$I$6),IF((K261*24)&gt;=16,(MD!$J$6))),IF(AND(F261="Non_workdays",(SUMIFS(N:N,F:F,F261,H:H,H261,B:B,B261)&lt;=24)),IF(AND((K261*24)&gt;0,(K261*24)&lt;12),((K261*24)*MD!$I$5),IF((K261*24)&gt;=12,(MD!$J$5))))))</f>
        <v>0</v>
      </c>
      <c r="M261" s="62"/>
      <c r="N261" s="72">
        <f t="shared" si="10"/>
        <v>0</v>
      </c>
    </row>
    <row r="262" spans="1:14" x14ac:dyDescent="0.25">
      <c r="A262" s="62">
        <v>261</v>
      </c>
      <c r="B262" s="62"/>
      <c r="C262" s="85" t="str">
        <f>IF(ISNA(VLOOKUP($B262,CPY!$B:$G,2,FALSE))=TRUE," ",VLOOKUP($B262,CPY!$B:$G,2,FALSE))</f>
        <v> </v>
      </c>
      <c r="D262" s="50" t="str">
        <f>IF(ISNA(VLOOKUP($B262,CPY!$B:$G,3,FALSE))=TRUE," ",VLOOKUP($B262,CPY!$B:$G,3,FALSE))</f>
        <v> </v>
      </c>
      <c r="E262" s="65" t="str">
        <f>IF(ISNA(VLOOKUP($B262,CPY!$B:$G,4,FALSE))=TRUE," ",VLOOKUP($B262,CPY!$B:$G,4,FALSE))</f>
        <v> </v>
      </c>
      <c r="F262" s="62"/>
      <c r="G262" s="86"/>
      <c r="H262" s="87"/>
      <c r="I262" s="88"/>
      <c r="J262" s="88"/>
      <c r="K262" s="89">
        <f t="shared" si="11"/>
        <v>0</v>
      </c>
      <c r="L262" s="90" t="b">
        <f>IF((ISNUMBER(K262)),IF(AND(F262="Workdays",(SUMIFS(N:N,F:F,F262,H:H,H262,B:B,B262)&lt;=24)),IF(AND((K262*24)&gt;0,(K262*24)&lt;16),((K262*24)*MD!$I$6),IF((K262*24)&gt;=16,(MD!$J$6))),IF(AND(F262="Non_workdays",(SUMIFS(N:N,F:F,F262,H:H,H262,B:B,B262)&lt;=24)),IF(AND((K262*24)&gt;0,(K262*24)&lt;12),((K262*24)*MD!$I$5),IF((K262*24)&gt;=12,(MD!$J$5))))))</f>
        <v>0</v>
      </c>
      <c r="M262" s="62"/>
      <c r="N262" s="72">
        <f t="shared" si="10"/>
        <v>0</v>
      </c>
    </row>
    <row r="263" spans="1:14" x14ac:dyDescent="0.25">
      <c r="A263" s="62">
        <v>262</v>
      </c>
      <c r="B263" s="62"/>
      <c r="C263" s="85" t="str">
        <f>IF(ISNA(VLOOKUP($B263,CPY!$B:$G,2,FALSE))=TRUE," ",VLOOKUP($B263,CPY!$B:$G,2,FALSE))</f>
        <v> </v>
      </c>
      <c r="D263" s="50" t="str">
        <f>IF(ISNA(VLOOKUP($B263,CPY!$B:$G,3,FALSE))=TRUE," ",VLOOKUP($B263,CPY!$B:$G,3,FALSE))</f>
        <v> </v>
      </c>
      <c r="E263" s="65" t="str">
        <f>IF(ISNA(VLOOKUP($B263,CPY!$B:$G,4,FALSE))=TRUE," ",VLOOKUP($B263,CPY!$B:$G,4,FALSE))</f>
        <v> </v>
      </c>
      <c r="F263" s="62"/>
      <c r="G263" s="86"/>
      <c r="H263" s="87"/>
      <c r="I263" s="88"/>
      <c r="J263" s="88"/>
      <c r="K263" s="89">
        <f t="shared" si="11"/>
        <v>0</v>
      </c>
      <c r="L263" s="90" t="b">
        <f>IF((ISNUMBER(K263)),IF(AND(F263="Workdays",(SUMIFS(N:N,F:F,F263,H:H,H263,B:B,B263)&lt;=24)),IF(AND((K263*24)&gt;0,(K263*24)&lt;16),((K263*24)*MD!$I$6),IF((K263*24)&gt;=16,(MD!$J$6))),IF(AND(F263="Non_workdays",(SUMIFS(N:N,F:F,F263,H:H,H263,B:B,B263)&lt;=24)),IF(AND((K263*24)&gt;0,(K263*24)&lt;12),((K263*24)*MD!$I$5),IF((K263*24)&gt;=12,(MD!$J$5))))))</f>
        <v>0</v>
      </c>
      <c r="M263" s="62"/>
      <c r="N263" s="72">
        <f t="shared" si="10"/>
        <v>0</v>
      </c>
    </row>
    <row r="264" spans="1:14" x14ac:dyDescent="0.25">
      <c r="A264" s="62">
        <v>263</v>
      </c>
      <c r="B264" s="62"/>
      <c r="C264" s="85" t="str">
        <f>IF(ISNA(VLOOKUP($B264,CPY!$B:$G,2,FALSE))=TRUE," ",VLOOKUP($B264,CPY!$B:$G,2,FALSE))</f>
        <v> </v>
      </c>
      <c r="D264" s="50" t="str">
        <f>IF(ISNA(VLOOKUP($B264,CPY!$B:$G,3,FALSE))=TRUE," ",VLOOKUP($B264,CPY!$B:$G,3,FALSE))</f>
        <v> </v>
      </c>
      <c r="E264" s="65" t="str">
        <f>IF(ISNA(VLOOKUP($B264,CPY!$B:$G,4,FALSE))=TRUE," ",VLOOKUP($B264,CPY!$B:$G,4,FALSE))</f>
        <v> </v>
      </c>
      <c r="F264" s="62"/>
      <c r="G264" s="86"/>
      <c r="H264" s="87"/>
      <c r="I264" s="88"/>
      <c r="J264" s="88"/>
      <c r="K264" s="89">
        <f t="shared" si="11"/>
        <v>0</v>
      </c>
      <c r="L264" s="90" t="b">
        <f>IF((ISNUMBER(K264)),IF(AND(F264="Workdays",(SUMIFS(N:N,F:F,F264,H:H,H264,B:B,B264)&lt;=24)),IF(AND((K264*24)&gt;0,(K264*24)&lt;16),((K264*24)*MD!$I$6),IF((K264*24)&gt;=16,(MD!$J$6))),IF(AND(F264="Non_workdays",(SUMIFS(N:N,F:F,F264,H:H,H264,B:B,B264)&lt;=24)),IF(AND((K264*24)&gt;0,(K264*24)&lt;12),((K264*24)*MD!$I$5),IF((K264*24)&gt;=12,(MD!$J$5))))))</f>
        <v>0</v>
      </c>
      <c r="M264" s="62"/>
      <c r="N264" s="72">
        <f t="shared" si="10"/>
        <v>0</v>
      </c>
    </row>
    <row r="265" spans="1:14" x14ac:dyDescent="0.25">
      <c r="A265" s="62">
        <v>264</v>
      </c>
      <c r="B265" s="62"/>
      <c r="C265" s="85" t="str">
        <f>IF(ISNA(VLOOKUP($B265,CPY!$B:$G,2,FALSE))=TRUE," ",VLOOKUP($B265,CPY!$B:$G,2,FALSE))</f>
        <v> </v>
      </c>
      <c r="D265" s="50" t="str">
        <f>IF(ISNA(VLOOKUP($B265,CPY!$B:$G,3,FALSE))=TRUE," ",VLOOKUP($B265,CPY!$B:$G,3,FALSE))</f>
        <v> </v>
      </c>
      <c r="E265" s="65" t="str">
        <f>IF(ISNA(VLOOKUP($B265,CPY!$B:$G,4,FALSE))=TRUE," ",VLOOKUP($B265,CPY!$B:$G,4,FALSE))</f>
        <v> </v>
      </c>
      <c r="F265" s="62"/>
      <c r="G265" s="86"/>
      <c r="H265" s="87"/>
      <c r="I265" s="88"/>
      <c r="J265" s="88"/>
      <c r="K265" s="89">
        <f t="shared" si="11"/>
        <v>0</v>
      </c>
      <c r="L265" s="90" t="b">
        <f>IF((ISNUMBER(K265)),IF(AND(F265="Workdays",(SUMIFS(N:N,F:F,F265,H:H,H265,B:B,B265)&lt;=24)),IF(AND((K265*24)&gt;0,(K265*24)&lt;16),((K265*24)*MD!$I$6),IF((K265*24)&gt;=16,(MD!$J$6))),IF(AND(F265="Non_workdays",(SUMIFS(N:N,F:F,F265,H:H,H265,B:B,B265)&lt;=24)),IF(AND((K265*24)&gt;0,(K265*24)&lt;12),((K265*24)*MD!$I$5),IF((K265*24)&gt;=12,(MD!$J$5))))))</f>
        <v>0</v>
      </c>
      <c r="M265" s="62"/>
      <c r="N265" s="72">
        <f t="shared" si="10"/>
        <v>0</v>
      </c>
    </row>
    <row r="266" spans="1:14" x14ac:dyDescent="0.25">
      <c r="A266" s="62">
        <v>265</v>
      </c>
      <c r="B266" s="62"/>
      <c r="C266" s="85" t="str">
        <f>IF(ISNA(VLOOKUP($B266,CPY!$B:$G,2,FALSE))=TRUE," ",VLOOKUP($B266,CPY!$B:$G,2,FALSE))</f>
        <v> </v>
      </c>
      <c r="D266" s="50" t="str">
        <f>IF(ISNA(VLOOKUP($B266,CPY!$B:$G,3,FALSE))=TRUE," ",VLOOKUP($B266,CPY!$B:$G,3,FALSE))</f>
        <v> </v>
      </c>
      <c r="E266" s="65" t="str">
        <f>IF(ISNA(VLOOKUP($B266,CPY!$B:$G,4,FALSE))=TRUE," ",VLOOKUP($B266,CPY!$B:$G,4,FALSE))</f>
        <v> </v>
      </c>
      <c r="F266" s="62"/>
      <c r="G266" s="86"/>
      <c r="H266" s="87"/>
      <c r="I266" s="88"/>
      <c r="J266" s="88"/>
      <c r="K266" s="89">
        <f t="shared" si="11"/>
        <v>0</v>
      </c>
      <c r="L266" s="90" t="b">
        <f>IF((ISNUMBER(K266)),IF(AND(F266="Workdays",(SUMIFS(N:N,F:F,F266,H:H,H266,B:B,B266)&lt;=24)),IF(AND((K266*24)&gt;0,(K266*24)&lt;16),((K266*24)*MD!$I$6),IF((K266*24)&gt;=16,(MD!$J$6))),IF(AND(F266="Non_workdays",(SUMIFS(N:N,F:F,F266,H:H,H266,B:B,B266)&lt;=24)),IF(AND((K266*24)&gt;0,(K266*24)&lt;12),((K266*24)*MD!$I$5),IF((K266*24)&gt;=12,(MD!$J$5))))))</f>
        <v>0</v>
      </c>
      <c r="M266" s="62"/>
      <c r="N266" s="72">
        <f t="shared" si="10"/>
        <v>0</v>
      </c>
    </row>
    <row r="267" spans="1:14" x14ac:dyDescent="0.25">
      <c r="A267" s="62">
        <v>266</v>
      </c>
      <c r="B267" s="62"/>
      <c r="C267" s="85" t="str">
        <f>IF(ISNA(VLOOKUP($B267,CPY!$B:$G,2,FALSE))=TRUE," ",VLOOKUP($B267,CPY!$B:$G,2,FALSE))</f>
        <v> </v>
      </c>
      <c r="D267" s="50" t="str">
        <f>IF(ISNA(VLOOKUP($B267,CPY!$B:$G,3,FALSE))=TRUE," ",VLOOKUP($B267,CPY!$B:$G,3,FALSE))</f>
        <v> </v>
      </c>
      <c r="E267" s="65" t="str">
        <f>IF(ISNA(VLOOKUP($B267,CPY!$B:$G,4,FALSE))=TRUE," ",VLOOKUP($B267,CPY!$B:$G,4,FALSE))</f>
        <v> </v>
      </c>
      <c r="F267" s="62"/>
      <c r="G267" s="86"/>
      <c r="H267" s="87"/>
      <c r="I267" s="88"/>
      <c r="J267" s="88"/>
      <c r="K267" s="89">
        <f t="shared" si="11"/>
        <v>0</v>
      </c>
      <c r="L267" s="90" t="b">
        <f>IF((ISNUMBER(K267)),IF(AND(F267="Workdays",(SUMIFS(N:N,F:F,F267,H:H,H267,B:B,B267)&lt;=24)),IF(AND((K267*24)&gt;0,(K267*24)&lt;16),((K267*24)*MD!$I$6),IF((K267*24)&gt;=16,(MD!$J$6))),IF(AND(F267="Non_workdays",(SUMIFS(N:N,F:F,F267,H:H,H267,B:B,B267)&lt;=24)),IF(AND((K267*24)&gt;0,(K267*24)&lt;12),((K267*24)*MD!$I$5),IF((K267*24)&gt;=12,(MD!$J$5))))))</f>
        <v>0</v>
      </c>
      <c r="M267" s="62"/>
      <c r="N267" s="72">
        <f t="shared" si="10"/>
        <v>0</v>
      </c>
    </row>
    <row r="268" spans="1:14" x14ac:dyDescent="0.25">
      <c r="A268" s="62">
        <v>267</v>
      </c>
      <c r="B268" s="62"/>
      <c r="C268" s="85" t="str">
        <f>IF(ISNA(VLOOKUP($B268,CPY!$B:$G,2,FALSE))=TRUE," ",VLOOKUP($B268,CPY!$B:$G,2,FALSE))</f>
        <v> </v>
      </c>
      <c r="D268" s="50" t="str">
        <f>IF(ISNA(VLOOKUP($B268,CPY!$B:$G,3,FALSE))=TRUE," ",VLOOKUP($B268,CPY!$B:$G,3,FALSE))</f>
        <v> </v>
      </c>
      <c r="E268" s="65" t="str">
        <f>IF(ISNA(VLOOKUP($B268,CPY!$B:$G,4,FALSE))=TRUE," ",VLOOKUP($B268,CPY!$B:$G,4,FALSE))</f>
        <v> </v>
      </c>
      <c r="F268" s="62"/>
      <c r="G268" s="86"/>
      <c r="H268" s="87"/>
      <c r="I268" s="88"/>
      <c r="J268" s="88"/>
      <c r="K268" s="89">
        <f t="shared" si="11"/>
        <v>0</v>
      </c>
      <c r="L268" s="90" t="b">
        <f>IF((ISNUMBER(K268)),IF(AND(F268="Workdays",(SUMIFS(N:N,F:F,F268,H:H,H268,B:B,B268)&lt;=24)),IF(AND((K268*24)&gt;0,(K268*24)&lt;16),((K268*24)*MD!$I$6),IF((K268*24)&gt;=16,(MD!$J$6))),IF(AND(F268="Non_workdays",(SUMIFS(N:N,F:F,F268,H:H,H268,B:B,B268)&lt;=24)),IF(AND((K268*24)&gt;0,(K268*24)&lt;12),((K268*24)*MD!$I$5),IF((K268*24)&gt;=12,(MD!$J$5))))))</f>
        <v>0</v>
      </c>
      <c r="M268" s="62"/>
      <c r="N268" s="72">
        <f t="shared" si="10"/>
        <v>0</v>
      </c>
    </row>
    <row r="269" spans="1:14" x14ac:dyDescent="0.25">
      <c r="A269" s="62">
        <v>268</v>
      </c>
      <c r="B269" s="62"/>
      <c r="C269" s="85" t="str">
        <f>IF(ISNA(VLOOKUP($B269,CPY!$B:$G,2,FALSE))=TRUE," ",VLOOKUP($B269,CPY!$B:$G,2,FALSE))</f>
        <v> </v>
      </c>
      <c r="D269" s="50" t="str">
        <f>IF(ISNA(VLOOKUP($B269,CPY!$B:$G,3,FALSE))=TRUE," ",VLOOKUP($B269,CPY!$B:$G,3,FALSE))</f>
        <v> </v>
      </c>
      <c r="E269" s="65" t="str">
        <f>IF(ISNA(VLOOKUP($B269,CPY!$B:$G,4,FALSE))=TRUE," ",VLOOKUP($B269,CPY!$B:$G,4,FALSE))</f>
        <v> </v>
      </c>
      <c r="F269" s="62"/>
      <c r="G269" s="86"/>
      <c r="H269" s="87"/>
      <c r="I269" s="88"/>
      <c r="J269" s="88"/>
      <c r="K269" s="89">
        <f t="shared" si="11"/>
        <v>0</v>
      </c>
      <c r="L269" s="90" t="b">
        <f>IF((ISNUMBER(K269)),IF(AND(F269="Workdays",(SUMIFS(N:N,F:F,F269,H:H,H269,B:B,B269)&lt;=24)),IF(AND((K269*24)&gt;0,(K269*24)&lt;16),((K269*24)*MD!$I$6),IF((K269*24)&gt;=16,(MD!$J$6))),IF(AND(F269="Non_workdays",(SUMIFS(N:N,F:F,F269,H:H,H269,B:B,B269)&lt;=24)),IF(AND((K269*24)&gt;0,(K269*24)&lt;12),((K269*24)*MD!$I$5),IF((K269*24)&gt;=12,(MD!$J$5))))))</f>
        <v>0</v>
      </c>
      <c r="M269" s="62"/>
      <c r="N269" s="72">
        <f t="shared" si="10"/>
        <v>0</v>
      </c>
    </row>
    <row r="270" spans="1:14" x14ac:dyDescent="0.25">
      <c r="A270" s="62">
        <v>269</v>
      </c>
      <c r="B270" s="62"/>
      <c r="C270" s="85" t="str">
        <f>IF(ISNA(VLOOKUP($B270,CPY!$B:$G,2,FALSE))=TRUE," ",VLOOKUP($B270,CPY!$B:$G,2,FALSE))</f>
        <v> </v>
      </c>
      <c r="D270" s="50" t="str">
        <f>IF(ISNA(VLOOKUP($B270,CPY!$B:$G,3,FALSE))=TRUE," ",VLOOKUP($B270,CPY!$B:$G,3,FALSE))</f>
        <v> </v>
      </c>
      <c r="E270" s="65" t="str">
        <f>IF(ISNA(VLOOKUP($B270,CPY!$B:$G,4,FALSE))=TRUE," ",VLOOKUP($B270,CPY!$B:$G,4,FALSE))</f>
        <v> </v>
      </c>
      <c r="F270" s="62"/>
      <c r="G270" s="86"/>
      <c r="H270" s="87"/>
      <c r="I270" s="88"/>
      <c r="J270" s="88"/>
      <c r="K270" s="89">
        <f t="shared" si="11"/>
        <v>0</v>
      </c>
      <c r="L270" s="90" t="b">
        <f>IF((ISNUMBER(K270)),IF(AND(F270="Workdays",(SUMIFS(N:N,F:F,F270,H:H,H270,B:B,B270)&lt;=24)),IF(AND((K270*24)&gt;0,(K270*24)&lt;16),((K270*24)*MD!$I$6),IF((K270*24)&gt;=16,(MD!$J$6))),IF(AND(F270="Non_workdays",(SUMIFS(N:N,F:F,F270,H:H,H270,B:B,B270)&lt;=24)),IF(AND((K270*24)&gt;0,(K270*24)&lt;12),((K270*24)*MD!$I$5),IF((K270*24)&gt;=12,(MD!$J$5))))))</f>
        <v>0</v>
      </c>
      <c r="M270" s="62"/>
      <c r="N270" s="72">
        <f t="shared" si="10"/>
        <v>0</v>
      </c>
    </row>
    <row r="271" spans="1:14" x14ac:dyDescent="0.25">
      <c r="A271" s="62">
        <v>270</v>
      </c>
      <c r="B271" s="62"/>
      <c r="C271" s="85" t="str">
        <f>IF(ISNA(VLOOKUP($B271,CPY!$B:$G,2,FALSE))=TRUE," ",VLOOKUP($B271,CPY!$B:$G,2,FALSE))</f>
        <v> </v>
      </c>
      <c r="D271" s="50" t="str">
        <f>IF(ISNA(VLOOKUP($B271,CPY!$B:$G,3,FALSE))=TRUE," ",VLOOKUP($B271,CPY!$B:$G,3,FALSE))</f>
        <v> </v>
      </c>
      <c r="E271" s="65" t="str">
        <f>IF(ISNA(VLOOKUP($B271,CPY!$B:$G,4,FALSE))=TRUE," ",VLOOKUP($B271,CPY!$B:$G,4,FALSE))</f>
        <v> </v>
      </c>
      <c r="F271" s="62"/>
      <c r="G271" s="86"/>
      <c r="H271" s="87"/>
      <c r="I271" s="88"/>
      <c r="J271" s="88"/>
      <c r="K271" s="89">
        <f t="shared" si="11"/>
        <v>0</v>
      </c>
      <c r="L271" s="90" t="b">
        <f>IF((ISNUMBER(K271)),IF(AND(F271="Workdays",(SUMIFS(N:N,F:F,F271,H:H,H271,B:B,B271)&lt;=24)),IF(AND((K271*24)&gt;0,(K271*24)&lt;16),((K271*24)*MD!$I$6),IF((K271*24)&gt;=16,(MD!$J$6))),IF(AND(F271="Non_workdays",(SUMIFS(N:N,F:F,F271,H:H,H271,B:B,B271)&lt;=24)),IF(AND((K271*24)&gt;0,(K271*24)&lt;12),((K271*24)*MD!$I$5),IF((K271*24)&gt;=12,(MD!$J$5))))))</f>
        <v>0</v>
      </c>
      <c r="M271" s="62"/>
      <c r="N271" s="72">
        <f t="shared" si="10"/>
        <v>0</v>
      </c>
    </row>
    <row r="272" spans="1:14" x14ac:dyDescent="0.25">
      <c r="A272" s="62">
        <v>271</v>
      </c>
      <c r="B272" s="62"/>
      <c r="C272" s="85" t="str">
        <f>IF(ISNA(VLOOKUP($B272,CPY!$B:$G,2,FALSE))=TRUE," ",VLOOKUP($B272,CPY!$B:$G,2,FALSE))</f>
        <v> </v>
      </c>
      <c r="D272" s="50" t="str">
        <f>IF(ISNA(VLOOKUP($B272,CPY!$B:$G,3,FALSE))=TRUE," ",VLOOKUP($B272,CPY!$B:$G,3,FALSE))</f>
        <v> </v>
      </c>
      <c r="E272" s="65" t="str">
        <f>IF(ISNA(VLOOKUP($B272,CPY!$B:$G,4,FALSE))=TRUE," ",VLOOKUP($B272,CPY!$B:$G,4,FALSE))</f>
        <v> </v>
      </c>
      <c r="F272" s="62"/>
      <c r="G272" s="86"/>
      <c r="H272" s="87"/>
      <c r="I272" s="88"/>
      <c r="J272" s="88"/>
      <c r="K272" s="89">
        <f t="shared" si="11"/>
        <v>0</v>
      </c>
      <c r="L272" s="90" t="b">
        <f>IF((ISNUMBER(K272)),IF(AND(F272="Workdays",(SUMIFS(N:N,F:F,F272,H:H,H272,B:B,B272)&lt;=24)),IF(AND((K272*24)&gt;0,(K272*24)&lt;16),((K272*24)*MD!$I$6),IF((K272*24)&gt;=16,(MD!$J$6))),IF(AND(F272="Non_workdays",(SUMIFS(N:N,F:F,F272,H:H,H272,B:B,B272)&lt;=24)),IF(AND((K272*24)&gt;0,(K272*24)&lt;12),((K272*24)*MD!$I$5),IF((K272*24)&gt;=12,(MD!$J$5))))))</f>
        <v>0</v>
      </c>
      <c r="M272" s="62"/>
      <c r="N272" s="72">
        <f t="shared" si="10"/>
        <v>0</v>
      </c>
    </row>
    <row r="273" spans="1:14" x14ac:dyDescent="0.25">
      <c r="A273" s="62">
        <v>272</v>
      </c>
      <c r="B273" s="62"/>
      <c r="C273" s="85" t="str">
        <f>IF(ISNA(VLOOKUP($B273,CPY!$B:$G,2,FALSE))=TRUE," ",VLOOKUP($B273,CPY!$B:$G,2,FALSE))</f>
        <v> </v>
      </c>
      <c r="D273" s="50" t="str">
        <f>IF(ISNA(VLOOKUP($B273,CPY!$B:$G,3,FALSE))=TRUE," ",VLOOKUP($B273,CPY!$B:$G,3,FALSE))</f>
        <v> </v>
      </c>
      <c r="E273" s="65" t="str">
        <f>IF(ISNA(VLOOKUP($B273,CPY!$B:$G,4,FALSE))=TRUE," ",VLOOKUP($B273,CPY!$B:$G,4,FALSE))</f>
        <v> </v>
      </c>
      <c r="F273" s="62"/>
      <c r="G273" s="86"/>
      <c r="H273" s="87"/>
      <c r="I273" s="88"/>
      <c r="J273" s="88"/>
      <c r="K273" s="89">
        <f t="shared" si="11"/>
        <v>0</v>
      </c>
      <c r="L273" s="90" t="b">
        <f>IF((ISNUMBER(K273)),IF(AND(F273="Workdays",(SUMIFS(N:N,F:F,F273,H:H,H273,B:B,B273)&lt;=24)),IF(AND((K273*24)&gt;0,(K273*24)&lt;16),((K273*24)*MD!$I$6),IF((K273*24)&gt;=16,(MD!$J$6))),IF(AND(F273="Non_workdays",(SUMIFS(N:N,F:F,F273,H:H,H273,B:B,B273)&lt;=24)),IF(AND((K273*24)&gt;0,(K273*24)&lt;12),((K273*24)*MD!$I$5),IF((K273*24)&gt;=12,(MD!$J$5))))))</f>
        <v>0</v>
      </c>
      <c r="M273" s="62"/>
      <c r="N273" s="72">
        <f t="shared" si="10"/>
        <v>0</v>
      </c>
    </row>
    <row r="274" spans="1:14" x14ac:dyDescent="0.25">
      <c r="A274" s="62">
        <v>273</v>
      </c>
      <c r="B274" s="62"/>
      <c r="C274" s="85" t="str">
        <f>IF(ISNA(VLOOKUP($B274,CPY!$B:$G,2,FALSE))=TRUE," ",VLOOKUP($B274,CPY!$B:$G,2,FALSE))</f>
        <v> </v>
      </c>
      <c r="D274" s="50" t="str">
        <f>IF(ISNA(VLOOKUP($B274,CPY!$B:$G,3,FALSE))=TRUE," ",VLOOKUP($B274,CPY!$B:$G,3,FALSE))</f>
        <v> </v>
      </c>
      <c r="E274" s="65" t="str">
        <f>IF(ISNA(VLOOKUP($B274,CPY!$B:$G,4,FALSE))=TRUE," ",VLOOKUP($B274,CPY!$B:$G,4,FALSE))</f>
        <v> </v>
      </c>
      <c r="F274" s="62"/>
      <c r="G274" s="86"/>
      <c r="H274" s="87"/>
      <c r="I274" s="88"/>
      <c r="J274" s="88"/>
      <c r="K274" s="89">
        <f t="shared" si="11"/>
        <v>0</v>
      </c>
      <c r="L274" s="90" t="b">
        <f>IF((ISNUMBER(K274)),IF(AND(F274="Workdays",(SUMIFS(N:N,F:F,F274,H:H,H274,B:B,B274)&lt;=24)),IF(AND((K274*24)&gt;0,(K274*24)&lt;16),((K274*24)*MD!$I$6),IF((K274*24)&gt;=16,(MD!$J$6))),IF(AND(F274="Non_workdays",(SUMIFS(N:N,F:F,F274,H:H,H274,B:B,B274)&lt;=24)),IF(AND((K274*24)&gt;0,(K274*24)&lt;12),((K274*24)*MD!$I$5),IF((K274*24)&gt;=12,(MD!$J$5))))))</f>
        <v>0</v>
      </c>
      <c r="M274" s="62"/>
      <c r="N274" s="72">
        <f t="shared" si="10"/>
        <v>0</v>
      </c>
    </row>
    <row r="275" spans="1:14" x14ac:dyDescent="0.25">
      <c r="A275" s="62">
        <v>274</v>
      </c>
      <c r="B275" s="62"/>
      <c r="C275" s="85" t="str">
        <f>IF(ISNA(VLOOKUP($B275,CPY!$B:$G,2,FALSE))=TRUE," ",VLOOKUP($B275,CPY!$B:$G,2,FALSE))</f>
        <v> </v>
      </c>
      <c r="D275" s="50" t="str">
        <f>IF(ISNA(VLOOKUP($B275,CPY!$B:$G,3,FALSE))=TRUE," ",VLOOKUP($B275,CPY!$B:$G,3,FALSE))</f>
        <v> </v>
      </c>
      <c r="E275" s="65" t="str">
        <f>IF(ISNA(VLOOKUP($B275,CPY!$B:$G,4,FALSE))=TRUE," ",VLOOKUP($B275,CPY!$B:$G,4,FALSE))</f>
        <v> </v>
      </c>
      <c r="F275" s="62"/>
      <c r="G275" s="86"/>
      <c r="H275" s="87"/>
      <c r="I275" s="88"/>
      <c r="J275" s="88"/>
      <c r="K275" s="89">
        <f t="shared" si="11"/>
        <v>0</v>
      </c>
      <c r="L275" s="90" t="b">
        <f>IF((ISNUMBER(K275)),IF(AND(F275="Workdays",(SUMIFS(N:N,F:F,F275,H:H,H275,B:B,B275)&lt;=24)),IF(AND((K275*24)&gt;0,(K275*24)&lt;16),((K275*24)*MD!$I$6),IF((K275*24)&gt;=16,(MD!$J$6))),IF(AND(F275="Non_workdays",(SUMIFS(N:N,F:F,F275,H:H,H275,B:B,B275)&lt;=24)),IF(AND((K275*24)&gt;0,(K275*24)&lt;12),((K275*24)*MD!$I$5),IF((K275*24)&gt;=12,(MD!$J$5))))))</f>
        <v>0</v>
      </c>
      <c r="M275" s="62"/>
      <c r="N275" s="72">
        <f t="shared" si="10"/>
        <v>0</v>
      </c>
    </row>
    <row r="276" spans="1:14" x14ac:dyDescent="0.25">
      <c r="A276" s="62">
        <v>275</v>
      </c>
      <c r="B276" s="62"/>
      <c r="C276" s="85" t="str">
        <f>IF(ISNA(VLOOKUP($B276,CPY!$B:$G,2,FALSE))=TRUE," ",VLOOKUP($B276,CPY!$B:$G,2,FALSE))</f>
        <v> </v>
      </c>
      <c r="D276" s="50" t="str">
        <f>IF(ISNA(VLOOKUP($B276,CPY!$B:$G,3,FALSE))=TRUE," ",VLOOKUP($B276,CPY!$B:$G,3,FALSE))</f>
        <v> </v>
      </c>
      <c r="E276" s="65" t="str">
        <f>IF(ISNA(VLOOKUP($B276,CPY!$B:$G,4,FALSE))=TRUE," ",VLOOKUP($B276,CPY!$B:$G,4,FALSE))</f>
        <v> </v>
      </c>
      <c r="F276" s="62"/>
      <c r="G276" s="86"/>
      <c r="H276" s="87"/>
      <c r="I276" s="88"/>
      <c r="J276" s="88"/>
      <c r="K276" s="89">
        <f t="shared" si="11"/>
        <v>0</v>
      </c>
      <c r="L276" s="90" t="b">
        <f>IF((ISNUMBER(K276)),IF(AND(F276="Workdays",(SUMIFS(N:N,F:F,F276,H:H,H276,B:B,B276)&lt;=24)),IF(AND((K276*24)&gt;0,(K276*24)&lt;16),((K276*24)*MD!$I$6),IF((K276*24)&gt;=16,(MD!$J$6))),IF(AND(F276="Non_workdays",(SUMIFS(N:N,F:F,F276,H:H,H276,B:B,B276)&lt;=24)),IF(AND((K276*24)&gt;0,(K276*24)&lt;12),((K276*24)*MD!$I$5),IF((K276*24)&gt;=12,(MD!$J$5))))))</f>
        <v>0</v>
      </c>
      <c r="M276" s="62"/>
      <c r="N276" s="72">
        <f t="shared" si="10"/>
        <v>0</v>
      </c>
    </row>
    <row r="277" spans="1:14" x14ac:dyDescent="0.25">
      <c r="A277" s="62">
        <v>276</v>
      </c>
      <c r="B277" s="62"/>
      <c r="C277" s="85" t="str">
        <f>IF(ISNA(VLOOKUP($B277,CPY!$B:$G,2,FALSE))=TRUE," ",VLOOKUP($B277,CPY!$B:$G,2,FALSE))</f>
        <v> </v>
      </c>
      <c r="D277" s="50" t="str">
        <f>IF(ISNA(VLOOKUP($B277,CPY!$B:$G,3,FALSE))=TRUE," ",VLOOKUP($B277,CPY!$B:$G,3,FALSE))</f>
        <v> </v>
      </c>
      <c r="E277" s="65" t="str">
        <f>IF(ISNA(VLOOKUP($B277,CPY!$B:$G,4,FALSE))=TRUE," ",VLOOKUP($B277,CPY!$B:$G,4,FALSE))</f>
        <v> </v>
      </c>
      <c r="F277" s="62"/>
      <c r="G277" s="86"/>
      <c r="H277" s="87"/>
      <c r="I277" s="88"/>
      <c r="J277" s="88"/>
      <c r="K277" s="89">
        <f t="shared" si="11"/>
        <v>0</v>
      </c>
      <c r="L277" s="90" t="b">
        <f>IF((ISNUMBER(K277)),IF(AND(F277="Workdays",(SUMIFS(N:N,F:F,F277,H:H,H277,B:B,B277)&lt;=24)),IF(AND((K277*24)&gt;0,(K277*24)&lt;16),((K277*24)*MD!$I$6),IF((K277*24)&gt;=16,(MD!$J$6))),IF(AND(F277="Non_workdays",(SUMIFS(N:N,F:F,F277,H:H,H277,B:B,B277)&lt;=24)),IF(AND((K277*24)&gt;0,(K277*24)&lt;12),((K277*24)*MD!$I$5),IF((K277*24)&gt;=12,(MD!$J$5))))))</f>
        <v>0</v>
      </c>
      <c r="M277" s="62"/>
      <c r="N277" s="72">
        <f t="shared" si="10"/>
        <v>0</v>
      </c>
    </row>
    <row r="278" spans="1:14" x14ac:dyDescent="0.25">
      <c r="A278" s="62">
        <v>277</v>
      </c>
      <c r="B278" s="62"/>
      <c r="C278" s="85" t="str">
        <f>IF(ISNA(VLOOKUP($B278,CPY!$B:$G,2,FALSE))=TRUE," ",VLOOKUP($B278,CPY!$B:$G,2,FALSE))</f>
        <v> </v>
      </c>
      <c r="D278" s="50" t="str">
        <f>IF(ISNA(VLOOKUP($B278,CPY!$B:$G,3,FALSE))=TRUE," ",VLOOKUP($B278,CPY!$B:$G,3,FALSE))</f>
        <v> </v>
      </c>
      <c r="E278" s="65" t="str">
        <f>IF(ISNA(VLOOKUP($B278,CPY!$B:$G,4,FALSE))=TRUE," ",VLOOKUP($B278,CPY!$B:$G,4,FALSE))</f>
        <v> </v>
      </c>
      <c r="F278" s="62"/>
      <c r="G278" s="86"/>
      <c r="H278" s="87"/>
      <c r="I278" s="88"/>
      <c r="J278" s="88"/>
      <c r="K278" s="89">
        <f t="shared" si="11"/>
        <v>0</v>
      </c>
      <c r="L278" s="90" t="b">
        <f>IF((ISNUMBER(K278)),IF(AND(F278="Workdays",(SUMIFS(N:N,F:F,F278,H:H,H278,B:B,B278)&lt;=24)),IF(AND((K278*24)&gt;0,(K278*24)&lt;16),((K278*24)*MD!$I$6),IF((K278*24)&gt;=16,(MD!$J$6))),IF(AND(F278="Non_workdays",(SUMIFS(N:N,F:F,F278,H:H,H278,B:B,B278)&lt;=24)),IF(AND((K278*24)&gt;0,(K278*24)&lt;12),((K278*24)*MD!$I$5),IF((K278*24)&gt;=12,(MD!$J$5))))))</f>
        <v>0</v>
      </c>
      <c r="M278" s="62"/>
      <c r="N278" s="72">
        <f t="shared" si="10"/>
        <v>0</v>
      </c>
    </row>
    <row r="279" spans="1:14" x14ac:dyDescent="0.25">
      <c r="A279" s="62">
        <v>278</v>
      </c>
      <c r="B279" s="62"/>
      <c r="C279" s="85" t="str">
        <f>IF(ISNA(VLOOKUP($B279,CPY!$B:$G,2,FALSE))=TRUE," ",VLOOKUP($B279,CPY!$B:$G,2,FALSE))</f>
        <v> </v>
      </c>
      <c r="D279" s="50" t="str">
        <f>IF(ISNA(VLOOKUP($B279,CPY!$B:$G,3,FALSE))=TRUE," ",VLOOKUP($B279,CPY!$B:$G,3,FALSE))</f>
        <v> </v>
      </c>
      <c r="E279" s="65" t="str">
        <f>IF(ISNA(VLOOKUP($B279,CPY!$B:$G,4,FALSE))=TRUE," ",VLOOKUP($B279,CPY!$B:$G,4,FALSE))</f>
        <v> </v>
      </c>
      <c r="F279" s="62"/>
      <c r="G279" s="86"/>
      <c r="H279" s="87"/>
      <c r="I279" s="88"/>
      <c r="J279" s="88"/>
      <c r="K279" s="89">
        <f t="shared" si="11"/>
        <v>0</v>
      </c>
      <c r="L279" s="90" t="b">
        <f>IF((ISNUMBER(K279)),IF(AND(F279="Workdays",(SUMIFS(N:N,F:F,F279,H:H,H279,B:B,B279)&lt;=24)),IF(AND((K279*24)&gt;0,(K279*24)&lt;16),((K279*24)*MD!$I$6),IF((K279*24)&gt;=16,(MD!$J$6))),IF(AND(F279="Non_workdays",(SUMIFS(N:N,F:F,F279,H:H,H279,B:B,B279)&lt;=24)),IF(AND((K279*24)&gt;0,(K279*24)&lt;12),((K279*24)*MD!$I$5),IF((K279*24)&gt;=12,(MD!$J$5))))))</f>
        <v>0</v>
      </c>
      <c r="M279" s="62"/>
      <c r="N279" s="72">
        <f t="shared" si="10"/>
        <v>0</v>
      </c>
    </row>
    <row r="280" spans="1:14" x14ac:dyDescent="0.25">
      <c r="A280" s="62">
        <v>279</v>
      </c>
      <c r="B280" s="62"/>
      <c r="C280" s="85" t="str">
        <f>IF(ISNA(VLOOKUP($B280,CPY!$B:$G,2,FALSE))=TRUE," ",VLOOKUP($B280,CPY!$B:$G,2,FALSE))</f>
        <v> </v>
      </c>
      <c r="D280" s="50" t="str">
        <f>IF(ISNA(VLOOKUP($B280,CPY!$B:$G,3,FALSE))=TRUE," ",VLOOKUP($B280,CPY!$B:$G,3,FALSE))</f>
        <v> </v>
      </c>
      <c r="E280" s="65" t="str">
        <f>IF(ISNA(VLOOKUP($B280,CPY!$B:$G,4,FALSE))=TRUE," ",VLOOKUP($B280,CPY!$B:$G,4,FALSE))</f>
        <v> </v>
      </c>
      <c r="F280" s="62"/>
      <c r="G280" s="86"/>
      <c r="H280" s="87"/>
      <c r="I280" s="88"/>
      <c r="J280" s="88"/>
      <c r="K280" s="89">
        <f t="shared" si="11"/>
        <v>0</v>
      </c>
      <c r="L280" s="90" t="b">
        <f>IF((ISNUMBER(K280)),IF(AND(F280="Workdays",(SUMIFS(N:N,F:F,F280,H:H,H280,B:B,B280)&lt;=24)),IF(AND((K280*24)&gt;0,(K280*24)&lt;16),((K280*24)*MD!$I$6),IF((K280*24)&gt;=16,(MD!$J$6))),IF(AND(F280="Non_workdays",(SUMIFS(N:N,F:F,F280,H:H,H280,B:B,B280)&lt;=24)),IF(AND((K280*24)&gt;0,(K280*24)&lt;12),((K280*24)*MD!$I$5),IF((K280*24)&gt;=12,(MD!$J$5))))))</f>
        <v>0</v>
      </c>
      <c r="M280" s="62"/>
      <c r="N280" s="72">
        <f t="shared" si="10"/>
        <v>0</v>
      </c>
    </row>
    <row r="281" spans="1:14" x14ac:dyDescent="0.25">
      <c r="A281" s="62">
        <v>280</v>
      </c>
      <c r="B281" s="62"/>
      <c r="C281" s="85" t="str">
        <f>IF(ISNA(VLOOKUP($B281,CPY!$B:$G,2,FALSE))=TRUE," ",VLOOKUP($B281,CPY!$B:$G,2,FALSE))</f>
        <v> </v>
      </c>
      <c r="D281" s="50" t="str">
        <f>IF(ISNA(VLOOKUP($B281,CPY!$B:$G,3,FALSE))=TRUE," ",VLOOKUP($B281,CPY!$B:$G,3,FALSE))</f>
        <v> </v>
      </c>
      <c r="E281" s="65" t="str">
        <f>IF(ISNA(VLOOKUP($B281,CPY!$B:$G,4,FALSE))=TRUE," ",VLOOKUP($B281,CPY!$B:$G,4,FALSE))</f>
        <v> </v>
      </c>
      <c r="F281" s="62"/>
      <c r="G281" s="86"/>
      <c r="H281" s="87"/>
      <c r="I281" s="88"/>
      <c r="J281" s="88"/>
      <c r="K281" s="89">
        <f t="shared" si="11"/>
        <v>0</v>
      </c>
      <c r="L281" s="90" t="b">
        <f>IF((ISNUMBER(K281)),IF(AND(F281="Workdays",(SUMIFS(N:N,F:F,F281,H:H,H281,B:B,B281)&lt;=24)),IF(AND((K281*24)&gt;0,(K281*24)&lt;16),((K281*24)*MD!$I$6),IF((K281*24)&gt;=16,(MD!$J$6))),IF(AND(F281="Non_workdays",(SUMIFS(N:N,F:F,F281,H:H,H281,B:B,B281)&lt;=24)),IF(AND((K281*24)&gt;0,(K281*24)&lt;12),((K281*24)*MD!$I$5),IF((K281*24)&gt;=12,(MD!$J$5))))))</f>
        <v>0</v>
      </c>
      <c r="M281" s="62"/>
      <c r="N281" s="72">
        <f t="shared" si="10"/>
        <v>0</v>
      </c>
    </row>
    <row r="282" spans="1:14" x14ac:dyDescent="0.25">
      <c r="A282" s="62">
        <v>281</v>
      </c>
      <c r="B282" s="62"/>
      <c r="C282" s="85" t="str">
        <f>IF(ISNA(VLOOKUP($B282,CPY!$B:$G,2,FALSE))=TRUE," ",VLOOKUP($B282,CPY!$B:$G,2,FALSE))</f>
        <v> </v>
      </c>
      <c r="D282" s="50" t="str">
        <f>IF(ISNA(VLOOKUP($B282,CPY!$B:$G,3,FALSE))=TRUE," ",VLOOKUP($B282,CPY!$B:$G,3,FALSE))</f>
        <v> </v>
      </c>
      <c r="E282" s="65" t="str">
        <f>IF(ISNA(VLOOKUP($B282,CPY!$B:$G,4,FALSE))=TRUE," ",VLOOKUP($B282,CPY!$B:$G,4,FALSE))</f>
        <v> </v>
      </c>
      <c r="F282" s="62"/>
      <c r="G282" s="86"/>
      <c r="H282" s="87"/>
      <c r="I282" s="88"/>
      <c r="J282" s="88"/>
      <c r="K282" s="89">
        <f t="shared" si="11"/>
        <v>0</v>
      </c>
      <c r="L282" s="90" t="b">
        <f>IF((ISNUMBER(K282)),IF(AND(F282="Workdays",(SUMIFS(N:N,F:F,F282,H:H,H282,B:B,B282)&lt;=24)),IF(AND((K282*24)&gt;0,(K282*24)&lt;16),((K282*24)*MD!$I$6),IF((K282*24)&gt;=16,(MD!$J$6))),IF(AND(F282="Non_workdays",(SUMIFS(N:N,F:F,F282,H:H,H282,B:B,B282)&lt;=24)),IF(AND((K282*24)&gt;0,(K282*24)&lt;12),((K282*24)*MD!$I$5),IF((K282*24)&gt;=12,(MD!$J$5))))))</f>
        <v>0</v>
      </c>
      <c r="M282" s="62"/>
      <c r="N282" s="72">
        <f t="shared" si="10"/>
        <v>0</v>
      </c>
    </row>
    <row r="283" spans="1:14" x14ac:dyDescent="0.25">
      <c r="A283" s="62">
        <v>282</v>
      </c>
      <c r="B283" s="62"/>
      <c r="C283" s="85" t="str">
        <f>IF(ISNA(VLOOKUP($B283,CPY!$B:$G,2,FALSE))=TRUE," ",VLOOKUP($B283,CPY!$B:$G,2,FALSE))</f>
        <v> </v>
      </c>
      <c r="D283" s="50" t="str">
        <f>IF(ISNA(VLOOKUP($B283,CPY!$B:$G,3,FALSE))=TRUE," ",VLOOKUP($B283,CPY!$B:$G,3,FALSE))</f>
        <v> </v>
      </c>
      <c r="E283" s="65" t="str">
        <f>IF(ISNA(VLOOKUP($B283,CPY!$B:$G,4,FALSE))=TRUE," ",VLOOKUP($B283,CPY!$B:$G,4,FALSE))</f>
        <v> </v>
      </c>
      <c r="F283" s="62"/>
      <c r="G283" s="86"/>
      <c r="H283" s="87"/>
      <c r="I283" s="88"/>
      <c r="J283" s="88"/>
      <c r="K283" s="89">
        <f t="shared" si="11"/>
        <v>0</v>
      </c>
      <c r="L283" s="90" t="b">
        <f>IF((ISNUMBER(K283)),IF(AND(F283="Workdays",(SUMIFS(N:N,F:F,F283,H:H,H283,B:B,B283)&lt;=24)),IF(AND((K283*24)&gt;0,(K283*24)&lt;16),((K283*24)*MD!$I$6),IF((K283*24)&gt;=16,(MD!$J$6))),IF(AND(F283="Non_workdays",(SUMIFS(N:N,F:F,F283,H:H,H283,B:B,B283)&lt;=24)),IF(AND((K283*24)&gt;0,(K283*24)&lt;12),((K283*24)*MD!$I$5),IF((K283*24)&gt;=12,(MD!$J$5))))))</f>
        <v>0</v>
      </c>
      <c r="M283" s="62"/>
      <c r="N283" s="72">
        <f t="shared" si="10"/>
        <v>0</v>
      </c>
    </row>
    <row r="284" spans="1:14" x14ac:dyDescent="0.25">
      <c r="A284" s="62">
        <v>283</v>
      </c>
      <c r="B284" s="62"/>
      <c r="C284" s="85" t="str">
        <f>IF(ISNA(VLOOKUP($B284,CPY!$B:$G,2,FALSE))=TRUE," ",VLOOKUP($B284,CPY!$B:$G,2,FALSE))</f>
        <v> </v>
      </c>
      <c r="D284" s="50" t="str">
        <f>IF(ISNA(VLOOKUP($B284,CPY!$B:$G,3,FALSE))=TRUE," ",VLOOKUP($B284,CPY!$B:$G,3,FALSE))</f>
        <v> </v>
      </c>
      <c r="E284" s="65" t="str">
        <f>IF(ISNA(VLOOKUP($B284,CPY!$B:$G,4,FALSE))=TRUE," ",VLOOKUP($B284,CPY!$B:$G,4,FALSE))</f>
        <v> </v>
      </c>
      <c r="F284" s="62"/>
      <c r="G284" s="86"/>
      <c r="H284" s="87"/>
      <c r="I284" s="88"/>
      <c r="J284" s="88"/>
      <c r="K284" s="89">
        <f t="shared" si="11"/>
        <v>0</v>
      </c>
      <c r="L284" s="90" t="b">
        <f>IF((ISNUMBER(K284)),IF(AND(F284="Workdays",(SUMIFS(N:N,F:F,F284,H:H,H284,B:B,B284)&lt;=24)),IF(AND((K284*24)&gt;0,(K284*24)&lt;16),((K284*24)*MD!$I$6),IF((K284*24)&gt;=16,(MD!$J$6))),IF(AND(F284="Non_workdays",(SUMIFS(N:N,F:F,F284,H:H,H284,B:B,B284)&lt;=24)),IF(AND((K284*24)&gt;0,(K284*24)&lt;12),((K284*24)*MD!$I$5),IF((K284*24)&gt;=12,(MD!$J$5))))))</f>
        <v>0</v>
      </c>
      <c r="M284" s="62"/>
      <c r="N284" s="72">
        <f t="shared" si="10"/>
        <v>0</v>
      </c>
    </row>
    <row r="285" spans="1:14" x14ac:dyDescent="0.25">
      <c r="A285" s="62">
        <v>284</v>
      </c>
      <c r="B285" s="62"/>
      <c r="C285" s="85" t="str">
        <f>IF(ISNA(VLOOKUP($B285,CPY!$B:$G,2,FALSE))=TRUE," ",VLOOKUP($B285,CPY!$B:$G,2,FALSE))</f>
        <v> </v>
      </c>
      <c r="D285" s="50" t="str">
        <f>IF(ISNA(VLOOKUP($B285,CPY!$B:$G,3,FALSE))=TRUE," ",VLOOKUP($B285,CPY!$B:$G,3,FALSE))</f>
        <v> </v>
      </c>
      <c r="E285" s="65" t="str">
        <f>IF(ISNA(VLOOKUP($B285,CPY!$B:$G,4,FALSE))=TRUE," ",VLOOKUP($B285,CPY!$B:$G,4,FALSE))</f>
        <v> </v>
      </c>
      <c r="F285" s="62"/>
      <c r="G285" s="86"/>
      <c r="H285" s="87"/>
      <c r="I285" s="88"/>
      <c r="J285" s="88"/>
      <c r="K285" s="89">
        <f t="shared" si="11"/>
        <v>0</v>
      </c>
      <c r="L285" s="90" t="b">
        <f>IF((ISNUMBER(K285)),IF(AND(F285="Workdays",(SUMIFS(N:N,F:F,F285,H:H,H285,B:B,B285)&lt;=24)),IF(AND((K285*24)&gt;0,(K285*24)&lt;16),((K285*24)*MD!$I$6),IF((K285*24)&gt;=16,(MD!$J$6))),IF(AND(F285="Non_workdays",(SUMIFS(N:N,F:F,F285,H:H,H285,B:B,B285)&lt;=24)),IF(AND((K285*24)&gt;0,(K285*24)&lt;12),((K285*24)*MD!$I$5),IF((K285*24)&gt;=12,(MD!$J$5))))))</f>
        <v>0</v>
      </c>
      <c r="M285" s="62"/>
      <c r="N285" s="72">
        <f t="shared" si="10"/>
        <v>0</v>
      </c>
    </row>
    <row r="286" spans="1:14" x14ac:dyDescent="0.25">
      <c r="A286" s="62">
        <v>285</v>
      </c>
      <c r="B286" s="62"/>
      <c r="C286" s="85" t="str">
        <f>IF(ISNA(VLOOKUP($B286,CPY!$B:$G,2,FALSE))=TRUE," ",VLOOKUP($B286,CPY!$B:$G,2,FALSE))</f>
        <v> </v>
      </c>
      <c r="D286" s="50" t="str">
        <f>IF(ISNA(VLOOKUP($B286,CPY!$B:$G,3,FALSE))=TRUE," ",VLOOKUP($B286,CPY!$B:$G,3,FALSE))</f>
        <v> </v>
      </c>
      <c r="E286" s="65" t="str">
        <f>IF(ISNA(VLOOKUP($B286,CPY!$B:$G,4,FALSE))=TRUE," ",VLOOKUP($B286,CPY!$B:$G,4,FALSE))</f>
        <v> </v>
      </c>
      <c r="F286" s="62"/>
      <c r="G286" s="86"/>
      <c r="H286" s="87"/>
      <c r="I286" s="88"/>
      <c r="J286" s="88"/>
      <c r="K286" s="89">
        <f t="shared" si="11"/>
        <v>0</v>
      </c>
      <c r="L286" s="90" t="b">
        <f>IF((ISNUMBER(K286)),IF(AND(F286="Workdays",(SUMIFS(N:N,F:F,F286,H:H,H286,B:B,B286)&lt;=24)),IF(AND((K286*24)&gt;0,(K286*24)&lt;16),((K286*24)*MD!$I$6),IF((K286*24)&gt;=16,(MD!$J$6))),IF(AND(F286="Non_workdays",(SUMIFS(N:N,F:F,F286,H:H,H286,B:B,B286)&lt;=24)),IF(AND((K286*24)&gt;0,(K286*24)&lt;12),((K286*24)*MD!$I$5),IF((K286*24)&gt;=12,(MD!$J$5))))))</f>
        <v>0</v>
      </c>
      <c r="M286" s="62"/>
      <c r="N286" s="72">
        <f t="shared" si="10"/>
        <v>0</v>
      </c>
    </row>
    <row r="287" spans="1:14" x14ac:dyDescent="0.25">
      <c r="A287" s="62">
        <v>286</v>
      </c>
      <c r="B287" s="62"/>
      <c r="C287" s="85" t="str">
        <f>IF(ISNA(VLOOKUP($B287,CPY!$B:$G,2,FALSE))=TRUE," ",VLOOKUP($B287,CPY!$B:$G,2,FALSE))</f>
        <v> </v>
      </c>
      <c r="D287" s="50" t="str">
        <f>IF(ISNA(VLOOKUP($B287,CPY!$B:$G,3,FALSE))=TRUE," ",VLOOKUP($B287,CPY!$B:$G,3,FALSE))</f>
        <v> </v>
      </c>
      <c r="E287" s="65" t="str">
        <f>IF(ISNA(VLOOKUP($B287,CPY!$B:$G,4,FALSE))=TRUE," ",VLOOKUP($B287,CPY!$B:$G,4,FALSE))</f>
        <v> </v>
      </c>
      <c r="F287" s="62"/>
      <c r="G287" s="86"/>
      <c r="H287" s="87"/>
      <c r="I287" s="88"/>
      <c r="J287" s="88"/>
      <c r="K287" s="89">
        <f t="shared" si="11"/>
        <v>0</v>
      </c>
      <c r="L287" s="90" t="b">
        <f>IF((ISNUMBER(K287)),IF(AND(F287="Workdays",(SUMIFS(N:N,F:F,F287,H:H,H287,B:B,B287)&lt;=24)),IF(AND((K287*24)&gt;0,(K287*24)&lt;16),((K287*24)*MD!$I$6),IF((K287*24)&gt;=16,(MD!$J$6))),IF(AND(F287="Non_workdays",(SUMIFS(N:N,F:F,F287,H:H,H287,B:B,B287)&lt;=24)),IF(AND((K287*24)&gt;0,(K287*24)&lt;12),((K287*24)*MD!$I$5),IF((K287*24)&gt;=12,(MD!$J$5))))))</f>
        <v>0</v>
      </c>
      <c r="M287" s="62"/>
      <c r="N287" s="72">
        <f t="shared" si="10"/>
        <v>0</v>
      </c>
    </row>
    <row r="288" spans="1:14" x14ac:dyDescent="0.25">
      <c r="A288" s="62">
        <v>287</v>
      </c>
      <c r="B288" s="62"/>
      <c r="C288" s="85" t="str">
        <f>IF(ISNA(VLOOKUP($B288,CPY!$B:$G,2,FALSE))=TRUE," ",VLOOKUP($B288,CPY!$B:$G,2,FALSE))</f>
        <v> </v>
      </c>
      <c r="D288" s="50" t="str">
        <f>IF(ISNA(VLOOKUP($B288,CPY!$B:$G,3,FALSE))=TRUE," ",VLOOKUP($B288,CPY!$B:$G,3,FALSE))</f>
        <v> </v>
      </c>
      <c r="E288" s="65" t="str">
        <f>IF(ISNA(VLOOKUP($B288,CPY!$B:$G,4,FALSE))=TRUE," ",VLOOKUP($B288,CPY!$B:$G,4,FALSE))</f>
        <v> </v>
      </c>
      <c r="F288" s="62"/>
      <c r="G288" s="86"/>
      <c r="H288" s="87"/>
      <c r="I288" s="88"/>
      <c r="J288" s="88"/>
      <c r="K288" s="89">
        <f t="shared" si="11"/>
        <v>0</v>
      </c>
      <c r="L288" s="90" t="b">
        <f>IF((ISNUMBER(K288)),IF(AND(F288="Workdays",(SUMIFS(N:N,F:F,F288,H:H,H288,B:B,B288)&lt;=24)),IF(AND((K288*24)&gt;0,(K288*24)&lt;16),((K288*24)*MD!$I$6),IF((K288*24)&gt;=16,(MD!$J$6))),IF(AND(F288="Non_workdays",(SUMIFS(N:N,F:F,F288,H:H,H288,B:B,B288)&lt;=24)),IF(AND((K288*24)&gt;0,(K288*24)&lt;12),((K288*24)*MD!$I$5),IF((K288*24)&gt;=12,(MD!$J$5))))))</f>
        <v>0</v>
      </c>
      <c r="M288" s="62"/>
      <c r="N288" s="72">
        <f t="shared" si="10"/>
        <v>0</v>
      </c>
    </row>
    <row r="289" spans="1:14" x14ac:dyDescent="0.25">
      <c r="A289" s="62">
        <v>288</v>
      </c>
      <c r="B289" s="62"/>
      <c r="C289" s="85" t="str">
        <f>IF(ISNA(VLOOKUP($B289,CPY!$B:$G,2,FALSE))=TRUE," ",VLOOKUP($B289,CPY!$B:$G,2,FALSE))</f>
        <v> </v>
      </c>
      <c r="D289" s="50" t="str">
        <f>IF(ISNA(VLOOKUP($B289,CPY!$B:$G,3,FALSE))=TRUE," ",VLOOKUP($B289,CPY!$B:$G,3,FALSE))</f>
        <v> </v>
      </c>
      <c r="E289" s="65" t="str">
        <f>IF(ISNA(VLOOKUP($B289,CPY!$B:$G,4,FALSE))=TRUE," ",VLOOKUP($B289,CPY!$B:$G,4,FALSE))</f>
        <v> </v>
      </c>
      <c r="F289" s="62"/>
      <c r="G289" s="86"/>
      <c r="H289" s="87"/>
      <c r="I289" s="88"/>
      <c r="J289" s="88"/>
      <c r="K289" s="89">
        <f t="shared" si="11"/>
        <v>0</v>
      </c>
      <c r="L289" s="90" t="b">
        <f>IF((ISNUMBER(K289)),IF(AND(F289="Workdays",(SUMIFS(N:N,F:F,F289,H:H,H289,B:B,B289)&lt;=24)),IF(AND((K289*24)&gt;0,(K289*24)&lt;16),((K289*24)*MD!$I$6),IF((K289*24)&gt;=16,(MD!$J$6))),IF(AND(F289="Non_workdays",(SUMIFS(N:N,F:F,F289,H:H,H289,B:B,B289)&lt;=24)),IF(AND((K289*24)&gt;0,(K289*24)&lt;12),((K289*24)*MD!$I$5),IF((K289*24)&gt;=12,(MD!$J$5))))))</f>
        <v>0</v>
      </c>
      <c r="M289" s="62"/>
      <c r="N289" s="72">
        <f t="shared" si="10"/>
        <v>0</v>
      </c>
    </row>
    <row r="290" spans="1:14" x14ac:dyDescent="0.25">
      <c r="A290" s="62">
        <v>289</v>
      </c>
      <c r="B290" s="62"/>
      <c r="C290" s="85" t="str">
        <f>IF(ISNA(VLOOKUP($B290,CPY!$B:$G,2,FALSE))=TRUE," ",VLOOKUP($B290,CPY!$B:$G,2,FALSE))</f>
        <v> </v>
      </c>
      <c r="D290" s="50" t="str">
        <f>IF(ISNA(VLOOKUP($B290,CPY!$B:$G,3,FALSE))=TRUE," ",VLOOKUP($B290,CPY!$B:$G,3,FALSE))</f>
        <v> </v>
      </c>
      <c r="E290" s="65" t="str">
        <f>IF(ISNA(VLOOKUP($B290,CPY!$B:$G,4,FALSE))=TRUE," ",VLOOKUP($B290,CPY!$B:$G,4,FALSE))</f>
        <v> </v>
      </c>
      <c r="F290" s="62"/>
      <c r="G290" s="86"/>
      <c r="H290" s="87"/>
      <c r="I290" s="88"/>
      <c r="J290" s="88"/>
      <c r="K290" s="89">
        <f t="shared" si="11"/>
        <v>0</v>
      </c>
      <c r="L290" s="90" t="b">
        <f>IF((ISNUMBER(K290)),IF(AND(F290="Workdays",(SUMIFS(N:N,F:F,F290,H:H,H290,B:B,B290)&lt;=24)),IF(AND((K290*24)&gt;0,(K290*24)&lt;16),((K290*24)*MD!$I$6),IF((K290*24)&gt;=16,(MD!$J$6))),IF(AND(F290="Non_workdays",(SUMIFS(N:N,F:F,F290,H:H,H290,B:B,B290)&lt;=24)),IF(AND((K290*24)&gt;0,(K290*24)&lt;12),((K290*24)*MD!$I$5),IF((K290*24)&gt;=12,(MD!$J$5))))))</f>
        <v>0</v>
      </c>
      <c r="M290" s="62"/>
      <c r="N290" s="72">
        <f t="shared" si="10"/>
        <v>0</v>
      </c>
    </row>
    <row r="291" spans="1:14" x14ac:dyDescent="0.25">
      <c r="A291" s="62">
        <v>290</v>
      </c>
      <c r="B291" s="62"/>
      <c r="C291" s="85" t="str">
        <f>IF(ISNA(VLOOKUP($B291,CPY!$B:$G,2,FALSE))=TRUE," ",VLOOKUP($B291,CPY!$B:$G,2,FALSE))</f>
        <v> </v>
      </c>
      <c r="D291" s="50" t="str">
        <f>IF(ISNA(VLOOKUP($B291,CPY!$B:$G,3,FALSE))=TRUE," ",VLOOKUP($B291,CPY!$B:$G,3,FALSE))</f>
        <v> </v>
      </c>
      <c r="E291" s="65" t="str">
        <f>IF(ISNA(VLOOKUP($B291,CPY!$B:$G,4,FALSE))=TRUE," ",VLOOKUP($B291,CPY!$B:$G,4,FALSE))</f>
        <v> </v>
      </c>
      <c r="F291" s="62"/>
      <c r="G291" s="86"/>
      <c r="H291" s="87"/>
      <c r="I291" s="88"/>
      <c r="J291" s="88"/>
      <c r="K291" s="89">
        <f t="shared" si="11"/>
        <v>0</v>
      </c>
      <c r="L291" s="90" t="b">
        <f>IF((ISNUMBER(K291)),IF(AND(F291="Workdays",(SUMIFS(N:N,F:F,F291,H:H,H291,B:B,B291)&lt;=24)),IF(AND((K291*24)&gt;0,(K291*24)&lt;16),((K291*24)*MD!$I$6),IF((K291*24)&gt;=16,(MD!$J$6))),IF(AND(F291="Non_workdays",(SUMIFS(N:N,F:F,F291,H:H,H291,B:B,B291)&lt;=24)),IF(AND((K291*24)&gt;0,(K291*24)&lt;12),((K291*24)*MD!$I$5),IF((K291*24)&gt;=12,(MD!$J$5))))))</f>
        <v>0</v>
      </c>
      <c r="M291" s="62"/>
      <c r="N291" s="72">
        <f t="shared" si="10"/>
        <v>0</v>
      </c>
    </row>
    <row r="292" spans="1:14" x14ac:dyDescent="0.25">
      <c r="A292" s="62">
        <v>291</v>
      </c>
      <c r="B292" s="62"/>
      <c r="C292" s="85" t="str">
        <f>IF(ISNA(VLOOKUP($B292,CPY!$B:$G,2,FALSE))=TRUE," ",VLOOKUP($B292,CPY!$B:$G,2,FALSE))</f>
        <v> </v>
      </c>
      <c r="D292" s="50" t="str">
        <f>IF(ISNA(VLOOKUP($B292,CPY!$B:$G,3,FALSE))=TRUE," ",VLOOKUP($B292,CPY!$B:$G,3,FALSE))</f>
        <v> </v>
      </c>
      <c r="E292" s="65" t="str">
        <f>IF(ISNA(VLOOKUP($B292,CPY!$B:$G,4,FALSE))=TRUE," ",VLOOKUP($B292,CPY!$B:$G,4,FALSE))</f>
        <v> </v>
      </c>
      <c r="F292" s="62"/>
      <c r="G292" s="86"/>
      <c r="H292" s="87"/>
      <c r="I292" s="88"/>
      <c r="J292" s="88"/>
      <c r="K292" s="89">
        <f t="shared" si="11"/>
        <v>0</v>
      </c>
      <c r="L292" s="90" t="b">
        <f>IF((ISNUMBER(K292)),IF(AND(F292="Workdays",(SUMIFS(N:N,F:F,F292,H:H,H292,B:B,B292)&lt;=24)),IF(AND((K292*24)&gt;0,(K292*24)&lt;16),((K292*24)*MD!$I$6),IF((K292*24)&gt;=16,(MD!$J$6))),IF(AND(F292="Non_workdays",(SUMIFS(N:N,F:F,F292,H:H,H292,B:B,B292)&lt;=24)),IF(AND((K292*24)&gt;0,(K292*24)&lt;12),((K292*24)*MD!$I$5),IF((K292*24)&gt;=12,(MD!$J$5))))))</f>
        <v>0</v>
      </c>
      <c r="M292" s="62"/>
      <c r="N292" s="72">
        <f t="shared" si="10"/>
        <v>0</v>
      </c>
    </row>
    <row r="293" spans="1:14" x14ac:dyDescent="0.25">
      <c r="A293" s="62">
        <v>292</v>
      </c>
      <c r="B293" s="62"/>
      <c r="C293" s="85" t="str">
        <f>IF(ISNA(VLOOKUP($B293,CPY!$B:$G,2,FALSE))=TRUE," ",VLOOKUP($B293,CPY!$B:$G,2,FALSE))</f>
        <v> </v>
      </c>
      <c r="D293" s="50" t="str">
        <f>IF(ISNA(VLOOKUP($B293,CPY!$B:$G,3,FALSE))=TRUE," ",VLOOKUP($B293,CPY!$B:$G,3,FALSE))</f>
        <v> </v>
      </c>
      <c r="E293" s="65" t="str">
        <f>IF(ISNA(VLOOKUP($B293,CPY!$B:$G,4,FALSE))=TRUE," ",VLOOKUP($B293,CPY!$B:$G,4,FALSE))</f>
        <v> </v>
      </c>
      <c r="F293" s="62"/>
      <c r="G293" s="86"/>
      <c r="H293" s="87"/>
      <c r="I293" s="88"/>
      <c r="J293" s="88"/>
      <c r="K293" s="89">
        <f t="shared" si="11"/>
        <v>0</v>
      </c>
      <c r="L293" s="90" t="b">
        <f>IF((ISNUMBER(K293)),IF(AND(F293="Workdays",(SUMIFS(N:N,F:F,F293,H:H,H293,B:B,B293)&lt;=24)),IF(AND((K293*24)&gt;0,(K293*24)&lt;16),((K293*24)*MD!$I$6),IF((K293*24)&gt;=16,(MD!$J$6))),IF(AND(F293="Non_workdays",(SUMIFS(N:N,F:F,F293,H:H,H293,B:B,B293)&lt;=24)),IF(AND((K293*24)&gt;0,(K293*24)&lt;12),((K293*24)*MD!$I$5),IF((K293*24)&gt;=12,(MD!$J$5))))))</f>
        <v>0</v>
      </c>
      <c r="M293" s="62"/>
      <c r="N293" s="72">
        <f t="shared" si="10"/>
        <v>0</v>
      </c>
    </row>
    <row r="294" spans="1:14" x14ac:dyDescent="0.25">
      <c r="A294" s="62">
        <v>293</v>
      </c>
      <c r="B294" s="62"/>
      <c r="C294" s="85" t="str">
        <f>IF(ISNA(VLOOKUP($B294,CPY!$B:$G,2,FALSE))=TRUE," ",VLOOKUP($B294,CPY!$B:$G,2,FALSE))</f>
        <v> </v>
      </c>
      <c r="D294" s="50" t="str">
        <f>IF(ISNA(VLOOKUP($B294,CPY!$B:$G,3,FALSE))=TRUE," ",VLOOKUP($B294,CPY!$B:$G,3,FALSE))</f>
        <v> </v>
      </c>
      <c r="E294" s="65" t="str">
        <f>IF(ISNA(VLOOKUP($B294,CPY!$B:$G,4,FALSE))=TRUE," ",VLOOKUP($B294,CPY!$B:$G,4,FALSE))</f>
        <v> </v>
      </c>
      <c r="F294" s="62"/>
      <c r="G294" s="86"/>
      <c r="H294" s="87"/>
      <c r="I294" s="88"/>
      <c r="J294" s="88"/>
      <c r="K294" s="89">
        <f t="shared" si="11"/>
        <v>0</v>
      </c>
      <c r="L294" s="90" t="b">
        <f>IF((ISNUMBER(K294)),IF(AND(F294="Workdays",(SUMIFS(N:N,F:F,F294,H:H,H294,B:B,B294)&lt;=24)),IF(AND((K294*24)&gt;0,(K294*24)&lt;16),((K294*24)*MD!$I$6),IF((K294*24)&gt;=16,(MD!$J$6))),IF(AND(F294="Non_workdays",(SUMIFS(N:N,F:F,F294,H:H,H294,B:B,B294)&lt;=24)),IF(AND((K294*24)&gt;0,(K294*24)&lt;12),((K294*24)*MD!$I$5),IF((K294*24)&gt;=12,(MD!$J$5))))))</f>
        <v>0</v>
      </c>
      <c r="M294" s="62"/>
      <c r="N294" s="72">
        <f t="shared" si="10"/>
        <v>0</v>
      </c>
    </row>
    <row r="295" spans="1:14" x14ac:dyDescent="0.25">
      <c r="A295" s="62">
        <v>294</v>
      </c>
      <c r="B295" s="62"/>
      <c r="C295" s="85" t="str">
        <f>IF(ISNA(VLOOKUP($B295,CPY!$B:$G,2,FALSE))=TRUE," ",VLOOKUP($B295,CPY!$B:$G,2,FALSE))</f>
        <v> </v>
      </c>
      <c r="D295" s="50" t="str">
        <f>IF(ISNA(VLOOKUP($B295,CPY!$B:$G,3,FALSE))=TRUE," ",VLOOKUP($B295,CPY!$B:$G,3,FALSE))</f>
        <v> </v>
      </c>
      <c r="E295" s="65" t="str">
        <f>IF(ISNA(VLOOKUP($B295,CPY!$B:$G,4,FALSE))=TRUE," ",VLOOKUP($B295,CPY!$B:$G,4,FALSE))</f>
        <v> </v>
      </c>
      <c r="F295" s="62"/>
      <c r="G295" s="86"/>
      <c r="H295" s="87"/>
      <c r="I295" s="88"/>
      <c r="J295" s="88"/>
      <c r="K295" s="89">
        <f t="shared" si="11"/>
        <v>0</v>
      </c>
      <c r="L295" s="90" t="b">
        <f>IF((ISNUMBER(K295)),IF(AND(F295="Workdays",(SUMIFS(N:N,F:F,F295,H:H,H295,B:B,B295)&lt;=24)),IF(AND((K295*24)&gt;0,(K295*24)&lt;16),((K295*24)*MD!$I$6),IF((K295*24)&gt;=16,(MD!$J$6))),IF(AND(F295="Non_workdays",(SUMIFS(N:N,F:F,F295,H:H,H295,B:B,B295)&lt;=24)),IF(AND((K295*24)&gt;0,(K295*24)&lt;12),((K295*24)*MD!$I$5),IF((K295*24)&gt;=12,(MD!$J$5))))))</f>
        <v>0</v>
      </c>
      <c r="M295" s="62"/>
      <c r="N295" s="72">
        <f t="shared" si="10"/>
        <v>0</v>
      </c>
    </row>
    <row r="296" spans="1:14" x14ac:dyDescent="0.25">
      <c r="A296" s="62">
        <v>295</v>
      </c>
      <c r="B296" s="62"/>
      <c r="C296" s="85" t="str">
        <f>IF(ISNA(VLOOKUP($B296,CPY!$B:$G,2,FALSE))=TRUE," ",VLOOKUP($B296,CPY!$B:$G,2,FALSE))</f>
        <v> </v>
      </c>
      <c r="D296" s="50" t="str">
        <f>IF(ISNA(VLOOKUP($B296,CPY!$B:$G,3,FALSE))=TRUE," ",VLOOKUP($B296,CPY!$B:$G,3,FALSE))</f>
        <v> </v>
      </c>
      <c r="E296" s="65" t="str">
        <f>IF(ISNA(VLOOKUP($B296,CPY!$B:$G,4,FALSE))=TRUE," ",VLOOKUP($B296,CPY!$B:$G,4,FALSE))</f>
        <v> </v>
      </c>
      <c r="F296" s="62"/>
      <c r="G296" s="86"/>
      <c r="H296" s="87"/>
      <c r="I296" s="88"/>
      <c r="J296" s="88"/>
      <c r="K296" s="89">
        <f t="shared" si="11"/>
        <v>0</v>
      </c>
      <c r="L296" s="90" t="b">
        <f>IF((ISNUMBER(K296)),IF(AND(F296="Workdays",(SUMIFS(N:N,F:F,F296,H:H,H296,B:B,B296)&lt;=24)),IF(AND((K296*24)&gt;0,(K296*24)&lt;16),((K296*24)*MD!$I$6),IF((K296*24)&gt;=16,(MD!$J$6))),IF(AND(F296="Non_workdays",(SUMIFS(N:N,F:F,F296,H:H,H296,B:B,B296)&lt;=24)),IF(AND((K296*24)&gt;0,(K296*24)&lt;12),((K296*24)*MD!$I$5),IF((K296*24)&gt;=12,(MD!$J$5))))))</f>
        <v>0</v>
      </c>
      <c r="M296" s="62"/>
      <c r="N296" s="72">
        <f t="shared" si="10"/>
        <v>0</v>
      </c>
    </row>
    <row r="297" spans="1:14" x14ac:dyDescent="0.25">
      <c r="A297" s="62">
        <v>296</v>
      </c>
      <c r="B297" s="62"/>
      <c r="C297" s="85" t="str">
        <f>IF(ISNA(VLOOKUP($B297,CPY!$B:$G,2,FALSE))=TRUE," ",VLOOKUP($B297,CPY!$B:$G,2,FALSE))</f>
        <v> </v>
      </c>
      <c r="D297" s="50" t="str">
        <f>IF(ISNA(VLOOKUP($B297,CPY!$B:$G,3,FALSE))=TRUE," ",VLOOKUP($B297,CPY!$B:$G,3,FALSE))</f>
        <v> </v>
      </c>
      <c r="E297" s="65" t="str">
        <f>IF(ISNA(VLOOKUP($B297,CPY!$B:$G,4,FALSE))=TRUE," ",VLOOKUP($B297,CPY!$B:$G,4,FALSE))</f>
        <v> </v>
      </c>
      <c r="F297" s="62"/>
      <c r="G297" s="86"/>
      <c r="H297" s="87"/>
      <c r="I297" s="88"/>
      <c r="J297" s="88"/>
      <c r="K297" s="89">
        <f t="shared" si="11"/>
        <v>0</v>
      </c>
      <c r="L297" s="90" t="b">
        <f>IF((ISNUMBER(K297)),IF(AND(F297="Workdays",(SUMIFS(N:N,F:F,F297,H:H,H297,B:B,B297)&lt;=24)),IF(AND((K297*24)&gt;0,(K297*24)&lt;16),((K297*24)*MD!$I$6),IF((K297*24)&gt;=16,(MD!$J$6))),IF(AND(F297="Non_workdays",(SUMIFS(N:N,F:F,F297,H:H,H297,B:B,B297)&lt;=24)),IF(AND((K297*24)&gt;0,(K297*24)&lt;12),((K297*24)*MD!$I$5),IF((K297*24)&gt;=12,(MD!$J$5))))))</f>
        <v>0</v>
      </c>
      <c r="M297" s="62"/>
      <c r="N297" s="72">
        <f t="shared" si="10"/>
        <v>0</v>
      </c>
    </row>
    <row r="298" spans="1:14" x14ac:dyDescent="0.25">
      <c r="A298" s="62">
        <v>297</v>
      </c>
      <c r="B298" s="62"/>
      <c r="C298" s="85" t="str">
        <f>IF(ISNA(VLOOKUP($B298,CPY!$B:$G,2,FALSE))=TRUE," ",VLOOKUP($B298,CPY!$B:$G,2,FALSE))</f>
        <v> </v>
      </c>
      <c r="D298" s="50" t="str">
        <f>IF(ISNA(VLOOKUP($B298,CPY!$B:$G,3,FALSE))=TRUE," ",VLOOKUP($B298,CPY!$B:$G,3,FALSE))</f>
        <v> </v>
      </c>
      <c r="E298" s="65" t="str">
        <f>IF(ISNA(VLOOKUP($B298,CPY!$B:$G,4,FALSE))=TRUE," ",VLOOKUP($B298,CPY!$B:$G,4,FALSE))</f>
        <v> </v>
      </c>
      <c r="F298" s="62"/>
      <c r="G298" s="86"/>
      <c r="H298" s="87"/>
      <c r="I298" s="88"/>
      <c r="J298" s="88"/>
      <c r="K298" s="89">
        <f t="shared" si="11"/>
        <v>0</v>
      </c>
      <c r="L298" s="90" t="b">
        <f>IF((ISNUMBER(K298)),IF(AND(F298="Workdays",(SUMIFS(N:N,F:F,F298,H:H,H298,B:B,B298)&lt;=24)),IF(AND((K298*24)&gt;0,(K298*24)&lt;16),((K298*24)*MD!$I$6),IF((K298*24)&gt;=16,(MD!$J$6))),IF(AND(F298="Non_workdays",(SUMIFS(N:N,F:F,F298,H:H,H298,B:B,B298)&lt;=24)),IF(AND((K298*24)&gt;0,(K298*24)&lt;12),((K298*24)*MD!$I$5),IF((K298*24)&gt;=12,(MD!$J$5))))))</f>
        <v>0</v>
      </c>
      <c r="M298" s="62"/>
      <c r="N298" s="72">
        <f t="shared" si="10"/>
        <v>0</v>
      </c>
    </row>
    <row r="299" spans="1:14" x14ac:dyDescent="0.25">
      <c r="A299" s="62">
        <v>298</v>
      </c>
      <c r="B299" s="62"/>
      <c r="C299" s="85" t="str">
        <f>IF(ISNA(VLOOKUP($B299,CPY!$B:$G,2,FALSE))=TRUE," ",VLOOKUP($B299,CPY!$B:$G,2,FALSE))</f>
        <v> </v>
      </c>
      <c r="D299" s="50" t="str">
        <f>IF(ISNA(VLOOKUP($B299,CPY!$B:$G,3,FALSE))=TRUE," ",VLOOKUP($B299,CPY!$B:$G,3,FALSE))</f>
        <v> </v>
      </c>
      <c r="E299" s="65" t="str">
        <f>IF(ISNA(VLOOKUP($B299,CPY!$B:$G,4,FALSE))=TRUE," ",VLOOKUP($B299,CPY!$B:$G,4,FALSE))</f>
        <v> </v>
      </c>
      <c r="F299" s="62"/>
      <c r="G299" s="86"/>
      <c r="H299" s="87"/>
      <c r="I299" s="88"/>
      <c r="J299" s="88"/>
      <c r="K299" s="89">
        <f t="shared" si="11"/>
        <v>0</v>
      </c>
      <c r="L299" s="90" t="b">
        <f>IF((ISNUMBER(K299)),IF(AND(F299="Workdays",(SUMIFS(N:N,F:F,F299,H:H,H299,B:B,B299)&lt;=24)),IF(AND((K299*24)&gt;0,(K299*24)&lt;16),((K299*24)*MD!$I$6),IF((K299*24)&gt;=16,(MD!$J$6))),IF(AND(F299="Non_workdays",(SUMIFS(N:N,F:F,F299,H:H,H299,B:B,B299)&lt;=24)),IF(AND((K299*24)&gt;0,(K299*24)&lt;12),((K299*24)*MD!$I$5),IF((K299*24)&gt;=12,(MD!$J$5))))))</f>
        <v>0</v>
      </c>
      <c r="M299" s="62"/>
      <c r="N299" s="72">
        <f t="shared" si="10"/>
        <v>0</v>
      </c>
    </row>
    <row r="300" spans="1:14" x14ac:dyDescent="0.25">
      <c r="A300" s="62">
        <v>299</v>
      </c>
      <c r="B300" s="62"/>
      <c r="C300" s="85" t="str">
        <f>IF(ISNA(VLOOKUP($B300,CPY!$B:$G,2,FALSE))=TRUE," ",VLOOKUP($B300,CPY!$B:$G,2,FALSE))</f>
        <v> </v>
      </c>
      <c r="D300" s="50" t="str">
        <f>IF(ISNA(VLOOKUP($B300,CPY!$B:$G,3,FALSE))=TRUE," ",VLOOKUP($B300,CPY!$B:$G,3,FALSE))</f>
        <v> </v>
      </c>
      <c r="E300" s="65" t="str">
        <f>IF(ISNA(VLOOKUP($B300,CPY!$B:$G,4,FALSE))=TRUE," ",VLOOKUP($B300,CPY!$B:$G,4,FALSE))</f>
        <v> </v>
      </c>
      <c r="F300" s="62"/>
      <c r="G300" s="86"/>
      <c r="H300" s="87"/>
      <c r="I300" s="88"/>
      <c r="J300" s="88"/>
      <c r="K300" s="89">
        <f t="shared" si="11"/>
        <v>0</v>
      </c>
      <c r="L300" s="90" t="b">
        <f>IF((ISNUMBER(K300)),IF(AND(F300="Workdays",(SUMIFS(N:N,F:F,F300,H:H,H300,B:B,B300)&lt;=24)),IF(AND((K300*24)&gt;0,(K300*24)&lt;16),((K300*24)*MD!$I$6),IF((K300*24)&gt;=16,(MD!$J$6))),IF(AND(F300="Non_workdays",(SUMIFS(N:N,F:F,F300,H:H,H300,B:B,B300)&lt;=24)),IF(AND((K300*24)&gt;0,(K300*24)&lt;12),((K300*24)*MD!$I$5),IF((K300*24)&gt;=12,(MD!$J$5))))))</f>
        <v>0</v>
      </c>
      <c r="M300" s="62"/>
      <c r="N300" s="72">
        <f t="shared" si="10"/>
        <v>0</v>
      </c>
    </row>
    <row r="301" spans="1:14" x14ac:dyDescent="0.25">
      <c r="A301" s="62">
        <v>300</v>
      </c>
      <c r="B301" s="62"/>
      <c r="C301" s="85" t="str">
        <f>IF(ISNA(VLOOKUP($B301,CPY!$B:$G,2,FALSE))=TRUE," ",VLOOKUP($B301,CPY!$B:$G,2,FALSE))</f>
        <v> </v>
      </c>
      <c r="D301" s="50" t="str">
        <f>IF(ISNA(VLOOKUP($B301,CPY!$B:$G,3,FALSE))=TRUE," ",VLOOKUP($B301,CPY!$B:$G,3,FALSE))</f>
        <v> </v>
      </c>
      <c r="E301" s="65" t="str">
        <f>IF(ISNA(VLOOKUP($B301,CPY!$B:$G,4,FALSE))=TRUE," ",VLOOKUP($B301,CPY!$B:$G,4,FALSE))</f>
        <v> </v>
      </c>
      <c r="F301" s="62"/>
      <c r="G301" s="86"/>
      <c r="H301" s="87"/>
      <c r="I301" s="88"/>
      <c r="J301" s="88"/>
      <c r="K301" s="89">
        <f t="shared" si="11"/>
        <v>0</v>
      </c>
      <c r="L301" s="90" t="b">
        <f>IF((ISNUMBER(K301)),IF(AND(F301="Workdays",(SUMIFS(N:N,F:F,F301,H:H,H301,B:B,B301)&lt;=24)),IF(AND((K301*24)&gt;0,(K301*24)&lt;16),((K301*24)*MD!$I$6),IF((K301*24)&gt;=16,(MD!$J$6))),IF(AND(F301="Non_workdays",(SUMIFS(N:N,F:F,F301,H:H,H301,B:B,B301)&lt;=24)),IF(AND((K301*24)&gt;0,(K301*24)&lt;12),((K301*24)*MD!$I$5),IF((K301*24)&gt;=12,(MD!$J$5))))))</f>
        <v>0</v>
      </c>
      <c r="M301" s="62"/>
      <c r="N301" s="72">
        <f t="shared" si="10"/>
        <v>0</v>
      </c>
    </row>
    <row r="302" spans="1:14" x14ac:dyDescent="0.25">
      <c r="A302" s="62">
        <v>301</v>
      </c>
      <c r="B302" s="62"/>
      <c r="C302" s="85" t="str">
        <f>IF(ISNA(VLOOKUP($B302,CPY!$B:$G,2,FALSE))=TRUE," ",VLOOKUP($B302,CPY!$B:$G,2,FALSE))</f>
        <v> </v>
      </c>
      <c r="D302" s="50" t="str">
        <f>IF(ISNA(VLOOKUP($B302,CPY!$B:$G,3,FALSE))=TRUE," ",VLOOKUP($B302,CPY!$B:$G,3,FALSE))</f>
        <v> </v>
      </c>
      <c r="E302" s="65" t="str">
        <f>IF(ISNA(VLOOKUP($B302,CPY!$B:$G,4,FALSE))=TRUE," ",VLOOKUP($B302,CPY!$B:$G,4,FALSE))</f>
        <v> </v>
      </c>
      <c r="F302" s="62"/>
      <c r="G302" s="86"/>
      <c r="H302" s="87"/>
      <c r="I302" s="88"/>
      <c r="J302" s="88"/>
      <c r="K302" s="89">
        <f t="shared" si="11"/>
        <v>0</v>
      </c>
      <c r="L302" s="90" t="b">
        <f>IF((ISNUMBER(K302)),IF(AND(F302="Workdays",(SUMIFS(N:N,F:F,F302,H:H,H302,B:B,B302)&lt;=24)),IF(AND((K302*24)&gt;0,(K302*24)&lt;16),((K302*24)*MD!$I$6),IF((K302*24)&gt;=16,(MD!$J$6))),IF(AND(F302="Non_workdays",(SUMIFS(N:N,F:F,F302,H:H,H302,B:B,B302)&lt;=24)),IF(AND((K302*24)&gt;0,(K302*24)&lt;12),((K302*24)*MD!$I$5),IF((K302*24)&gt;=12,(MD!$J$5))))))</f>
        <v>0</v>
      </c>
      <c r="M302" s="62"/>
      <c r="N302" s="72">
        <f t="shared" si="10"/>
        <v>0</v>
      </c>
    </row>
    <row r="303" spans="1:14" x14ac:dyDescent="0.25">
      <c r="A303" s="62">
        <v>302</v>
      </c>
      <c r="B303" s="62"/>
      <c r="C303" s="85" t="str">
        <f>IF(ISNA(VLOOKUP($B303,CPY!$B:$G,2,FALSE))=TRUE," ",VLOOKUP($B303,CPY!$B:$G,2,FALSE))</f>
        <v> </v>
      </c>
      <c r="D303" s="50" t="str">
        <f>IF(ISNA(VLOOKUP($B303,CPY!$B:$G,3,FALSE))=TRUE," ",VLOOKUP($B303,CPY!$B:$G,3,FALSE))</f>
        <v> </v>
      </c>
      <c r="E303" s="65" t="str">
        <f>IF(ISNA(VLOOKUP($B303,CPY!$B:$G,4,FALSE))=TRUE," ",VLOOKUP($B303,CPY!$B:$G,4,FALSE))</f>
        <v> </v>
      </c>
      <c r="F303" s="62"/>
      <c r="G303" s="86"/>
      <c r="H303" s="87"/>
      <c r="I303" s="88"/>
      <c r="J303" s="88"/>
      <c r="K303" s="89">
        <f t="shared" si="11"/>
        <v>0</v>
      </c>
      <c r="L303" s="90" t="b">
        <f>IF((ISNUMBER(K303)),IF(AND(F303="Workdays",(SUMIFS(N:N,F:F,F303,H:H,H303,B:B,B303)&lt;=24)),IF(AND((K303*24)&gt;0,(K303*24)&lt;16),((K303*24)*MD!$I$6),IF((K303*24)&gt;=16,(MD!$J$6))),IF(AND(F303="Non_workdays",(SUMIFS(N:N,F:F,F303,H:H,H303,B:B,B303)&lt;=24)),IF(AND((K303*24)&gt;0,(K303*24)&lt;12),((K303*24)*MD!$I$5),IF((K303*24)&gt;=12,(MD!$J$5))))))</f>
        <v>0</v>
      </c>
      <c r="M303" s="62"/>
      <c r="N303" s="72">
        <f t="shared" si="10"/>
        <v>0</v>
      </c>
    </row>
    <row r="304" spans="1:14" x14ac:dyDescent="0.25">
      <c r="A304" s="62">
        <v>303</v>
      </c>
      <c r="B304" s="62"/>
      <c r="C304" s="85" t="str">
        <f>IF(ISNA(VLOOKUP($B304,CPY!$B:$G,2,FALSE))=TRUE," ",VLOOKUP($B304,CPY!$B:$G,2,FALSE))</f>
        <v> </v>
      </c>
      <c r="D304" s="50" t="str">
        <f>IF(ISNA(VLOOKUP($B304,CPY!$B:$G,3,FALSE))=TRUE," ",VLOOKUP($B304,CPY!$B:$G,3,FALSE))</f>
        <v> </v>
      </c>
      <c r="E304" s="65" t="str">
        <f>IF(ISNA(VLOOKUP($B304,CPY!$B:$G,4,FALSE))=TRUE," ",VLOOKUP($B304,CPY!$B:$G,4,FALSE))</f>
        <v> </v>
      </c>
      <c r="F304" s="62"/>
      <c r="G304" s="86"/>
      <c r="H304" s="87"/>
      <c r="I304" s="88"/>
      <c r="J304" s="88"/>
      <c r="K304" s="89">
        <f t="shared" si="11"/>
        <v>0</v>
      </c>
      <c r="L304" s="90" t="b">
        <f>IF((ISNUMBER(K304)),IF(AND(F304="Workdays",(SUMIFS(N:N,F:F,F304,H:H,H304,B:B,B304)&lt;=24)),IF(AND((K304*24)&gt;0,(K304*24)&lt;16),((K304*24)*MD!$I$6),IF((K304*24)&gt;=16,(MD!$J$6))),IF(AND(F304="Non_workdays",(SUMIFS(N:N,F:F,F304,H:H,H304,B:B,B304)&lt;=24)),IF(AND((K304*24)&gt;0,(K304*24)&lt;12),((K304*24)*MD!$I$5),IF((K304*24)&gt;=12,(MD!$J$5))))))</f>
        <v>0</v>
      </c>
      <c r="M304" s="62"/>
      <c r="N304" s="72">
        <f t="shared" si="10"/>
        <v>0</v>
      </c>
    </row>
    <row r="305" spans="1:14" x14ac:dyDescent="0.25">
      <c r="A305" s="62">
        <v>304</v>
      </c>
      <c r="B305" s="62"/>
      <c r="C305" s="85" t="str">
        <f>IF(ISNA(VLOOKUP($B305,CPY!$B:$G,2,FALSE))=TRUE," ",VLOOKUP($B305,CPY!$B:$G,2,FALSE))</f>
        <v> </v>
      </c>
      <c r="D305" s="50" t="str">
        <f>IF(ISNA(VLOOKUP($B305,CPY!$B:$G,3,FALSE))=TRUE," ",VLOOKUP($B305,CPY!$B:$G,3,FALSE))</f>
        <v> </v>
      </c>
      <c r="E305" s="65" t="str">
        <f>IF(ISNA(VLOOKUP($B305,CPY!$B:$G,4,FALSE))=TRUE," ",VLOOKUP($B305,CPY!$B:$G,4,FALSE))</f>
        <v> </v>
      </c>
      <c r="F305" s="62"/>
      <c r="G305" s="86"/>
      <c r="H305" s="87"/>
      <c r="I305" s="88"/>
      <c r="J305" s="88"/>
      <c r="K305" s="89">
        <f t="shared" si="11"/>
        <v>0</v>
      </c>
      <c r="L305" s="90" t="b">
        <f>IF((ISNUMBER(K305)),IF(AND(F305="Workdays",(SUMIFS(N:N,F:F,F305,H:H,H305,B:B,B305)&lt;=24)),IF(AND((K305*24)&gt;0,(K305*24)&lt;16),((K305*24)*MD!$I$6),IF((K305*24)&gt;=16,(MD!$J$6))),IF(AND(F305="Non_workdays",(SUMIFS(N:N,F:F,F305,H:H,H305,B:B,B305)&lt;=24)),IF(AND((K305*24)&gt;0,(K305*24)&lt;12),((K305*24)*MD!$I$5),IF((K305*24)&gt;=12,(MD!$J$5))))))</f>
        <v>0</v>
      </c>
      <c r="M305" s="62"/>
      <c r="N305" s="72">
        <f t="shared" si="10"/>
        <v>0</v>
      </c>
    </row>
    <row r="306" spans="1:14" x14ac:dyDescent="0.25">
      <c r="A306" s="62">
        <v>305</v>
      </c>
      <c r="B306" s="62"/>
      <c r="C306" s="85" t="str">
        <f>IF(ISNA(VLOOKUP($B306,CPY!$B:$G,2,FALSE))=TRUE," ",VLOOKUP($B306,CPY!$B:$G,2,FALSE))</f>
        <v> </v>
      </c>
      <c r="D306" s="50" t="str">
        <f>IF(ISNA(VLOOKUP($B306,CPY!$B:$G,3,FALSE))=TRUE," ",VLOOKUP($B306,CPY!$B:$G,3,FALSE))</f>
        <v> </v>
      </c>
      <c r="E306" s="65" t="str">
        <f>IF(ISNA(VLOOKUP($B306,CPY!$B:$G,4,FALSE))=TRUE," ",VLOOKUP($B306,CPY!$B:$G,4,FALSE))</f>
        <v> </v>
      </c>
      <c r="F306" s="62"/>
      <c r="G306" s="86"/>
      <c r="H306" s="87"/>
      <c r="I306" s="88"/>
      <c r="J306" s="88"/>
      <c r="K306" s="89">
        <f t="shared" si="11"/>
        <v>0</v>
      </c>
      <c r="L306" s="90" t="b">
        <f>IF((ISNUMBER(K306)),IF(AND(F306="Workdays",(SUMIFS(N:N,F:F,F306,H:H,H306,B:B,B306)&lt;=24)),IF(AND((K306*24)&gt;0,(K306*24)&lt;16),((K306*24)*MD!$I$6),IF((K306*24)&gt;=16,(MD!$J$6))),IF(AND(F306="Non_workdays",(SUMIFS(N:N,F:F,F306,H:H,H306,B:B,B306)&lt;=24)),IF(AND((K306*24)&gt;0,(K306*24)&lt;12),((K306*24)*MD!$I$5),IF((K306*24)&gt;=12,(MD!$J$5))))))</f>
        <v>0</v>
      </c>
      <c r="M306" s="62"/>
      <c r="N306" s="72">
        <f t="shared" si="10"/>
        <v>0</v>
      </c>
    </row>
    <row r="307" spans="1:14" x14ac:dyDescent="0.25">
      <c r="A307" s="62">
        <v>306</v>
      </c>
      <c r="B307" s="62"/>
      <c r="C307" s="85" t="str">
        <f>IF(ISNA(VLOOKUP($B307,CPY!$B:$G,2,FALSE))=TRUE," ",VLOOKUP($B307,CPY!$B:$G,2,FALSE))</f>
        <v> </v>
      </c>
      <c r="D307" s="50" t="str">
        <f>IF(ISNA(VLOOKUP($B307,CPY!$B:$G,3,FALSE))=TRUE," ",VLOOKUP($B307,CPY!$B:$G,3,FALSE))</f>
        <v> </v>
      </c>
      <c r="E307" s="65" t="str">
        <f>IF(ISNA(VLOOKUP($B307,CPY!$B:$G,4,FALSE))=TRUE," ",VLOOKUP($B307,CPY!$B:$G,4,FALSE))</f>
        <v> </v>
      </c>
      <c r="F307" s="62"/>
      <c r="G307" s="86"/>
      <c r="H307" s="87"/>
      <c r="I307" s="88"/>
      <c r="J307" s="88"/>
      <c r="K307" s="89">
        <f t="shared" si="11"/>
        <v>0</v>
      </c>
      <c r="L307" s="90" t="b">
        <f>IF((ISNUMBER(K307)),IF(AND(F307="Workdays",(SUMIFS(N:N,F:F,F307,H:H,H307,B:B,B307)&lt;=24)),IF(AND((K307*24)&gt;0,(K307*24)&lt;16),((K307*24)*MD!$I$6),IF((K307*24)&gt;=16,(MD!$J$6))),IF(AND(F307="Non_workdays",(SUMIFS(N:N,F:F,F307,H:H,H307,B:B,B307)&lt;=24)),IF(AND((K307*24)&gt;0,(K307*24)&lt;12),((K307*24)*MD!$I$5),IF((K307*24)&gt;=12,(MD!$J$5))))))</f>
        <v>0</v>
      </c>
      <c r="M307" s="62"/>
      <c r="N307" s="72">
        <f t="shared" si="10"/>
        <v>0</v>
      </c>
    </row>
    <row r="308" spans="1:14" x14ac:dyDescent="0.25">
      <c r="A308" s="62">
        <v>307</v>
      </c>
      <c r="B308" s="62"/>
      <c r="C308" s="85" t="str">
        <f>IF(ISNA(VLOOKUP($B308,CPY!$B:$G,2,FALSE))=TRUE," ",VLOOKUP($B308,CPY!$B:$G,2,FALSE))</f>
        <v> </v>
      </c>
      <c r="D308" s="50" t="str">
        <f>IF(ISNA(VLOOKUP($B308,CPY!$B:$G,3,FALSE))=TRUE," ",VLOOKUP($B308,CPY!$B:$G,3,FALSE))</f>
        <v> </v>
      </c>
      <c r="E308" s="65" t="str">
        <f>IF(ISNA(VLOOKUP($B308,CPY!$B:$G,4,FALSE))=TRUE," ",VLOOKUP($B308,CPY!$B:$G,4,FALSE))</f>
        <v> </v>
      </c>
      <c r="F308" s="62"/>
      <c r="G308" s="86"/>
      <c r="H308" s="87"/>
      <c r="I308" s="88"/>
      <c r="J308" s="88"/>
      <c r="K308" s="89">
        <f t="shared" si="11"/>
        <v>0</v>
      </c>
      <c r="L308" s="90" t="b">
        <f>IF((ISNUMBER(K308)),IF(AND(F308="Workdays",(SUMIFS(N:N,F:F,F308,H:H,H308,B:B,B308)&lt;=24)),IF(AND((K308*24)&gt;0,(K308*24)&lt;16),((K308*24)*MD!$I$6),IF((K308*24)&gt;=16,(MD!$J$6))),IF(AND(F308="Non_workdays",(SUMIFS(N:N,F:F,F308,H:H,H308,B:B,B308)&lt;=24)),IF(AND((K308*24)&gt;0,(K308*24)&lt;12),((K308*24)*MD!$I$5),IF((K308*24)&gt;=12,(MD!$J$5))))))</f>
        <v>0</v>
      </c>
      <c r="M308" s="62"/>
      <c r="N308" s="72">
        <f t="shared" si="10"/>
        <v>0</v>
      </c>
    </row>
    <row r="309" spans="1:14" x14ac:dyDescent="0.25">
      <c r="A309" s="62">
        <v>308</v>
      </c>
      <c r="B309" s="62"/>
      <c r="C309" s="85" t="str">
        <f>IF(ISNA(VLOOKUP($B309,CPY!$B:$G,2,FALSE))=TRUE," ",VLOOKUP($B309,CPY!$B:$G,2,FALSE))</f>
        <v> </v>
      </c>
      <c r="D309" s="50" t="str">
        <f>IF(ISNA(VLOOKUP($B309,CPY!$B:$G,3,FALSE))=TRUE," ",VLOOKUP($B309,CPY!$B:$G,3,FALSE))</f>
        <v> </v>
      </c>
      <c r="E309" s="65" t="str">
        <f>IF(ISNA(VLOOKUP($B309,CPY!$B:$G,4,FALSE))=TRUE," ",VLOOKUP($B309,CPY!$B:$G,4,FALSE))</f>
        <v> </v>
      </c>
      <c r="F309" s="62"/>
      <c r="G309" s="86"/>
      <c r="H309" s="87"/>
      <c r="I309" s="88"/>
      <c r="J309" s="88"/>
      <c r="K309" s="89">
        <f t="shared" si="11"/>
        <v>0</v>
      </c>
      <c r="L309" s="90" t="b">
        <f>IF((ISNUMBER(K309)),IF(AND(F309="Workdays",(SUMIFS(N:N,F:F,F309,H:H,H309,B:B,B309)&lt;=24)),IF(AND((K309*24)&gt;0,(K309*24)&lt;16),((K309*24)*MD!$I$6),IF((K309*24)&gt;=16,(MD!$J$6))),IF(AND(F309="Non_workdays",(SUMIFS(N:N,F:F,F309,H:H,H309,B:B,B309)&lt;=24)),IF(AND((K309*24)&gt;0,(K309*24)&lt;12),((K309*24)*MD!$I$5),IF((K309*24)&gt;=12,(MD!$J$5))))))</f>
        <v>0</v>
      </c>
      <c r="M309" s="62"/>
      <c r="N309" s="72">
        <f t="shared" si="10"/>
        <v>0</v>
      </c>
    </row>
    <row r="310" spans="1:14" x14ac:dyDescent="0.25">
      <c r="A310" s="62">
        <v>309</v>
      </c>
      <c r="B310" s="62"/>
      <c r="C310" s="85" t="str">
        <f>IF(ISNA(VLOOKUP($B310,CPY!$B:$G,2,FALSE))=TRUE," ",VLOOKUP($B310,CPY!$B:$G,2,FALSE))</f>
        <v> </v>
      </c>
      <c r="D310" s="50" t="str">
        <f>IF(ISNA(VLOOKUP($B310,CPY!$B:$G,3,FALSE))=TRUE," ",VLOOKUP($B310,CPY!$B:$G,3,FALSE))</f>
        <v> </v>
      </c>
      <c r="E310" s="65" t="str">
        <f>IF(ISNA(VLOOKUP($B310,CPY!$B:$G,4,FALSE))=TRUE," ",VLOOKUP($B310,CPY!$B:$G,4,FALSE))</f>
        <v> </v>
      </c>
      <c r="F310" s="62"/>
      <c r="G310" s="86"/>
      <c r="H310" s="87"/>
      <c r="I310" s="88"/>
      <c r="J310" s="88"/>
      <c r="K310" s="89">
        <f t="shared" si="11"/>
        <v>0</v>
      </c>
      <c r="L310" s="90" t="b">
        <f>IF((ISNUMBER(K310)),IF(AND(F310="Workdays",(SUMIFS(N:N,F:F,F310,H:H,H310,B:B,B310)&lt;=24)),IF(AND((K310*24)&gt;0,(K310*24)&lt;16),((K310*24)*MD!$I$6),IF((K310*24)&gt;=16,(MD!$J$6))),IF(AND(F310="Non_workdays",(SUMIFS(N:N,F:F,F310,H:H,H310,B:B,B310)&lt;=24)),IF(AND((K310*24)&gt;0,(K310*24)&lt;12),((K310*24)*MD!$I$5),IF((K310*24)&gt;=12,(MD!$J$5))))))</f>
        <v>0</v>
      </c>
      <c r="M310" s="62"/>
      <c r="N310" s="72">
        <f t="shared" si="10"/>
        <v>0</v>
      </c>
    </row>
    <row r="311" spans="1:14" x14ac:dyDescent="0.25">
      <c r="A311" s="62">
        <v>310</v>
      </c>
      <c r="B311" s="62"/>
      <c r="C311" s="85" t="str">
        <f>IF(ISNA(VLOOKUP($B311,CPY!$B:$G,2,FALSE))=TRUE," ",VLOOKUP($B311,CPY!$B:$G,2,FALSE))</f>
        <v> </v>
      </c>
      <c r="D311" s="50" t="str">
        <f>IF(ISNA(VLOOKUP($B311,CPY!$B:$G,3,FALSE))=TRUE," ",VLOOKUP($B311,CPY!$B:$G,3,FALSE))</f>
        <v> </v>
      </c>
      <c r="E311" s="65" t="str">
        <f>IF(ISNA(VLOOKUP($B311,CPY!$B:$G,4,FALSE))=TRUE," ",VLOOKUP($B311,CPY!$B:$G,4,FALSE))</f>
        <v> </v>
      </c>
      <c r="F311" s="62"/>
      <c r="G311" s="86"/>
      <c r="H311" s="87"/>
      <c r="I311" s="88"/>
      <c r="J311" s="88"/>
      <c r="K311" s="89">
        <f t="shared" si="11"/>
        <v>0</v>
      </c>
      <c r="L311" s="90" t="b">
        <f>IF((ISNUMBER(K311)),IF(AND(F311="Workdays",(SUMIFS(N:N,F:F,F311,H:H,H311,B:B,B311)&lt;=24)),IF(AND((K311*24)&gt;0,(K311*24)&lt;16),((K311*24)*MD!$I$6),IF((K311*24)&gt;=16,(MD!$J$6))),IF(AND(F311="Non_workdays",(SUMIFS(N:N,F:F,F311,H:H,H311,B:B,B311)&lt;=24)),IF(AND((K311*24)&gt;0,(K311*24)&lt;12),((K311*24)*MD!$I$5),IF((K311*24)&gt;=12,(MD!$J$5))))))</f>
        <v>0</v>
      </c>
      <c r="M311" s="62"/>
      <c r="N311" s="72">
        <f t="shared" si="10"/>
        <v>0</v>
      </c>
    </row>
    <row r="312" spans="1:14" x14ac:dyDescent="0.25">
      <c r="A312" s="62">
        <v>311</v>
      </c>
      <c r="B312" s="62"/>
      <c r="C312" s="85" t="str">
        <f>IF(ISNA(VLOOKUP($B312,CPY!$B:$G,2,FALSE))=TRUE," ",VLOOKUP($B312,CPY!$B:$G,2,FALSE))</f>
        <v> </v>
      </c>
      <c r="D312" s="50" t="str">
        <f>IF(ISNA(VLOOKUP($B312,CPY!$B:$G,3,FALSE))=TRUE," ",VLOOKUP($B312,CPY!$B:$G,3,FALSE))</f>
        <v> </v>
      </c>
      <c r="E312" s="65" t="str">
        <f>IF(ISNA(VLOOKUP($B312,CPY!$B:$G,4,FALSE))=TRUE," ",VLOOKUP($B312,CPY!$B:$G,4,FALSE))</f>
        <v> </v>
      </c>
      <c r="F312" s="62"/>
      <c r="G312" s="86"/>
      <c r="H312" s="87"/>
      <c r="I312" s="88"/>
      <c r="J312" s="88"/>
      <c r="K312" s="89">
        <f t="shared" si="11"/>
        <v>0</v>
      </c>
      <c r="L312" s="90" t="b">
        <f>IF((ISNUMBER(K312)),IF(AND(F312="Workdays",(SUMIFS(N:N,F:F,F312,H:H,H312,B:B,B312)&lt;=24)),IF(AND((K312*24)&gt;0,(K312*24)&lt;16),((K312*24)*MD!$I$6),IF((K312*24)&gt;=16,(MD!$J$6))),IF(AND(F312="Non_workdays",(SUMIFS(N:N,F:F,F312,H:H,H312,B:B,B312)&lt;=24)),IF(AND((K312*24)&gt;0,(K312*24)&lt;12),((K312*24)*MD!$I$5),IF((K312*24)&gt;=12,(MD!$J$5))))))</f>
        <v>0</v>
      </c>
      <c r="M312" s="62"/>
      <c r="N312" s="72">
        <f t="shared" si="10"/>
        <v>0</v>
      </c>
    </row>
    <row r="313" spans="1:14" x14ac:dyDescent="0.25">
      <c r="A313" s="62">
        <v>312</v>
      </c>
      <c r="B313" s="62"/>
      <c r="C313" s="85" t="str">
        <f>IF(ISNA(VLOOKUP($B313,CPY!$B:$G,2,FALSE))=TRUE," ",VLOOKUP($B313,CPY!$B:$G,2,FALSE))</f>
        <v> </v>
      </c>
      <c r="D313" s="50" t="str">
        <f>IF(ISNA(VLOOKUP($B313,CPY!$B:$G,3,FALSE))=TRUE," ",VLOOKUP($B313,CPY!$B:$G,3,FALSE))</f>
        <v> </v>
      </c>
      <c r="E313" s="65" t="str">
        <f>IF(ISNA(VLOOKUP($B313,CPY!$B:$G,4,FALSE))=TRUE," ",VLOOKUP($B313,CPY!$B:$G,4,FALSE))</f>
        <v> </v>
      </c>
      <c r="F313" s="62"/>
      <c r="G313" s="86"/>
      <c r="H313" s="87"/>
      <c r="I313" s="88"/>
      <c r="J313" s="88"/>
      <c r="K313" s="89">
        <f t="shared" si="11"/>
        <v>0</v>
      </c>
      <c r="L313" s="90" t="b">
        <f>IF((ISNUMBER(K313)),IF(AND(F313="Workdays",(SUMIFS(N:N,F:F,F313,H:H,H313,B:B,B313)&lt;=24)),IF(AND((K313*24)&gt;0,(K313*24)&lt;16),((K313*24)*MD!$I$6),IF((K313*24)&gt;=16,(MD!$J$6))),IF(AND(F313="Non_workdays",(SUMIFS(N:N,F:F,F313,H:H,H313,B:B,B313)&lt;=24)),IF(AND((K313*24)&gt;0,(K313*24)&lt;12),((K313*24)*MD!$I$5),IF((K313*24)&gt;=12,(MD!$J$5))))))</f>
        <v>0</v>
      </c>
      <c r="M313" s="62"/>
      <c r="N313" s="72">
        <f t="shared" si="10"/>
        <v>0</v>
      </c>
    </row>
    <row r="314" spans="1:14" x14ac:dyDescent="0.25">
      <c r="A314" s="62">
        <v>313</v>
      </c>
      <c r="B314" s="62"/>
      <c r="C314" s="85" t="str">
        <f>IF(ISNA(VLOOKUP($B314,CPY!$B:$G,2,FALSE))=TRUE," ",VLOOKUP($B314,CPY!$B:$G,2,FALSE))</f>
        <v> </v>
      </c>
      <c r="D314" s="50" t="str">
        <f>IF(ISNA(VLOOKUP($B314,CPY!$B:$G,3,FALSE))=TRUE," ",VLOOKUP($B314,CPY!$B:$G,3,FALSE))</f>
        <v> </v>
      </c>
      <c r="E314" s="65" t="str">
        <f>IF(ISNA(VLOOKUP($B314,CPY!$B:$G,4,FALSE))=TRUE," ",VLOOKUP($B314,CPY!$B:$G,4,FALSE))</f>
        <v> </v>
      </c>
      <c r="F314" s="62"/>
      <c r="G314" s="86"/>
      <c r="H314" s="87"/>
      <c r="I314" s="88"/>
      <c r="J314" s="88"/>
      <c r="K314" s="89">
        <f t="shared" si="11"/>
        <v>0</v>
      </c>
      <c r="L314" s="90" t="b">
        <f>IF((ISNUMBER(K314)),IF(AND(F314="Workdays",(SUMIFS(N:N,F:F,F314,H:H,H314,B:B,B314)&lt;=24)),IF(AND((K314*24)&gt;0,(K314*24)&lt;16),((K314*24)*MD!$I$6),IF((K314*24)&gt;=16,(MD!$J$6))),IF(AND(F314="Non_workdays",(SUMIFS(N:N,F:F,F314,H:H,H314,B:B,B314)&lt;=24)),IF(AND((K314*24)&gt;0,(K314*24)&lt;12),((K314*24)*MD!$I$5),IF((K314*24)&gt;=12,(MD!$J$5))))))</f>
        <v>0</v>
      </c>
      <c r="M314" s="62"/>
      <c r="N314" s="72">
        <f t="shared" si="10"/>
        <v>0</v>
      </c>
    </row>
    <row r="315" spans="1:14" x14ac:dyDescent="0.25">
      <c r="A315" s="62">
        <v>314</v>
      </c>
      <c r="B315" s="62"/>
      <c r="C315" s="85" t="str">
        <f>IF(ISNA(VLOOKUP($B315,CPY!$B:$G,2,FALSE))=TRUE," ",VLOOKUP($B315,CPY!$B:$G,2,FALSE))</f>
        <v> </v>
      </c>
      <c r="D315" s="50" t="str">
        <f>IF(ISNA(VLOOKUP($B315,CPY!$B:$G,3,FALSE))=TRUE," ",VLOOKUP($B315,CPY!$B:$G,3,FALSE))</f>
        <v> </v>
      </c>
      <c r="E315" s="65" t="str">
        <f>IF(ISNA(VLOOKUP($B315,CPY!$B:$G,4,FALSE))=TRUE," ",VLOOKUP($B315,CPY!$B:$G,4,FALSE))</f>
        <v> </v>
      </c>
      <c r="F315" s="62"/>
      <c r="G315" s="86"/>
      <c r="H315" s="87"/>
      <c r="I315" s="88"/>
      <c r="J315" s="88"/>
      <c r="K315" s="89">
        <f t="shared" si="11"/>
        <v>0</v>
      </c>
      <c r="L315" s="90" t="b">
        <f>IF((ISNUMBER(K315)),IF(AND(F315="Workdays",(SUMIFS(N:N,F:F,F315,H:H,H315,B:B,B315)&lt;=24)),IF(AND((K315*24)&gt;0,(K315*24)&lt;16),((K315*24)*MD!$I$6),IF((K315*24)&gt;=16,(MD!$J$6))),IF(AND(F315="Non_workdays",(SUMIFS(N:N,F:F,F315,H:H,H315,B:B,B315)&lt;=24)),IF(AND((K315*24)&gt;0,(K315*24)&lt;12),((K315*24)*MD!$I$5),IF((K315*24)&gt;=12,(MD!$J$5))))))</f>
        <v>0</v>
      </c>
      <c r="M315" s="62"/>
      <c r="N315" s="72">
        <f t="shared" si="10"/>
        <v>0</v>
      </c>
    </row>
    <row r="316" spans="1:14" x14ac:dyDescent="0.25">
      <c r="A316" s="62">
        <v>315</v>
      </c>
      <c r="B316" s="62"/>
      <c r="C316" s="85" t="str">
        <f>IF(ISNA(VLOOKUP($B316,CPY!$B:$G,2,FALSE))=TRUE," ",VLOOKUP($B316,CPY!$B:$G,2,FALSE))</f>
        <v> </v>
      </c>
      <c r="D316" s="50" t="str">
        <f>IF(ISNA(VLOOKUP($B316,CPY!$B:$G,3,FALSE))=TRUE," ",VLOOKUP($B316,CPY!$B:$G,3,FALSE))</f>
        <v> </v>
      </c>
      <c r="E316" s="65" t="str">
        <f>IF(ISNA(VLOOKUP($B316,CPY!$B:$G,4,FALSE))=TRUE," ",VLOOKUP($B316,CPY!$B:$G,4,FALSE))</f>
        <v> </v>
      </c>
      <c r="F316" s="62"/>
      <c r="G316" s="86"/>
      <c r="H316" s="87"/>
      <c r="I316" s="88"/>
      <c r="J316" s="88"/>
      <c r="K316" s="89">
        <f t="shared" si="11"/>
        <v>0</v>
      </c>
      <c r="L316" s="90" t="b">
        <f>IF((ISNUMBER(K316)),IF(AND(F316="Workdays",(SUMIFS(N:N,F:F,F316,H:H,H316,B:B,B316)&lt;=24)),IF(AND((K316*24)&gt;0,(K316*24)&lt;16),((K316*24)*MD!$I$6),IF((K316*24)&gt;=16,(MD!$J$6))),IF(AND(F316="Non_workdays",(SUMIFS(N:N,F:F,F316,H:H,H316,B:B,B316)&lt;=24)),IF(AND((K316*24)&gt;0,(K316*24)&lt;12),((K316*24)*MD!$I$5),IF((K316*24)&gt;=12,(MD!$J$5))))))</f>
        <v>0</v>
      </c>
      <c r="M316" s="62"/>
      <c r="N316" s="72">
        <f t="shared" si="10"/>
        <v>0</v>
      </c>
    </row>
    <row r="317" spans="1:14" x14ac:dyDescent="0.25">
      <c r="A317" s="62">
        <v>316</v>
      </c>
      <c r="B317" s="62"/>
      <c r="C317" s="85" t="str">
        <f>IF(ISNA(VLOOKUP($B317,CPY!$B:$G,2,FALSE))=TRUE," ",VLOOKUP($B317,CPY!$B:$G,2,FALSE))</f>
        <v> </v>
      </c>
      <c r="D317" s="50" t="str">
        <f>IF(ISNA(VLOOKUP($B317,CPY!$B:$G,3,FALSE))=TRUE," ",VLOOKUP($B317,CPY!$B:$G,3,FALSE))</f>
        <v> </v>
      </c>
      <c r="E317" s="65" t="str">
        <f>IF(ISNA(VLOOKUP($B317,CPY!$B:$G,4,FALSE))=TRUE," ",VLOOKUP($B317,CPY!$B:$G,4,FALSE))</f>
        <v> </v>
      </c>
      <c r="F317" s="62"/>
      <c r="G317" s="86"/>
      <c r="H317" s="87"/>
      <c r="I317" s="88"/>
      <c r="J317" s="88"/>
      <c r="K317" s="89">
        <f t="shared" si="11"/>
        <v>0</v>
      </c>
      <c r="L317" s="90" t="b">
        <f>IF((ISNUMBER(K317)),IF(AND(F317="Workdays",(SUMIFS(N:N,F:F,F317,H:H,H317,B:B,B317)&lt;=24)),IF(AND((K317*24)&gt;0,(K317*24)&lt;16),((K317*24)*MD!$I$6),IF((K317*24)&gt;=16,(MD!$J$6))),IF(AND(F317="Non_workdays",(SUMIFS(N:N,F:F,F317,H:H,H317,B:B,B317)&lt;=24)),IF(AND((K317*24)&gt;0,(K317*24)&lt;12),((K317*24)*MD!$I$5),IF((K317*24)&gt;=12,(MD!$J$5))))))</f>
        <v>0</v>
      </c>
      <c r="M317" s="62"/>
      <c r="N317" s="72">
        <f t="shared" si="10"/>
        <v>0</v>
      </c>
    </row>
    <row r="318" spans="1:14" x14ac:dyDescent="0.25">
      <c r="A318" s="62">
        <v>317</v>
      </c>
      <c r="B318" s="62"/>
      <c r="C318" s="85" t="str">
        <f>IF(ISNA(VLOOKUP($B318,CPY!$B:$G,2,FALSE))=TRUE," ",VLOOKUP($B318,CPY!$B:$G,2,FALSE))</f>
        <v> </v>
      </c>
      <c r="D318" s="50" t="str">
        <f>IF(ISNA(VLOOKUP($B318,CPY!$B:$G,3,FALSE))=TRUE," ",VLOOKUP($B318,CPY!$B:$G,3,FALSE))</f>
        <v> </v>
      </c>
      <c r="E318" s="65" t="str">
        <f>IF(ISNA(VLOOKUP($B318,CPY!$B:$G,4,FALSE))=TRUE," ",VLOOKUP($B318,CPY!$B:$G,4,FALSE))</f>
        <v> </v>
      </c>
      <c r="F318" s="62"/>
      <c r="G318" s="86"/>
      <c r="H318" s="87"/>
      <c r="I318" s="88"/>
      <c r="J318" s="88"/>
      <c r="K318" s="89">
        <f t="shared" si="11"/>
        <v>0</v>
      </c>
      <c r="L318" s="90" t="b">
        <f>IF((ISNUMBER(K318)),IF(AND(F318="Workdays",(SUMIFS(N:N,F:F,F318,H:H,H318,B:B,B318)&lt;=24)),IF(AND((K318*24)&gt;0,(K318*24)&lt;16),((K318*24)*MD!$I$6),IF((K318*24)&gt;=16,(MD!$J$6))),IF(AND(F318="Non_workdays",(SUMIFS(N:N,F:F,F318,H:H,H318,B:B,B318)&lt;=24)),IF(AND((K318*24)&gt;0,(K318*24)&lt;12),((K318*24)*MD!$I$5),IF((K318*24)&gt;=12,(MD!$J$5))))))</f>
        <v>0</v>
      </c>
      <c r="M318" s="62"/>
      <c r="N318" s="72">
        <f t="shared" si="10"/>
        <v>0</v>
      </c>
    </row>
    <row r="319" spans="1:14" x14ac:dyDescent="0.25">
      <c r="A319" s="62">
        <v>318</v>
      </c>
      <c r="B319" s="62"/>
      <c r="C319" s="85" t="str">
        <f>IF(ISNA(VLOOKUP($B319,CPY!$B:$G,2,FALSE))=TRUE," ",VLOOKUP($B319,CPY!$B:$G,2,FALSE))</f>
        <v> </v>
      </c>
      <c r="D319" s="50" t="str">
        <f>IF(ISNA(VLOOKUP($B319,CPY!$B:$G,3,FALSE))=TRUE," ",VLOOKUP($B319,CPY!$B:$G,3,FALSE))</f>
        <v> </v>
      </c>
      <c r="E319" s="65" t="str">
        <f>IF(ISNA(VLOOKUP($B319,CPY!$B:$G,4,FALSE))=TRUE," ",VLOOKUP($B319,CPY!$B:$G,4,FALSE))</f>
        <v> </v>
      </c>
      <c r="F319" s="62"/>
      <c r="G319" s="86"/>
      <c r="H319" s="87"/>
      <c r="I319" s="88"/>
      <c r="J319" s="88"/>
      <c r="K319" s="89">
        <f t="shared" si="11"/>
        <v>0</v>
      </c>
      <c r="L319" s="90" t="b">
        <f>IF((ISNUMBER(K319)),IF(AND(F319="Workdays",(SUMIFS(N:N,F:F,F319,H:H,H319,B:B,B319)&lt;=24)),IF(AND((K319*24)&gt;0,(K319*24)&lt;16),((K319*24)*MD!$I$6),IF((K319*24)&gt;=16,(MD!$J$6))),IF(AND(F319="Non_workdays",(SUMIFS(N:N,F:F,F319,H:H,H319,B:B,B319)&lt;=24)),IF(AND((K319*24)&gt;0,(K319*24)&lt;12),((K319*24)*MD!$I$5),IF((K319*24)&gt;=12,(MD!$J$5))))))</f>
        <v>0</v>
      </c>
      <c r="M319" s="62"/>
      <c r="N319" s="72">
        <f t="shared" si="10"/>
        <v>0</v>
      </c>
    </row>
    <row r="320" spans="1:14" x14ac:dyDescent="0.25">
      <c r="A320" s="62">
        <v>319</v>
      </c>
      <c r="B320" s="62"/>
      <c r="C320" s="85" t="str">
        <f>IF(ISNA(VLOOKUP($B320,CPY!$B:$G,2,FALSE))=TRUE," ",VLOOKUP($B320,CPY!$B:$G,2,FALSE))</f>
        <v> </v>
      </c>
      <c r="D320" s="50" t="str">
        <f>IF(ISNA(VLOOKUP($B320,CPY!$B:$G,3,FALSE))=TRUE," ",VLOOKUP($B320,CPY!$B:$G,3,FALSE))</f>
        <v> </v>
      </c>
      <c r="E320" s="65" t="str">
        <f>IF(ISNA(VLOOKUP($B320,CPY!$B:$G,4,FALSE))=TRUE," ",VLOOKUP($B320,CPY!$B:$G,4,FALSE))</f>
        <v> </v>
      </c>
      <c r="F320" s="62"/>
      <c r="G320" s="86"/>
      <c r="H320" s="87"/>
      <c r="I320" s="88"/>
      <c r="J320" s="88"/>
      <c r="K320" s="89">
        <f t="shared" si="11"/>
        <v>0</v>
      </c>
      <c r="L320" s="90" t="b">
        <f>IF((ISNUMBER(K320)),IF(AND(F320="Workdays",(SUMIFS(N:N,F:F,F320,H:H,H320,B:B,B320)&lt;=24)),IF(AND((K320*24)&gt;0,(K320*24)&lt;16),((K320*24)*MD!$I$6),IF((K320*24)&gt;=16,(MD!$J$6))),IF(AND(F320="Non_workdays",(SUMIFS(N:N,F:F,F320,H:H,H320,B:B,B320)&lt;=24)),IF(AND((K320*24)&gt;0,(K320*24)&lt;12),((K320*24)*MD!$I$5),IF((K320*24)&gt;=12,(MD!$J$5))))))</f>
        <v>0</v>
      </c>
      <c r="M320" s="62"/>
      <c r="N320" s="72">
        <f t="shared" si="10"/>
        <v>0</v>
      </c>
    </row>
    <row r="321" spans="1:14" x14ac:dyDescent="0.25">
      <c r="A321" s="62">
        <v>320</v>
      </c>
      <c r="B321" s="62"/>
      <c r="C321" s="85" t="str">
        <f>IF(ISNA(VLOOKUP($B321,CPY!$B:$G,2,FALSE))=TRUE," ",VLOOKUP($B321,CPY!$B:$G,2,FALSE))</f>
        <v> </v>
      </c>
      <c r="D321" s="50" t="str">
        <f>IF(ISNA(VLOOKUP($B321,CPY!$B:$G,3,FALSE))=TRUE," ",VLOOKUP($B321,CPY!$B:$G,3,FALSE))</f>
        <v> </v>
      </c>
      <c r="E321" s="65" t="str">
        <f>IF(ISNA(VLOOKUP($B321,CPY!$B:$G,4,FALSE))=TRUE," ",VLOOKUP($B321,CPY!$B:$G,4,FALSE))</f>
        <v> </v>
      </c>
      <c r="F321" s="62"/>
      <c r="G321" s="86"/>
      <c r="H321" s="87"/>
      <c r="I321" s="88"/>
      <c r="J321" s="88"/>
      <c r="K321" s="89">
        <f t="shared" si="11"/>
        <v>0</v>
      </c>
      <c r="L321" s="90" t="b">
        <f>IF((ISNUMBER(K321)),IF(AND(F321="Workdays",(SUMIFS(N:N,F:F,F321,H:H,H321,B:B,B321)&lt;=24)),IF(AND((K321*24)&gt;0,(K321*24)&lt;16),((K321*24)*MD!$I$6),IF((K321*24)&gt;=16,(MD!$J$6))),IF(AND(F321="Non_workdays",(SUMIFS(N:N,F:F,F321,H:H,H321,B:B,B321)&lt;=24)),IF(AND((K321*24)&gt;0,(K321*24)&lt;12),((K321*24)*MD!$I$5),IF((K321*24)&gt;=12,(MD!$J$5))))))</f>
        <v>0</v>
      </c>
      <c r="M321" s="62"/>
      <c r="N321" s="72">
        <f t="shared" si="10"/>
        <v>0</v>
      </c>
    </row>
    <row r="322" spans="1:14" x14ac:dyDescent="0.25">
      <c r="A322" s="62">
        <v>321</v>
      </c>
      <c r="B322" s="62"/>
      <c r="C322" s="85" t="str">
        <f>IF(ISNA(VLOOKUP($B322,CPY!$B:$G,2,FALSE))=TRUE," ",VLOOKUP($B322,CPY!$B:$G,2,FALSE))</f>
        <v> </v>
      </c>
      <c r="D322" s="50" t="str">
        <f>IF(ISNA(VLOOKUP($B322,CPY!$B:$G,3,FALSE))=TRUE," ",VLOOKUP($B322,CPY!$B:$G,3,FALSE))</f>
        <v> </v>
      </c>
      <c r="E322" s="65" t="str">
        <f>IF(ISNA(VLOOKUP($B322,CPY!$B:$G,4,FALSE))=TRUE," ",VLOOKUP($B322,CPY!$B:$G,4,FALSE))</f>
        <v> </v>
      </c>
      <c r="F322" s="62"/>
      <c r="G322" s="86"/>
      <c r="H322" s="87"/>
      <c r="I322" s="88"/>
      <c r="J322" s="88"/>
      <c r="K322" s="89">
        <f t="shared" si="11"/>
        <v>0</v>
      </c>
      <c r="L322" s="90" t="b">
        <f>IF((ISNUMBER(K322)),IF(AND(F322="Workdays",(SUMIFS(N:N,F:F,F322,H:H,H322,B:B,B322)&lt;=24)),IF(AND((K322*24)&gt;0,(K322*24)&lt;16),((K322*24)*MD!$I$6),IF((K322*24)&gt;=16,(MD!$J$6))),IF(AND(F322="Non_workdays",(SUMIFS(N:N,F:F,F322,H:H,H322,B:B,B322)&lt;=24)),IF(AND((K322*24)&gt;0,(K322*24)&lt;12),((K322*24)*MD!$I$5),IF((K322*24)&gt;=12,(MD!$J$5))))))</f>
        <v>0</v>
      </c>
      <c r="M322" s="62"/>
      <c r="N322" s="72">
        <f t="shared" si="10"/>
        <v>0</v>
      </c>
    </row>
    <row r="323" spans="1:14" x14ac:dyDescent="0.25">
      <c r="A323" s="62">
        <v>322</v>
      </c>
      <c r="B323" s="62"/>
      <c r="C323" s="85" t="str">
        <f>IF(ISNA(VLOOKUP($B323,CPY!$B:$G,2,FALSE))=TRUE," ",VLOOKUP($B323,CPY!$B:$G,2,FALSE))</f>
        <v> </v>
      </c>
      <c r="D323" s="50" t="str">
        <f>IF(ISNA(VLOOKUP($B323,CPY!$B:$G,3,FALSE))=TRUE," ",VLOOKUP($B323,CPY!$B:$G,3,FALSE))</f>
        <v> </v>
      </c>
      <c r="E323" s="65" t="str">
        <f>IF(ISNA(VLOOKUP($B323,CPY!$B:$G,4,FALSE))=TRUE," ",VLOOKUP($B323,CPY!$B:$G,4,FALSE))</f>
        <v> </v>
      </c>
      <c r="F323" s="62"/>
      <c r="G323" s="86"/>
      <c r="H323" s="87"/>
      <c r="I323" s="88"/>
      <c r="J323" s="88"/>
      <c r="K323" s="89">
        <f t="shared" si="11"/>
        <v>0</v>
      </c>
      <c r="L323" s="90" t="b">
        <f>IF((ISNUMBER(K323)),IF(AND(F323="Workdays",(SUMIFS(N:N,F:F,F323,H:H,H323,B:B,B323)&lt;=24)),IF(AND((K323*24)&gt;0,(K323*24)&lt;16),((K323*24)*MD!$I$6),IF((K323*24)&gt;=16,(MD!$J$6))),IF(AND(F323="Non_workdays",(SUMIFS(N:N,F:F,F323,H:H,H323,B:B,B323)&lt;=24)),IF(AND((K323*24)&gt;0,(K323*24)&lt;12),((K323*24)*MD!$I$5),IF((K323*24)&gt;=12,(MD!$J$5))))))</f>
        <v>0</v>
      </c>
      <c r="M323" s="62"/>
      <c r="N323" s="72">
        <f t="shared" ref="N323:N386" si="12">K323*24</f>
        <v>0</v>
      </c>
    </row>
    <row r="324" spans="1:14" x14ac:dyDescent="0.25">
      <c r="A324" s="62">
        <v>323</v>
      </c>
      <c r="B324" s="62"/>
      <c r="C324" s="85" t="str">
        <f>IF(ISNA(VLOOKUP($B324,CPY!$B:$G,2,FALSE))=TRUE," ",VLOOKUP($B324,CPY!$B:$G,2,FALSE))</f>
        <v> </v>
      </c>
      <c r="D324" s="50" t="str">
        <f>IF(ISNA(VLOOKUP($B324,CPY!$B:$G,3,FALSE))=TRUE," ",VLOOKUP($B324,CPY!$B:$G,3,FALSE))</f>
        <v> </v>
      </c>
      <c r="E324" s="65" t="str">
        <f>IF(ISNA(VLOOKUP($B324,CPY!$B:$G,4,FALSE))=TRUE," ",VLOOKUP($B324,CPY!$B:$G,4,FALSE))</f>
        <v> </v>
      </c>
      <c r="F324" s="62"/>
      <c r="G324" s="86"/>
      <c r="H324" s="87"/>
      <c r="I324" s="88"/>
      <c r="J324" s="88"/>
      <c r="K324" s="89">
        <f t="shared" ref="K324:K387" si="13">IF(NOT(ISBLANK($J324)),(IF(J324&lt;I324,J324+1,J324)-I324))</f>
        <v>0</v>
      </c>
      <c r="L324" s="90" t="b">
        <f>IF((ISNUMBER(K324)),IF(AND(F324="Workdays",(SUMIFS(N:N,F:F,F324,H:H,H324,B:B,B324)&lt;=24)),IF(AND((K324*24)&gt;0,(K324*24)&lt;16),((K324*24)*MD!$I$6),IF((K324*24)&gt;=16,(MD!$J$6))),IF(AND(F324="Non_workdays",(SUMIFS(N:N,F:F,F324,H:H,H324,B:B,B324)&lt;=24)),IF(AND((K324*24)&gt;0,(K324*24)&lt;12),((K324*24)*MD!$I$5),IF((K324*24)&gt;=12,(MD!$J$5))))))</f>
        <v>0</v>
      </c>
      <c r="M324" s="62"/>
      <c r="N324" s="72">
        <f t="shared" si="12"/>
        <v>0</v>
      </c>
    </row>
    <row r="325" spans="1:14" x14ac:dyDescent="0.25">
      <c r="A325" s="62">
        <v>324</v>
      </c>
      <c r="B325" s="62"/>
      <c r="C325" s="85" t="str">
        <f>IF(ISNA(VLOOKUP($B325,CPY!$B:$G,2,FALSE))=TRUE," ",VLOOKUP($B325,CPY!$B:$G,2,FALSE))</f>
        <v> </v>
      </c>
      <c r="D325" s="50" t="str">
        <f>IF(ISNA(VLOOKUP($B325,CPY!$B:$G,3,FALSE))=TRUE," ",VLOOKUP($B325,CPY!$B:$G,3,FALSE))</f>
        <v> </v>
      </c>
      <c r="E325" s="65" t="str">
        <f>IF(ISNA(VLOOKUP($B325,CPY!$B:$G,4,FALSE))=TRUE," ",VLOOKUP($B325,CPY!$B:$G,4,FALSE))</f>
        <v> </v>
      </c>
      <c r="F325" s="62"/>
      <c r="G325" s="86"/>
      <c r="H325" s="87"/>
      <c r="I325" s="88"/>
      <c r="J325" s="88"/>
      <c r="K325" s="89">
        <f t="shared" si="13"/>
        <v>0</v>
      </c>
      <c r="L325" s="90" t="b">
        <f>IF((ISNUMBER(K325)),IF(AND(F325="Workdays",(SUMIFS(N:N,F:F,F325,H:H,H325,B:B,B325)&lt;=24)),IF(AND((K325*24)&gt;0,(K325*24)&lt;16),((K325*24)*MD!$I$6),IF((K325*24)&gt;=16,(MD!$J$6))),IF(AND(F325="Non_workdays",(SUMIFS(N:N,F:F,F325,H:H,H325,B:B,B325)&lt;=24)),IF(AND((K325*24)&gt;0,(K325*24)&lt;12),((K325*24)*MD!$I$5),IF((K325*24)&gt;=12,(MD!$J$5))))))</f>
        <v>0</v>
      </c>
      <c r="M325" s="62"/>
      <c r="N325" s="72">
        <f t="shared" si="12"/>
        <v>0</v>
      </c>
    </row>
    <row r="326" spans="1:14" x14ac:dyDescent="0.25">
      <c r="A326" s="62">
        <v>325</v>
      </c>
      <c r="B326" s="62"/>
      <c r="C326" s="85" t="str">
        <f>IF(ISNA(VLOOKUP($B326,CPY!$B:$G,2,FALSE))=TRUE," ",VLOOKUP($B326,CPY!$B:$G,2,FALSE))</f>
        <v> </v>
      </c>
      <c r="D326" s="50" t="str">
        <f>IF(ISNA(VLOOKUP($B326,CPY!$B:$G,3,FALSE))=TRUE," ",VLOOKUP($B326,CPY!$B:$G,3,FALSE))</f>
        <v> </v>
      </c>
      <c r="E326" s="65" t="str">
        <f>IF(ISNA(VLOOKUP($B326,CPY!$B:$G,4,FALSE))=TRUE," ",VLOOKUP($B326,CPY!$B:$G,4,FALSE))</f>
        <v> </v>
      </c>
      <c r="F326" s="62"/>
      <c r="G326" s="86"/>
      <c r="H326" s="87"/>
      <c r="I326" s="88"/>
      <c r="J326" s="88"/>
      <c r="K326" s="89">
        <f t="shared" si="13"/>
        <v>0</v>
      </c>
      <c r="L326" s="90" t="b">
        <f>IF((ISNUMBER(K326)),IF(AND(F326="Workdays",(SUMIFS(N:N,F:F,F326,H:H,H326,B:B,B326)&lt;=24)),IF(AND((K326*24)&gt;0,(K326*24)&lt;16),((K326*24)*MD!$I$6),IF((K326*24)&gt;=16,(MD!$J$6))),IF(AND(F326="Non_workdays",(SUMIFS(N:N,F:F,F326,H:H,H326,B:B,B326)&lt;=24)),IF(AND((K326*24)&gt;0,(K326*24)&lt;12),((K326*24)*MD!$I$5),IF((K326*24)&gt;=12,(MD!$J$5))))))</f>
        <v>0</v>
      </c>
      <c r="M326" s="62"/>
      <c r="N326" s="72">
        <f t="shared" si="12"/>
        <v>0</v>
      </c>
    </row>
    <row r="327" spans="1:14" x14ac:dyDescent="0.25">
      <c r="A327" s="62">
        <v>326</v>
      </c>
      <c r="B327" s="62"/>
      <c r="C327" s="85" t="str">
        <f>IF(ISNA(VLOOKUP($B327,CPY!$B:$G,2,FALSE))=TRUE," ",VLOOKUP($B327,CPY!$B:$G,2,FALSE))</f>
        <v> </v>
      </c>
      <c r="D327" s="50" t="str">
        <f>IF(ISNA(VLOOKUP($B327,CPY!$B:$G,3,FALSE))=TRUE," ",VLOOKUP($B327,CPY!$B:$G,3,FALSE))</f>
        <v> </v>
      </c>
      <c r="E327" s="65" t="str">
        <f>IF(ISNA(VLOOKUP($B327,CPY!$B:$G,4,FALSE))=TRUE," ",VLOOKUP($B327,CPY!$B:$G,4,FALSE))</f>
        <v> </v>
      </c>
      <c r="F327" s="62"/>
      <c r="G327" s="86"/>
      <c r="H327" s="87"/>
      <c r="I327" s="88"/>
      <c r="J327" s="88"/>
      <c r="K327" s="89">
        <f t="shared" si="13"/>
        <v>0</v>
      </c>
      <c r="L327" s="90" t="b">
        <f>IF((ISNUMBER(K327)),IF(AND(F327="Workdays",(SUMIFS(N:N,F:F,F327,H:H,H327,B:B,B327)&lt;=24)),IF(AND((K327*24)&gt;0,(K327*24)&lt;16),((K327*24)*MD!$I$6),IF((K327*24)&gt;=16,(MD!$J$6))),IF(AND(F327="Non_workdays",(SUMIFS(N:N,F:F,F327,H:H,H327,B:B,B327)&lt;=24)),IF(AND((K327*24)&gt;0,(K327*24)&lt;12),((K327*24)*MD!$I$5),IF((K327*24)&gt;=12,(MD!$J$5))))))</f>
        <v>0</v>
      </c>
      <c r="M327" s="62"/>
      <c r="N327" s="72">
        <f t="shared" si="12"/>
        <v>0</v>
      </c>
    </row>
    <row r="328" spans="1:14" x14ac:dyDescent="0.25">
      <c r="A328" s="62">
        <v>327</v>
      </c>
      <c r="B328" s="62"/>
      <c r="C328" s="85" t="str">
        <f>IF(ISNA(VLOOKUP($B328,CPY!$B:$G,2,FALSE))=TRUE," ",VLOOKUP($B328,CPY!$B:$G,2,FALSE))</f>
        <v> </v>
      </c>
      <c r="D328" s="50" t="str">
        <f>IF(ISNA(VLOOKUP($B328,CPY!$B:$G,3,FALSE))=TRUE," ",VLOOKUP($B328,CPY!$B:$G,3,FALSE))</f>
        <v> </v>
      </c>
      <c r="E328" s="65" t="str">
        <f>IF(ISNA(VLOOKUP($B328,CPY!$B:$G,4,FALSE))=TRUE," ",VLOOKUP($B328,CPY!$B:$G,4,FALSE))</f>
        <v> </v>
      </c>
      <c r="F328" s="62"/>
      <c r="G328" s="86"/>
      <c r="H328" s="87"/>
      <c r="I328" s="88"/>
      <c r="J328" s="88"/>
      <c r="K328" s="89">
        <f t="shared" si="13"/>
        <v>0</v>
      </c>
      <c r="L328" s="90" t="b">
        <f>IF((ISNUMBER(K328)),IF(AND(F328="Workdays",(SUMIFS(N:N,F:F,F328,H:H,H328,B:B,B328)&lt;=24)),IF(AND((K328*24)&gt;0,(K328*24)&lt;16),((K328*24)*MD!$I$6),IF((K328*24)&gt;=16,(MD!$J$6))),IF(AND(F328="Non_workdays",(SUMIFS(N:N,F:F,F328,H:H,H328,B:B,B328)&lt;=24)),IF(AND((K328*24)&gt;0,(K328*24)&lt;12),((K328*24)*MD!$I$5),IF((K328*24)&gt;=12,(MD!$J$5))))))</f>
        <v>0</v>
      </c>
      <c r="M328" s="62"/>
      <c r="N328" s="72">
        <f t="shared" si="12"/>
        <v>0</v>
      </c>
    </row>
    <row r="329" spans="1:14" x14ac:dyDescent="0.25">
      <c r="A329" s="62">
        <v>328</v>
      </c>
      <c r="B329" s="62"/>
      <c r="C329" s="85" t="str">
        <f>IF(ISNA(VLOOKUP($B329,CPY!$B:$G,2,FALSE))=TRUE," ",VLOOKUP($B329,CPY!$B:$G,2,FALSE))</f>
        <v> </v>
      </c>
      <c r="D329" s="50" t="str">
        <f>IF(ISNA(VLOOKUP($B329,CPY!$B:$G,3,FALSE))=TRUE," ",VLOOKUP($B329,CPY!$B:$G,3,FALSE))</f>
        <v> </v>
      </c>
      <c r="E329" s="65" t="str">
        <f>IF(ISNA(VLOOKUP($B329,CPY!$B:$G,4,FALSE))=TRUE," ",VLOOKUP($B329,CPY!$B:$G,4,FALSE))</f>
        <v> </v>
      </c>
      <c r="F329" s="62"/>
      <c r="G329" s="86"/>
      <c r="H329" s="87"/>
      <c r="I329" s="88"/>
      <c r="J329" s="88"/>
      <c r="K329" s="89">
        <f t="shared" si="13"/>
        <v>0</v>
      </c>
      <c r="L329" s="90" t="b">
        <f>IF((ISNUMBER(K329)),IF(AND(F329="Workdays",(SUMIFS(N:N,F:F,F329,H:H,H329,B:B,B329)&lt;=24)),IF(AND((K329*24)&gt;0,(K329*24)&lt;16),((K329*24)*MD!$I$6),IF((K329*24)&gt;=16,(MD!$J$6))),IF(AND(F329="Non_workdays",(SUMIFS(N:N,F:F,F329,H:H,H329,B:B,B329)&lt;=24)),IF(AND((K329*24)&gt;0,(K329*24)&lt;12),((K329*24)*MD!$I$5),IF((K329*24)&gt;=12,(MD!$J$5))))))</f>
        <v>0</v>
      </c>
      <c r="M329" s="62"/>
      <c r="N329" s="72">
        <f t="shared" si="12"/>
        <v>0</v>
      </c>
    </row>
    <row r="330" spans="1:14" x14ac:dyDescent="0.25">
      <c r="A330" s="62">
        <v>329</v>
      </c>
      <c r="B330" s="62"/>
      <c r="C330" s="85" t="str">
        <f>IF(ISNA(VLOOKUP($B330,CPY!$B:$G,2,FALSE))=TRUE," ",VLOOKUP($B330,CPY!$B:$G,2,FALSE))</f>
        <v> </v>
      </c>
      <c r="D330" s="50" t="str">
        <f>IF(ISNA(VLOOKUP($B330,CPY!$B:$G,3,FALSE))=TRUE," ",VLOOKUP($B330,CPY!$B:$G,3,FALSE))</f>
        <v> </v>
      </c>
      <c r="E330" s="65" t="str">
        <f>IF(ISNA(VLOOKUP($B330,CPY!$B:$G,4,FALSE))=TRUE," ",VLOOKUP($B330,CPY!$B:$G,4,FALSE))</f>
        <v> </v>
      </c>
      <c r="F330" s="62"/>
      <c r="G330" s="86"/>
      <c r="H330" s="87"/>
      <c r="I330" s="88"/>
      <c r="J330" s="88"/>
      <c r="K330" s="89">
        <f t="shared" si="13"/>
        <v>0</v>
      </c>
      <c r="L330" s="90" t="b">
        <f>IF((ISNUMBER(K330)),IF(AND(F330="Workdays",(SUMIFS(N:N,F:F,F330,H:H,H330,B:B,B330)&lt;=24)),IF(AND((K330*24)&gt;0,(K330*24)&lt;16),((K330*24)*MD!$I$6),IF((K330*24)&gt;=16,(MD!$J$6))),IF(AND(F330="Non_workdays",(SUMIFS(N:N,F:F,F330,H:H,H330,B:B,B330)&lt;=24)),IF(AND((K330*24)&gt;0,(K330*24)&lt;12),((K330*24)*MD!$I$5),IF((K330*24)&gt;=12,(MD!$J$5))))))</f>
        <v>0</v>
      </c>
      <c r="M330" s="62"/>
      <c r="N330" s="72">
        <f t="shared" si="12"/>
        <v>0</v>
      </c>
    </row>
    <row r="331" spans="1:14" x14ac:dyDescent="0.25">
      <c r="A331" s="62">
        <v>330</v>
      </c>
      <c r="B331" s="62"/>
      <c r="C331" s="85" t="str">
        <f>IF(ISNA(VLOOKUP($B331,CPY!$B:$G,2,FALSE))=TRUE," ",VLOOKUP($B331,CPY!$B:$G,2,FALSE))</f>
        <v> </v>
      </c>
      <c r="D331" s="50" t="str">
        <f>IF(ISNA(VLOOKUP($B331,CPY!$B:$G,3,FALSE))=TRUE," ",VLOOKUP($B331,CPY!$B:$G,3,FALSE))</f>
        <v> </v>
      </c>
      <c r="E331" s="65" t="str">
        <f>IF(ISNA(VLOOKUP($B331,CPY!$B:$G,4,FALSE))=TRUE," ",VLOOKUP($B331,CPY!$B:$G,4,FALSE))</f>
        <v> </v>
      </c>
      <c r="F331" s="62"/>
      <c r="G331" s="86"/>
      <c r="H331" s="87"/>
      <c r="I331" s="88"/>
      <c r="J331" s="88"/>
      <c r="K331" s="89">
        <f t="shared" si="13"/>
        <v>0</v>
      </c>
      <c r="L331" s="90" t="b">
        <f>IF((ISNUMBER(K331)),IF(AND(F331="Workdays",(SUMIFS(N:N,F:F,F331,H:H,H331,B:B,B331)&lt;=24)),IF(AND((K331*24)&gt;0,(K331*24)&lt;16),((K331*24)*MD!$I$6),IF((K331*24)&gt;=16,(MD!$J$6))),IF(AND(F331="Non_workdays",(SUMIFS(N:N,F:F,F331,H:H,H331,B:B,B331)&lt;=24)),IF(AND((K331*24)&gt;0,(K331*24)&lt;12),((K331*24)*MD!$I$5),IF((K331*24)&gt;=12,(MD!$J$5))))))</f>
        <v>0</v>
      </c>
      <c r="M331" s="62"/>
      <c r="N331" s="72">
        <f t="shared" si="12"/>
        <v>0</v>
      </c>
    </row>
    <row r="332" spans="1:14" x14ac:dyDescent="0.25">
      <c r="A332" s="62">
        <v>331</v>
      </c>
      <c r="B332" s="62"/>
      <c r="C332" s="85" t="str">
        <f>IF(ISNA(VLOOKUP($B332,CPY!$B:$G,2,FALSE))=TRUE," ",VLOOKUP($B332,CPY!$B:$G,2,FALSE))</f>
        <v> </v>
      </c>
      <c r="D332" s="50" t="str">
        <f>IF(ISNA(VLOOKUP($B332,CPY!$B:$G,3,FALSE))=TRUE," ",VLOOKUP($B332,CPY!$B:$G,3,FALSE))</f>
        <v> </v>
      </c>
      <c r="E332" s="65" t="str">
        <f>IF(ISNA(VLOOKUP($B332,CPY!$B:$G,4,FALSE))=TRUE," ",VLOOKUP($B332,CPY!$B:$G,4,FALSE))</f>
        <v> </v>
      </c>
      <c r="F332" s="62"/>
      <c r="G332" s="86"/>
      <c r="H332" s="87"/>
      <c r="I332" s="88"/>
      <c r="J332" s="88"/>
      <c r="K332" s="89">
        <f t="shared" si="13"/>
        <v>0</v>
      </c>
      <c r="L332" s="90" t="b">
        <f>IF((ISNUMBER(K332)),IF(AND(F332="Workdays",(SUMIFS(N:N,F:F,F332,H:H,H332,B:B,B332)&lt;=24)),IF(AND((K332*24)&gt;0,(K332*24)&lt;16),((K332*24)*MD!$I$6),IF((K332*24)&gt;=16,(MD!$J$6))),IF(AND(F332="Non_workdays",(SUMIFS(N:N,F:F,F332,H:H,H332,B:B,B332)&lt;=24)),IF(AND((K332*24)&gt;0,(K332*24)&lt;12),((K332*24)*MD!$I$5),IF((K332*24)&gt;=12,(MD!$J$5))))))</f>
        <v>0</v>
      </c>
      <c r="M332" s="62"/>
      <c r="N332" s="72">
        <f t="shared" si="12"/>
        <v>0</v>
      </c>
    </row>
    <row r="333" spans="1:14" x14ac:dyDescent="0.25">
      <c r="A333" s="62">
        <v>332</v>
      </c>
      <c r="B333" s="62"/>
      <c r="C333" s="85" t="str">
        <f>IF(ISNA(VLOOKUP($B333,CPY!$B:$G,2,FALSE))=TRUE," ",VLOOKUP($B333,CPY!$B:$G,2,FALSE))</f>
        <v> </v>
      </c>
      <c r="D333" s="50" t="str">
        <f>IF(ISNA(VLOOKUP($B333,CPY!$B:$G,3,FALSE))=TRUE," ",VLOOKUP($B333,CPY!$B:$G,3,FALSE))</f>
        <v> </v>
      </c>
      <c r="E333" s="65" t="str">
        <f>IF(ISNA(VLOOKUP($B333,CPY!$B:$G,4,FALSE))=TRUE," ",VLOOKUP($B333,CPY!$B:$G,4,FALSE))</f>
        <v> </v>
      </c>
      <c r="F333" s="62"/>
      <c r="G333" s="86"/>
      <c r="H333" s="87"/>
      <c r="I333" s="88"/>
      <c r="J333" s="88"/>
      <c r="K333" s="89">
        <f t="shared" si="13"/>
        <v>0</v>
      </c>
      <c r="L333" s="90" t="b">
        <f>IF((ISNUMBER(K333)),IF(AND(F333="Workdays",(SUMIFS(N:N,F:F,F333,H:H,H333,B:B,B333)&lt;=24)),IF(AND((K333*24)&gt;0,(K333*24)&lt;16),((K333*24)*MD!$I$6),IF((K333*24)&gt;=16,(MD!$J$6))),IF(AND(F333="Non_workdays",(SUMIFS(N:N,F:F,F333,H:H,H333,B:B,B333)&lt;=24)),IF(AND((K333*24)&gt;0,(K333*24)&lt;12),((K333*24)*MD!$I$5),IF((K333*24)&gt;=12,(MD!$J$5))))))</f>
        <v>0</v>
      </c>
      <c r="M333" s="62"/>
      <c r="N333" s="72">
        <f t="shared" si="12"/>
        <v>0</v>
      </c>
    </row>
    <row r="334" spans="1:14" x14ac:dyDescent="0.25">
      <c r="A334" s="62">
        <v>333</v>
      </c>
      <c r="B334" s="62"/>
      <c r="C334" s="85" t="str">
        <f>IF(ISNA(VLOOKUP($B334,CPY!$B:$G,2,FALSE))=TRUE," ",VLOOKUP($B334,CPY!$B:$G,2,FALSE))</f>
        <v> </v>
      </c>
      <c r="D334" s="50" t="str">
        <f>IF(ISNA(VLOOKUP($B334,CPY!$B:$G,3,FALSE))=TRUE," ",VLOOKUP($B334,CPY!$B:$G,3,FALSE))</f>
        <v> </v>
      </c>
      <c r="E334" s="65" t="str">
        <f>IF(ISNA(VLOOKUP($B334,CPY!$B:$G,4,FALSE))=TRUE," ",VLOOKUP($B334,CPY!$B:$G,4,FALSE))</f>
        <v> </v>
      </c>
      <c r="F334" s="62"/>
      <c r="G334" s="86"/>
      <c r="H334" s="87"/>
      <c r="I334" s="88"/>
      <c r="J334" s="88"/>
      <c r="K334" s="89">
        <f t="shared" si="13"/>
        <v>0</v>
      </c>
      <c r="L334" s="90" t="b">
        <f>IF((ISNUMBER(K334)),IF(AND(F334="Workdays",(SUMIFS(N:N,F:F,F334,H:H,H334,B:B,B334)&lt;=24)),IF(AND((K334*24)&gt;0,(K334*24)&lt;16),((K334*24)*MD!$I$6),IF((K334*24)&gt;=16,(MD!$J$6))),IF(AND(F334="Non_workdays",(SUMIFS(N:N,F:F,F334,H:H,H334,B:B,B334)&lt;=24)),IF(AND((K334*24)&gt;0,(K334*24)&lt;12),((K334*24)*MD!$I$5),IF((K334*24)&gt;=12,(MD!$J$5))))))</f>
        <v>0</v>
      </c>
      <c r="M334" s="62"/>
      <c r="N334" s="72">
        <f t="shared" si="12"/>
        <v>0</v>
      </c>
    </row>
    <row r="335" spans="1:14" x14ac:dyDescent="0.25">
      <c r="A335" s="62">
        <v>334</v>
      </c>
      <c r="B335" s="62"/>
      <c r="C335" s="85" t="str">
        <f>IF(ISNA(VLOOKUP($B335,CPY!$B:$G,2,FALSE))=TRUE," ",VLOOKUP($B335,CPY!$B:$G,2,FALSE))</f>
        <v> </v>
      </c>
      <c r="D335" s="50" t="str">
        <f>IF(ISNA(VLOOKUP($B335,CPY!$B:$G,3,FALSE))=TRUE," ",VLOOKUP($B335,CPY!$B:$G,3,FALSE))</f>
        <v> </v>
      </c>
      <c r="E335" s="65" t="str">
        <f>IF(ISNA(VLOOKUP($B335,CPY!$B:$G,4,FALSE))=TRUE," ",VLOOKUP($B335,CPY!$B:$G,4,FALSE))</f>
        <v> </v>
      </c>
      <c r="F335" s="62"/>
      <c r="G335" s="86"/>
      <c r="H335" s="87"/>
      <c r="I335" s="88"/>
      <c r="J335" s="88"/>
      <c r="K335" s="89">
        <f t="shared" si="13"/>
        <v>0</v>
      </c>
      <c r="L335" s="90" t="b">
        <f>IF((ISNUMBER(K335)),IF(AND(F335="Workdays",(SUMIFS(N:N,F:F,F335,H:H,H335,B:B,B335)&lt;=24)),IF(AND((K335*24)&gt;0,(K335*24)&lt;16),((K335*24)*MD!$I$6),IF((K335*24)&gt;=16,(MD!$J$6))),IF(AND(F335="Non_workdays",(SUMIFS(N:N,F:F,F335,H:H,H335,B:B,B335)&lt;=24)),IF(AND((K335*24)&gt;0,(K335*24)&lt;12),((K335*24)*MD!$I$5),IF((K335*24)&gt;=12,(MD!$J$5))))))</f>
        <v>0</v>
      </c>
      <c r="M335" s="62"/>
      <c r="N335" s="72">
        <f t="shared" si="12"/>
        <v>0</v>
      </c>
    </row>
    <row r="336" spans="1:14" x14ac:dyDescent="0.25">
      <c r="A336" s="62">
        <v>335</v>
      </c>
      <c r="B336" s="62"/>
      <c r="C336" s="85" t="str">
        <f>IF(ISNA(VLOOKUP($B336,CPY!$B:$G,2,FALSE))=TRUE," ",VLOOKUP($B336,CPY!$B:$G,2,FALSE))</f>
        <v> </v>
      </c>
      <c r="D336" s="50" t="str">
        <f>IF(ISNA(VLOOKUP($B336,CPY!$B:$G,3,FALSE))=TRUE," ",VLOOKUP($B336,CPY!$B:$G,3,FALSE))</f>
        <v> </v>
      </c>
      <c r="E336" s="65" t="str">
        <f>IF(ISNA(VLOOKUP($B336,CPY!$B:$G,4,FALSE))=TRUE," ",VLOOKUP($B336,CPY!$B:$G,4,FALSE))</f>
        <v> </v>
      </c>
      <c r="F336" s="62"/>
      <c r="G336" s="86"/>
      <c r="H336" s="87"/>
      <c r="I336" s="88"/>
      <c r="J336" s="88"/>
      <c r="K336" s="89">
        <f t="shared" si="13"/>
        <v>0</v>
      </c>
      <c r="L336" s="90" t="b">
        <f>IF((ISNUMBER(K336)),IF(AND(F336="Workdays",(SUMIFS(N:N,F:F,F336,H:H,H336,B:B,B336)&lt;=24)),IF(AND((K336*24)&gt;0,(K336*24)&lt;16),((K336*24)*MD!$I$6),IF((K336*24)&gt;=16,(MD!$J$6))),IF(AND(F336="Non_workdays",(SUMIFS(N:N,F:F,F336,H:H,H336,B:B,B336)&lt;=24)),IF(AND((K336*24)&gt;0,(K336*24)&lt;12),((K336*24)*MD!$I$5),IF((K336*24)&gt;=12,(MD!$J$5))))))</f>
        <v>0</v>
      </c>
      <c r="M336" s="62"/>
      <c r="N336" s="72">
        <f t="shared" si="12"/>
        <v>0</v>
      </c>
    </row>
    <row r="337" spans="1:14" x14ac:dyDescent="0.25">
      <c r="A337" s="62">
        <v>336</v>
      </c>
      <c r="B337" s="62"/>
      <c r="C337" s="85" t="str">
        <f>IF(ISNA(VLOOKUP($B337,CPY!$B:$G,2,FALSE))=TRUE," ",VLOOKUP($B337,CPY!$B:$G,2,FALSE))</f>
        <v> </v>
      </c>
      <c r="D337" s="50" t="str">
        <f>IF(ISNA(VLOOKUP($B337,CPY!$B:$G,3,FALSE))=TRUE," ",VLOOKUP($B337,CPY!$B:$G,3,FALSE))</f>
        <v> </v>
      </c>
      <c r="E337" s="65" t="str">
        <f>IF(ISNA(VLOOKUP($B337,CPY!$B:$G,4,FALSE))=TRUE," ",VLOOKUP($B337,CPY!$B:$G,4,FALSE))</f>
        <v> </v>
      </c>
      <c r="F337" s="62"/>
      <c r="G337" s="86"/>
      <c r="H337" s="87"/>
      <c r="I337" s="88"/>
      <c r="J337" s="88"/>
      <c r="K337" s="89">
        <f t="shared" si="13"/>
        <v>0</v>
      </c>
      <c r="L337" s="90" t="b">
        <f>IF((ISNUMBER(K337)),IF(AND(F337="Workdays",(SUMIFS(N:N,F:F,F337,H:H,H337,B:B,B337)&lt;=24)),IF(AND((K337*24)&gt;0,(K337*24)&lt;16),((K337*24)*MD!$I$6),IF((K337*24)&gt;=16,(MD!$J$6))),IF(AND(F337="Non_workdays",(SUMIFS(N:N,F:F,F337,H:H,H337,B:B,B337)&lt;=24)),IF(AND((K337*24)&gt;0,(K337*24)&lt;12),((K337*24)*MD!$I$5),IF((K337*24)&gt;=12,(MD!$J$5))))))</f>
        <v>0</v>
      </c>
      <c r="M337" s="62"/>
      <c r="N337" s="72">
        <f t="shared" si="12"/>
        <v>0</v>
      </c>
    </row>
    <row r="338" spans="1:14" x14ac:dyDescent="0.25">
      <c r="A338" s="62">
        <v>337</v>
      </c>
      <c r="B338" s="62"/>
      <c r="C338" s="85" t="str">
        <f>IF(ISNA(VLOOKUP($B338,CPY!$B:$G,2,FALSE))=TRUE," ",VLOOKUP($B338,CPY!$B:$G,2,FALSE))</f>
        <v> </v>
      </c>
      <c r="D338" s="50" t="str">
        <f>IF(ISNA(VLOOKUP($B338,CPY!$B:$G,3,FALSE))=TRUE," ",VLOOKUP($B338,CPY!$B:$G,3,FALSE))</f>
        <v> </v>
      </c>
      <c r="E338" s="65" t="str">
        <f>IF(ISNA(VLOOKUP($B338,CPY!$B:$G,4,FALSE))=TRUE," ",VLOOKUP($B338,CPY!$B:$G,4,FALSE))</f>
        <v> </v>
      </c>
      <c r="F338" s="62"/>
      <c r="G338" s="86"/>
      <c r="H338" s="87"/>
      <c r="I338" s="88"/>
      <c r="J338" s="88"/>
      <c r="K338" s="89">
        <f t="shared" si="13"/>
        <v>0</v>
      </c>
      <c r="L338" s="90" t="b">
        <f>IF((ISNUMBER(K338)),IF(AND(F338="Workdays",(SUMIFS(N:N,F:F,F338,H:H,H338,B:B,B338)&lt;=24)),IF(AND((K338*24)&gt;0,(K338*24)&lt;16),((K338*24)*MD!$I$6),IF((K338*24)&gt;=16,(MD!$J$6))),IF(AND(F338="Non_workdays",(SUMIFS(N:N,F:F,F338,H:H,H338,B:B,B338)&lt;=24)),IF(AND((K338*24)&gt;0,(K338*24)&lt;12),((K338*24)*MD!$I$5),IF((K338*24)&gt;=12,(MD!$J$5))))))</f>
        <v>0</v>
      </c>
      <c r="M338" s="62"/>
      <c r="N338" s="72">
        <f t="shared" si="12"/>
        <v>0</v>
      </c>
    </row>
    <row r="339" spans="1:14" x14ac:dyDescent="0.25">
      <c r="A339" s="62">
        <v>338</v>
      </c>
      <c r="B339" s="62"/>
      <c r="C339" s="85" t="str">
        <f>IF(ISNA(VLOOKUP($B339,CPY!$B:$G,2,FALSE))=TRUE," ",VLOOKUP($B339,CPY!$B:$G,2,FALSE))</f>
        <v> </v>
      </c>
      <c r="D339" s="50" t="str">
        <f>IF(ISNA(VLOOKUP($B339,CPY!$B:$G,3,FALSE))=TRUE," ",VLOOKUP($B339,CPY!$B:$G,3,FALSE))</f>
        <v> </v>
      </c>
      <c r="E339" s="65" t="str">
        <f>IF(ISNA(VLOOKUP($B339,CPY!$B:$G,4,FALSE))=TRUE," ",VLOOKUP($B339,CPY!$B:$G,4,FALSE))</f>
        <v> </v>
      </c>
      <c r="F339" s="62"/>
      <c r="G339" s="86"/>
      <c r="H339" s="87"/>
      <c r="I339" s="88"/>
      <c r="J339" s="88"/>
      <c r="K339" s="89">
        <f t="shared" si="13"/>
        <v>0</v>
      </c>
      <c r="L339" s="90" t="b">
        <f>IF((ISNUMBER(K339)),IF(AND(F339="Workdays",(SUMIFS(N:N,F:F,F339,H:H,H339,B:B,B339)&lt;=24)),IF(AND((K339*24)&gt;0,(K339*24)&lt;16),((K339*24)*MD!$I$6),IF((K339*24)&gt;=16,(MD!$J$6))),IF(AND(F339="Non_workdays",(SUMIFS(N:N,F:F,F339,H:H,H339,B:B,B339)&lt;=24)),IF(AND((K339*24)&gt;0,(K339*24)&lt;12),((K339*24)*MD!$I$5),IF((K339*24)&gt;=12,(MD!$J$5))))))</f>
        <v>0</v>
      </c>
      <c r="M339" s="62"/>
      <c r="N339" s="72">
        <f t="shared" si="12"/>
        <v>0</v>
      </c>
    </row>
    <row r="340" spans="1:14" x14ac:dyDescent="0.25">
      <c r="A340" s="62">
        <v>339</v>
      </c>
      <c r="B340" s="62"/>
      <c r="C340" s="85" t="str">
        <f>IF(ISNA(VLOOKUP($B340,CPY!$B:$G,2,FALSE))=TRUE," ",VLOOKUP($B340,CPY!$B:$G,2,FALSE))</f>
        <v> </v>
      </c>
      <c r="D340" s="50" t="str">
        <f>IF(ISNA(VLOOKUP($B340,CPY!$B:$G,3,FALSE))=TRUE," ",VLOOKUP($B340,CPY!$B:$G,3,FALSE))</f>
        <v> </v>
      </c>
      <c r="E340" s="65" t="str">
        <f>IF(ISNA(VLOOKUP($B340,CPY!$B:$G,4,FALSE))=TRUE," ",VLOOKUP($B340,CPY!$B:$G,4,FALSE))</f>
        <v> </v>
      </c>
      <c r="F340" s="62"/>
      <c r="G340" s="86"/>
      <c r="H340" s="87"/>
      <c r="I340" s="88"/>
      <c r="J340" s="88"/>
      <c r="K340" s="89">
        <f t="shared" si="13"/>
        <v>0</v>
      </c>
      <c r="L340" s="90" t="b">
        <f>IF((ISNUMBER(K340)),IF(AND(F340="Workdays",(SUMIFS(N:N,F:F,F340,H:H,H340,B:B,B340)&lt;=24)),IF(AND((K340*24)&gt;0,(K340*24)&lt;16),((K340*24)*MD!$I$6),IF((K340*24)&gt;=16,(MD!$J$6))),IF(AND(F340="Non_workdays",(SUMIFS(N:N,F:F,F340,H:H,H340,B:B,B340)&lt;=24)),IF(AND((K340*24)&gt;0,(K340*24)&lt;12),((K340*24)*MD!$I$5),IF((K340*24)&gt;=12,(MD!$J$5))))))</f>
        <v>0</v>
      </c>
      <c r="M340" s="62"/>
      <c r="N340" s="72">
        <f t="shared" si="12"/>
        <v>0</v>
      </c>
    </row>
    <row r="341" spans="1:14" x14ac:dyDescent="0.25">
      <c r="A341" s="62">
        <v>340</v>
      </c>
      <c r="B341" s="62"/>
      <c r="C341" s="85" t="str">
        <f>IF(ISNA(VLOOKUP($B341,CPY!$B:$G,2,FALSE))=TRUE," ",VLOOKUP($B341,CPY!$B:$G,2,FALSE))</f>
        <v> </v>
      </c>
      <c r="D341" s="50" t="str">
        <f>IF(ISNA(VLOOKUP($B341,CPY!$B:$G,3,FALSE))=TRUE," ",VLOOKUP($B341,CPY!$B:$G,3,FALSE))</f>
        <v> </v>
      </c>
      <c r="E341" s="65" t="str">
        <f>IF(ISNA(VLOOKUP($B341,CPY!$B:$G,4,FALSE))=TRUE," ",VLOOKUP($B341,CPY!$B:$G,4,FALSE))</f>
        <v> </v>
      </c>
      <c r="F341" s="62"/>
      <c r="G341" s="86"/>
      <c r="H341" s="87"/>
      <c r="I341" s="88"/>
      <c r="J341" s="88"/>
      <c r="K341" s="89">
        <f t="shared" si="13"/>
        <v>0</v>
      </c>
      <c r="L341" s="90" t="b">
        <f>IF((ISNUMBER(K341)),IF(AND(F341="Workdays",(SUMIFS(N:N,F:F,F341,H:H,H341,B:B,B341)&lt;=24)),IF(AND((K341*24)&gt;0,(K341*24)&lt;16),((K341*24)*MD!$I$6),IF((K341*24)&gt;=16,(MD!$J$6))),IF(AND(F341="Non_workdays",(SUMIFS(N:N,F:F,F341,H:H,H341,B:B,B341)&lt;=24)),IF(AND((K341*24)&gt;0,(K341*24)&lt;12),((K341*24)*MD!$I$5),IF((K341*24)&gt;=12,(MD!$J$5))))))</f>
        <v>0</v>
      </c>
      <c r="M341" s="62"/>
      <c r="N341" s="72">
        <f t="shared" si="12"/>
        <v>0</v>
      </c>
    </row>
    <row r="342" spans="1:14" x14ac:dyDescent="0.25">
      <c r="A342" s="62">
        <v>341</v>
      </c>
      <c r="B342" s="62"/>
      <c r="C342" s="85" t="str">
        <f>IF(ISNA(VLOOKUP($B342,CPY!$B:$G,2,FALSE))=TRUE," ",VLOOKUP($B342,CPY!$B:$G,2,FALSE))</f>
        <v> </v>
      </c>
      <c r="D342" s="50" t="str">
        <f>IF(ISNA(VLOOKUP($B342,CPY!$B:$G,3,FALSE))=TRUE," ",VLOOKUP($B342,CPY!$B:$G,3,FALSE))</f>
        <v> </v>
      </c>
      <c r="E342" s="65" t="str">
        <f>IF(ISNA(VLOOKUP($B342,CPY!$B:$G,4,FALSE))=TRUE," ",VLOOKUP($B342,CPY!$B:$G,4,FALSE))</f>
        <v> </v>
      </c>
      <c r="F342" s="62"/>
      <c r="G342" s="86"/>
      <c r="H342" s="87"/>
      <c r="I342" s="88"/>
      <c r="J342" s="88"/>
      <c r="K342" s="89">
        <f t="shared" si="13"/>
        <v>0</v>
      </c>
      <c r="L342" s="90" t="b">
        <f>IF((ISNUMBER(K342)),IF(AND(F342="Workdays",(SUMIFS(N:N,F:F,F342,H:H,H342,B:B,B342)&lt;=24)),IF(AND((K342*24)&gt;0,(K342*24)&lt;16),((K342*24)*MD!$I$6),IF((K342*24)&gt;=16,(MD!$J$6))),IF(AND(F342="Non_workdays",(SUMIFS(N:N,F:F,F342,H:H,H342,B:B,B342)&lt;=24)),IF(AND((K342*24)&gt;0,(K342*24)&lt;12),((K342*24)*MD!$I$5),IF((K342*24)&gt;=12,(MD!$J$5))))))</f>
        <v>0</v>
      </c>
      <c r="M342" s="62"/>
      <c r="N342" s="72">
        <f t="shared" si="12"/>
        <v>0</v>
      </c>
    </row>
    <row r="343" spans="1:14" x14ac:dyDescent="0.25">
      <c r="A343" s="62">
        <v>342</v>
      </c>
      <c r="B343" s="62"/>
      <c r="C343" s="85" t="str">
        <f>IF(ISNA(VLOOKUP($B343,CPY!$B:$G,2,FALSE))=TRUE," ",VLOOKUP($B343,CPY!$B:$G,2,FALSE))</f>
        <v> </v>
      </c>
      <c r="D343" s="50" t="str">
        <f>IF(ISNA(VLOOKUP($B343,CPY!$B:$G,3,FALSE))=TRUE," ",VLOOKUP($B343,CPY!$B:$G,3,FALSE))</f>
        <v> </v>
      </c>
      <c r="E343" s="65" t="str">
        <f>IF(ISNA(VLOOKUP($B343,CPY!$B:$G,4,FALSE))=TRUE," ",VLOOKUP($B343,CPY!$B:$G,4,FALSE))</f>
        <v> </v>
      </c>
      <c r="F343" s="62"/>
      <c r="G343" s="86"/>
      <c r="H343" s="87"/>
      <c r="I343" s="88"/>
      <c r="J343" s="88"/>
      <c r="K343" s="89">
        <f t="shared" si="13"/>
        <v>0</v>
      </c>
      <c r="L343" s="90" t="b">
        <f>IF((ISNUMBER(K343)),IF(AND(F343="Workdays",(SUMIFS(N:N,F:F,F343,H:H,H343,B:B,B343)&lt;=24)),IF(AND((K343*24)&gt;0,(K343*24)&lt;16),((K343*24)*MD!$I$6),IF((K343*24)&gt;=16,(MD!$J$6))),IF(AND(F343="Non_workdays",(SUMIFS(N:N,F:F,F343,H:H,H343,B:B,B343)&lt;=24)),IF(AND((K343*24)&gt;0,(K343*24)&lt;12),((K343*24)*MD!$I$5),IF((K343*24)&gt;=12,(MD!$J$5))))))</f>
        <v>0</v>
      </c>
      <c r="M343" s="62"/>
      <c r="N343" s="72">
        <f t="shared" si="12"/>
        <v>0</v>
      </c>
    </row>
    <row r="344" spans="1:14" x14ac:dyDescent="0.25">
      <c r="A344" s="62">
        <v>343</v>
      </c>
      <c r="B344" s="62"/>
      <c r="C344" s="85" t="str">
        <f>IF(ISNA(VLOOKUP($B344,CPY!$B:$G,2,FALSE))=TRUE," ",VLOOKUP($B344,CPY!$B:$G,2,FALSE))</f>
        <v> </v>
      </c>
      <c r="D344" s="50" t="str">
        <f>IF(ISNA(VLOOKUP($B344,CPY!$B:$G,3,FALSE))=TRUE," ",VLOOKUP($B344,CPY!$B:$G,3,FALSE))</f>
        <v> </v>
      </c>
      <c r="E344" s="65" t="str">
        <f>IF(ISNA(VLOOKUP($B344,CPY!$B:$G,4,FALSE))=TRUE," ",VLOOKUP($B344,CPY!$B:$G,4,FALSE))</f>
        <v> </v>
      </c>
      <c r="F344" s="62"/>
      <c r="G344" s="86"/>
      <c r="H344" s="87"/>
      <c r="I344" s="88"/>
      <c r="J344" s="88"/>
      <c r="K344" s="89">
        <f t="shared" si="13"/>
        <v>0</v>
      </c>
      <c r="L344" s="90" t="b">
        <f>IF((ISNUMBER(K344)),IF(AND(F344="Workdays",(SUMIFS(N:N,F:F,F344,H:H,H344,B:B,B344)&lt;=24)),IF(AND((K344*24)&gt;0,(K344*24)&lt;16),((K344*24)*MD!$I$6),IF((K344*24)&gt;=16,(MD!$J$6))),IF(AND(F344="Non_workdays",(SUMIFS(N:N,F:F,F344,H:H,H344,B:B,B344)&lt;=24)),IF(AND((K344*24)&gt;0,(K344*24)&lt;12),((K344*24)*MD!$I$5),IF((K344*24)&gt;=12,(MD!$J$5))))))</f>
        <v>0</v>
      </c>
      <c r="M344" s="62"/>
      <c r="N344" s="72">
        <f t="shared" si="12"/>
        <v>0</v>
      </c>
    </row>
    <row r="345" spans="1:14" x14ac:dyDescent="0.25">
      <c r="A345" s="62">
        <v>344</v>
      </c>
      <c r="B345" s="62"/>
      <c r="C345" s="85" t="str">
        <f>IF(ISNA(VLOOKUP($B345,CPY!$B:$G,2,FALSE))=TRUE," ",VLOOKUP($B345,CPY!$B:$G,2,FALSE))</f>
        <v> </v>
      </c>
      <c r="D345" s="50" t="str">
        <f>IF(ISNA(VLOOKUP($B345,CPY!$B:$G,3,FALSE))=TRUE," ",VLOOKUP($B345,CPY!$B:$G,3,FALSE))</f>
        <v> </v>
      </c>
      <c r="E345" s="65" t="str">
        <f>IF(ISNA(VLOOKUP($B345,CPY!$B:$G,4,FALSE))=TRUE," ",VLOOKUP($B345,CPY!$B:$G,4,FALSE))</f>
        <v> </v>
      </c>
      <c r="F345" s="62"/>
      <c r="G345" s="86"/>
      <c r="H345" s="87"/>
      <c r="I345" s="88"/>
      <c r="J345" s="88"/>
      <c r="K345" s="89">
        <f t="shared" si="13"/>
        <v>0</v>
      </c>
      <c r="L345" s="90" t="b">
        <f>IF((ISNUMBER(K345)),IF(AND(F345="Workdays",(SUMIFS(N:N,F:F,F345,H:H,H345,B:B,B345)&lt;=24)),IF(AND((K345*24)&gt;0,(K345*24)&lt;16),((K345*24)*MD!$I$6),IF((K345*24)&gt;=16,(MD!$J$6))),IF(AND(F345="Non_workdays",(SUMIFS(N:N,F:F,F345,H:H,H345,B:B,B345)&lt;=24)),IF(AND((K345*24)&gt;0,(K345*24)&lt;12),((K345*24)*MD!$I$5),IF((K345*24)&gt;=12,(MD!$J$5))))))</f>
        <v>0</v>
      </c>
      <c r="M345" s="62"/>
      <c r="N345" s="72">
        <f t="shared" si="12"/>
        <v>0</v>
      </c>
    </row>
    <row r="346" spans="1:14" x14ac:dyDescent="0.25">
      <c r="A346" s="62">
        <v>345</v>
      </c>
      <c r="B346" s="62"/>
      <c r="C346" s="85" t="str">
        <f>IF(ISNA(VLOOKUP($B346,CPY!$B:$G,2,FALSE))=TRUE," ",VLOOKUP($B346,CPY!$B:$G,2,FALSE))</f>
        <v> </v>
      </c>
      <c r="D346" s="50" t="str">
        <f>IF(ISNA(VLOOKUP($B346,CPY!$B:$G,3,FALSE))=TRUE," ",VLOOKUP($B346,CPY!$B:$G,3,FALSE))</f>
        <v> </v>
      </c>
      <c r="E346" s="65" t="str">
        <f>IF(ISNA(VLOOKUP($B346,CPY!$B:$G,4,FALSE))=TRUE," ",VLOOKUP($B346,CPY!$B:$G,4,FALSE))</f>
        <v> </v>
      </c>
      <c r="F346" s="62"/>
      <c r="G346" s="86"/>
      <c r="H346" s="87"/>
      <c r="I346" s="88"/>
      <c r="J346" s="88"/>
      <c r="K346" s="89">
        <f t="shared" si="13"/>
        <v>0</v>
      </c>
      <c r="L346" s="90" t="b">
        <f>IF((ISNUMBER(K346)),IF(AND(F346="Workdays",(SUMIFS(N:N,F:F,F346,H:H,H346,B:B,B346)&lt;=24)),IF(AND((K346*24)&gt;0,(K346*24)&lt;16),((K346*24)*MD!$I$6),IF((K346*24)&gt;=16,(MD!$J$6))),IF(AND(F346="Non_workdays",(SUMIFS(N:N,F:F,F346,H:H,H346,B:B,B346)&lt;=24)),IF(AND((K346*24)&gt;0,(K346*24)&lt;12),((K346*24)*MD!$I$5),IF((K346*24)&gt;=12,(MD!$J$5))))))</f>
        <v>0</v>
      </c>
      <c r="M346" s="62"/>
      <c r="N346" s="72">
        <f t="shared" si="12"/>
        <v>0</v>
      </c>
    </row>
    <row r="347" spans="1:14" x14ac:dyDescent="0.25">
      <c r="A347" s="62">
        <v>346</v>
      </c>
      <c r="B347" s="62"/>
      <c r="C347" s="85" t="str">
        <f>IF(ISNA(VLOOKUP($B347,CPY!$B:$G,2,FALSE))=TRUE," ",VLOOKUP($B347,CPY!$B:$G,2,FALSE))</f>
        <v> </v>
      </c>
      <c r="D347" s="50" t="str">
        <f>IF(ISNA(VLOOKUP($B347,CPY!$B:$G,3,FALSE))=TRUE," ",VLOOKUP($B347,CPY!$B:$G,3,FALSE))</f>
        <v> </v>
      </c>
      <c r="E347" s="65" t="str">
        <f>IF(ISNA(VLOOKUP($B347,CPY!$B:$G,4,FALSE))=TRUE," ",VLOOKUP($B347,CPY!$B:$G,4,FALSE))</f>
        <v> </v>
      </c>
      <c r="F347" s="62"/>
      <c r="G347" s="86"/>
      <c r="H347" s="87"/>
      <c r="I347" s="88"/>
      <c r="J347" s="88"/>
      <c r="K347" s="89">
        <f t="shared" si="13"/>
        <v>0</v>
      </c>
      <c r="L347" s="90" t="b">
        <f>IF((ISNUMBER(K347)),IF(AND(F347="Workdays",(SUMIFS(N:N,F:F,F347,H:H,H347,B:B,B347)&lt;=24)),IF(AND((K347*24)&gt;0,(K347*24)&lt;16),((K347*24)*MD!$I$6),IF((K347*24)&gt;=16,(MD!$J$6))),IF(AND(F347="Non_workdays",(SUMIFS(N:N,F:F,F347,H:H,H347,B:B,B347)&lt;=24)),IF(AND((K347*24)&gt;0,(K347*24)&lt;12),((K347*24)*MD!$I$5),IF((K347*24)&gt;=12,(MD!$J$5))))))</f>
        <v>0</v>
      </c>
      <c r="M347" s="62"/>
      <c r="N347" s="72">
        <f t="shared" si="12"/>
        <v>0</v>
      </c>
    </row>
    <row r="348" spans="1:14" x14ac:dyDescent="0.25">
      <c r="A348" s="62">
        <v>347</v>
      </c>
      <c r="B348" s="62"/>
      <c r="C348" s="85" t="str">
        <f>IF(ISNA(VLOOKUP($B348,CPY!$B:$G,2,FALSE))=TRUE," ",VLOOKUP($B348,CPY!$B:$G,2,FALSE))</f>
        <v> </v>
      </c>
      <c r="D348" s="50" t="str">
        <f>IF(ISNA(VLOOKUP($B348,CPY!$B:$G,3,FALSE))=TRUE," ",VLOOKUP($B348,CPY!$B:$G,3,FALSE))</f>
        <v> </v>
      </c>
      <c r="E348" s="65" t="str">
        <f>IF(ISNA(VLOOKUP($B348,CPY!$B:$G,4,FALSE))=TRUE," ",VLOOKUP($B348,CPY!$B:$G,4,FALSE))</f>
        <v> </v>
      </c>
      <c r="F348" s="62"/>
      <c r="G348" s="86"/>
      <c r="H348" s="87"/>
      <c r="I348" s="88"/>
      <c r="J348" s="88"/>
      <c r="K348" s="89">
        <f t="shared" si="13"/>
        <v>0</v>
      </c>
      <c r="L348" s="90" t="b">
        <f>IF((ISNUMBER(K348)),IF(AND(F348="Workdays",(SUMIFS(N:N,F:F,F348,H:H,H348,B:B,B348)&lt;=24)),IF(AND((K348*24)&gt;0,(K348*24)&lt;16),((K348*24)*MD!$I$6),IF((K348*24)&gt;=16,(MD!$J$6))),IF(AND(F348="Non_workdays",(SUMIFS(N:N,F:F,F348,H:H,H348,B:B,B348)&lt;=24)),IF(AND((K348*24)&gt;0,(K348*24)&lt;12),((K348*24)*MD!$I$5),IF((K348*24)&gt;=12,(MD!$J$5))))))</f>
        <v>0</v>
      </c>
      <c r="M348" s="62"/>
      <c r="N348" s="72">
        <f t="shared" si="12"/>
        <v>0</v>
      </c>
    </row>
    <row r="349" spans="1:14" x14ac:dyDescent="0.25">
      <c r="A349" s="62">
        <v>348</v>
      </c>
      <c r="B349" s="62"/>
      <c r="C349" s="85" t="str">
        <f>IF(ISNA(VLOOKUP($B349,CPY!$B:$G,2,FALSE))=TRUE," ",VLOOKUP($B349,CPY!$B:$G,2,FALSE))</f>
        <v> </v>
      </c>
      <c r="D349" s="50" t="str">
        <f>IF(ISNA(VLOOKUP($B349,CPY!$B:$G,3,FALSE))=TRUE," ",VLOOKUP($B349,CPY!$B:$G,3,FALSE))</f>
        <v> </v>
      </c>
      <c r="E349" s="65" t="str">
        <f>IF(ISNA(VLOOKUP($B349,CPY!$B:$G,4,FALSE))=TRUE," ",VLOOKUP($B349,CPY!$B:$G,4,FALSE))</f>
        <v> </v>
      </c>
      <c r="F349" s="62"/>
      <c r="G349" s="86"/>
      <c r="H349" s="87"/>
      <c r="I349" s="88"/>
      <c r="J349" s="88"/>
      <c r="K349" s="89">
        <f t="shared" si="13"/>
        <v>0</v>
      </c>
      <c r="L349" s="90" t="b">
        <f>IF((ISNUMBER(K349)),IF(AND(F349="Workdays",(SUMIFS(N:N,F:F,F349,H:H,H349,B:B,B349)&lt;=24)),IF(AND((K349*24)&gt;0,(K349*24)&lt;16),((K349*24)*MD!$I$6),IF((K349*24)&gt;=16,(MD!$J$6))),IF(AND(F349="Non_workdays",(SUMIFS(N:N,F:F,F349,H:H,H349,B:B,B349)&lt;=24)),IF(AND((K349*24)&gt;0,(K349*24)&lt;12),((K349*24)*MD!$I$5),IF((K349*24)&gt;=12,(MD!$J$5))))))</f>
        <v>0</v>
      </c>
      <c r="M349" s="62"/>
      <c r="N349" s="72">
        <f t="shared" si="12"/>
        <v>0</v>
      </c>
    </row>
    <row r="350" spans="1:14" x14ac:dyDescent="0.25">
      <c r="A350" s="62">
        <v>349</v>
      </c>
      <c r="B350" s="62"/>
      <c r="C350" s="85" t="str">
        <f>IF(ISNA(VLOOKUP($B350,CPY!$B:$G,2,FALSE))=TRUE," ",VLOOKUP($B350,CPY!$B:$G,2,FALSE))</f>
        <v> </v>
      </c>
      <c r="D350" s="50" t="str">
        <f>IF(ISNA(VLOOKUP($B350,CPY!$B:$G,3,FALSE))=TRUE," ",VLOOKUP($B350,CPY!$B:$G,3,FALSE))</f>
        <v> </v>
      </c>
      <c r="E350" s="65" t="str">
        <f>IF(ISNA(VLOOKUP($B350,CPY!$B:$G,4,FALSE))=TRUE," ",VLOOKUP($B350,CPY!$B:$G,4,FALSE))</f>
        <v> </v>
      </c>
      <c r="F350" s="62"/>
      <c r="G350" s="86"/>
      <c r="H350" s="87"/>
      <c r="I350" s="88"/>
      <c r="J350" s="88"/>
      <c r="K350" s="89">
        <f t="shared" si="13"/>
        <v>0</v>
      </c>
      <c r="L350" s="90" t="b">
        <f>IF((ISNUMBER(K350)),IF(AND(F350="Workdays",(SUMIFS(N:N,F:F,F350,H:H,H350,B:B,B350)&lt;=24)),IF(AND((K350*24)&gt;0,(K350*24)&lt;16),((K350*24)*MD!$I$6),IF((K350*24)&gt;=16,(MD!$J$6))),IF(AND(F350="Non_workdays",(SUMIFS(N:N,F:F,F350,H:H,H350,B:B,B350)&lt;=24)),IF(AND((K350*24)&gt;0,(K350*24)&lt;12),((K350*24)*MD!$I$5),IF((K350*24)&gt;=12,(MD!$J$5))))))</f>
        <v>0</v>
      </c>
      <c r="M350" s="62"/>
      <c r="N350" s="72">
        <f t="shared" si="12"/>
        <v>0</v>
      </c>
    </row>
    <row r="351" spans="1:14" x14ac:dyDescent="0.25">
      <c r="A351" s="62">
        <v>350</v>
      </c>
      <c r="B351" s="62"/>
      <c r="C351" s="85" t="str">
        <f>IF(ISNA(VLOOKUP($B351,CPY!$B:$G,2,FALSE))=TRUE," ",VLOOKUP($B351,CPY!$B:$G,2,FALSE))</f>
        <v> </v>
      </c>
      <c r="D351" s="50" t="str">
        <f>IF(ISNA(VLOOKUP($B351,CPY!$B:$G,3,FALSE))=TRUE," ",VLOOKUP($B351,CPY!$B:$G,3,FALSE))</f>
        <v> </v>
      </c>
      <c r="E351" s="65" t="str">
        <f>IF(ISNA(VLOOKUP($B351,CPY!$B:$G,4,FALSE))=TRUE," ",VLOOKUP($B351,CPY!$B:$G,4,FALSE))</f>
        <v> </v>
      </c>
      <c r="F351" s="62"/>
      <c r="G351" s="86"/>
      <c r="H351" s="87"/>
      <c r="I351" s="88"/>
      <c r="J351" s="88"/>
      <c r="K351" s="89">
        <f t="shared" si="13"/>
        <v>0</v>
      </c>
      <c r="L351" s="90" t="b">
        <f>IF((ISNUMBER(K351)),IF(AND(F351="Workdays",(SUMIFS(N:N,F:F,F351,H:H,H351,B:B,B351)&lt;=24)),IF(AND((K351*24)&gt;0,(K351*24)&lt;16),((K351*24)*MD!$I$6),IF((K351*24)&gt;=16,(MD!$J$6))),IF(AND(F351="Non_workdays",(SUMIFS(N:N,F:F,F351,H:H,H351,B:B,B351)&lt;=24)),IF(AND((K351*24)&gt;0,(K351*24)&lt;12),((K351*24)*MD!$I$5),IF((K351*24)&gt;=12,(MD!$J$5))))))</f>
        <v>0</v>
      </c>
      <c r="M351" s="62"/>
      <c r="N351" s="72">
        <f t="shared" si="12"/>
        <v>0</v>
      </c>
    </row>
    <row r="352" spans="1:14" x14ac:dyDescent="0.25">
      <c r="A352" s="62">
        <v>351</v>
      </c>
      <c r="B352" s="62"/>
      <c r="C352" s="85" t="str">
        <f>IF(ISNA(VLOOKUP($B352,CPY!$B:$G,2,FALSE))=TRUE," ",VLOOKUP($B352,CPY!$B:$G,2,FALSE))</f>
        <v> </v>
      </c>
      <c r="D352" s="50" t="str">
        <f>IF(ISNA(VLOOKUP($B352,CPY!$B:$G,3,FALSE))=TRUE," ",VLOOKUP($B352,CPY!$B:$G,3,FALSE))</f>
        <v> </v>
      </c>
      <c r="E352" s="65" t="str">
        <f>IF(ISNA(VLOOKUP($B352,CPY!$B:$G,4,FALSE))=TRUE," ",VLOOKUP($B352,CPY!$B:$G,4,FALSE))</f>
        <v> </v>
      </c>
      <c r="F352" s="62"/>
      <c r="G352" s="86"/>
      <c r="H352" s="87"/>
      <c r="I352" s="88"/>
      <c r="J352" s="88"/>
      <c r="K352" s="89">
        <f t="shared" si="13"/>
        <v>0</v>
      </c>
      <c r="L352" s="90" t="b">
        <f>IF((ISNUMBER(K352)),IF(AND(F352="Workdays",(SUMIFS(N:N,F:F,F352,H:H,H352,B:B,B352)&lt;=24)),IF(AND((K352*24)&gt;0,(K352*24)&lt;16),((K352*24)*MD!$I$6),IF((K352*24)&gt;=16,(MD!$J$6))),IF(AND(F352="Non_workdays",(SUMIFS(N:N,F:F,F352,H:H,H352,B:B,B352)&lt;=24)),IF(AND((K352*24)&gt;0,(K352*24)&lt;12),((K352*24)*MD!$I$5),IF((K352*24)&gt;=12,(MD!$J$5))))))</f>
        <v>0</v>
      </c>
      <c r="M352" s="62"/>
      <c r="N352" s="72">
        <f t="shared" si="12"/>
        <v>0</v>
      </c>
    </row>
    <row r="353" spans="1:14" x14ac:dyDescent="0.25">
      <c r="A353" s="62">
        <v>352</v>
      </c>
      <c r="B353" s="62"/>
      <c r="C353" s="85" t="str">
        <f>IF(ISNA(VLOOKUP($B353,CPY!$B:$G,2,FALSE))=TRUE," ",VLOOKUP($B353,CPY!$B:$G,2,FALSE))</f>
        <v> </v>
      </c>
      <c r="D353" s="50" t="str">
        <f>IF(ISNA(VLOOKUP($B353,CPY!$B:$G,3,FALSE))=TRUE," ",VLOOKUP($B353,CPY!$B:$G,3,FALSE))</f>
        <v> </v>
      </c>
      <c r="E353" s="65" t="str">
        <f>IF(ISNA(VLOOKUP($B353,CPY!$B:$G,4,FALSE))=TRUE," ",VLOOKUP($B353,CPY!$B:$G,4,FALSE))</f>
        <v> </v>
      </c>
      <c r="F353" s="62"/>
      <c r="G353" s="86"/>
      <c r="H353" s="87"/>
      <c r="I353" s="88"/>
      <c r="J353" s="88"/>
      <c r="K353" s="89">
        <f t="shared" si="13"/>
        <v>0</v>
      </c>
      <c r="L353" s="90" t="b">
        <f>IF((ISNUMBER(K353)),IF(AND(F353="Workdays",(SUMIFS(N:N,F:F,F353,H:H,H353,B:B,B353)&lt;=24)),IF(AND((K353*24)&gt;0,(K353*24)&lt;16),((K353*24)*MD!$I$6),IF((K353*24)&gt;=16,(MD!$J$6))),IF(AND(F353="Non_workdays",(SUMIFS(N:N,F:F,F353,H:H,H353,B:B,B353)&lt;=24)),IF(AND((K353*24)&gt;0,(K353*24)&lt;12),((K353*24)*MD!$I$5),IF((K353*24)&gt;=12,(MD!$J$5))))))</f>
        <v>0</v>
      </c>
      <c r="M353" s="62"/>
      <c r="N353" s="72">
        <f t="shared" si="12"/>
        <v>0</v>
      </c>
    </row>
    <row r="354" spans="1:14" x14ac:dyDescent="0.25">
      <c r="A354" s="62">
        <v>353</v>
      </c>
      <c r="B354" s="62"/>
      <c r="C354" s="85" t="str">
        <f>IF(ISNA(VLOOKUP($B354,CPY!$B:$G,2,FALSE))=TRUE," ",VLOOKUP($B354,CPY!$B:$G,2,FALSE))</f>
        <v> </v>
      </c>
      <c r="D354" s="50" t="str">
        <f>IF(ISNA(VLOOKUP($B354,CPY!$B:$G,3,FALSE))=TRUE," ",VLOOKUP($B354,CPY!$B:$G,3,FALSE))</f>
        <v> </v>
      </c>
      <c r="E354" s="65" t="str">
        <f>IF(ISNA(VLOOKUP($B354,CPY!$B:$G,4,FALSE))=TRUE," ",VLOOKUP($B354,CPY!$B:$G,4,FALSE))</f>
        <v> </v>
      </c>
      <c r="F354" s="62"/>
      <c r="G354" s="86"/>
      <c r="H354" s="87"/>
      <c r="I354" s="88"/>
      <c r="J354" s="88"/>
      <c r="K354" s="89">
        <f t="shared" si="13"/>
        <v>0</v>
      </c>
      <c r="L354" s="90" t="b">
        <f>IF((ISNUMBER(K354)),IF(AND(F354="Workdays",(SUMIFS(N:N,F:F,F354,H:H,H354,B:B,B354)&lt;=24)),IF(AND((K354*24)&gt;0,(K354*24)&lt;16),((K354*24)*MD!$I$6),IF((K354*24)&gt;=16,(MD!$J$6))),IF(AND(F354="Non_workdays",(SUMIFS(N:N,F:F,F354,H:H,H354,B:B,B354)&lt;=24)),IF(AND((K354*24)&gt;0,(K354*24)&lt;12),((K354*24)*MD!$I$5),IF((K354*24)&gt;=12,(MD!$J$5))))))</f>
        <v>0</v>
      </c>
      <c r="M354" s="62"/>
      <c r="N354" s="72">
        <f t="shared" si="12"/>
        <v>0</v>
      </c>
    </row>
    <row r="355" spans="1:14" x14ac:dyDescent="0.25">
      <c r="A355" s="62">
        <v>354</v>
      </c>
      <c r="B355" s="62"/>
      <c r="C355" s="85" t="str">
        <f>IF(ISNA(VLOOKUP($B355,CPY!$B:$G,2,FALSE))=TRUE," ",VLOOKUP($B355,CPY!$B:$G,2,FALSE))</f>
        <v> </v>
      </c>
      <c r="D355" s="50" t="str">
        <f>IF(ISNA(VLOOKUP($B355,CPY!$B:$G,3,FALSE))=TRUE," ",VLOOKUP($B355,CPY!$B:$G,3,FALSE))</f>
        <v> </v>
      </c>
      <c r="E355" s="65" t="str">
        <f>IF(ISNA(VLOOKUP($B355,CPY!$B:$G,4,FALSE))=TRUE," ",VLOOKUP($B355,CPY!$B:$G,4,FALSE))</f>
        <v> </v>
      </c>
      <c r="F355" s="62"/>
      <c r="G355" s="86"/>
      <c r="H355" s="87"/>
      <c r="I355" s="88"/>
      <c r="J355" s="88"/>
      <c r="K355" s="89">
        <f t="shared" si="13"/>
        <v>0</v>
      </c>
      <c r="L355" s="90" t="b">
        <f>IF((ISNUMBER(K355)),IF(AND(F355="Workdays",(SUMIFS(N:N,F:F,F355,H:H,H355,B:B,B355)&lt;=24)),IF(AND((K355*24)&gt;0,(K355*24)&lt;16),((K355*24)*MD!$I$6),IF((K355*24)&gt;=16,(MD!$J$6))),IF(AND(F355="Non_workdays",(SUMIFS(N:N,F:F,F355,H:H,H355,B:B,B355)&lt;=24)),IF(AND((K355*24)&gt;0,(K355*24)&lt;12),((K355*24)*MD!$I$5),IF((K355*24)&gt;=12,(MD!$J$5))))))</f>
        <v>0</v>
      </c>
      <c r="M355" s="62"/>
      <c r="N355" s="72">
        <f t="shared" si="12"/>
        <v>0</v>
      </c>
    </row>
    <row r="356" spans="1:14" x14ac:dyDescent="0.25">
      <c r="A356" s="62">
        <v>355</v>
      </c>
      <c r="B356" s="62"/>
      <c r="C356" s="85" t="str">
        <f>IF(ISNA(VLOOKUP($B356,CPY!$B:$G,2,FALSE))=TRUE," ",VLOOKUP($B356,CPY!$B:$G,2,FALSE))</f>
        <v> </v>
      </c>
      <c r="D356" s="50" t="str">
        <f>IF(ISNA(VLOOKUP($B356,CPY!$B:$G,3,FALSE))=TRUE," ",VLOOKUP($B356,CPY!$B:$G,3,FALSE))</f>
        <v> </v>
      </c>
      <c r="E356" s="65" t="str">
        <f>IF(ISNA(VLOOKUP($B356,CPY!$B:$G,4,FALSE))=TRUE," ",VLOOKUP($B356,CPY!$B:$G,4,FALSE))</f>
        <v> </v>
      </c>
      <c r="F356" s="62"/>
      <c r="G356" s="86"/>
      <c r="H356" s="87"/>
      <c r="I356" s="88"/>
      <c r="J356" s="88"/>
      <c r="K356" s="89">
        <f t="shared" si="13"/>
        <v>0</v>
      </c>
      <c r="L356" s="90" t="b">
        <f>IF((ISNUMBER(K356)),IF(AND(F356="Workdays",(SUMIFS(N:N,F:F,F356,H:H,H356,B:B,B356)&lt;=24)),IF(AND((K356*24)&gt;0,(K356*24)&lt;16),((K356*24)*MD!$I$6),IF((K356*24)&gt;=16,(MD!$J$6))),IF(AND(F356="Non_workdays",(SUMIFS(N:N,F:F,F356,H:H,H356,B:B,B356)&lt;=24)),IF(AND((K356*24)&gt;0,(K356*24)&lt;12),((K356*24)*MD!$I$5),IF((K356*24)&gt;=12,(MD!$J$5))))))</f>
        <v>0</v>
      </c>
      <c r="M356" s="62"/>
      <c r="N356" s="72">
        <f t="shared" si="12"/>
        <v>0</v>
      </c>
    </row>
    <row r="357" spans="1:14" x14ac:dyDescent="0.25">
      <c r="A357" s="62">
        <v>356</v>
      </c>
      <c r="B357" s="62"/>
      <c r="C357" s="85" t="str">
        <f>IF(ISNA(VLOOKUP($B357,CPY!$B:$G,2,FALSE))=TRUE," ",VLOOKUP($B357,CPY!$B:$G,2,FALSE))</f>
        <v> </v>
      </c>
      <c r="D357" s="50" t="str">
        <f>IF(ISNA(VLOOKUP($B357,CPY!$B:$G,3,FALSE))=TRUE," ",VLOOKUP($B357,CPY!$B:$G,3,FALSE))</f>
        <v> </v>
      </c>
      <c r="E357" s="65" t="str">
        <f>IF(ISNA(VLOOKUP($B357,CPY!$B:$G,4,FALSE))=TRUE," ",VLOOKUP($B357,CPY!$B:$G,4,FALSE))</f>
        <v> </v>
      </c>
      <c r="F357" s="62"/>
      <c r="G357" s="86"/>
      <c r="H357" s="87"/>
      <c r="I357" s="88"/>
      <c r="J357" s="88"/>
      <c r="K357" s="89">
        <f t="shared" si="13"/>
        <v>0</v>
      </c>
      <c r="L357" s="90" t="b">
        <f>IF((ISNUMBER(K357)),IF(AND(F357="Workdays",(SUMIFS(N:N,F:F,F357,H:H,H357,B:B,B357)&lt;=24)),IF(AND((K357*24)&gt;0,(K357*24)&lt;16),((K357*24)*MD!$I$6),IF((K357*24)&gt;=16,(MD!$J$6))),IF(AND(F357="Non_workdays",(SUMIFS(N:N,F:F,F357,H:H,H357,B:B,B357)&lt;=24)),IF(AND((K357*24)&gt;0,(K357*24)&lt;12),((K357*24)*MD!$I$5),IF((K357*24)&gt;=12,(MD!$J$5))))))</f>
        <v>0</v>
      </c>
      <c r="M357" s="62"/>
      <c r="N357" s="72">
        <f t="shared" si="12"/>
        <v>0</v>
      </c>
    </row>
    <row r="358" spans="1:14" x14ac:dyDescent="0.25">
      <c r="A358" s="62">
        <v>357</v>
      </c>
      <c r="B358" s="62"/>
      <c r="C358" s="85" t="str">
        <f>IF(ISNA(VLOOKUP($B358,CPY!$B:$G,2,FALSE))=TRUE," ",VLOOKUP($B358,CPY!$B:$G,2,FALSE))</f>
        <v> </v>
      </c>
      <c r="D358" s="50" t="str">
        <f>IF(ISNA(VLOOKUP($B358,CPY!$B:$G,3,FALSE))=TRUE," ",VLOOKUP($B358,CPY!$B:$G,3,FALSE))</f>
        <v> </v>
      </c>
      <c r="E358" s="65" t="str">
        <f>IF(ISNA(VLOOKUP($B358,CPY!$B:$G,4,FALSE))=TRUE," ",VLOOKUP($B358,CPY!$B:$G,4,FALSE))</f>
        <v> </v>
      </c>
      <c r="F358" s="62"/>
      <c r="G358" s="86"/>
      <c r="H358" s="87"/>
      <c r="I358" s="88"/>
      <c r="J358" s="88"/>
      <c r="K358" s="89">
        <f t="shared" si="13"/>
        <v>0</v>
      </c>
      <c r="L358" s="90" t="b">
        <f>IF((ISNUMBER(K358)),IF(AND(F358="Workdays",(SUMIFS(N:N,F:F,F358,H:H,H358,B:B,B358)&lt;=24)),IF(AND((K358*24)&gt;0,(K358*24)&lt;16),((K358*24)*MD!$I$6),IF((K358*24)&gt;=16,(MD!$J$6))),IF(AND(F358="Non_workdays",(SUMIFS(N:N,F:F,F358,H:H,H358,B:B,B358)&lt;=24)),IF(AND((K358*24)&gt;0,(K358*24)&lt;12),((K358*24)*MD!$I$5),IF((K358*24)&gt;=12,(MD!$J$5))))))</f>
        <v>0</v>
      </c>
      <c r="M358" s="62"/>
      <c r="N358" s="72">
        <f t="shared" si="12"/>
        <v>0</v>
      </c>
    </row>
    <row r="359" spans="1:14" x14ac:dyDescent="0.25">
      <c r="A359" s="62">
        <v>358</v>
      </c>
      <c r="B359" s="62"/>
      <c r="C359" s="85" t="str">
        <f>IF(ISNA(VLOOKUP($B359,CPY!$B:$G,2,FALSE))=TRUE," ",VLOOKUP($B359,CPY!$B:$G,2,FALSE))</f>
        <v> </v>
      </c>
      <c r="D359" s="50" t="str">
        <f>IF(ISNA(VLOOKUP($B359,CPY!$B:$G,3,FALSE))=TRUE," ",VLOOKUP($B359,CPY!$B:$G,3,FALSE))</f>
        <v> </v>
      </c>
      <c r="E359" s="65" t="str">
        <f>IF(ISNA(VLOOKUP($B359,CPY!$B:$G,4,FALSE))=TRUE," ",VLOOKUP($B359,CPY!$B:$G,4,FALSE))</f>
        <v> </v>
      </c>
      <c r="F359" s="62"/>
      <c r="G359" s="86"/>
      <c r="H359" s="87"/>
      <c r="I359" s="88"/>
      <c r="J359" s="88"/>
      <c r="K359" s="89">
        <f t="shared" si="13"/>
        <v>0</v>
      </c>
      <c r="L359" s="90" t="b">
        <f>IF((ISNUMBER(K359)),IF(AND(F359="Workdays",(SUMIFS(N:N,F:F,F359,H:H,H359,B:B,B359)&lt;=24)),IF(AND((K359*24)&gt;0,(K359*24)&lt;16),((K359*24)*MD!$I$6),IF((K359*24)&gt;=16,(MD!$J$6))),IF(AND(F359="Non_workdays",(SUMIFS(N:N,F:F,F359,H:H,H359,B:B,B359)&lt;=24)),IF(AND((K359*24)&gt;0,(K359*24)&lt;12),((K359*24)*MD!$I$5),IF((K359*24)&gt;=12,(MD!$J$5))))))</f>
        <v>0</v>
      </c>
      <c r="M359" s="62"/>
      <c r="N359" s="72">
        <f t="shared" si="12"/>
        <v>0</v>
      </c>
    </row>
    <row r="360" spans="1:14" x14ac:dyDescent="0.25">
      <c r="A360" s="62">
        <v>359</v>
      </c>
      <c r="B360" s="62"/>
      <c r="C360" s="85" t="str">
        <f>IF(ISNA(VLOOKUP($B360,CPY!$B:$G,2,FALSE))=TRUE," ",VLOOKUP($B360,CPY!$B:$G,2,FALSE))</f>
        <v> </v>
      </c>
      <c r="D360" s="50" t="str">
        <f>IF(ISNA(VLOOKUP($B360,CPY!$B:$G,3,FALSE))=TRUE," ",VLOOKUP($B360,CPY!$B:$G,3,FALSE))</f>
        <v> </v>
      </c>
      <c r="E360" s="65" t="str">
        <f>IF(ISNA(VLOOKUP($B360,CPY!$B:$G,4,FALSE))=TRUE," ",VLOOKUP($B360,CPY!$B:$G,4,FALSE))</f>
        <v> </v>
      </c>
      <c r="F360" s="62"/>
      <c r="G360" s="86"/>
      <c r="H360" s="87"/>
      <c r="I360" s="88"/>
      <c r="J360" s="88"/>
      <c r="K360" s="89">
        <f t="shared" si="13"/>
        <v>0</v>
      </c>
      <c r="L360" s="90" t="b">
        <f>IF((ISNUMBER(K360)),IF(AND(F360="Workdays",(SUMIFS(N:N,F:F,F360,H:H,H360,B:B,B360)&lt;=24)),IF(AND((K360*24)&gt;0,(K360*24)&lt;16),((K360*24)*MD!$I$6),IF((K360*24)&gt;=16,(MD!$J$6))),IF(AND(F360="Non_workdays",(SUMIFS(N:N,F:F,F360,H:H,H360,B:B,B360)&lt;=24)),IF(AND((K360*24)&gt;0,(K360*24)&lt;12),((K360*24)*MD!$I$5),IF((K360*24)&gt;=12,(MD!$J$5))))))</f>
        <v>0</v>
      </c>
      <c r="M360" s="62"/>
      <c r="N360" s="72">
        <f t="shared" si="12"/>
        <v>0</v>
      </c>
    </row>
    <row r="361" spans="1:14" x14ac:dyDescent="0.25">
      <c r="A361" s="62">
        <v>360</v>
      </c>
      <c r="B361" s="62"/>
      <c r="C361" s="85" t="str">
        <f>IF(ISNA(VLOOKUP($B361,CPY!$B:$G,2,FALSE))=TRUE," ",VLOOKUP($B361,CPY!$B:$G,2,FALSE))</f>
        <v> </v>
      </c>
      <c r="D361" s="50" t="str">
        <f>IF(ISNA(VLOOKUP($B361,CPY!$B:$G,3,FALSE))=TRUE," ",VLOOKUP($B361,CPY!$B:$G,3,FALSE))</f>
        <v> </v>
      </c>
      <c r="E361" s="65" t="str">
        <f>IF(ISNA(VLOOKUP($B361,CPY!$B:$G,4,FALSE))=TRUE," ",VLOOKUP($B361,CPY!$B:$G,4,FALSE))</f>
        <v> </v>
      </c>
      <c r="F361" s="62"/>
      <c r="G361" s="86"/>
      <c r="H361" s="87"/>
      <c r="I361" s="88"/>
      <c r="J361" s="88"/>
      <c r="K361" s="89">
        <f t="shared" si="13"/>
        <v>0</v>
      </c>
      <c r="L361" s="90" t="b">
        <f>IF((ISNUMBER(K361)),IF(AND(F361="Workdays",(SUMIFS(N:N,F:F,F361,H:H,H361,B:B,B361)&lt;=24)),IF(AND((K361*24)&gt;0,(K361*24)&lt;16),((K361*24)*MD!$I$6),IF((K361*24)&gt;=16,(MD!$J$6))),IF(AND(F361="Non_workdays",(SUMIFS(N:N,F:F,F361,H:H,H361,B:B,B361)&lt;=24)),IF(AND((K361*24)&gt;0,(K361*24)&lt;12),((K361*24)*MD!$I$5),IF((K361*24)&gt;=12,(MD!$J$5))))))</f>
        <v>0</v>
      </c>
      <c r="M361" s="62"/>
      <c r="N361" s="72">
        <f t="shared" si="12"/>
        <v>0</v>
      </c>
    </row>
    <row r="362" spans="1:14" x14ac:dyDescent="0.25">
      <c r="A362" s="62">
        <v>361</v>
      </c>
      <c r="B362" s="62"/>
      <c r="C362" s="85" t="str">
        <f>IF(ISNA(VLOOKUP($B362,CPY!$B:$G,2,FALSE))=TRUE," ",VLOOKUP($B362,CPY!$B:$G,2,FALSE))</f>
        <v> </v>
      </c>
      <c r="D362" s="50" t="str">
        <f>IF(ISNA(VLOOKUP($B362,CPY!$B:$G,3,FALSE))=TRUE," ",VLOOKUP($B362,CPY!$B:$G,3,FALSE))</f>
        <v> </v>
      </c>
      <c r="E362" s="65" t="str">
        <f>IF(ISNA(VLOOKUP($B362,CPY!$B:$G,4,FALSE))=TRUE," ",VLOOKUP($B362,CPY!$B:$G,4,FALSE))</f>
        <v> </v>
      </c>
      <c r="F362" s="62"/>
      <c r="G362" s="86"/>
      <c r="H362" s="87"/>
      <c r="I362" s="88"/>
      <c r="J362" s="88"/>
      <c r="K362" s="89">
        <f t="shared" si="13"/>
        <v>0</v>
      </c>
      <c r="L362" s="90" t="b">
        <f>IF((ISNUMBER(K362)),IF(AND(F362="Workdays",(SUMIFS(N:N,F:F,F362,H:H,H362,B:B,B362)&lt;=24)),IF(AND((K362*24)&gt;0,(K362*24)&lt;16),((K362*24)*MD!$I$6),IF((K362*24)&gt;=16,(MD!$J$6))),IF(AND(F362="Non_workdays",(SUMIFS(N:N,F:F,F362,H:H,H362,B:B,B362)&lt;=24)),IF(AND((K362*24)&gt;0,(K362*24)&lt;12),((K362*24)*MD!$I$5),IF((K362*24)&gt;=12,(MD!$J$5))))))</f>
        <v>0</v>
      </c>
      <c r="M362" s="62"/>
      <c r="N362" s="72">
        <f t="shared" si="12"/>
        <v>0</v>
      </c>
    </row>
    <row r="363" spans="1:14" x14ac:dyDescent="0.25">
      <c r="A363" s="62">
        <v>362</v>
      </c>
      <c r="B363" s="62"/>
      <c r="C363" s="85" t="str">
        <f>IF(ISNA(VLOOKUP($B363,CPY!$B:$G,2,FALSE))=TRUE," ",VLOOKUP($B363,CPY!$B:$G,2,FALSE))</f>
        <v> </v>
      </c>
      <c r="D363" s="50" t="str">
        <f>IF(ISNA(VLOOKUP($B363,CPY!$B:$G,3,FALSE))=TRUE," ",VLOOKUP($B363,CPY!$B:$G,3,FALSE))</f>
        <v> </v>
      </c>
      <c r="E363" s="65" t="str">
        <f>IF(ISNA(VLOOKUP($B363,CPY!$B:$G,4,FALSE))=TRUE," ",VLOOKUP($B363,CPY!$B:$G,4,FALSE))</f>
        <v> </v>
      </c>
      <c r="F363" s="62"/>
      <c r="G363" s="86"/>
      <c r="H363" s="87"/>
      <c r="I363" s="88"/>
      <c r="J363" s="88"/>
      <c r="K363" s="89">
        <f t="shared" si="13"/>
        <v>0</v>
      </c>
      <c r="L363" s="90" t="b">
        <f>IF((ISNUMBER(K363)),IF(AND(F363="Workdays",(SUMIFS(N:N,F:F,F363,H:H,H363,B:B,B363)&lt;=24)),IF(AND((K363*24)&gt;0,(K363*24)&lt;16),((K363*24)*MD!$I$6),IF((K363*24)&gt;=16,(MD!$J$6))),IF(AND(F363="Non_workdays",(SUMIFS(N:N,F:F,F363,H:H,H363,B:B,B363)&lt;=24)),IF(AND((K363*24)&gt;0,(K363*24)&lt;12),((K363*24)*MD!$I$5),IF((K363*24)&gt;=12,(MD!$J$5))))))</f>
        <v>0</v>
      </c>
      <c r="M363" s="62"/>
      <c r="N363" s="72">
        <f t="shared" si="12"/>
        <v>0</v>
      </c>
    </row>
    <row r="364" spans="1:14" x14ac:dyDescent="0.25">
      <c r="A364" s="62">
        <v>363</v>
      </c>
      <c r="B364" s="62"/>
      <c r="C364" s="85" t="str">
        <f>IF(ISNA(VLOOKUP($B364,CPY!$B:$G,2,FALSE))=TRUE," ",VLOOKUP($B364,CPY!$B:$G,2,FALSE))</f>
        <v> </v>
      </c>
      <c r="D364" s="50" t="str">
        <f>IF(ISNA(VLOOKUP($B364,CPY!$B:$G,3,FALSE))=TRUE," ",VLOOKUP($B364,CPY!$B:$G,3,FALSE))</f>
        <v> </v>
      </c>
      <c r="E364" s="65" t="str">
        <f>IF(ISNA(VLOOKUP($B364,CPY!$B:$G,4,FALSE))=TRUE," ",VLOOKUP($B364,CPY!$B:$G,4,FALSE))</f>
        <v> </v>
      </c>
      <c r="F364" s="62"/>
      <c r="G364" s="86"/>
      <c r="H364" s="87"/>
      <c r="I364" s="88"/>
      <c r="J364" s="88"/>
      <c r="K364" s="89">
        <f t="shared" si="13"/>
        <v>0</v>
      </c>
      <c r="L364" s="90" t="b">
        <f>IF((ISNUMBER(K364)),IF(AND(F364="Workdays",(SUMIFS(N:N,F:F,F364,H:H,H364,B:B,B364)&lt;=24)),IF(AND((K364*24)&gt;0,(K364*24)&lt;16),((K364*24)*MD!$I$6),IF((K364*24)&gt;=16,(MD!$J$6))),IF(AND(F364="Non_workdays",(SUMIFS(N:N,F:F,F364,H:H,H364,B:B,B364)&lt;=24)),IF(AND((K364*24)&gt;0,(K364*24)&lt;12),((K364*24)*MD!$I$5),IF((K364*24)&gt;=12,(MD!$J$5))))))</f>
        <v>0</v>
      </c>
      <c r="M364" s="62"/>
      <c r="N364" s="72">
        <f t="shared" si="12"/>
        <v>0</v>
      </c>
    </row>
    <row r="365" spans="1:14" x14ac:dyDescent="0.25">
      <c r="A365" s="62">
        <v>364</v>
      </c>
      <c r="B365" s="62"/>
      <c r="C365" s="85" t="str">
        <f>IF(ISNA(VLOOKUP($B365,CPY!$B:$G,2,FALSE))=TRUE," ",VLOOKUP($B365,CPY!$B:$G,2,FALSE))</f>
        <v> </v>
      </c>
      <c r="D365" s="50" t="str">
        <f>IF(ISNA(VLOOKUP($B365,CPY!$B:$G,3,FALSE))=TRUE," ",VLOOKUP($B365,CPY!$B:$G,3,FALSE))</f>
        <v> </v>
      </c>
      <c r="E365" s="65" t="str">
        <f>IF(ISNA(VLOOKUP($B365,CPY!$B:$G,4,FALSE))=TRUE," ",VLOOKUP($B365,CPY!$B:$G,4,FALSE))</f>
        <v> </v>
      </c>
      <c r="F365" s="62"/>
      <c r="G365" s="86"/>
      <c r="H365" s="87"/>
      <c r="I365" s="88"/>
      <c r="J365" s="88"/>
      <c r="K365" s="89">
        <f t="shared" si="13"/>
        <v>0</v>
      </c>
      <c r="L365" s="90" t="b">
        <f>IF((ISNUMBER(K365)),IF(AND(F365="Workdays",(SUMIFS(N:N,F:F,F365,H:H,H365,B:B,B365)&lt;=24)),IF(AND((K365*24)&gt;0,(K365*24)&lt;16),((K365*24)*MD!$I$6),IF((K365*24)&gt;=16,(MD!$J$6))),IF(AND(F365="Non_workdays",(SUMIFS(N:N,F:F,F365,H:H,H365,B:B,B365)&lt;=24)),IF(AND((K365*24)&gt;0,(K365*24)&lt;12),((K365*24)*MD!$I$5),IF((K365*24)&gt;=12,(MD!$J$5))))))</f>
        <v>0</v>
      </c>
      <c r="M365" s="62"/>
      <c r="N365" s="72">
        <f t="shared" si="12"/>
        <v>0</v>
      </c>
    </row>
    <row r="366" spans="1:14" x14ac:dyDescent="0.25">
      <c r="A366" s="62">
        <v>365</v>
      </c>
      <c r="B366" s="62"/>
      <c r="C366" s="85" t="str">
        <f>IF(ISNA(VLOOKUP($B366,CPY!$B:$G,2,FALSE))=TRUE," ",VLOOKUP($B366,CPY!$B:$G,2,FALSE))</f>
        <v> </v>
      </c>
      <c r="D366" s="50" t="str">
        <f>IF(ISNA(VLOOKUP($B366,CPY!$B:$G,3,FALSE))=TRUE," ",VLOOKUP($B366,CPY!$B:$G,3,FALSE))</f>
        <v> </v>
      </c>
      <c r="E366" s="65" t="str">
        <f>IF(ISNA(VLOOKUP($B366,CPY!$B:$G,4,FALSE))=TRUE," ",VLOOKUP($B366,CPY!$B:$G,4,FALSE))</f>
        <v> </v>
      </c>
      <c r="F366" s="62"/>
      <c r="G366" s="86"/>
      <c r="H366" s="87"/>
      <c r="I366" s="88"/>
      <c r="J366" s="88"/>
      <c r="K366" s="89">
        <f t="shared" si="13"/>
        <v>0</v>
      </c>
      <c r="L366" s="90" t="b">
        <f>IF((ISNUMBER(K366)),IF(AND(F366="Workdays",(SUMIFS(N:N,F:F,F366,H:H,H366,B:B,B366)&lt;=24)),IF(AND((K366*24)&gt;0,(K366*24)&lt;16),((K366*24)*MD!$I$6),IF((K366*24)&gt;=16,(MD!$J$6))),IF(AND(F366="Non_workdays",(SUMIFS(N:N,F:F,F366,H:H,H366,B:B,B366)&lt;=24)),IF(AND((K366*24)&gt;0,(K366*24)&lt;12),((K366*24)*MD!$I$5),IF((K366*24)&gt;=12,(MD!$J$5))))))</f>
        <v>0</v>
      </c>
      <c r="M366" s="62"/>
      <c r="N366" s="72">
        <f t="shared" si="12"/>
        <v>0</v>
      </c>
    </row>
    <row r="367" spans="1:14" x14ac:dyDescent="0.25">
      <c r="A367" s="62">
        <v>366</v>
      </c>
      <c r="B367" s="62"/>
      <c r="C367" s="85" t="str">
        <f>IF(ISNA(VLOOKUP($B367,CPY!$B:$G,2,FALSE))=TRUE," ",VLOOKUP($B367,CPY!$B:$G,2,FALSE))</f>
        <v> </v>
      </c>
      <c r="D367" s="50" t="str">
        <f>IF(ISNA(VLOOKUP($B367,CPY!$B:$G,3,FALSE))=TRUE," ",VLOOKUP($B367,CPY!$B:$G,3,FALSE))</f>
        <v> </v>
      </c>
      <c r="E367" s="65" t="str">
        <f>IF(ISNA(VLOOKUP($B367,CPY!$B:$G,4,FALSE))=TRUE," ",VLOOKUP($B367,CPY!$B:$G,4,FALSE))</f>
        <v> </v>
      </c>
      <c r="F367" s="62"/>
      <c r="G367" s="86"/>
      <c r="H367" s="87"/>
      <c r="I367" s="88"/>
      <c r="J367" s="88"/>
      <c r="K367" s="89">
        <f t="shared" si="13"/>
        <v>0</v>
      </c>
      <c r="L367" s="90" t="b">
        <f>IF((ISNUMBER(K367)),IF(AND(F367="Workdays",(SUMIFS(N:N,F:F,F367,H:H,H367,B:B,B367)&lt;=24)),IF(AND((K367*24)&gt;0,(K367*24)&lt;16),((K367*24)*MD!$I$6),IF((K367*24)&gt;=16,(MD!$J$6))),IF(AND(F367="Non_workdays",(SUMIFS(N:N,F:F,F367,H:H,H367,B:B,B367)&lt;=24)),IF(AND((K367*24)&gt;0,(K367*24)&lt;12),((K367*24)*MD!$I$5),IF((K367*24)&gt;=12,(MD!$J$5))))))</f>
        <v>0</v>
      </c>
      <c r="M367" s="62"/>
      <c r="N367" s="72">
        <f t="shared" si="12"/>
        <v>0</v>
      </c>
    </row>
    <row r="368" spans="1:14" x14ac:dyDescent="0.25">
      <c r="A368" s="62">
        <v>367</v>
      </c>
      <c r="B368" s="62"/>
      <c r="C368" s="85" t="str">
        <f>IF(ISNA(VLOOKUP($B368,CPY!$B:$G,2,FALSE))=TRUE," ",VLOOKUP($B368,CPY!$B:$G,2,FALSE))</f>
        <v> </v>
      </c>
      <c r="D368" s="50" t="str">
        <f>IF(ISNA(VLOOKUP($B368,CPY!$B:$G,3,FALSE))=TRUE," ",VLOOKUP($B368,CPY!$B:$G,3,FALSE))</f>
        <v> </v>
      </c>
      <c r="E368" s="65" t="str">
        <f>IF(ISNA(VLOOKUP($B368,CPY!$B:$G,4,FALSE))=TRUE," ",VLOOKUP($B368,CPY!$B:$G,4,FALSE))</f>
        <v> </v>
      </c>
      <c r="F368" s="62"/>
      <c r="G368" s="86"/>
      <c r="H368" s="87"/>
      <c r="I368" s="88"/>
      <c r="J368" s="88"/>
      <c r="K368" s="89">
        <f t="shared" si="13"/>
        <v>0</v>
      </c>
      <c r="L368" s="90" t="b">
        <f>IF((ISNUMBER(K368)),IF(AND(F368="Workdays",(SUMIFS(N:N,F:F,F368,H:H,H368,B:B,B368)&lt;=24)),IF(AND((K368*24)&gt;0,(K368*24)&lt;16),((K368*24)*MD!$I$6),IF((K368*24)&gt;=16,(MD!$J$6))),IF(AND(F368="Non_workdays",(SUMIFS(N:N,F:F,F368,H:H,H368,B:B,B368)&lt;=24)),IF(AND((K368*24)&gt;0,(K368*24)&lt;12),((K368*24)*MD!$I$5),IF((K368*24)&gt;=12,(MD!$J$5))))))</f>
        <v>0</v>
      </c>
      <c r="M368" s="62"/>
      <c r="N368" s="72">
        <f t="shared" si="12"/>
        <v>0</v>
      </c>
    </row>
    <row r="369" spans="1:14" x14ac:dyDescent="0.25">
      <c r="A369" s="62">
        <v>368</v>
      </c>
      <c r="B369" s="62"/>
      <c r="C369" s="85" t="str">
        <f>IF(ISNA(VLOOKUP($B369,CPY!$B:$G,2,FALSE))=TRUE," ",VLOOKUP($B369,CPY!$B:$G,2,FALSE))</f>
        <v> </v>
      </c>
      <c r="D369" s="50" t="str">
        <f>IF(ISNA(VLOOKUP($B369,CPY!$B:$G,3,FALSE))=TRUE," ",VLOOKUP($B369,CPY!$B:$G,3,FALSE))</f>
        <v> </v>
      </c>
      <c r="E369" s="65" t="str">
        <f>IF(ISNA(VLOOKUP($B369,CPY!$B:$G,4,FALSE))=TRUE," ",VLOOKUP($B369,CPY!$B:$G,4,FALSE))</f>
        <v> </v>
      </c>
      <c r="F369" s="62"/>
      <c r="G369" s="86"/>
      <c r="H369" s="87"/>
      <c r="I369" s="88"/>
      <c r="J369" s="88"/>
      <c r="K369" s="89">
        <f t="shared" si="13"/>
        <v>0</v>
      </c>
      <c r="L369" s="90" t="b">
        <f>IF((ISNUMBER(K369)),IF(AND(F369="Workdays",(SUMIFS(N:N,F:F,F369,H:H,H369,B:B,B369)&lt;=24)),IF(AND((K369*24)&gt;0,(K369*24)&lt;16),((K369*24)*MD!$I$6),IF((K369*24)&gt;=16,(MD!$J$6))),IF(AND(F369="Non_workdays",(SUMIFS(N:N,F:F,F369,H:H,H369,B:B,B369)&lt;=24)),IF(AND((K369*24)&gt;0,(K369*24)&lt;12),((K369*24)*MD!$I$5),IF((K369*24)&gt;=12,(MD!$J$5))))))</f>
        <v>0</v>
      </c>
      <c r="M369" s="62"/>
      <c r="N369" s="72">
        <f t="shared" si="12"/>
        <v>0</v>
      </c>
    </row>
    <row r="370" spans="1:14" x14ac:dyDescent="0.25">
      <c r="A370" s="62">
        <v>369</v>
      </c>
      <c r="B370" s="62"/>
      <c r="C370" s="85" t="str">
        <f>IF(ISNA(VLOOKUP($B370,CPY!$B:$G,2,FALSE))=TRUE," ",VLOOKUP($B370,CPY!$B:$G,2,FALSE))</f>
        <v> </v>
      </c>
      <c r="D370" s="50" t="str">
        <f>IF(ISNA(VLOOKUP($B370,CPY!$B:$G,3,FALSE))=TRUE," ",VLOOKUP($B370,CPY!$B:$G,3,FALSE))</f>
        <v> </v>
      </c>
      <c r="E370" s="65" t="str">
        <f>IF(ISNA(VLOOKUP($B370,CPY!$B:$G,4,FALSE))=TRUE," ",VLOOKUP($B370,CPY!$B:$G,4,FALSE))</f>
        <v> </v>
      </c>
      <c r="F370" s="62"/>
      <c r="G370" s="86"/>
      <c r="H370" s="87"/>
      <c r="I370" s="88"/>
      <c r="J370" s="88"/>
      <c r="K370" s="89">
        <f t="shared" si="13"/>
        <v>0</v>
      </c>
      <c r="L370" s="90" t="b">
        <f>IF((ISNUMBER(K370)),IF(AND(F370="Workdays",(SUMIFS(N:N,F:F,F370,H:H,H370,B:B,B370)&lt;=24)),IF(AND((K370*24)&gt;0,(K370*24)&lt;16),((K370*24)*MD!$I$6),IF((K370*24)&gt;=16,(MD!$J$6))),IF(AND(F370="Non_workdays",(SUMIFS(N:N,F:F,F370,H:H,H370,B:B,B370)&lt;=24)),IF(AND((K370*24)&gt;0,(K370*24)&lt;12),((K370*24)*MD!$I$5),IF((K370*24)&gt;=12,(MD!$J$5))))))</f>
        <v>0</v>
      </c>
      <c r="M370" s="62"/>
      <c r="N370" s="72">
        <f t="shared" si="12"/>
        <v>0</v>
      </c>
    </row>
    <row r="371" spans="1:14" x14ac:dyDescent="0.25">
      <c r="A371" s="62">
        <v>370</v>
      </c>
      <c r="B371" s="62"/>
      <c r="C371" s="85" t="str">
        <f>IF(ISNA(VLOOKUP($B371,CPY!$B:$G,2,FALSE))=TRUE," ",VLOOKUP($B371,CPY!$B:$G,2,FALSE))</f>
        <v> </v>
      </c>
      <c r="D371" s="50" t="str">
        <f>IF(ISNA(VLOOKUP($B371,CPY!$B:$G,3,FALSE))=TRUE," ",VLOOKUP($B371,CPY!$B:$G,3,FALSE))</f>
        <v> </v>
      </c>
      <c r="E371" s="65" t="str">
        <f>IF(ISNA(VLOOKUP($B371,CPY!$B:$G,4,FALSE))=TRUE," ",VLOOKUP($B371,CPY!$B:$G,4,FALSE))</f>
        <v> </v>
      </c>
      <c r="F371" s="62"/>
      <c r="G371" s="86"/>
      <c r="H371" s="87"/>
      <c r="I371" s="88"/>
      <c r="J371" s="88"/>
      <c r="K371" s="89">
        <f t="shared" si="13"/>
        <v>0</v>
      </c>
      <c r="L371" s="90" t="b">
        <f>IF((ISNUMBER(K371)),IF(AND(F371="Workdays",(SUMIFS(N:N,F:F,F371,H:H,H371,B:B,B371)&lt;=24)),IF(AND((K371*24)&gt;0,(K371*24)&lt;16),((K371*24)*MD!$I$6),IF((K371*24)&gt;=16,(MD!$J$6))),IF(AND(F371="Non_workdays",(SUMIFS(N:N,F:F,F371,H:H,H371,B:B,B371)&lt;=24)),IF(AND((K371*24)&gt;0,(K371*24)&lt;12),((K371*24)*MD!$I$5),IF((K371*24)&gt;=12,(MD!$J$5))))))</f>
        <v>0</v>
      </c>
      <c r="M371" s="62"/>
      <c r="N371" s="72">
        <f t="shared" si="12"/>
        <v>0</v>
      </c>
    </row>
    <row r="372" spans="1:14" x14ac:dyDescent="0.25">
      <c r="A372" s="62">
        <v>371</v>
      </c>
      <c r="B372" s="62"/>
      <c r="C372" s="85" t="str">
        <f>IF(ISNA(VLOOKUP($B372,CPY!$B:$G,2,FALSE))=TRUE," ",VLOOKUP($B372,CPY!$B:$G,2,FALSE))</f>
        <v> </v>
      </c>
      <c r="D372" s="50" t="str">
        <f>IF(ISNA(VLOOKUP($B372,CPY!$B:$G,3,FALSE))=TRUE," ",VLOOKUP($B372,CPY!$B:$G,3,FALSE))</f>
        <v> </v>
      </c>
      <c r="E372" s="65" t="str">
        <f>IF(ISNA(VLOOKUP($B372,CPY!$B:$G,4,FALSE))=TRUE," ",VLOOKUP($B372,CPY!$B:$G,4,FALSE))</f>
        <v> </v>
      </c>
      <c r="F372" s="62"/>
      <c r="G372" s="86"/>
      <c r="H372" s="87"/>
      <c r="I372" s="88"/>
      <c r="J372" s="88"/>
      <c r="K372" s="89">
        <f t="shared" si="13"/>
        <v>0</v>
      </c>
      <c r="L372" s="90" t="b">
        <f>IF((ISNUMBER(K372)),IF(AND(F372="Workdays",(SUMIFS(N:N,F:F,F372,H:H,H372,B:B,B372)&lt;=24)),IF(AND((K372*24)&gt;0,(K372*24)&lt;16),((K372*24)*MD!$I$6),IF((K372*24)&gt;=16,(MD!$J$6))),IF(AND(F372="Non_workdays",(SUMIFS(N:N,F:F,F372,H:H,H372,B:B,B372)&lt;=24)),IF(AND((K372*24)&gt;0,(K372*24)&lt;12),((K372*24)*MD!$I$5),IF((K372*24)&gt;=12,(MD!$J$5))))))</f>
        <v>0</v>
      </c>
      <c r="M372" s="62"/>
      <c r="N372" s="72">
        <f t="shared" si="12"/>
        <v>0</v>
      </c>
    </row>
    <row r="373" spans="1:14" x14ac:dyDescent="0.25">
      <c r="A373" s="62">
        <v>372</v>
      </c>
      <c r="B373" s="62"/>
      <c r="C373" s="85" t="str">
        <f>IF(ISNA(VLOOKUP($B373,CPY!$B:$G,2,FALSE))=TRUE," ",VLOOKUP($B373,CPY!$B:$G,2,FALSE))</f>
        <v> </v>
      </c>
      <c r="D373" s="50" t="str">
        <f>IF(ISNA(VLOOKUP($B373,CPY!$B:$G,3,FALSE))=TRUE," ",VLOOKUP($B373,CPY!$B:$G,3,FALSE))</f>
        <v> </v>
      </c>
      <c r="E373" s="65" t="str">
        <f>IF(ISNA(VLOOKUP($B373,CPY!$B:$G,4,FALSE))=TRUE," ",VLOOKUP($B373,CPY!$B:$G,4,FALSE))</f>
        <v> </v>
      </c>
      <c r="F373" s="62"/>
      <c r="G373" s="86"/>
      <c r="H373" s="87"/>
      <c r="I373" s="88"/>
      <c r="J373" s="88"/>
      <c r="K373" s="89">
        <f t="shared" si="13"/>
        <v>0</v>
      </c>
      <c r="L373" s="90" t="b">
        <f>IF((ISNUMBER(K373)),IF(AND(F373="Workdays",(SUMIFS(N:N,F:F,F373,H:H,H373,B:B,B373)&lt;=24)),IF(AND((K373*24)&gt;0,(K373*24)&lt;16),((K373*24)*MD!$I$6),IF((K373*24)&gt;=16,(MD!$J$6))),IF(AND(F373="Non_workdays",(SUMIFS(N:N,F:F,F373,H:H,H373,B:B,B373)&lt;=24)),IF(AND((K373*24)&gt;0,(K373*24)&lt;12),((K373*24)*MD!$I$5),IF((K373*24)&gt;=12,(MD!$J$5))))))</f>
        <v>0</v>
      </c>
      <c r="M373" s="62"/>
      <c r="N373" s="72">
        <f t="shared" si="12"/>
        <v>0</v>
      </c>
    </row>
    <row r="374" spans="1:14" x14ac:dyDescent="0.25">
      <c r="A374" s="62">
        <v>373</v>
      </c>
      <c r="B374" s="62"/>
      <c r="C374" s="85" t="str">
        <f>IF(ISNA(VLOOKUP($B374,CPY!$B:$G,2,FALSE))=TRUE," ",VLOOKUP($B374,CPY!$B:$G,2,FALSE))</f>
        <v> </v>
      </c>
      <c r="D374" s="50" t="str">
        <f>IF(ISNA(VLOOKUP($B374,CPY!$B:$G,3,FALSE))=TRUE," ",VLOOKUP($B374,CPY!$B:$G,3,FALSE))</f>
        <v> </v>
      </c>
      <c r="E374" s="65" t="str">
        <f>IF(ISNA(VLOOKUP($B374,CPY!$B:$G,4,FALSE))=TRUE," ",VLOOKUP($B374,CPY!$B:$G,4,FALSE))</f>
        <v> </v>
      </c>
      <c r="F374" s="62"/>
      <c r="G374" s="86"/>
      <c r="H374" s="87"/>
      <c r="I374" s="88"/>
      <c r="J374" s="88"/>
      <c r="K374" s="89">
        <f t="shared" si="13"/>
        <v>0</v>
      </c>
      <c r="L374" s="90" t="b">
        <f>IF((ISNUMBER(K374)),IF(AND(F374="Workdays",(SUMIFS(N:N,F:F,F374,H:H,H374,B:B,B374)&lt;=24)),IF(AND((K374*24)&gt;0,(K374*24)&lt;16),((K374*24)*MD!$I$6),IF((K374*24)&gt;=16,(MD!$J$6))),IF(AND(F374="Non_workdays",(SUMIFS(N:N,F:F,F374,H:H,H374,B:B,B374)&lt;=24)),IF(AND((K374*24)&gt;0,(K374*24)&lt;12),((K374*24)*MD!$I$5),IF((K374*24)&gt;=12,(MD!$J$5))))))</f>
        <v>0</v>
      </c>
      <c r="M374" s="62"/>
      <c r="N374" s="72">
        <f t="shared" si="12"/>
        <v>0</v>
      </c>
    </row>
    <row r="375" spans="1:14" x14ac:dyDescent="0.25">
      <c r="A375" s="62">
        <v>374</v>
      </c>
      <c r="B375" s="62"/>
      <c r="C375" s="85" t="str">
        <f>IF(ISNA(VLOOKUP($B375,CPY!$B:$G,2,FALSE))=TRUE," ",VLOOKUP($B375,CPY!$B:$G,2,FALSE))</f>
        <v> </v>
      </c>
      <c r="D375" s="50" t="str">
        <f>IF(ISNA(VLOOKUP($B375,CPY!$B:$G,3,FALSE))=TRUE," ",VLOOKUP($B375,CPY!$B:$G,3,FALSE))</f>
        <v> </v>
      </c>
      <c r="E375" s="65" t="str">
        <f>IF(ISNA(VLOOKUP($B375,CPY!$B:$G,4,FALSE))=TRUE," ",VLOOKUP($B375,CPY!$B:$G,4,FALSE))</f>
        <v> </v>
      </c>
      <c r="F375" s="62"/>
      <c r="G375" s="86"/>
      <c r="H375" s="87"/>
      <c r="I375" s="88"/>
      <c r="J375" s="88"/>
      <c r="K375" s="89">
        <f t="shared" si="13"/>
        <v>0</v>
      </c>
      <c r="L375" s="90" t="b">
        <f>IF((ISNUMBER(K375)),IF(AND(F375="Workdays",(SUMIFS(N:N,F:F,F375,H:H,H375,B:B,B375)&lt;=24)),IF(AND((K375*24)&gt;0,(K375*24)&lt;16),((K375*24)*MD!$I$6),IF((K375*24)&gt;=16,(MD!$J$6))),IF(AND(F375="Non_workdays",(SUMIFS(N:N,F:F,F375,H:H,H375,B:B,B375)&lt;=24)),IF(AND((K375*24)&gt;0,(K375*24)&lt;12),((K375*24)*MD!$I$5),IF((K375*24)&gt;=12,(MD!$J$5))))))</f>
        <v>0</v>
      </c>
      <c r="M375" s="62"/>
      <c r="N375" s="72">
        <f t="shared" si="12"/>
        <v>0</v>
      </c>
    </row>
    <row r="376" spans="1:14" x14ac:dyDescent="0.25">
      <c r="A376" s="62">
        <v>375</v>
      </c>
      <c r="B376" s="62"/>
      <c r="C376" s="85" t="str">
        <f>IF(ISNA(VLOOKUP($B376,CPY!$B:$G,2,FALSE))=TRUE," ",VLOOKUP($B376,CPY!$B:$G,2,FALSE))</f>
        <v> </v>
      </c>
      <c r="D376" s="50" t="str">
        <f>IF(ISNA(VLOOKUP($B376,CPY!$B:$G,3,FALSE))=TRUE," ",VLOOKUP($B376,CPY!$B:$G,3,FALSE))</f>
        <v> </v>
      </c>
      <c r="E376" s="65" t="str">
        <f>IF(ISNA(VLOOKUP($B376,CPY!$B:$G,4,FALSE))=TRUE," ",VLOOKUP($B376,CPY!$B:$G,4,FALSE))</f>
        <v> </v>
      </c>
      <c r="F376" s="62"/>
      <c r="G376" s="86"/>
      <c r="H376" s="87"/>
      <c r="I376" s="88"/>
      <c r="J376" s="88"/>
      <c r="K376" s="89">
        <f t="shared" si="13"/>
        <v>0</v>
      </c>
      <c r="L376" s="90" t="b">
        <f>IF((ISNUMBER(K376)),IF(AND(F376="Workdays",(SUMIFS(N:N,F:F,F376,H:H,H376,B:B,B376)&lt;=24)),IF(AND((K376*24)&gt;0,(K376*24)&lt;16),((K376*24)*MD!$I$6),IF((K376*24)&gt;=16,(MD!$J$6))),IF(AND(F376="Non_workdays",(SUMIFS(N:N,F:F,F376,H:H,H376,B:B,B376)&lt;=24)),IF(AND((K376*24)&gt;0,(K376*24)&lt;12),((K376*24)*MD!$I$5),IF((K376*24)&gt;=12,(MD!$J$5))))))</f>
        <v>0</v>
      </c>
      <c r="M376" s="62"/>
      <c r="N376" s="72">
        <f t="shared" si="12"/>
        <v>0</v>
      </c>
    </row>
    <row r="377" spans="1:14" x14ac:dyDescent="0.25">
      <c r="A377" s="62">
        <v>376</v>
      </c>
      <c r="B377" s="62"/>
      <c r="C377" s="85" t="str">
        <f>IF(ISNA(VLOOKUP($B377,CPY!$B:$G,2,FALSE))=TRUE," ",VLOOKUP($B377,CPY!$B:$G,2,FALSE))</f>
        <v> </v>
      </c>
      <c r="D377" s="50" t="str">
        <f>IF(ISNA(VLOOKUP($B377,CPY!$B:$G,3,FALSE))=TRUE," ",VLOOKUP($B377,CPY!$B:$G,3,FALSE))</f>
        <v> </v>
      </c>
      <c r="E377" s="65" t="str">
        <f>IF(ISNA(VLOOKUP($B377,CPY!$B:$G,4,FALSE))=TRUE," ",VLOOKUP($B377,CPY!$B:$G,4,FALSE))</f>
        <v> </v>
      </c>
      <c r="F377" s="62"/>
      <c r="G377" s="86"/>
      <c r="H377" s="87"/>
      <c r="I377" s="88"/>
      <c r="J377" s="88"/>
      <c r="K377" s="89">
        <f t="shared" si="13"/>
        <v>0</v>
      </c>
      <c r="L377" s="90" t="b">
        <f>IF((ISNUMBER(K377)),IF(AND(F377="Workdays",(SUMIFS(N:N,F:F,F377,H:H,H377,B:B,B377)&lt;=24)),IF(AND((K377*24)&gt;0,(K377*24)&lt;16),((K377*24)*MD!$I$6),IF((K377*24)&gt;=16,(MD!$J$6))),IF(AND(F377="Non_workdays",(SUMIFS(N:N,F:F,F377,H:H,H377,B:B,B377)&lt;=24)),IF(AND((K377*24)&gt;0,(K377*24)&lt;12),((K377*24)*MD!$I$5),IF((K377*24)&gt;=12,(MD!$J$5))))))</f>
        <v>0</v>
      </c>
      <c r="M377" s="62"/>
      <c r="N377" s="72">
        <f t="shared" si="12"/>
        <v>0</v>
      </c>
    </row>
    <row r="378" spans="1:14" x14ac:dyDescent="0.25">
      <c r="A378" s="62">
        <v>377</v>
      </c>
      <c r="B378" s="62"/>
      <c r="C378" s="85" t="str">
        <f>IF(ISNA(VLOOKUP($B378,CPY!$B:$G,2,FALSE))=TRUE," ",VLOOKUP($B378,CPY!$B:$G,2,FALSE))</f>
        <v> </v>
      </c>
      <c r="D378" s="50" t="str">
        <f>IF(ISNA(VLOOKUP($B378,CPY!$B:$G,3,FALSE))=TRUE," ",VLOOKUP($B378,CPY!$B:$G,3,FALSE))</f>
        <v> </v>
      </c>
      <c r="E378" s="65" t="str">
        <f>IF(ISNA(VLOOKUP($B378,CPY!$B:$G,4,FALSE))=TRUE," ",VLOOKUP($B378,CPY!$B:$G,4,FALSE))</f>
        <v> </v>
      </c>
      <c r="F378" s="62"/>
      <c r="G378" s="86"/>
      <c r="H378" s="87"/>
      <c r="I378" s="88"/>
      <c r="J378" s="88"/>
      <c r="K378" s="89">
        <f t="shared" si="13"/>
        <v>0</v>
      </c>
      <c r="L378" s="90" t="b">
        <f>IF((ISNUMBER(K378)),IF(AND(F378="Workdays",(SUMIFS(N:N,F:F,F378,H:H,H378,B:B,B378)&lt;=24)),IF(AND((K378*24)&gt;0,(K378*24)&lt;16),((K378*24)*MD!$I$6),IF((K378*24)&gt;=16,(MD!$J$6))),IF(AND(F378="Non_workdays",(SUMIFS(N:N,F:F,F378,H:H,H378,B:B,B378)&lt;=24)),IF(AND((K378*24)&gt;0,(K378*24)&lt;12),((K378*24)*MD!$I$5),IF((K378*24)&gt;=12,(MD!$J$5))))))</f>
        <v>0</v>
      </c>
      <c r="M378" s="62"/>
      <c r="N378" s="72">
        <f t="shared" si="12"/>
        <v>0</v>
      </c>
    </row>
    <row r="379" spans="1:14" x14ac:dyDescent="0.25">
      <c r="A379" s="62">
        <v>378</v>
      </c>
      <c r="B379" s="62"/>
      <c r="C379" s="85" t="str">
        <f>IF(ISNA(VLOOKUP($B379,CPY!$B:$G,2,FALSE))=TRUE," ",VLOOKUP($B379,CPY!$B:$G,2,FALSE))</f>
        <v> </v>
      </c>
      <c r="D379" s="50" t="str">
        <f>IF(ISNA(VLOOKUP($B379,CPY!$B:$G,3,FALSE))=TRUE," ",VLOOKUP($B379,CPY!$B:$G,3,FALSE))</f>
        <v> </v>
      </c>
      <c r="E379" s="65" t="str">
        <f>IF(ISNA(VLOOKUP($B379,CPY!$B:$G,4,FALSE))=TRUE," ",VLOOKUP($B379,CPY!$B:$G,4,FALSE))</f>
        <v> </v>
      </c>
      <c r="F379" s="62"/>
      <c r="G379" s="86"/>
      <c r="H379" s="87"/>
      <c r="I379" s="88"/>
      <c r="J379" s="88"/>
      <c r="K379" s="89">
        <f t="shared" si="13"/>
        <v>0</v>
      </c>
      <c r="L379" s="90" t="b">
        <f>IF((ISNUMBER(K379)),IF(AND(F379="Workdays",(SUMIFS(N:N,F:F,F379,H:H,H379,B:B,B379)&lt;=24)),IF(AND((K379*24)&gt;0,(K379*24)&lt;16),((K379*24)*MD!$I$6),IF((K379*24)&gt;=16,(MD!$J$6))),IF(AND(F379="Non_workdays",(SUMIFS(N:N,F:F,F379,H:H,H379,B:B,B379)&lt;=24)),IF(AND((K379*24)&gt;0,(K379*24)&lt;12),((K379*24)*MD!$I$5),IF((K379*24)&gt;=12,(MD!$J$5))))))</f>
        <v>0</v>
      </c>
      <c r="M379" s="62"/>
      <c r="N379" s="72">
        <f t="shared" si="12"/>
        <v>0</v>
      </c>
    </row>
    <row r="380" spans="1:14" x14ac:dyDescent="0.25">
      <c r="A380" s="62">
        <v>379</v>
      </c>
      <c r="B380" s="62"/>
      <c r="C380" s="85" t="str">
        <f>IF(ISNA(VLOOKUP($B380,CPY!$B:$G,2,FALSE))=TRUE," ",VLOOKUP($B380,CPY!$B:$G,2,FALSE))</f>
        <v> </v>
      </c>
      <c r="D380" s="50" t="str">
        <f>IF(ISNA(VLOOKUP($B380,CPY!$B:$G,3,FALSE))=TRUE," ",VLOOKUP($B380,CPY!$B:$G,3,FALSE))</f>
        <v> </v>
      </c>
      <c r="E380" s="65" t="str">
        <f>IF(ISNA(VLOOKUP($B380,CPY!$B:$G,4,FALSE))=TRUE," ",VLOOKUP($B380,CPY!$B:$G,4,FALSE))</f>
        <v> </v>
      </c>
      <c r="F380" s="62"/>
      <c r="G380" s="86"/>
      <c r="H380" s="87"/>
      <c r="I380" s="88"/>
      <c r="J380" s="88"/>
      <c r="K380" s="89">
        <f t="shared" si="13"/>
        <v>0</v>
      </c>
      <c r="L380" s="90" t="b">
        <f>IF((ISNUMBER(K380)),IF(AND(F380="Workdays",(SUMIFS(N:N,F:F,F380,H:H,H380,B:B,B380)&lt;=24)),IF(AND((K380*24)&gt;0,(K380*24)&lt;16),((K380*24)*MD!$I$6),IF((K380*24)&gt;=16,(MD!$J$6))),IF(AND(F380="Non_workdays",(SUMIFS(N:N,F:F,F380,H:H,H380,B:B,B380)&lt;=24)),IF(AND((K380*24)&gt;0,(K380*24)&lt;12),((K380*24)*MD!$I$5),IF((K380*24)&gt;=12,(MD!$J$5))))))</f>
        <v>0</v>
      </c>
      <c r="M380" s="62"/>
      <c r="N380" s="72">
        <f t="shared" si="12"/>
        <v>0</v>
      </c>
    </row>
    <row r="381" spans="1:14" x14ac:dyDescent="0.25">
      <c r="A381" s="62">
        <v>380</v>
      </c>
      <c r="B381" s="62"/>
      <c r="C381" s="85" t="str">
        <f>IF(ISNA(VLOOKUP($B381,CPY!$B:$G,2,FALSE))=TRUE," ",VLOOKUP($B381,CPY!$B:$G,2,FALSE))</f>
        <v> </v>
      </c>
      <c r="D381" s="50" t="str">
        <f>IF(ISNA(VLOOKUP($B381,CPY!$B:$G,3,FALSE))=TRUE," ",VLOOKUP($B381,CPY!$B:$G,3,FALSE))</f>
        <v> </v>
      </c>
      <c r="E381" s="65" t="str">
        <f>IF(ISNA(VLOOKUP($B381,CPY!$B:$G,4,FALSE))=TRUE," ",VLOOKUP($B381,CPY!$B:$G,4,FALSE))</f>
        <v> </v>
      </c>
      <c r="F381" s="62"/>
      <c r="G381" s="86"/>
      <c r="H381" s="87"/>
      <c r="I381" s="88"/>
      <c r="J381" s="88"/>
      <c r="K381" s="89">
        <f t="shared" si="13"/>
        <v>0</v>
      </c>
      <c r="L381" s="90" t="b">
        <f>IF((ISNUMBER(K381)),IF(AND(F381="Workdays",(SUMIFS(N:N,F:F,F381,H:H,H381,B:B,B381)&lt;=24)),IF(AND((K381*24)&gt;0,(K381*24)&lt;16),((K381*24)*MD!$I$6),IF((K381*24)&gt;=16,(MD!$J$6))),IF(AND(F381="Non_workdays",(SUMIFS(N:N,F:F,F381,H:H,H381,B:B,B381)&lt;=24)),IF(AND((K381*24)&gt;0,(K381*24)&lt;12),((K381*24)*MD!$I$5),IF((K381*24)&gt;=12,(MD!$J$5))))))</f>
        <v>0</v>
      </c>
      <c r="M381" s="62"/>
      <c r="N381" s="72">
        <f t="shared" si="12"/>
        <v>0</v>
      </c>
    </row>
    <row r="382" spans="1:14" x14ac:dyDescent="0.25">
      <c r="A382" s="62">
        <v>381</v>
      </c>
      <c r="B382" s="62"/>
      <c r="C382" s="85" t="str">
        <f>IF(ISNA(VLOOKUP($B382,CPY!$B:$G,2,FALSE))=TRUE," ",VLOOKUP($B382,CPY!$B:$G,2,FALSE))</f>
        <v> </v>
      </c>
      <c r="D382" s="50" t="str">
        <f>IF(ISNA(VLOOKUP($B382,CPY!$B:$G,3,FALSE))=TRUE," ",VLOOKUP($B382,CPY!$B:$G,3,FALSE))</f>
        <v> </v>
      </c>
      <c r="E382" s="65" t="str">
        <f>IF(ISNA(VLOOKUP($B382,CPY!$B:$G,4,FALSE))=TRUE," ",VLOOKUP($B382,CPY!$B:$G,4,FALSE))</f>
        <v> </v>
      </c>
      <c r="F382" s="62"/>
      <c r="G382" s="86"/>
      <c r="H382" s="87"/>
      <c r="I382" s="88"/>
      <c r="J382" s="88"/>
      <c r="K382" s="89">
        <f t="shared" si="13"/>
        <v>0</v>
      </c>
      <c r="L382" s="90" t="b">
        <f>IF((ISNUMBER(K382)),IF(AND(F382="Workdays",(SUMIFS(N:N,F:F,F382,H:H,H382,B:B,B382)&lt;=24)),IF(AND((K382*24)&gt;0,(K382*24)&lt;16),((K382*24)*MD!$I$6),IF((K382*24)&gt;=16,(MD!$J$6))),IF(AND(F382="Non_workdays",(SUMIFS(N:N,F:F,F382,H:H,H382,B:B,B382)&lt;=24)),IF(AND((K382*24)&gt;0,(K382*24)&lt;12),((K382*24)*MD!$I$5),IF((K382*24)&gt;=12,(MD!$J$5))))))</f>
        <v>0</v>
      </c>
      <c r="M382" s="62"/>
      <c r="N382" s="72">
        <f t="shared" si="12"/>
        <v>0</v>
      </c>
    </row>
    <row r="383" spans="1:14" x14ac:dyDescent="0.25">
      <c r="A383" s="62">
        <v>382</v>
      </c>
      <c r="B383" s="62"/>
      <c r="C383" s="85" t="str">
        <f>IF(ISNA(VLOOKUP($B383,CPY!$B:$G,2,FALSE))=TRUE," ",VLOOKUP($B383,CPY!$B:$G,2,FALSE))</f>
        <v> </v>
      </c>
      <c r="D383" s="50" t="str">
        <f>IF(ISNA(VLOOKUP($B383,CPY!$B:$G,3,FALSE))=TRUE," ",VLOOKUP($B383,CPY!$B:$G,3,FALSE))</f>
        <v> </v>
      </c>
      <c r="E383" s="65" t="str">
        <f>IF(ISNA(VLOOKUP($B383,CPY!$B:$G,4,FALSE))=TRUE," ",VLOOKUP($B383,CPY!$B:$G,4,FALSE))</f>
        <v> </v>
      </c>
      <c r="F383" s="62"/>
      <c r="G383" s="86"/>
      <c r="H383" s="87"/>
      <c r="I383" s="88"/>
      <c r="J383" s="88"/>
      <c r="K383" s="89">
        <f t="shared" si="13"/>
        <v>0</v>
      </c>
      <c r="L383" s="90" t="b">
        <f>IF((ISNUMBER(K383)),IF(AND(F383="Workdays",(SUMIFS(N:N,F:F,F383,H:H,H383,B:B,B383)&lt;=24)),IF(AND((K383*24)&gt;0,(K383*24)&lt;16),((K383*24)*MD!$I$6),IF((K383*24)&gt;=16,(MD!$J$6))),IF(AND(F383="Non_workdays",(SUMIFS(N:N,F:F,F383,H:H,H383,B:B,B383)&lt;=24)),IF(AND((K383*24)&gt;0,(K383*24)&lt;12),((K383*24)*MD!$I$5),IF((K383*24)&gt;=12,(MD!$J$5))))))</f>
        <v>0</v>
      </c>
      <c r="M383" s="62"/>
      <c r="N383" s="72">
        <f t="shared" si="12"/>
        <v>0</v>
      </c>
    </row>
    <row r="384" spans="1:14" x14ac:dyDescent="0.25">
      <c r="A384" s="62">
        <v>383</v>
      </c>
      <c r="B384" s="62"/>
      <c r="C384" s="85" t="str">
        <f>IF(ISNA(VLOOKUP($B384,CPY!$B:$G,2,FALSE))=TRUE," ",VLOOKUP($B384,CPY!$B:$G,2,FALSE))</f>
        <v> </v>
      </c>
      <c r="D384" s="50" t="str">
        <f>IF(ISNA(VLOOKUP($B384,CPY!$B:$G,3,FALSE))=TRUE," ",VLOOKUP($B384,CPY!$B:$G,3,FALSE))</f>
        <v> </v>
      </c>
      <c r="E384" s="65" t="str">
        <f>IF(ISNA(VLOOKUP($B384,CPY!$B:$G,4,FALSE))=TRUE," ",VLOOKUP($B384,CPY!$B:$G,4,FALSE))</f>
        <v> </v>
      </c>
      <c r="F384" s="62"/>
      <c r="G384" s="86"/>
      <c r="H384" s="87"/>
      <c r="I384" s="88"/>
      <c r="J384" s="88"/>
      <c r="K384" s="89">
        <f t="shared" si="13"/>
        <v>0</v>
      </c>
      <c r="L384" s="90" t="b">
        <f>IF((ISNUMBER(K384)),IF(AND(F384="Workdays",(SUMIFS(N:N,F:F,F384,H:H,H384,B:B,B384)&lt;=24)),IF(AND((K384*24)&gt;0,(K384*24)&lt;16),((K384*24)*MD!$I$6),IF((K384*24)&gt;=16,(MD!$J$6))),IF(AND(F384="Non_workdays",(SUMIFS(N:N,F:F,F384,H:H,H384,B:B,B384)&lt;=24)),IF(AND((K384*24)&gt;0,(K384*24)&lt;12),((K384*24)*MD!$I$5),IF((K384*24)&gt;=12,(MD!$J$5))))))</f>
        <v>0</v>
      </c>
      <c r="M384" s="62"/>
      <c r="N384" s="72">
        <f t="shared" si="12"/>
        <v>0</v>
      </c>
    </row>
    <row r="385" spans="1:14" x14ac:dyDescent="0.25">
      <c r="A385" s="62">
        <v>384</v>
      </c>
      <c r="B385" s="62"/>
      <c r="C385" s="85" t="str">
        <f>IF(ISNA(VLOOKUP($B385,CPY!$B:$G,2,FALSE))=TRUE," ",VLOOKUP($B385,CPY!$B:$G,2,FALSE))</f>
        <v> </v>
      </c>
      <c r="D385" s="50" t="str">
        <f>IF(ISNA(VLOOKUP($B385,CPY!$B:$G,3,FALSE))=TRUE," ",VLOOKUP($B385,CPY!$B:$G,3,FALSE))</f>
        <v> </v>
      </c>
      <c r="E385" s="65" t="str">
        <f>IF(ISNA(VLOOKUP($B385,CPY!$B:$G,4,FALSE))=TRUE," ",VLOOKUP($B385,CPY!$B:$G,4,FALSE))</f>
        <v> </v>
      </c>
      <c r="F385" s="62"/>
      <c r="G385" s="86"/>
      <c r="H385" s="87"/>
      <c r="I385" s="88"/>
      <c r="J385" s="88"/>
      <c r="K385" s="89">
        <f t="shared" si="13"/>
        <v>0</v>
      </c>
      <c r="L385" s="90" t="b">
        <f>IF((ISNUMBER(K385)),IF(AND(F385="Workdays",(SUMIFS(N:N,F:F,F385,H:H,H385,B:B,B385)&lt;=24)),IF(AND((K385*24)&gt;0,(K385*24)&lt;16),((K385*24)*MD!$I$6),IF((K385*24)&gt;=16,(MD!$J$6))),IF(AND(F385="Non_workdays",(SUMIFS(N:N,F:F,F385,H:H,H385,B:B,B385)&lt;=24)),IF(AND((K385*24)&gt;0,(K385*24)&lt;12),((K385*24)*MD!$I$5),IF((K385*24)&gt;=12,(MD!$J$5))))))</f>
        <v>0</v>
      </c>
      <c r="M385" s="62"/>
      <c r="N385" s="72">
        <f t="shared" si="12"/>
        <v>0</v>
      </c>
    </row>
    <row r="386" spans="1:14" x14ac:dyDescent="0.25">
      <c r="A386" s="62">
        <v>385</v>
      </c>
      <c r="B386" s="62"/>
      <c r="C386" s="85" t="str">
        <f>IF(ISNA(VLOOKUP($B386,CPY!$B:$G,2,FALSE))=TRUE," ",VLOOKUP($B386,CPY!$B:$G,2,FALSE))</f>
        <v> </v>
      </c>
      <c r="D386" s="50" t="str">
        <f>IF(ISNA(VLOOKUP($B386,CPY!$B:$G,3,FALSE))=TRUE," ",VLOOKUP($B386,CPY!$B:$G,3,FALSE))</f>
        <v> </v>
      </c>
      <c r="E386" s="65" t="str">
        <f>IF(ISNA(VLOOKUP($B386,CPY!$B:$G,4,FALSE))=TRUE," ",VLOOKUP($B386,CPY!$B:$G,4,FALSE))</f>
        <v> </v>
      </c>
      <c r="F386" s="62"/>
      <c r="G386" s="86"/>
      <c r="H386" s="87"/>
      <c r="I386" s="88"/>
      <c r="J386" s="88"/>
      <c r="K386" s="89">
        <f t="shared" si="13"/>
        <v>0</v>
      </c>
      <c r="L386" s="90" t="b">
        <f>IF((ISNUMBER(K386)),IF(AND(F386="Workdays",(SUMIFS(N:N,F:F,F386,H:H,H386,B:B,B386)&lt;=24)),IF(AND((K386*24)&gt;0,(K386*24)&lt;16),((K386*24)*MD!$I$6),IF((K386*24)&gt;=16,(MD!$J$6))),IF(AND(F386="Non_workdays",(SUMIFS(N:N,F:F,F386,H:H,H386,B:B,B386)&lt;=24)),IF(AND((K386*24)&gt;0,(K386*24)&lt;12),((K386*24)*MD!$I$5),IF((K386*24)&gt;=12,(MD!$J$5))))))</f>
        <v>0</v>
      </c>
      <c r="M386" s="62"/>
      <c r="N386" s="72">
        <f t="shared" si="12"/>
        <v>0</v>
      </c>
    </row>
    <row r="387" spans="1:14" x14ac:dyDescent="0.25">
      <c r="A387" s="62">
        <v>386</v>
      </c>
      <c r="B387" s="62"/>
      <c r="C387" s="85" t="str">
        <f>IF(ISNA(VLOOKUP($B387,CPY!$B:$G,2,FALSE))=TRUE," ",VLOOKUP($B387,CPY!$B:$G,2,FALSE))</f>
        <v> </v>
      </c>
      <c r="D387" s="50" t="str">
        <f>IF(ISNA(VLOOKUP($B387,CPY!$B:$G,3,FALSE))=TRUE," ",VLOOKUP($B387,CPY!$B:$G,3,FALSE))</f>
        <v> </v>
      </c>
      <c r="E387" s="65" t="str">
        <f>IF(ISNA(VLOOKUP($B387,CPY!$B:$G,4,FALSE))=TRUE," ",VLOOKUP($B387,CPY!$B:$G,4,FALSE))</f>
        <v> </v>
      </c>
      <c r="F387" s="62"/>
      <c r="G387" s="86"/>
      <c r="H387" s="87"/>
      <c r="I387" s="88"/>
      <c r="J387" s="88"/>
      <c r="K387" s="89">
        <f t="shared" si="13"/>
        <v>0</v>
      </c>
      <c r="L387" s="90" t="b">
        <f>IF((ISNUMBER(K387)),IF(AND(F387="Workdays",(SUMIFS(N:N,F:F,F387,H:H,H387,B:B,B387)&lt;=24)),IF(AND((K387*24)&gt;0,(K387*24)&lt;16),((K387*24)*MD!$I$6),IF((K387*24)&gt;=16,(MD!$J$6))),IF(AND(F387="Non_workdays",(SUMIFS(N:N,F:F,F387,H:H,H387,B:B,B387)&lt;=24)),IF(AND((K387*24)&gt;0,(K387*24)&lt;12),((K387*24)*MD!$I$5),IF((K387*24)&gt;=12,(MD!$J$5))))))</f>
        <v>0</v>
      </c>
      <c r="M387" s="62"/>
      <c r="N387" s="72">
        <f t="shared" ref="N387:N450" si="14">K387*24</f>
        <v>0</v>
      </c>
    </row>
    <row r="388" spans="1:14" x14ac:dyDescent="0.25">
      <c r="A388" s="62">
        <v>387</v>
      </c>
      <c r="B388" s="62"/>
      <c r="C388" s="85" t="str">
        <f>IF(ISNA(VLOOKUP($B388,CPY!$B:$G,2,FALSE))=TRUE," ",VLOOKUP($B388,CPY!$B:$G,2,FALSE))</f>
        <v> </v>
      </c>
      <c r="D388" s="50" t="str">
        <f>IF(ISNA(VLOOKUP($B388,CPY!$B:$G,3,FALSE))=TRUE," ",VLOOKUP($B388,CPY!$B:$G,3,FALSE))</f>
        <v> </v>
      </c>
      <c r="E388" s="65" t="str">
        <f>IF(ISNA(VLOOKUP($B388,CPY!$B:$G,4,FALSE))=TRUE," ",VLOOKUP($B388,CPY!$B:$G,4,FALSE))</f>
        <v> </v>
      </c>
      <c r="F388" s="62"/>
      <c r="G388" s="86"/>
      <c r="H388" s="87"/>
      <c r="I388" s="88"/>
      <c r="J388" s="88"/>
      <c r="K388" s="89">
        <f t="shared" ref="K388:K451" si="15">IF(NOT(ISBLANK($J388)),(IF(J388&lt;I388,J388+1,J388)-I388))</f>
        <v>0</v>
      </c>
      <c r="L388" s="90" t="b">
        <f>IF((ISNUMBER(K388)),IF(AND(F388="Workdays",(SUMIFS(N:N,F:F,F388,H:H,H388,B:B,B388)&lt;=24)),IF(AND((K388*24)&gt;0,(K388*24)&lt;16),((K388*24)*MD!$I$6),IF((K388*24)&gt;=16,(MD!$J$6))),IF(AND(F388="Non_workdays",(SUMIFS(N:N,F:F,F388,H:H,H388,B:B,B388)&lt;=24)),IF(AND((K388*24)&gt;0,(K388*24)&lt;12),((K388*24)*MD!$I$5),IF((K388*24)&gt;=12,(MD!$J$5))))))</f>
        <v>0</v>
      </c>
      <c r="M388" s="62"/>
      <c r="N388" s="72">
        <f t="shared" si="14"/>
        <v>0</v>
      </c>
    </row>
    <row r="389" spans="1:14" x14ac:dyDescent="0.25">
      <c r="A389" s="62">
        <v>388</v>
      </c>
      <c r="B389" s="62"/>
      <c r="C389" s="85" t="str">
        <f>IF(ISNA(VLOOKUP($B389,CPY!$B:$G,2,FALSE))=TRUE," ",VLOOKUP($B389,CPY!$B:$G,2,FALSE))</f>
        <v> </v>
      </c>
      <c r="D389" s="50" t="str">
        <f>IF(ISNA(VLOOKUP($B389,CPY!$B:$G,3,FALSE))=TRUE," ",VLOOKUP($B389,CPY!$B:$G,3,FALSE))</f>
        <v> </v>
      </c>
      <c r="E389" s="65" t="str">
        <f>IF(ISNA(VLOOKUP($B389,CPY!$B:$G,4,FALSE))=TRUE," ",VLOOKUP($B389,CPY!$B:$G,4,FALSE))</f>
        <v> </v>
      </c>
      <c r="F389" s="62"/>
      <c r="G389" s="86"/>
      <c r="H389" s="87"/>
      <c r="I389" s="88"/>
      <c r="J389" s="88"/>
      <c r="K389" s="89">
        <f t="shared" si="15"/>
        <v>0</v>
      </c>
      <c r="L389" s="90" t="b">
        <f>IF((ISNUMBER(K389)),IF(AND(F389="Workdays",(SUMIFS(N:N,F:F,F389,H:H,H389,B:B,B389)&lt;=24)),IF(AND((K389*24)&gt;0,(K389*24)&lt;16),((K389*24)*MD!$I$6),IF((K389*24)&gt;=16,(MD!$J$6))),IF(AND(F389="Non_workdays",(SUMIFS(N:N,F:F,F389,H:H,H389,B:B,B389)&lt;=24)),IF(AND((K389*24)&gt;0,(K389*24)&lt;12),((K389*24)*MD!$I$5),IF((K389*24)&gt;=12,(MD!$J$5))))))</f>
        <v>0</v>
      </c>
      <c r="M389" s="62"/>
      <c r="N389" s="72">
        <f t="shared" si="14"/>
        <v>0</v>
      </c>
    </row>
    <row r="390" spans="1:14" x14ac:dyDescent="0.25">
      <c r="A390" s="62">
        <v>389</v>
      </c>
      <c r="B390" s="62"/>
      <c r="C390" s="85" t="str">
        <f>IF(ISNA(VLOOKUP($B390,CPY!$B:$G,2,FALSE))=TRUE," ",VLOOKUP($B390,CPY!$B:$G,2,FALSE))</f>
        <v> </v>
      </c>
      <c r="D390" s="50" t="str">
        <f>IF(ISNA(VLOOKUP($B390,CPY!$B:$G,3,FALSE))=TRUE," ",VLOOKUP($B390,CPY!$B:$G,3,FALSE))</f>
        <v> </v>
      </c>
      <c r="E390" s="65" t="str">
        <f>IF(ISNA(VLOOKUP($B390,CPY!$B:$G,4,FALSE))=TRUE," ",VLOOKUP($B390,CPY!$B:$G,4,FALSE))</f>
        <v> </v>
      </c>
      <c r="F390" s="62"/>
      <c r="G390" s="86"/>
      <c r="H390" s="87"/>
      <c r="I390" s="88"/>
      <c r="J390" s="88"/>
      <c r="K390" s="89">
        <f t="shared" si="15"/>
        <v>0</v>
      </c>
      <c r="L390" s="90" t="b">
        <f>IF((ISNUMBER(K390)),IF(AND(F390="Workdays",(SUMIFS(N:N,F:F,F390,H:H,H390,B:B,B390)&lt;=24)),IF(AND((K390*24)&gt;0,(K390*24)&lt;16),((K390*24)*MD!$I$6),IF((K390*24)&gt;=16,(MD!$J$6))),IF(AND(F390="Non_workdays",(SUMIFS(N:N,F:F,F390,H:H,H390,B:B,B390)&lt;=24)),IF(AND((K390*24)&gt;0,(K390*24)&lt;12),((K390*24)*MD!$I$5),IF((K390*24)&gt;=12,(MD!$J$5))))))</f>
        <v>0</v>
      </c>
      <c r="M390" s="62"/>
      <c r="N390" s="72">
        <f t="shared" si="14"/>
        <v>0</v>
      </c>
    </row>
    <row r="391" spans="1:14" x14ac:dyDescent="0.25">
      <c r="A391" s="62">
        <v>390</v>
      </c>
      <c r="B391" s="62"/>
      <c r="C391" s="85" t="str">
        <f>IF(ISNA(VLOOKUP($B391,CPY!$B:$G,2,FALSE))=TRUE," ",VLOOKUP($B391,CPY!$B:$G,2,FALSE))</f>
        <v> </v>
      </c>
      <c r="D391" s="50" t="str">
        <f>IF(ISNA(VLOOKUP($B391,CPY!$B:$G,3,FALSE))=TRUE," ",VLOOKUP($B391,CPY!$B:$G,3,FALSE))</f>
        <v> </v>
      </c>
      <c r="E391" s="65" t="str">
        <f>IF(ISNA(VLOOKUP($B391,CPY!$B:$G,4,FALSE))=TRUE," ",VLOOKUP($B391,CPY!$B:$G,4,FALSE))</f>
        <v> </v>
      </c>
      <c r="F391" s="62"/>
      <c r="G391" s="86"/>
      <c r="H391" s="87"/>
      <c r="I391" s="88"/>
      <c r="J391" s="88"/>
      <c r="K391" s="89">
        <f t="shared" si="15"/>
        <v>0</v>
      </c>
      <c r="L391" s="90" t="b">
        <f>IF((ISNUMBER(K391)),IF(AND(F391="Workdays",(SUMIFS(N:N,F:F,F391,H:H,H391,B:B,B391)&lt;=24)),IF(AND((K391*24)&gt;0,(K391*24)&lt;16),((K391*24)*MD!$I$6),IF((K391*24)&gt;=16,(MD!$J$6))),IF(AND(F391="Non_workdays",(SUMIFS(N:N,F:F,F391,H:H,H391,B:B,B391)&lt;=24)),IF(AND((K391*24)&gt;0,(K391*24)&lt;12),((K391*24)*MD!$I$5),IF((K391*24)&gt;=12,(MD!$J$5))))))</f>
        <v>0</v>
      </c>
      <c r="M391" s="62"/>
      <c r="N391" s="72">
        <f t="shared" si="14"/>
        <v>0</v>
      </c>
    </row>
    <row r="392" spans="1:14" x14ac:dyDescent="0.25">
      <c r="A392" s="62">
        <v>391</v>
      </c>
      <c r="B392" s="62"/>
      <c r="C392" s="85" t="str">
        <f>IF(ISNA(VLOOKUP($B392,CPY!$B:$G,2,FALSE))=TRUE," ",VLOOKUP($B392,CPY!$B:$G,2,FALSE))</f>
        <v> </v>
      </c>
      <c r="D392" s="50" t="str">
        <f>IF(ISNA(VLOOKUP($B392,CPY!$B:$G,3,FALSE))=TRUE," ",VLOOKUP($B392,CPY!$B:$G,3,FALSE))</f>
        <v> </v>
      </c>
      <c r="E392" s="65" t="str">
        <f>IF(ISNA(VLOOKUP($B392,CPY!$B:$G,4,FALSE))=TRUE," ",VLOOKUP($B392,CPY!$B:$G,4,FALSE))</f>
        <v> </v>
      </c>
      <c r="F392" s="62"/>
      <c r="G392" s="86"/>
      <c r="H392" s="87"/>
      <c r="I392" s="88"/>
      <c r="J392" s="88"/>
      <c r="K392" s="89">
        <f t="shared" si="15"/>
        <v>0</v>
      </c>
      <c r="L392" s="90" t="b">
        <f>IF((ISNUMBER(K392)),IF(AND(F392="Workdays",(SUMIFS(N:N,F:F,F392,H:H,H392,B:B,B392)&lt;=24)),IF(AND((K392*24)&gt;0,(K392*24)&lt;16),((K392*24)*MD!$I$6),IF((K392*24)&gt;=16,(MD!$J$6))),IF(AND(F392="Non_workdays",(SUMIFS(N:N,F:F,F392,H:H,H392,B:B,B392)&lt;=24)),IF(AND((K392*24)&gt;0,(K392*24)&lt;12),((K392*24)*MD!$I$5),IF((K392*24)&gt;=12,(MD!$J$5))))))</f>
        <v>0</v>
      </c>
      <c r="M392" s="62"/>
      <c r="N392" s="72">
        <f t="shared" si="14"/>
        <v>0</v>
      </c>
    </row>
    <row r="393" spans="1:14" x14ac:dyDescent="0.25">
      <c r="A393" s="62">
        <v>392</v>
      </c>
      <c r="B393" s="62"/>
      <c r="C393" s="85" t="str">
        <f>IF(ISNA(VLOOKUP($B393,CPY!$B:$G,2,FALSE))=TRUE," ",VLOOKUP($B393,CPY!$B:$G,2,FALSE))</f>
        <v> </v>
      </c>
      <c r="D393" s="50" t="str">
        <f>IF(ISNA(VLOOKUP($B393,CPY!$B:$G,3,FALSE))=TRUE," ",VLOOKUP($B393,CPY!$B:$G,3,FALSE))</f>
        <v> </v>
      </c>
      <c r="E393" s="65" t="str">
        <f>IF(ISNA(VLOOKUP($B393,CPY!$B:$G,4,FALSE))=TRUE," ",VLOOKUP($B393,CPY!$B:$G,4,FALSE))</f>
        <v> </v>
      </c>
      <c r="F393" s="62"/>
      <c r="G393" s="86"/>
      <c r="H393" s="87"/>
      <c r="I393" s="88"/>
      <c r="J393" s="88"/>
      <c r="K393" s="89">
        <f t="shared" si="15"/>
        <v>0</v>
      </c>
      <c r="L393" s="90" t="b">
        <f>IF((ISNUMBER(K393)),IF(AND(F393="Workdays",(SUMIFS(N:N,F:F,F393,H:H,H393,B:B,B393)&lt;=24)),IF(AND((K393*24)&gt;0,(K393*24)&lt;16),((K393*24)*MD!$I$6),IF((K393*24)&gt;=16,(MD!$J$6))),IF(AND(F393="Non_workdays",(SUMIFS(N:N,F:F,F393,H:H,H393,B:B,B393)&lt;=24)),IF(AND((K393*24)&gt;0,(K393*24)&lt;12),((K393*24)*MD!$I$5),IF((K393*24)&gt;=12,(MD!$J$5))))))</f>
        <v>0</v>
      </c>
      <c r="M393" s="62"/>
      <c r="N393" s="72">
        <f t="shared" si="14"/>
        <v>0</v>
      </c>
    </row>
    <row r="394" spans="1:14" x14ac:dyDescent="0.25">
      <c r="A394" s="62">
        <v>393</v>
      </c>
      <c r="B394" s="62"/>
      <c r="C394" s="85" t="str">
        <f>IF(ISNA(VLOOKUP($B394,CPY!$B:$G,2,FALSE))=TRUE," ",VLOOKUP($B394,CPY!$B:$G,2,FALSE))</f>
        <v> </v>
      </c>
      <c r="D394" s="50" t="str">
        <f>IF(ISNA(VLOOKUP($B394,CPY!$B:$G,3,FALSE))=TRUE," ",VLOOKUP($B394,CPY!$B:$G,3,FALSE))</f>
        <v> </v>
      </c>
      <c r="E394" s="65" t="str">
        <f>IF(ISNA(VLOOKUP($B394,CPY!$B:$G,4,FALSE))=TRUE," ",VLOOKUP($B394,CPY!$B:$G,4,FALSE))</f>
        <v> </v>
      </c>
      <c r="F394" s="62"/>
      <c r="G394" s="86"/>
      <c r="H394" s="87"/>
      <c r="I394" s="88"/>
      <c r="J394" s="88"/>
      <c r="K394" s="89">
        <f t="shared" si="15"/>
        <v>0</v>
      </c>
      <c r="L394" s="90" t="b">
        <f>IF((ISNUMBER(K394)),IF(AND(F394="Workdays",(SUMIFS(N:N,F:F,F394,H:H,H394,B:B,B394)&lt;=24)),IF(AND((K394*24)&gt;0,(K394*24)&lt;16),((K394*24)*MD!$I$6),IF((K394*24)&gt;=16,(MD!$J$6))),IF(AND(F394="Non_workdays",(SUMIFS(N:N,F:F,F394,H:H,H394,B:B,B394)&lt;=24)),IF(AND((K394*24)&gt;0,(K394*24)&lt;12),((K394*24)*MD!$I$5),IF((K394*24)&gt;=12,(MD!$J$5))))))</f>
        <v>0</v>
      </c>
      <c r="M394" s="62"/>
      <c r="N394" s="72">
        <f t="shared" si="14"/>
        <v>0</v>
      </c>
    </row>
    <row r="395" spans="1:14" x14ac:dyDescent="0.25">
      <c r="A395" s="62">
        <v>394</v>
      </c>
      <c r="B395" s="62"/>
      <c r="C395" s="85" t="str">
        <f>IF(ISNA(VLOOKUP($B395,CPY!$B:$G,2,FALSE))=TRUE," ",VLOOKUP($B395,CPY!$B:$G,2,FALSE))</f>
        <v> </v>
      </c>
      <c r="D395" s="50" t="str">
        <f>IF(ISNA(VLOOKUP($B395,CPY!$B:$G,3,FALSE))=TRUE," ",VLOOKUP($B395,CPY!$B:$G,3,FALSE))</f>
        <v> </v>
      </c>
      <c r="E395" s="65" t="str">
        <f>IF(ISNA(VLOOKUP($B395,CPY!$B:$G,4,FALSE))=TRUE," ",VLOOKUP($B395,CPY!$B:$G,4,FALSE))</f>
        <v> </v>
      </c>
      <c r="F395" s="62"/>
      <c r="G395" s="86"/>
      <c r="H395" s="87"/>
      <c r="I395" s="88"/>
      <c r="J395" s="88"/>
      <c r="K395" s="89">
        <f t="shared" si="15"/>
        <v>0</v>
      </c>
      <c r="L395" s="90" t="b">
        <f>IF((ISNUMBER(K395)),IF(AND(F395="Workdays",(SUMIFS(N:N,F:F,F395,H:H,H395,B:B,B395)&lt;=24)),IF(AND((K395*24)&gt;0,(K395*24)&lt;16),((K395*24)*MD!$I$6),IF((K395*24)&gt;=16,(MD!$J$6))),IF(AND(F395="Non_workdays",(SUMIFS(N:N,F:F,F395,H:H,H395,B:B,B395)&lt;=24)),IF(AND((K395*24)&gt;0,(K395*24)&lt;12),((K395*24)*MD!$I$5),IF((K395*24)&gt;=12,(MD!$J$5))))))</f>
        <v>0</v>
      </c>
      <c r="M395" s="62"/>
      <c r="N395" s="72">
        <f t="shared" si="14"/>
        <v>0</v>
      </c>
    </row>
    <row r="396" spans="1:14" x14ac:dyDescent="0.25">
      <c r="A396" s="62">
        <v>395</v>
      </c>
      <c r="B396" s="62"/>
      <c r="C396" s="85" t="str">
        <f>IF(ISNA(VLOOKUP($B396,CPY!$B:$G,2,FALSE))=TRUE," ",VLOOKUP($B396,CPY!$B:$G,2,FALSE))</f>
        <v> </v>
      </c>
      <c r="D396" s="50" t="str">
        <f>IF(ISNA(VLOOKUP($B396,CPY!$B:$G,3,FALSE))=TRUE," ",VLOOKUP($B396,CPY!$B:$G,3,FALSE))</f>
        <v> </v>
      </c>
      <c r="E396" s="65" t="str">
        <f>IF(ISNA(VLOOKUP($B396,CPY!$B:$G,4,FALSE))=TRUE," ",VLOOKUP($B396,CPY!$B:$G,4,FALSE))</f>
        <v> </v>
      </c>
      <c r="F396" s="62"/>
      <c r="G396" s="86"/>
      <c r="H396" s="87"/>
      <c r="I396" s="88"/>
      <c r="J396" s="88"/>
      <c r="K396" s="89">
        <f t="shared" si="15"/>
        <v>0</v>
      </c>
      <c r="L396" s="90" t="b">
        <f>IF((ISNUMBER(K396)),IF(AND(F396="Workdays",(SUMIFS(N:N,F:F,F396,H:H,H396,B:B,B396)&lt;=24)),IF(AND((K396*24)&gt;0,(K396*24)&lt;16),((K396*24)*MD!$I$6),IF((K396*24)&gt;=16,(MD!$J$6))),IF(AND(F396="Non_workdays",(SUMIFS(N:N,F:F,F396,H:H,H396,B:B,B396)&lt;=24)),IF(AND((K396*24)&gt;0,(K396*24)&lt;12),((K396*24)*MD!$I$5),IF((K396*24)&gt;=12,(MD!$J$5))))))</f>
        <v>0</v>
      </c>
      <c r="M396" s="62"/>
      <c r="N396" s="72">
        <f t="shared" si="14"/>
        <v>0</v>
      </c>
    </row>
    <row r="397" spans="1:14" x14ac:dyDescent="0.25">
      <c r="A397" s="62">
        <v>396</v>
      </c>
      <c r="B397" s="62"/>
      <c r="C397" s="85" t="str">
        <f>IF(ISNA(VLOOKUP($B397,CPY!$B:$G,2,FALSE))=TRUE," ",VLOOKUP($B397,CPY!$B:$G,2,FALSE))</f>
        <v> </v>
      </c>
      <c r="D397" s="50" t="str">
        <f>IF(ISNA(VLOOKUP($B397,CPY!$B:$G,3,FALSE))=TRUE," ",VLOOKUP($B397,CPY!$B:$G,3,FALSE))</f>
        <v> </v>
      </c>
      <c r="E397" s="65" t="str">
        <f>IF(ISNA(VLOOKUP($B397,CPY!$B:$G,4,FALSE))=TRUE," ",VLOOKUP($B397,CPY!$B:$G,4,FALSE))</f>
        <v> </v>
      </c>
      <c r="F397" s="62"/>
      <c r="G397" s="86"/>
      <c r="H397" s="87"/>
      <c r="I397" s="88"/>
      <c r="J397" s="88"/>
      <c r="K397" s="89">
        <f t="shared" si="15"/>
        <v>0</v>
      </c>
      <c r="L397" s="90" t="b">
        <f>IF((ISNUMBER(K397)),IF(AND(F397="Workdays",(SUMIFS(N:N,F:F,F397,H:H,H397,B:B,B397)&lt;=24)),IF(AND((K397*24)&gt;0,(K397*24)&lt;16),((K397*24)*MD!$I$6),IF((K397*24)&gt;=16,(MD!$J$6))),IF(AND(F397="Non_workdays",(SUMIFS(N:N,F:F,F397,H:H,H397,B:B,B397)&lt;=24)),IF(AND((K397*24)&gt;0,(K397*24)&lt;12),((K397*24)*MD!$I$5),IF((K397*24)&gt;=12,(MD!$J$5))))))</f>
        <v>0</v>
      </c>
      <c r="M397" s="62"/>
      <c r="N397" s="72">
        <f t="shared" si="14"/>
        <v>0</v>
      </c>
    </row>
    <row r="398" spans="1:14" x14ac:dyDescent="0.25">
      <c r="A398" s="62">
        <v>397</v>
      </c>
      <c r="B398" s="62"/>
      <c r="C398" s="85" t="str">
        <f>IF(ISNA(VLOOKUP($B398,CPY!$B:$G,2,FALSE))=TRUE," ",VLOOKUP($B398,CPY!$B:$G,2,FALSE))</f>
        <v> </v>
      </c>
      <c r="D398" s="50" t="str">
        <f>IF(ISNA(VLOOKUP($B398,CPY!$B:$G,3,FALSE))=TRUE," ",VLOOKUP($B398,CPY!$B:$G,3,FALSE))</f>
        <v> </v>
      </c>
      <c r="E398" s="65" t="str">
        <f>IF(ISNA(VLOOKUP($B398,CPY!$B:$G,4,FALSE))=TRUE," ",VLOOKUP($B398,CPY!$B:$G,4,FALSE))</f>
        <v> </v>
      </c>
      <c r="F398" s="62"/>
      <c r="G398" s="86"/>
      <c r="H398" s="87"/>
      <c r="I398" s="88"/>
      <c r="J398" s="88"/>
      <c r="K398" s="89">
        <f t="shared" si="15"/>
        <v>0</v>
      </c>
      <c r="L398" s="90" t="b">
        <f>IF((ISNUMBER(K398)),IF(AND(F398="Workdays",(SUMIFS(N:N,F:F,F398,H:H,H398,B:B,B398)&lt;=24)),IF(AND((K398*24)&gt;0,(K398*24)&lt;16),((K398*24)*MD!$I$6),IF((K398*24)&gt;=16,(MD!$J$6))),IF(AND(F398="Non_workdays",(SUMIFS(N:N,F:F,F398,H:H,H398,B:B,B398)&lt;=24)),IF(AND((K398*24)&gt;0,(K398*24)&lt;12),((K398*24)*MD!$I$5),IF((K398*24)&gt;=12,(MD!$J$5))))))</f>
        <v>0</v>
      </c>
      <c r="M398" s="62"/>
      <c r="N398" s="72">
        <f t="shared" si="14"/>
        <v>0</v>
      </c>
    </row>
    <row r="399" spans="1:14" x14ac:dyDescent="0.25">
      <c r="A399" s="62">
        <v>398</v>
      </c>
      <c r="B399" s="62"/>
      <c r="C399" s="85" t="str">
        <f>IF(ISNA(VLOOKUP($B399,CPY!$B:$G,2,FALSE))=TRUE," ",VLOOKUP($B399,CPY!$B:$G,2,FALSE))</f>
        <v> </v>
      </c>
      <c r="D399" s="50" t="str">
        <f>IF(ISNA(VLOOKUP($B399,CPY!$B:$G,3,FALSE))=TRUE," ",VLOOKUP($B399,CPY!$B:$G,3,FALSE))</f>
        <v> </v>
      </c>
      <c r="E399" s="65" t="str">
        <f>IF(ISNA(VLOOKUP($B399,CPY!$B:$G,4,FALSE))=TRUE," ",VLOOKUP($B399,CPY!$B:$G,4,FALSE))</f>
        <v> </v>
      </c>
      <c r="F399" s="62"/>
      <c r="G399" s="86"/>
      <c r="H399" s="87"/>
      <c r="I399" s="88"/>
      <c r="J399" s="88"/>
      <c r="K399" s="89">
        <f t="shared" si="15"/>
        <v>0</v>
      </c>
      <c r="L399" s="90" t="b">
        <f>IF((ISNUMBER(K399)),IF(AND(F399="Workdays",(SUMIFS(N:N,F:F,F399,H:H,H399,B:B,B399)&lt;=24)),IF(AND((K399*24)&gt;0,(K399*24)&lt;16),((K399*24)*MD!$I$6),IF((K399*24)&gt;=16,(MD!$J$6))),IF(AND(F399="Non_workdays",(SUMIFS(N:N,F:F,F399,H:H,H399,B:B,B399)&lt;=24)),IF(AND((K399*24)&gt;0,(K399*24)&lt;12),((K399*24)*MD!$I$5),IF((K399*24)&gt;=12,(MD!$J$5))))))</f>
        <v>0</v>
      </c>
      <c r="M399" s="62"/>
      <c r="N399" s="72">
        <f t="shared" si="14"/>
        <v>0</v>
      </c>
    </row>
    <row r="400" spans="1:14" x14ac:dyDescent="0.25">
      <c r="A400" s="62">
        <v>399</v>
      </c>
      <c r="B400" s="62"/>
      <c r="C400" s="85" t="str">
        <f>IF(ISNA(VLOOKUP($B400,CPY!$B:$G,2,FALSE))=TRUE," ",VLOOKUP($B400,CPY!$B:$G,2,FALSE))</f>
        <v> </v>
      </c>
      <c r="D400" s="50" t="str">
        <f>IF(ISNA(VLOOKUP($B400,CPY!$B:$G,3,FALSE))=TRUE," ",VLOOKUP($B400,CPY!$B:$G,3,FALSE))</f>
        <v> </v>
      </c>
      <c r="E400" s="65" t="str">
        <f>IF(ISNA(VLOOKUP($B400,CPY!$B:$G,4,FALSE))=TRUE," ",VLOOKUP($B400,CPY!$B:$G,4,FALSE))</f>
        <v> </v>
      </c>
      <c r="F400" s="62"/>
      <c r="G400" s="86"/>
      <c r="H400" s="87"/>
      <c r="I400" s="88"/>
      <c r="J400" s="88"/>
      <c r="K400" s="89">
        <f t="shared" si="15"/>
        <v>0</v>
      </c>
      <c r="L400" s="90" t="b">
        <f>IF((ISNUMBER(K400)),IF(AND(F400="Workdays",(SUMIFS(N:N,F:F,F400,H:H,H400,B:B,B400)&lt;=24)),IF(AND((K400*24)&gt;0,(K400*24)&lt;16),((K400*24)*MD!$I$6),IF((K400*24)&gt;=16,(MD!$J$6))),IF(AND(F400="Non_workdays",(SUMIFS(N:N,F:F,F400,H:H,H400,B:B,B400)&lt;=24)),IF(AND((K400*24)&gt;0,(K400*24)&lt;12),((K400*24)*MD!$I$5),IF((K400*24)&gt;=12,(MD!$J$5))))))</f>
        <v>0</v>
      </c>
      <c r="M400" s="62"/>
      <c r="N400" s="72">
        <f t="shared" si="14"/>
        <v>0</v>
      </c>
    </row>
    <row r="401" spans="1:14" x14ac:dyDescent="0.25">
      <c r="A401" s="62">
        <v>400</v>
      </c>
      <c r="B401" s="62"/>
      <c r="C401" s="85" t="str">
        <f>IF(ISNA(VLOOKUP($B401,CPY!$B:$G,2,FALSE))=TRUE," ",VLOOKUP($B401,CPY!$B:$G,2,FALSE))</f>
        <v> </v>
      </c>
      <c r="D401" s="50" t="str">
        <f>IF(ISNA(VLOOKUP($B401,CPY!$B:$G,3,FALSE))=TRUE," ",VLOOKUP($B401,CPY!$B:$G,3,FALSE))</f>
        <v> </v>
      </c>
      <c r="E401" s="65" t="str">
        <f>IF(ISNA(VLOOKUP($B401,CPY!$B:$G,4,FALSE))=TRUE," ",VLOOKUP($B401,CPY!$B:$G,4,FALSE))</f>
        <v> </v>
      </c>
      <c r="F401" s="62"/>
      <c r="G401" s="86"/>
      <c r="H401" s="87"/>
      <c r="I401" s="88"/>
      <c r="J401" s="88"/>
      <c r="K401" s="89">
        <f t="shared" si="15"/>
        <v>0</v>
      </c>
      <c r="L401" s="90" t="b">
        <f>IF((ISNUMBER(K401)),IF(AND(F401="Workdays",(SUMIFS(N:N,F:F,F401,H:H,H401,B:B,B401)&lt;=24)),IF(AND((K401*24)&gt;0,(K401*24)&lt;16),((K401*24)*MD!$I$6),IF((K401*24)&gt;=16,(MD!$J$6))),IF(AND(F401="Non_workdays",(SUMIFS(N:N,F:F,F401,H:H,H401,B:B,B401)&lt;=24)),IF(AND((K401*24)&gt;0,(K401*24)&lt;12),((K401*24)*MD!$I$5),IF((K401*24)&gt;=12,(MD!$J$5))))))</f>
        <v>0</v>
      </c>
      <c r="M401" s="62"/>
      <c r="N401" s="72">
        <f t="shared" si="14"/>
        <v>0</v>
      </c>
    </row>
    <row r="402" spans="1:14" x14ac:dyDescent="0.25">
      <c r="A402" s="62">
        <v>401</v>
      </c>
      <c r="B402" s="62"/>
      <c r="C402" s="85" t="str">
        <f>IF(ISNA(VLOOKUP($B402,CPY!$B:$G,2,FALSE))=TRUE," ",VLOOKUP($B402,CPY!$B:$G,2,FALSE))</f>
        <v> </v>
      </c>
      <c r="D402" s="50" t="str">
        <f>IF(ISNA(VLOOKUP($B402,CPY!$B:$G,3,FALSE))=TRUE," ",VLOOKUP($B402,CPY!$B:$G,3,FALSE))</f>
        <v> </v>
      </c>
      <c r="E402" s="65" t="str">
        <f>IF(ISNA(VLOOKUP($B402,CPY!$B:$G,4,FALSE))=TRUE," ",VLOOKUP($B402,CPY!$B:$G,4,FALSE))</f>
        <v> </v>
      </c>
      <c r="F402" s="62"/>
      <c r="G402" s="86"/>
      <c r="H402" s="87"/>
      <c r="I402" s="88"/>
      <c r="J402" s="88"/>
      <c r="K402" s="89">
        <f t="shared" si="15"/>
        <v>0</v>
      </c>
      <c r="L402" s="90" t="b">
        <f>IF((ISNUMBER(K402)),IF(AND(F402="Workdays",(SUMIFS(N:N,F:F,F402,H:H,H402,B:B,B402)&lt;=24)),IF(AND((K402*24)&gt;0,(K402*24)&lt;16),((K402*24)*MD!$I$6),IF((K402*24)&gt;=16,(MD!$J$6))),IF(AND(F402="Non_workdays",(SUMIFS(N:N,F:F,F402,H:H,H402,B:B,B402)&lt;=24)),IF(AND((K402*24)&gt;0,(K402*24)&lt;12),((K402*24)*MD!$I$5),IF((K402*24)&gt;=12,(MD!$J$5))))))</f>
        <v>0</v>
      </c>
      <c r="M402" s="62"/>
      <c r="N402" s="72">
        <f t="shared" si="14"/>
        <v>0</v>
      </c>
    </row>
    <row r="403" spans="1:14" x14ac:dyDescent="0.25">
      <c r="A403" s="62">
        <v>402</v>
      </c>
      <c r="B403" s="62"/>
      <c r="C403" s="85" t="str">
        <f>IF(ISNA(VLOOKUP($B403,CPY!$B:$G,2,FALSE))=TRUE," ",VLOOKUP($B403,CPY!$B:$G,2,FALSE))</f>
        <v> </v>
      </c>
      <c r="D403" s="50" t="str">
        <f>IF(ISNA(VLOOKUP($B403,CPY!$B:$G,3,FALSE))=TRUE," ",VLOOKUP($B403,CPY!$B:$G,3,FALSE))</f>
        <v> </v>
      </c>
      <c r="E403" s="65" t="str">
        <f>IF(ISNA(VLOOKUP($B403,CPY!$B:$G,4,FALSE))=TRUE," ",VLOOKUP($B403,CPY!$B:$G,4,FALSE))</f>
        <v> </v>
      </c>
      <c r="F403" s="62"/>
      <c r="G403" s="86"/>
      <c r="H403" s="87"/>
      <c r="I403" s="88"/>
      <c r="J403" s="88"/>
      <c r="K403" s="89">
        <f t="shared" si="15"/>
        <v>0</v>
      </c>
      <c r="L403" s="90" t="b">
        <f>IF((ISNUMBER(K403)),IF(AND(F403="Workdays",(SUMIFS(N:N,F:F,F403,H:H,H403,B:B,B403)&lt;=24)),IF(AND((K403*24)&gt;0,(K403*24)&lt;16),((K403*24)*MD!$I$6),IF((K403*24)&gt;=16,(MD!$J$6))),IF(AND(F403="Non_workdays",(SUMIFS(N:N,F:F,F403,H:H,H403,B:B,B403)&lt;=24)),IF(AND((K403*24)&gt;0,(K403*24)&lt;12),((K403*24)*MD!$I$5),IF((K403*24)&gt;=12,(MD!$J$5))))))</f>
        <v>0</v>
      </c>
      <c r="M403" s="62"/>
      <c r="N403" s="72">
        <f t="shared" si="14"/>
        <v>0</v>
      </c>
    </row>
    <row r="404" spans="1:14" x14ac:dyDescent="0.25">
      <c r="A404" s="62">
        <v>403</v>
      </c>
      <c r="B404" s="62"/>
      <c r="C404" s="85" t="str">
        <f>IF(ISNA(VLOOKUP($B404,CPY!$B:$G,2,FALSE))=TRUE," ",VLOOKUP($B404,CPY!$B:$G,2,FALSE))</f>
        <v> </v>
      </c>
      <c r="D404" s="50" t="str">
        <f>IF(ISNA(VLOOKUP($B404,CPY!$B:$G,3,FALSE))=TRUE," ",VLOOKUP($B404,CPY!$B:$G,3,FALSE))</f>
        <v> </v>
      </c>
      <c r="E404" s="65" t="str">
        <f>IF(ISNA(VLOOKUP($B404,CPY!$B:$G,4,FALSE))=TRUE," ",VLOOKUP($B404,CPY!$B:$G,4,FALSE))</f>
        <v> </v>
      </c>
      <c r="F404" s="62"/>
      <c r="G404" s="86"/>
      <c r="H404" s="87"/>
      <c r="I404" s="88"/>
      <c r="J404" s="88"/>
      <c r="K404" s="89">
        <f t="shared" si="15"/>
        <v>0</v>
      </c>
      <c r="L404" s="90" t="b">
        <f>IF((ISNUMBER(K404)),IF(AND(F404="Workdays",(SUMIFS(N:N,F:F,F404,H:H,H404,B:B,B404)&lt;=24)),IF(AND((K404*24)&gt;0,(K404*24)&lt;16),((K404*24)*MD!$I$6),IF((K404*24)&gt;=16,(MD!$J$6))),IF(AND(F404="Non_workdays",(SUMIFS(N:N,F:F,F404,H:H,H404,B:B,B404)&lt;=24)),IF(AND((K404*24)&gt;0,(K404*24)&lt;12),((K404*24)*MD!$I$5),IF((K404*24)&gt;=12,(MD!$J$5))))))</f>
        <v>0</v>
      </c>
      <c r="M404" s="62"/>
      <c r="N404" s="72">
        <f t="shared" si="14"/>
        <v>0</v>
      </c>
    </row>
    <row r="405" spans="1:14" x14ac:dyDescent="0.25">
      <c r="A405" s="62">
        <v>404</v>
      </c>
      <c r="B405" s="62"/>
      <c r="C405" s="85" t="str">
        <f>IF(ISNA(VLOOKUP($B405,CPY!$B:$G,2,FALSE))=TRUE," ",VLOOKUP($B405,CPY!$B:$G,2,FALSE))</f>
        <v> </v>
      </c>
      <c r="D405" s="50" t="str">
        <f>IF(ISNA(VLOOKUP($B405,CPY!$B:$G,3,FALSE))=TRUE," ",VLOOKUP($B405,CPY!$B:$G,3,FALSE))</f>
        <v> </v>
      </c>
      <c r="E405" s="65" t="str">
        <f>IF(ISNA(VLOOKUP($B405,CPY!$B:$G,4,FALSE))=TRUE," ",VLOOKUP($B405,CPY!$B:$G,4,FALSE))</f>
        <v> </v>
      </c>
      <c r="F405" s="62"/>
      <c r="G405" s="86"/>
      <c r="H405" s="87"/>
      <c r="I405" s="88"/>
      <c r="J405" s="88"/>
      <c r="K405" s="89">
        <f t="shared" si="15"/>
        <v>0</v>
      </c>
      <c r="L405" s="90" t="b">
        <f>IF((ISNUMBER(K405)),IF(AND(F405="Workdays",(SUMIFS(N:N,F:F,F405,H:H,H405,B:B,B405)&lt;=24)),IF(AND((K405*24)&gt;0,(K405*24)&lt;16),((K405*24)*MD!$I$6),IF((K405*24)&gt;=16,(MD!$J$6))),IF(AND(F405="Non_workdays",(SUMIFS(N:N,F:F,F405,H:H,H405,B:B,B405)&lt;=24)),IF(AND((K405*24)&gt;0,(K405*24)&lt;12),((K405*24)*MD!$I$5),IF((K405*24)&gt;=12,(MD!$J$5))))))</f>
        <v>0</v>
      </c>
      <c r="M405" s="62"/>
      <c r="N405" s="72">
        <f t="shared" si="14"/>
        <v>0</v>
      </c>
    </row>
    <row r="406" spans="1:14" x14ac:dyDescent="0.25">
      <c r="A406" s="62">
        <v>405</v>
      </c>
      <c r="B406" s="62"/>
      <c r="C406" s="85" t="str">
        <f>IF(ISNA(VLOOKUP($B406,CPY!$B:$G,2,FALSE))=TRUE," ",VLOOKUP($B406,CPY!$B:$G,2,FALSE))</f>
        <v> </v>
      </c>
      <c r="D406" s="50" t="str">
        <f>IF(ISNA(VLOOKUP($B406,CPY!$B:$G,3,FALSE))=TRUE," ",VLOOKUP($B406,CPY!$B:$G,3,FALSE))</f>
        <v> </v>
      </c>
      <c r="E406" s="65" t="str">
        <f>IF(ISNA(VLOOKUP($B406,CPY!$B:$G,4,FALSE))=TRUE," ",VLOOKUP($B406,CPY!$B:$G,4,FALSE))</f>
        <v> </v>
      </c>
      <c r="F406" s="62"/>
      <c r="G406" s="86"/>
      <c r="H406" s="87"/>
      <c r="I406" s="88"/>
      <c r="J406" s="88"/>
      <c r="K406" s="89">
        <f t="shared" si="15"/>
        <v>0</v>
      </c>
      <c r="L406" s="90" t="b">
        <f>IF((ISNUMBER(K406)),IF(AND(F406="Workdays",(SUMIFS(N:N,F:F,F406,H:H,H406,B:B,B406)&lt;=24)),IF(AND((K406*24)&gt;0,(K406*24)&lt;16),((K406*24)*MD!$I$6),IF((K406*24)&gt;=16,(MD!$J$6))),IF(AND(F406="Non_workdays",(SUMIFS(N:N,F:F,F406,H:H,H406,B:B,B406)&lt;=24)),IF(AND((K406*24)&gt;0,(K406*24)&lt;12),((K406*24)*MD!$I$5),IF((K406*24)&gt;=12,(MD!$J$5))))))</f>
        <v>0</v>
      </c>
      <c r="M406" s="62"/>
      <c r="N406" s="72">
        <f t="shared" si="14"/>
        <v>0</v>
      </c>
    </row>
    <row r="407" spans="1:14" x14ac:dyDescent="0.25">
      <c r="A407" s="62">
        <v>406</v>
      </c>
      <c r="B407" s="62"/>
      <c r="C407" s="85" t="str">
        <f>IF(ISNA(VLOOKUP($B407,CPY!$B:$G,2,FALSE))=TRUE," ",VLOOKUP($B407,CPY!$B:$G,2,FALSE))</f>
        <v> </v>
      </c>
      <c r="D407" s="50" t="str">
        <f>IF(ISNA(VLOOKUP($B407,CPY!$B:$G,3,FALSE))=TRUE," ",VLOOKUP($B407,CPY!$B:$G,3,FALSE))</f>
        <v> </v>
      </c>
      <c r="E407" s="65" t="str">
        <f>IF(ISNA(VLOOKUP($B407,CPY!$B:$G,4,FALSE))=TRUE," ",VLOOKUP($B407,CPY!$B:$G,4,FALSE))</f>
        <v> </v>
      </c>
      <c r="F407" s="62"/>
      <c r="G407" s="86"/>
      <c r="H407" s="87"/>
      <c r="I407" s="88"/>
      <c r="J407" s="88"/>
      <c r="K407" s="89">
        <f t="shared" si="15"/>
        <v>0</v>
      </c>
      <c r="L407" s="90" t="b">
        <f>IF((ISNUMBER(K407)),IF(AND(F407="Workdays",(SUMIFS(N:N,F:F,F407,H:H,H407,B:B,B407)&lt;=24)),IF(AND((K407*24)&gt;0,(K407*24)&lt;16),((K407*24)*MD!$I$6),IF((K407*24)&gt;=16,(MD!$J$6))),IF(AND(F407="Non_workdays",(SUMIFS(N:N,F:F,F407,H:H,H407,B:B,B407)&lt;=24)),IF(AND((K407*24)&gt;0,(K407*24)&lt;12),((K407*24)*MD!$I$5),IF((K407*24)&gt;=12,(MD!$J$5))))))</f>
        <v>0</v>
      </c>
      <c r="M407" s="62"/>
      <c r="N407" s="72">
        <f t="shared" si="14"/>
        <v>0</v>
      </c>
    </row>
    <row r="408" spans="1:14" x14ac:dyDescent="0.25">
      <c r="A408" s="62">
        <v>407</v>
      </c>
      <c r="B408" s="62"/>
      <c r="C408" s="85" t="str">
        <f>IF(ISNA(VLOOKUP($B408,CPY!$B:$G,2,FALSE))=TRUE," ",VLOOKUP($B408,CPY!$B:$G,2,FALSE))</f>
        <v> </v>
      </c>
      <c r="D408" s="50" t="str">
        <f>IF(ISNA(VLOOKUP($B408,CPY!$B:$G,3,FALSE))=TRUE," ",VLOOKUP($B408,CPY!$B:$G,3,FALSE))</f>
        <v> </v>
      </c>
      <c r="E408" s="65" t="str">
        <f>IF(ISNA(VLOOKUP($B408,CPY!$B:$G,4,FALSE))=TRUE," ",VLOOKUP($B408,CPY!$B:$G,4,FALSE))</f>
        <v> </v>
      </c>
      <c r="F408" s="62"/>
      <c r="G408" s="86"/>
      <c r="H408" s="87"/>
      <c r="I408" s="88"/>
      <c r="J408" s="88"/>
      <c r="K408" s="89">
        <f t="shared" si="15"/>
        <v>0</v>
      </c>
      <c r="L408" s="90" t="b">
        <f>IF((ISNUMBER(K408)),IF(AND(F408="Workdays",(SUMIFS(N:N,F:F,F408,H:H,H408,B:B,B408)&lt;=24)),IF(AND((K408*24)&gt;0,(K408*24)&lt;16),((K408*24)*MD!$I$6),IF((K408*24)&gt;=16,(MD!$J$6))),IF(AND(F408="Non_workdays",(SUMIFS(N:N,F:F,F408,H:H,H408,B:B,B408)&lt;=24)),IF(AND((K408*24)&gt;0,(K408*24)&lt;12),((K408*24)*MD!$I$5),IF((K408*24)&gt;=12,(MD!$J$5))))))</f>
        <v>0</v>
      </c>
      <c r="M408" s="62"/>
      <c r="N408" s="72">
        <f t="shared" si="14"/>
        <v>0</v>
      </c>
    </row>
    <row r="409" spans="1:14" x14ac:dyDescent="0.25">
      <c r="A409" s="62">
        <v>408</v>
      </c>
      <c r="B409" s="62"/>
      <c r="C409" s="85" t="str">
        <f>IF(ISNA(VLOOKUP($B409,CPY!$B:$G,2,FALSE))=TRUE," ",VLOOKUP($B409,CPY!$B:$G,2,FALSE))</f>
        <v> </v>
      </c>
      <c r="D409" s="50" t="str">
        <f>IF(ISNA(VLOOKUP($B409,CPY!$B:$G,3,FALSE))=TRUE," ",VLOOKUP($B409,CPY!$B:$G,3,FALSE))</f>
        <v> </v>
      </c>
      <c r="E409" s="65" t="str">
        <f>IF(ISNA(VLOOKUP($B409,CPY!$B:$G,4,FALSE))=TRUE," ",VLOOKUP($B409,CPY!$B:$G,4,FALSE))</f>
        <v> </v>
      </c>
      <c r="F409" s="62"/>
      <c r="G409" s="86"/>
      <c r="H409" s="87"/>
      <c r="I409" s="88"/>
      <c r="J409" s="88"/>
      <c r="K409" s="89">
        <f t="shared" si="15"/>
        <v>0</v>
      </c>
      <c r="L409" s="90" t="b">
        <f>IF((ISNUMBER(K409)),IF(AND(F409="Workdays",(SUMIFS(N:N,F:F,F409,H:H,H409,B:B,B409)&lt;=24)),IF(AND((K409*24)&gt;0,(K409*24)&lt;16),((K409*24)*MD!$I$6),IF((K409*24)&gt;=16,(MD!$J$6))),IF(AND(F409="Non_workdays",(SUMIFS(N:N,F:F,F409,H:H,H409,B:B,B409)&lt;=24)),IF(AND((K409*24)&gt;0,(K409*24)&lt;12),((K409*24)*MD!$I$5),IF((K409*24)&gt;=12,(MD!$J$5))))))</f>
        <v>0</v>
      </c>
      <c r="M409" s="62"/>
      <c r="N409" s="72">
        <f t="shared" si="14"/>
        <v>0</v>
      </c>
    </row>
    <row r="410" spans="1:14" x14ac:dyDescent="0.25">
      <c r="A410" s="62">
        <v>409</v>
      </c>
      <c r="B410" s="62"/>
      <c r="C410" s="85" t="str">
        <f>IF(ISNA(VLOOKUP($B410,CPY!$B:$G,2,FALSE))=TRUE," ",VLOOKUP($B410,CPY!$B:$G,2,FALSE))</f>
        <v> </v>
      </c>
      <c r="D410" s="50" t="str">
        <f>IF(ISNA(VLOOKUP($B410,CPY!$B:$G,3,FALSE))=TRUE," ",VLOOKUP($B410,CPY!$B:$G,3,FALSE))</f>
        <v> </v>
      </c>
      <c r="E410" s="65" t="str">
        <f>IF(ISNA(VLOOKUP($B410,CPY!$B:$G,4,FALSE))=TRUE," ",VLOOKUP($B410,CPY!$B:$G,4,FALSE))</f>
        <v> </v>
      </c>
      <c r="F410" s="62"/>
      <c r="G410" s="86"/>
      <c r="H410" s="87"/>
      <c r="I410" s="88"/>
      <c r="J410" s="88"/>
      <c r="K410" s="89">
        <f t="shared" si="15"/>
        <v>0</v>
      </c>
      <c r="L410" s="90" t="b">
        <f>IF((ISNUMBER(K410)),IF(AND(F410="Workdays",(SUMIFS(N:N,F:F,F410,H:H,H410,B:B,B410)&lt;=24)),IF(AND((K410*24)&gt;0,(K410*24)&lt;16),((K410*24)*MD!$I$6),IF((K410*24)&gt;=16,(MD!$J$6))),IF(AND(F410="Non_workdays",(SUMIFS(N:N,F:F,F410,H:H,H410,B:B,B410)&lt;=24)),IF(AND((K410*24)&gt;0,(K410*24)&lt;12),((K410*24)*MD!$I$5),IF((K410*24)&gt;=12,(MD!$J$5))))))</f>
        <v>0</v>
      </c>
      <c r="M410" s="62"/>
      <c r="N410" s="72">
        <f t="shared" si="14"/>
        <v>0</v>
      </c>
    </row>
    <row r="411" spans="1:14" x14ac:dyDescent="0.25">
      <c r="A411" s="62">
        <v>410</v>
      </c>
      <c r="B411" s="62"/>
      <c r="C411" s="85" t="str">
        <f>IF(ISNA(VLOOKUP($B411,CPY!$B:$G,2,FALSE))=TRUE," ",VLOOKUP($B411,CPY!$B:$G,2,FALSE))</f>
        <v> </v>
      </c>
      <c r="D411" s="50" t="str">
        <f>IF(ISNA(VLOOKUP($B411,CPY!$B:$G,3,FALSE))=TRUE," ",VLOOKUP($B411,CPY!$B:$G,3,FALSE))</f>
        <v> </v>
      </c>
      <c r="E411" s="65" t="str">
        <f>IF(ISNA(VLOOKUP($B411,CPY!$B:$G,4,FALSE))=TRUE," ",VLOOKUP($B411,CPY!$B:$G,4,FALSE))</f>
        <v> </v>
      </c>
      <c r="F411" s="62"/>
      <c r="G411" s="86"/>
      <c r="H411" s="87"/>
      <c r="I411" s="88"/>
      <c r="J411" s="88"/>
      <c r="K411" s="89">
        <f t="shared" si="15"/>
        <v>0</v>
      </c>
      <c r="L411" s="90" t="b">
        <f>IF((ISNUMBER(K411)),IF(AND(F411="Workdays",(SUMIFS(N:N,F:F,F411,H:H,H411,B:B,B411)&lt;=24)),IF(AND((K411*24)&gt;0,(K411*24)&lt;16),((K411*24)*MD!$I$6),IF((K411*24)&gt;=16,(MD!$J$6))),IF(AND(F411="Non_workdays",(SUMIFS(N:N,F:F,F411,H:H,H411,B:B,B411)&lt;=24)),IF(AND((K411*24)&gt;0,(K411*24)&lt;12),((K411*24)*MD!$I$5),IF((K411*24)&gt;=12,(MD!$J$5))))))</f>
        <v>0</v>
      </c>
      <c r="M411" s="62"/>
      <c r="N411" s="72">
        <f t="shared" si="14"/>
        <v>0</v>
      </c>
    </row>
    <row r="412" spans="1:14" x14ac:dyDescent="0.25">
      <c r="A412" s="62">
        <v>411</v>
      </c>
      <c r="B412" s="62"/>
      <c r="C412" s="85" t="str">
        <f>IF(ISNA(VLOOKUP($B412,CPY!$B:$G,2,FALSE))=TRUE," ",VLOOKUP($B412,CPY!$B:$G,2,FALSE))</f>
        <v> </v>
      </c>
      <c r="D412" s="50" t="str">
        <f>IF(ISNA(VLOOKUP($B412,CPY!$B:$G,3,FALSE))=TRUE," ",VLOOKUP($B412,CPY!$B:$G,3,FALSE))</f>
        <v> </v>
      </c>
      <c r="E412" s="65" t="str">
        <f>IF(ISNA(VLOOKUP($B412,CPY!$B:$G,4,FALSE))=TRUE," ",VLOOKUP($B412,CPY!$B:$G,4,FALSE))</f>
        <v> </v>
      </c>
      <c r="F412" s="62"/>
      <c r="G412" s="86"/>
      <c r="H412" s="87"/>
      <c r="I412" s="88"/>
      <c r="J412" s="88"/>
      <c r="K412" s="89">
        <f t="shared" si="15"/>
        <v>0</v>
      </c>
      <c r="L412" s="90" t="b">
        <f>IF((ISNUMBER(K412)),IF(AND(F412="Workdays",(SUMIFS(N:N,F:F,F412,H:H,H412,B:B,B412)&lt;=24)),IF(AND((K412*24)&gt;0,(K412*24)&lt;16),((K412*24)*MD!$I$6),IF((K412*24)&gt;=16,(MD!$J$6))),IF(AND(F412="Non_workdays",(SUMIFS(N:N,F:F,F412,H:H,H412,B:B,B412)&lt;=24)),IF(AND((K412*24)&gt;0,(K412*24)&lt;12),((K412*24)*MD!$I$5),IF((K412*24)&gt;=12,(MD!$J$5))))))</f>
        <v>0</v>
      </c>
      <c r="M412" s="62"/>
      <c r="N412" s="72">
        <f t="shared" si="14"/>
        <v>0</v>
      </c>
    </row>
    <row r="413" spans="1:14" x14ac:dyDescent="0.25">
      <c r="A413" s="62">
        <v>412</v>
      </c>
      <c r="B413" s="62"/>
      <c r="C413" s="85" t="str">
        <f>IF(ISNA(VLOOKUP($B413,CPY!$B:$G,2,FALSE))=TRUE," ",VLOOKUP($B413,CPY!$B:$G,2,FALSE))</f>
        <v> </v>
      </c>
      <c r="D413" s="50" t="str">
        <f>IF(ISNA(VLOOKUP($B413,CPY!$B:$G,3,FALSE))=TRUE," ",VLOOKUP($B413,CPY!$B:$G,3,FALSE))</f>
        <v> </v>
      </c>
      <c r="E413" s="65" t="str">
        <f>IF(ISNA(VLOOKUP($B413,CPY!$B:$G,4,FALSE))=TRUE," ",VLOOKUP($B413,CPY!$B:$G,4,FALSE))</f>
        <v> </v>
      </c>
      <c r="F413" s="62"/>
      <c r="G413" s="86"/>
      <c r="H413" s="87"/>
      <c r="I413" s="88"/>
      <c r="J413" s="88"/>
      <c r="K413" s="89">
        <f t="shared" si="15"/>
        <v>0</v>
      </c>
      <c r="L413" s="90" t="b">
        <f>IF((ISNUMBER(K413)),IF(AND(F413="Workdays",(SUMIFS(N:N,F:F,F413,H:H,H413,B:B,B413)&lt;=24)),IF(AND((K413*24)&gt;0,(K413*24)&lt;16),((K413*24)*MD!$I$6),IF((K413*24)&gt;=16,(MD!$J$6))),IF(AND(F413="Non_workdays",(SUMIFS(N:N,F:F,F413,H:H,H413,B:B,B413)&lt;=24)),IF(AND((K413*24)&gt;0,(K413*24)&lt;12),((K413*24)*MD!$I$5),IF((K413*24)&gt;=12,(MD!$J$5))))))</f>
        <v>0</v>
      </c>
      <c r="M413" s="62"/>
      <c r="N413" s="72">
        <f t="shared" si="14"/>
        <v>0</v>
      </c>
    </row>
    <row r="414" spans="1:14" x14ac:dyDescent="0.25">
      <c r="A414" s="62">
        <v>413</v>
      </c>
      <c r="B414" s="62"/>
      <c r="C414" s="85" t="str">
        <f>IF(ISNA(VLOOKUP($B414,CPY!$B:$G,2,FALSE))=TRUE," ",VLOOKUP($B414,CPY!$B:$G,2,FALSE))</f>
        <v> </v>
      </c>
      <c r="D414" s="50" t="str">
        <f>IF(ISNA(VLOOKUP($B414,CPY!$B:$G,3,FALSE))=TRUE," ",VLOOKUP($B414,CPY!$B:$G,3,FALSE))</f>
        <v> </v>
      </c>
      <c r="E414" s="65" t="str">
        <f>IF(ISNA(VLOOKUP($B414,CPY!$B:$G,4,FALSE))=TRUE," ",VLOOKUP($B414,CPY!$B:$G,4,FALSE))</f>
        <v> </v>
      </c>
      <c r="F414" s="62"/>
      <c r="G414" s="86"/>
      <c r="H414" s="87"/>
      <c r="I414" s="88"/>
      <c r="J414" s="88"/>
      <c r="K414" s="89">
        <f t="shared" si="15"/>
        <v>0</v>
      </c>
      <c r="L414" s="90" t="b">
        <f>IF((ISNUMBER(K414)),IF(AND(F414="Workdays",(SUMIFS(N:N,F:F,F414,H:H,H414,B:B,B414)&lt;=24)),IF(AND((K414*24)&gt;0,(K414*24)&lt;16),((K414*24)*MD!$I$6),IF((K414*24)&gt;=16,(MD!$J$6))),IF(AND(F414="Non_workdays",(SUMIFS(N:N,F:F,F414,H:H,H414,B:B,B414)&lt;=24)),IF(AND((K414*24)&gt;0,(K414*24)&lt;12),((K414*24)*MD!$I$5),IF((K414*24)&gt;=12,(MD!$J$5))))))</f>
        <v>0</v>
      </c>
      <c r="M414" s="62"/>
      <c r="N414" s="72">
        <f t="shared" si="14"/>
        <v>0</v>
      </c>
    </row>
    <row r="415" spans="1:14" x14ac:dyDescent="0.25">
      <c r="A415" s="62">
        <v>414</v>
      </c>
      <c r="B415" s="62"/>
      <c r="C415" s="85" t="str">
        <f>IF(ISNA(VLOOKUP($B415,CPY!$B:$G,2,FALSE))=TRUE," ",VLOOKUP($B415,CPY!$B:$G,2,FALSE))</f>
        <v> </v>
      </c>
      <c r="D415" s="50" t="str">
        <f>IF(ISNA(VLOOKUP($B415,CPY!$B:$G,3,FALSE))=TRUE," ",VLOOKUP($B415,CPY!$B:$G,3,FALSE))</f>
        <v> </v>
      </c>
      <c r="E415" s="65" t="str">
        <f>IF(ISNA(VLOOKUP($B415,CPY!$B:$G,4,FALSE))=TRUE," ",VLOOKUP($B415,CPY!$B:$G,4,FALSE))</f>
        <v> </v>
      </c>
      <c r="F415" s="62"/>
      <c r="G415" s="86"/>
      <c r="H415" s="87"/>
      <c r="I415" s="88"/>
      <c r="J415" s="88"/>
      <c r="K415" s="89">
        <f t="shared" si="15"/>
        <v>0</v>
      </c>
      <c r="L415" s="90" t="b">
        <f>IF((ISNUMBER(K415)),IF(AND(F415="Workdays",(SUMIFS(N:N,F:F,F415,H:H,H415,B:B,B415)&lt;=24)),IF(AND((K415*24)&gt;0,(K415*24)&lt;16),((K415*24)*MD!$I$6),IF((K415*24)&gt;=16,(MD!$J$6))),IF(AND(F415="Non_workdays",(SUMIFS(N:N,F:F,F415,H:H,H415,B:B,B415)&lt;=24)),IF(AND((K415*24)&gt;0,(K415*24)&lt;12),((K415*24)*MD!$I$5),IF((K415*24)&gt;=12,(MD!$J$5))))))</f>
        <v>0</v>
      </c>
      <c r="M415" s="62"/>
      <c r="N415" s="72">
        <f t="shared" si="14"/>
        <v>0</v>
      </c>
    </row>
    <row r="416" spans="1:14" x14ac:dyDescent="0.25">
      <c r="A416" s="62">
        <v>415</v>
      </c>
      <c r="B416" s="62"/>
      <c r="C416" s="85" t="str">
        <f>IF(ISNA(VLOOKUP($B416,CPY!$B:$G,2,FALSE))=TRUE," ",VLOOKUP($B416,CPY!$B:$G,2,FALSE))</f>
        <v> </v>
      </c>
      <c r="D416" s="50" t="str">
        <f>IF(ISNA(VLOOKUP($B416,CPY!$B:$G,3,FALSE))=TRUE," ",VLOOKUP($B416,CPY!$B:$G,3,FALSE))</f>
        <v> </v>
      </c>
      <c r="E416" s="65" t="str">
        <f>IF(ISNA(VLOOKUP($B416,CPY!$B:$G,4,FALSE))=TRUE," ",VLOOKUP($B416,CPY!$B:$G,4,FALSE))</f>
        <v> </v>
      </c>
      <c r="F416" s="62"/>
      <c r="G416" s="86"/>
      <c r="H416" s="87"/>
      <c r="I416" s="88"/>
      <c r="J416" s="88"/>
      <c r="K416" s="89">
        <f t="shared" si="15"/>
        <v>0</v>
      </c>
      <c r="L416" s="90" t="b">
        <f>IF((ISNUMBER(K416)),IF(AND(F416="Workdays",(SUMIFS(N:N,F:F,F416,H:H,H416,B:B,B416)&lt;=24)),IF(AND((K416*24)&gt;0,(K416*24)&lt;16),((K416*24)*MD!$I$6),IF((K416*24)&gt;=16,(MD!$J$6))),IF(AND(F416="Non_workdays",(SUMIFS(N:N,F:F,F416,H:H,H416,B:B,B416)&lt;=24)),IF(AND((K416*24)&gt;0,(K416*24)&lt;12),((K416*24)*MD!$I$5),IF((K416*24)&gt;=12,(MD!$J$5))))))</f>
        <v>0</v>
      </c>
      <c r="M416" s="62"/>
      <c r="N416" s="72">
        <f t="shared" si="14"/>
        <v>0</v>
      </c>
    </row>
    <row r="417" spans="1:14" x14ac:dyDescent="0.25">
      <c r="A417" s="62">
        <v>416</v>
      </c>
      <c r="B417" s="62"/>
      <c r="C417" s="85" t="str">
        <f>IF(ISNA(VLOOKUP($B417,CPY!$B:$G,2,FALSE))=TRUE," ",VLOOKUP($B417,CPY!$B:$G,2,FALSE))</f>
        <v> </v>
      </c>
      <c r="D417" s="50" t="str">
        <f>IF(ISNA(VLOOKUP($B417,CPY!$B:$G,3,FALSE))=TRUE," ",VLOOKUP($B417,CPY!$B:$G,3,FALSE))</f>
        <v> </v>
      </c>
      <c r="E417" s="65" t="str">
        <f>IF(ISNA(VLOOKUP($B417,CPY!$B:$G,4,FALSE))=TRUE," ",VLOOKUP($B417,CPY!$B:$G,4,FALSE))</f>
        <v> </v>
      </c>
      <c r="F417" s="62"/>
      <c r="G417" s="86"/>
      <c r="H417" s="87"/>
      <c r="I417" s="88"/>
      <c r="J417" s="88"/>
      <c r="K417" s="89">
        <f t="shared" si="15"/>
        <v>0</v>
      </c>
      <c r="L417" s="90" t="b">
        <f>IF((ISNUMBER(K417)),IF(AND(F417="Workdays",(SUMIFS(N:N,F:F,F417,H:H,H417,B:B,B417)&lt;=24)),IF(AND((K417*24)&gt;0,(K417*24)&lt;16),((K417*24)*MD!$I$6),IF((K417*24)&gt;=16,(MD!$J$6))),IF(AND(F417="Non_workdays",(SUMIFS(N:N,F:F,F417,H:H,H417,B:B,B417)&lt;=24)),IF(AND((K417*24)&gt;0,(K417*24)&lt;12),((K417*24)*MD!$I$5),IF((K417*24)&gt;=12,(MD!$J$5))))))</f>
        <v>0</v>
      </c>
      <c r="M417" s="62"/>
      <c r="N417" s="72">
        <f t="shared" si="14"/>
        <v>0</v>
      </c>
    </row>
    <row r="418" spans="1:14" x14ac:dyDescent="0.25">
      <c r="A418" s="62">
        <v>417</v>
      </c>
      <c r="B418" s="62"/>
      <c r="C418" s="85" t="str">
        <f>IF(ISNA(VLOOKUP($B418,CPY!$B:$G,2,FALSE))=TRUE," ",VLOOKUP($B418,CPY!$B:$G,2,FALSE))</f>
        <v> </v>
      </c>
      <c r="D418" s="50" t="str">
        <f>IF(ISNA(VLOOKUP($B418,CPY!$B:$G,3,FALSE))=TRUE," ",VLOOKUP($B418,CPY!$B:$G,3,FALSE))</f>
        <v> </v>
      </c>
      <c r="E418" s="65" t="str">
        <f>IF(ISNA(VLOOKUP($B418,CPY!$B:$G,4,FALSE))=TRUE," ",VLOOKUP($B418,CPY!$B:$G,4,FALSE))</f>
        <v> </v>
      </c>
      <c r="F418" s="62"/>
      <c r="G418" s="86"/>
      <c r="H418" s="87"/>
      <c r="I418" s="88"/>
      <c r="J418" s="88"/>
      <c r="K418" s="89">
        <f t="shared" si="15"/>
        <v>0</v>
      </c>
      <c r="L418" s="90" t="b">
        <f>IF((ISNUMBER(K418)),IF(AND(F418="Workdays",(SUMIFS(N:N,F:F,F418,H:H,H418,B:B,B418)&lt;=24)),IF(AND((K418*24)&gt;0,(K418*24)&lt;16),((K418*24)*MD!$I$6),IF((K418*24)&gt;=16,(MD!$J$6))),IF(AND(F418="Non_workdays",(SUMIFS(N:N,F:F,F418,H:H,H418,B:B,B418)&lt;=24)),IF(AND((K418*24)&gt;0,(K418*24)&lt;12),((K418*24)*MD!$I$5),IF((K418*24)&gt;=12,(MD!$J$5))))))</f>
        <v>0</v>
      </c>
      <c r="M418" s="62"/>
      <c r="N418" s="72">
        <f t="shared" si="14"/>
        <v>0</v>
      </c>
    </row>
    <row r="419" spans="1:14" x14ac:dyDescent="0.25">
      <c r="A419" s="62">
        <v>418</v>
      </c>
      <c r="B419" s="62"/>
      <c r="C419" s="85" t="str">
        <f>IF(ISNA(VLOOKUP($B419,CPY!$B:$G,2,FALSE))=TRUE," ",VLOOKUP($B419,CPY!$B:$G,2,FALSE))</f>
        <v> </v>
      </c>
      <c r="D419" s="50" t="str">
        <f>IF(ISNA(VLOOKUP($B419,CPY!$B:$G,3,FALSE))=TRUE," ",VLOOKUP($B419,CPY!$B:$G,3,FALSE))</f>
        <v> </v>
      </c>
      <c r="E419" s="65" t="str">
        <f>IF(ISNA(VLOOKUP($B419,CPY!$B:$G,4,FALSE))=TRUE," ",VLOOKUP($B419,CPY!$B:$G,4,FALSE))</f>
        <v> </v>
      </c>
      <c r="F419" s="62"/>
      <c r="G419" s="86"/>
      <c r="H419" s="87"/>
      <c r="I419" s="88"/>
      <c r="J419" s="88"/>
      <c r="K419" s="89">
        <f t="shared" si="15"/>
        <v>0</v>
      </c>
      <c r="L419" s="90" t="b">
        <f>IF((ISNUMBER(K419)),IF(AND(F419="Workdays",(SUMIFS(N:N,F:F,F419,H:H,H419,B:B,B419)&lt;=24)),IF(AND((K419*24)&gt;0,(K419*24)&lt;16),((K419*24)*MD!$I$6),IF((K419*24)&gt;=16,(MD!$J$6))),IF(AND(F419="Non_workdays",(SUMIFS(N:N,F:F,F419,H:H,H419,B:B,B419)&lt;=24)),IF(AND((K419*24)&gt;0,(K419*24)&lt;12),((K419*24)*MD!$I$5),IF((K419*24)&gt;=12,(MD!$J$5))))))</f>
        <v>0</v>
      </c>
      <c r="M419" s="62"/>
      <c r="N419" s="72">
        <f t="shared" si="14"/>
        <v>0</v>
      </c>
    </row>
    <row r="420" spans="1:14" x14ac:dyDescent="0.25">
      <c r="A420" s="62">
        <v>419</v>
      </c>
      <c r="B420" s="62"/>
      <c r="C420" s="85" t="str">
        <f>IF(ISNA(VLOOKUP($B420,CPY!$B:$G,2,FALSE))=TRUE," ",VLOOKUP($B420,CPY!$B:$G,2,FALSE))</f>
        <v> </v>
      </c>
      <c r="D420" s="50" t="str">
        <f>IF(ISNA(VLOOKUP($B420,CPY!$B:$G,3,FALSE))=TRUE," ",VLOOKUP($B420,CPY!$B:$G,3,FALSE))</f>
        <v> </v>
      </c>
      <c r="E420" s="65" t="str">
        <f>IF(ISNA(VLOOKUP($B420,CPY!$B:$G,4,FALSE))=TRUE," ",VLOOKUP($B420,CPY!$B:$G,4,FALSE))</f>
        <v> </v>
      </c>
      <c r="F420" s="62"/>
      <c r="G420" s="86"/>
      <c r="H420" s="87"/>
      <c r="I420" s="88"/>
      <c r="J420" s="88"/>
      <c r="K420" s="89">
        <f t="shared" si="15"/>
        <v>0</v>
      </c>
      <c r="L420" s="90" t="b">
        <f>IF((ISNUMBER(K420)),IF(AND(F420="Workdays",(SUMIFS(N:N,F:F,F420,H:H,H420,B:B,B420)&lt;=24)),IF(AND((K420*24)&gt;0,(K420*24)&lt;16),((K420*24)*MD!$I$6),IF((K420*24)&gt;=16,(MD!$J$6))),IF(AND(F420="Non_workdays",(SUMIFS(N:N,F:F,F420,H:H,H420,B:B,B420)&lt;=24)),IF(AND((K420*24)&gt;0,(K420*24)&lt;12),((K420*24)*MD!$I$5),IF((K420*24)&gt;=12,(MD!$J$5))))))</f>
        <v>0</v>
      </c>
      <c r="M420" s="62"/>
      <c r="N420" s="72">
        <f t="shared" si="14"/>
        <v>0</v>
      </c>
    </row>
    <row r="421" spans="1:14" x14ac:dyDescent="0.25">
      <c r="A421" s="62">
        <v>420</v>
      </c>
      <c r="B421" s="62"/>
      <c r="C421" s="85" t="str">
        <f>IF(ISNA(VLOOKUP($B421,CPY!$B:$G,2,FALSE))=TRUE," ",VLOOKUP($B421,CPY!$B:$G,2,FALSE))</f>
        <v> </v>
      </c>
      <c r="D421" s="50" t="str">
        <f>IF(ISNA(VLOOKUP($B421,CPY!$B:$G,3,FALSE))=TRUE," ",VLOOKUP($B421,CPY!$B:$G,3,FALSE))</f>
        <v> </v>
      </c>
      <c r="E421" s="65" t="str">
        <f>IF(ISNA(VLOOKUP($B421,CPY!$B:$G,4,FALSE))=TRUE," ",VLOOKUP($B421,CPY!$B:$G,4,FALSE))</f>
        <v> </v>
      </c>
      <c r="F421" s="62"/>
      <c r="G421" s="86"/>
      <c r="H421" s="87"/>
      <c r="I421" s="88"/>
      <c r="J421" s="88"/>
      <c r="K421" s="89">
        <f t="shared" si="15"/>
        <v>0</v>
      </c>
      <c r="L421" s="90" t="b">
        <f>IF((ISNUMBER(K421)),IF(AND(F421="Workdays",(SUMIFS(N:N,F:F,F421,H:H,H421,B:B,B421)&lt;=24)),IF(AND((K421*24)&gt;0,(K421*24)&lt;16),((K421*24)*MD!$I$6),IF((K421*24)&gt;=16,(MD!$J$6))),IF(AND(F421="Non_workdays",(SUMIFS(N:N,F:F,F421,H:H,H421,B:B,B421)&lt;=24)),IF(AND((K421*24)&gt;0,(K421*24)&lt;12),((K421*24)*MD!$I$5),IF((K421*24)&gt;=12,(MD!$J$5))))))</f>
        <v>0</v>
      </c>
      <c r="M421" s="62"/>
      <c r="N421" s="72">
        <f t="shared" si="14"/>
        <v>0</v>
      </c>
    </row>
    <row r="422" spans="1:14" x14ac:dyDescent="0.25">
      <c r="A422" s="62">
        <v>421</v>
      </c>
      <c r="B422" s="62"/>
      <c r="C422" s="85" t="str">
        <f>IF(ISNA(VLOOKUP($B422,CPY!$B:$G,2,FALSE))=TRUE," ",VLOOKUP($B422,CPY!$B:$G,2,FALSE))</f>
        <v> </v>
      </c>
      <c r="D422" s="50" t="str">
        <f>IF(ISNA(VLOOKUP($B422,CPY!$B:$G,3,FALSE))=TRUE," ",VLOOKUP($B422,CPY!$B:$G,3,FALSE))</f>
        <v> </v>
      </c>
      <c r="E422" s="65" t="str">
        <f>IF(ISNA(VLOOKUP($B422,CPY!$B:$G,4,FALSE))=TRUE," ",VLOOKUP($B422,CPY!$B:$G,4,FALSE))</f>
        <v> </v>
      </c>
      <c r="F422" s="62"/>
      <c r="G422" s="86"/>
      <c r="H422" s="87"/>
      <c r="I422" s="88"/>
      <c r="J422" s="88"/>
      <c r="K422" s="89">
        <f t="shared" si="15"/>
        <v>0</v>
      </c>
      <c r="L422" s="90" t="b">
        <f>IF((ISNUMBER(K422)),IF(AND(F422="Workdays",(SUMIFS(N:N,F:F,F422,H:H,H422,B:B,B422)&lt;=24)),IF(AND((K422*24)&gt;0,(K422*24)&lt;16),((K422*24)*MD!$I$6),IF((K422*24)&gt;=16,(MD!$J$6))),IF(AND(F422="Non_workdays",(SUMIFS(N:N,F:F,F422,H:H,H422,B:B,B422)&lt;=24)),IF(AND((K422*24)&gt;0,(K422*24)&lt;12),((K422*24)*MD!$I$5),IF((K422*24)&gt;=12,(MD!$J$5))))))</f>
        <v>0</v>
      </c>
      <c r="M422" s="62"/>
      <c r="N422" s="72">
        <f t="shared" si="14"/>
        <v>0</v>
      </c>
    </row>
    <row r="423" spans="1:14" x14ac:dyDescent="0.25">
      <c r="A423" s="62">
        <v>422</v>
      </c>
      <c r="B423" s="62"/>
      <c r="C423" s="85" t="str">
        <f>IF(ISNA(VLOOKUP($B423,CPY!$B:$G,2,FALSE))=TRUE," ",VLOOKUP($B423,CPY!$B:$G,2,FALSE))</f>
        <v> </v>
      </c>
      <c r="D423" s="50" t="str">
        <f>IF(ISNA(VLOOKUP($B423,CPY!$B:$G,3,FALSE))=TRUE," ",VLOOKUP($B423,CPY!$B:$G,3,FALSE))</f>
        <v> </v>
      </c>
      <c r="E423" s="65" t="str">
        <f>IF(ISNA(VLOOKUP($B423,CPY!$B:$G,4,FALSE))=TRUE," ",VLOOKUP($B423,CPY!$B:$G,4,FALSE))</f>
        <v> </v>
      </c>
      <c r="F423" s="62"/>
      <c r="G423" s="86"/>
      <c r="H423" s="87"/>
      <c r="I423" s="88"/>
      <c r="J423" s="88"/>
      <c r="K423" s="89">
        <f t="shared" si="15"/>
        <v>0</v>
      </c>
      <c r="L423" s="90" t="b">
        <f>IF((ISNUMBER(K423)),IF(AND(F423="Workdays",(SUMIFS(N:N,F:F,F423,H:H,H423,B:B,B423)&lt;=24)),IF(AND((K423*24)&gt;0,(K423*24)&lt;16),((K423*24)*MD!$I$6),IF((K423*24)&gt;=16,(MD!$J$6))),IF(AND(F423="Non_workdays",(SUMIFS(N:N,F:F,F423,H:H,H423,B:B,B423)&lt;=24)),IF(AND((K423*24)&gt;0,(K423*24)&lt;12),((K423*24)*MD!$I$5),IF((K423*24)&gt;=12,(MD!$J$5))))))</f>
        <v>0</v>
      </c>
      <c r="M423" s="62"/>
      <c r="N423" s="72">
        <f t="shared" si="14"/>
        <v>0</v>
      </c>
    </row>
    <row r="424" spans="1:14" x14ac:dyDescent="0.25">
      <c r="A424" s="62">
        <v>423</v>
      </c>
      <c r="B424" s="62"/>
      <c r="C424" s="85" t="str">
        <f>IF(ISNA(VLOOKUP($B424,CPY!$B:$G,2,FALSE))=TRUE," ",VLOOKUP($B424,CPY!$B:$G,2,FALSE))</f>
        <v> </v>
      </c>
      <c r="D424" s="50" t="str">
        <f>IF(ISNA(VLOOKUP($B424,CPY!$B:$G,3,FALSE))=TRUE," ",VLOOKUP($B424,CPY!$B:$G,3,FALSE))</f>
        <v> </v>
      </c>
      <c r="E424" s="65" t="str">
        <f>IF(ISNA(VLOOKUP($B424,CPY!$B:$G,4,FALSE))=TRUE," ",VLOOKUP($B424,CPY!$B:$G,4,FALSE))</f>
        <v> </v>
      </c>
      <c r="F424" s="62"/>
      <c r="G424" s="86"/>
      <c r="H424" s="87"/>
      <c r="I424" s="88"/>
      <c r="J424" s="88"/>
      <c r="K424" s="89">
        <f t="shared" si="15"/>
        <v>0</v>
      </c>
      <c r="L424" s="90" t="b">
        <f>IF((ISNUMBER(K424)),IF(AND(F424="Workdays",(SUMIFS(N:N,F:F,F424,H:H,H424,B:B,B424)&lt;=24)),IF(AND((K424*24)&gt;0,(K424*24)&lt;16),((K424*24)*MD!$I$6),IF((K424*24)&gt;=16,(MD!$J$6))),IF(AND(F424="Non_workdays",(SUMIFS(N:N,F:F,F424,H:H,H424,B:B,B424)&lt;=24)),IF(AND((K424*24)&gt;0,(K424*24)&lt;12),((K424*24)*MD!$I$5),IF((K424*24)&gt;=12,(MD!$J$5))))))</f>
        <v>0</v>
      </c>
      <c r="M424" s="62"/>
      <c r="N424" s="72">
        <f t="shared" si="14"/>
        <v>0</v>
      </c>
    </row>
    <row r="425" spans="1:14" x14ac:dyDescent="0.25">
      <c r="A425" s="62">
        <v>424</v>
      </c>
      <c r="B425" s="62"/>
      <c r="C425" s="85" t="str">
        <f>IF(ISNA(VLOOKUP($B425,CPY!$B:$G,2,FALSE))=TRUE," ",VLOOKUP($B425,CPY!$B:$G,2,FALSE))</f>
        <v> </v>
      </c>
      <c r="D425" s="50" t="str">
        <f>IF(ISNA(VLOOKUP($B425,CPY!$B:$G,3,FALSE))=TRUE," ",VLOOKUP($B425,CPY!$B:$G,3,FALSE))</f>
        <v> </v>
      </c>
      <c r="E425" s="65" t="str">
        <f>IF(ISNA(VLOOKUP($B425,CPY!$B:$G,4,FALSE))=TRUE," ",VLOOKUP($B425,CPY!$B:$G,4,FALSE))</f>
        <v> </v>
      </c>
      <c r="F425" s="62"/>
      <c r="G425" s="86"/>
      <c r="H425" s="87"/>
      <c r="I425" s="88"/>
      <c r="J425" s="88"/>
      <c r="K425" s="89">
        <f t="shared" si="15"/>
        <v>0</v>
      </c>
      <c r="L425" s="90" t="b">
        <f>IF((ISNUMBER(K425)),IF(AND(F425="Workdays",(SUMIFS(N:N,F:F,F425,H:H,H425,B:B,B425)&lt;=24)),IF(AND((K425*24)&gt;0,(K425*24)&lt;16),((K425*24)*MD!$I$6),IF((K425*24)&gt;=16,(MD!$J$6))),IF(AND(F425="Non_workdays",(SUMIFS(N:N,F:F,F425,H:H,H425,B:B,B425)&lt;=24)),IF(AND((K425*24)&gt;0,(K425*24)&lt;12),((K425*24)*MD!$I$5),IF((K425*24)&gt;=12,(MD!$J$5))))))</f>
        <v>0</v>
      </c>
      <c r="M425" s="62"/>
      <c r="N425" s="72">
        <f t="shared" si="14"/>
        <v>0</v>
      </c>
    </row>
    <row r="426" spans="1:14" x14ac:dyDescent="0.25">
      <c r="A426" s="62">
        <v>425</v>
      </c>
      <c r="B426" s="62"/>
      <c r="C426" s="85" t="str">
        <f>IF(ISNA(VLOOKUP($B426,CPY!$B:$G,2,FALSE))=TRUE," ",VLOOKUP($B426,CPY!$B:$G,2,FALSE))</f>
        <v> </v>
      </c>
      <c r="D426" s="50" t="str">
        <f>IF(ISNA(VLOOKUP($B426,CPY!$B:$G,3,FALSE))=TRUE," ",VLOOKUP($B426,CPY!$B:$G,3,FALSE))</f>
        <v> </v>
      </c>
      <c r="E426" s="65" t="str">
        <f>IF(ISNA(VLOOKUP($B426,CPY!$B:$G,4,FALSE))=TRUE," ",VLOOKUP($B426,CPY!$B:$G,4,FALSE))</f>
        <v> </v>
      </c>
      <c r="F426" s="62"/>
      <c r="G426" s="86"/>
      <c r="H426" s="87"/>
      <c r="I426" s="88"/>
      <c r="J426" s="88"/>
      <c r="K426" s="89">
        <f t="shared" si="15"/>
        <v>0</v>
      </c>
      <c r="L426" s="90" t="b">
        <f>IF((ISNUMBER(K426)),IF(AND(F426="Workdays",(SUMIFS(N:N,F:F,F426,H:H,H426,B:B,B426)&lt;=24)),IF(AND((K426*24)&gt;0,(K426*24)&lt;16),((K426*24)*MD!$I$6),IF((K426*24)&gt;=16,(MD!$J$6))),IF(AND(F426="Non_workdays",(SUMIFS(N:N,F:F,F426,H:H,H426,B:B,B426)&lt;=24)),IF(AND((K426*24)&gt;0,(K426*24)&lt;12),((K426*24)*MD!$I$5),IF((K426*24)&gt;=12,(MD!$J$5))))))</f>
        <v>0</v>
      </c>
      <c r="M426" s="62"/>
      <c r="N426" s="72">
        <f t="shared" si="14"/>
        <v>0</v>
      </c>
    </row>
    <row r="427" spans="1:14" x14ac:dyDescent="0.25">
      <c r="A427" s="62">
        <v>426</v>
      </c>
      <c r="B427" s="62"/>
      <c r="C427" s="85" t="str">
        <f>IF(ISNA(VLOOKUP($B427,CPY!$B:$G,2,FALSE))=TRUE," ",VLOOKUP($B427,CPY!$B:$G,2,FALSE))</f>
        <v> </v>
      </c>
      <c r="D427" s="50" t="str">
        <f>IF(ISNA(VLOOKUP($B427,CPY!$B:$G,3,FALSE))=TRUE," ",VLOOKUP($B427,CPY!$B:$G,3,FALSE))</f>
        <v> </v>
      </c>
      <c r="E427" s="65" t="str">
        <f>IF(ISNA(VLOOKUP($B427,CPY!$B:$G,4,FALSE))=TRUE," ",VLOOKUP($B427,CPY!$B:$G,4,FALSE))</f>
        <v> </v>
      </c>
      <c r="F427" s="62"/>
      <c r="G427" s="86"/>
      <c r="H427" s="87"/>
      <c r="I427" s="88"/>
      <c r="J427" s="88"/>
      <c r="K427" s="89">
        <f t="shared" si="15"/>
        <v>0</v>
      </c>
      <c r="L427" s="90" t="b">
        <f>IF((ISNUMBER(K427)),IF(AND(F427="Workdays",(SUMIFS(N:N,F:F,F427,H:H,H427,B:B,B427)&lt;=24)),IF(AND((K427*24)&gt;0,(K427*24)&lt;16),((K427*24)*MD!$I$6),IF((K427*24)&gt;=16,(MD!$J$6))),IF(AND(F427="Non_workdays",(SUMIFS(N:N,F:F,F427,H:H,H427,B:B,B427)&lt;=24)),IF(AND((K427*24)&gt;0,(K427*24)&lt;12),((K427*24)*MD!$I$5),IF((K427*24)&gt;=12,(MD!$J$5))))))</f>
        <v>0</v>
      </c>
      <c r="M427" s="62"/>
      <c r="N427" s="72">
        <f t="shared" si="14"/>
        <v>0</v>
      </c>
    </row>
    <row r="428" spans="1:14" x14ac:dyDescent="0.25">
      <c r="A428" s="62">
        <v>427</v>
      </c>
      <c r="B428" s="62"/>
      <c r="C428" s="85" t="str">
        <f>IF(ISNA(VLOOKUP($B428,CPY!$B:$G,2,FALSE))=TRUE," ",VLOOKUP($B428,CPY!$B:$G,2,FALSE))</f>
        <v> </v>
      </c>
      <c r="D428" s="50" t="str">
        <f>IF(ISNA(VLOOKUP($B428,CPY!$B:$G,3,FALSE))=TRUE," ",VLOOKUP($B428,CPY!$B:$G,3,FALSE))</f>
        <v> </v>
      </c>
      <c r="E428" s="65" t="str">
        <f>IF(ISNA(VLOOKUP($B428,CPY!$B:$G,4,FALSE))=TRUE," ",VLOOKUP($B428,CPY!$B:$G,4,FALSE))</f>
        <v> </v>
      </c>
      <c r="F428" s="62"/>
      <c r="G428" s="86"/>
      <c r="H428" s="87"/>
      <c r="I428" s="88"/>
      <c r="J428" s="88"/>
      <c r="K428" s="89">
        <f t="shared" si="15"/>
        <v>0</v>
      </c>
      <c r="L428" s="90" t="b">
        <f>IF((ISNUMBER(K428)),IF(AND(F428="Workdays",(SUMIFS(N:N,F:F,F428,H:H,H428,B:B,B428)&lt;=24)),IF(AND((K428*24)&gt;0,(K428*24)&lt;16),((K428*24)*MD!$I$6),IF((K428*24)&gt;=16,(MD!$J$6))),IF(AND(F428="Non_workdays",(SUMIFS(N:N,F:F,F428,H:H,H428,B:B,B428)&lt;=24)),IF(AND((K428*24)&gt;0,(K428*24)&lt;12),((K428*24)*MD!$I$5),IF((K428*24)&gt;=12,(MD!$J$5))))))</f>
        <v>0</v>
      </c>
      <c r="M428" s="62"/>
      <c r="N428" s="72">
        <f t="shared" si="14"/>
        <v>0</v>
      </c>
    </row>
    <row r="429" spans="1:14" x14ac:dyDescent="0.25">
      <c r="A429" s="62">
        <v>428</v>
      </c>
      <c r="B429" s="62"/>
      <c r="C429" s="85" t="str">
        <f>IF(ISNA(VLOOKUP($B429,CPY!$B:$G,2,FALSE))=TRUE," ",VLOOKUP($B429,CPY!$B:$G,2,FALSE))</f>
        <v> </v>
      </c>
      <c r="D429" s="50" t="str">
        <f>IF(ISNA(VLOOKUP($B429,CPY!$B:$G,3,FALSE))=TRUE," ",VLOOKUP($B429,CPY!$B:$G,3,FALSE))</f>
        <v> </v>
      </c>
      <c r="E429" s="65" t="str">
        <f>IF(ISNA(VLOOKUP($B429,CPY!$B:$G,4,FALSE))=TRUE," ",VLOOKUP($B429,CPY!$B:$G,4,FALSE))</f>
        <v> </v>
      </c>
      <c r="F429" s="62"/>
      <c r="G429" s="86"/>
      <c r="H429" s="87"/>
      <c r="I429" s="88"/>
      <c r="J429" s="88"/>
      <c r="K429" s="89">
        <f t="shared" si="15"/>
        <v>0</v>
      </c>
      <c r="L429" s="90" t="b">
        <f>IF((ISNUMBER(K429)),IF(AND(F429="Workdays",(SUMIFS(N:N,F:F,F429,H:H,H429,B:B,B429)&lt;=24)),IF(AND((K429*24)&gt;0,(K429*24)&lt;16),((K429*24)*MD!$I$6),IF((K429*24)&gt;=16,(MD!$J$6))),IF(AND(F429="Non_workdays",(SUMIFS(N:N,F:F,F429,H:H,H429,B:B,B429)&lt;=24)),IF(AND((K429*24)&gt;0,(K429*24)&lt;12),((K429*24)*MD!$I$5),IF((K429*24)&gt;=12,(MD!$J$5))))))</f>
        <v>0</v>
      </c>
      <c r="M429" s="62"/>
      <c r="N429" s="72">
        <f t="shared" si="14"/>
        <v>0</v>
      </c>
    </row>
    <row r="430" spans="1:14" x14ac:dyDescent="0.25">
      <c r="A430" s="62">
        <v>429</v>
      </c>
      <c r="B430" s="62"/>
      <c r="C430" s="85" t="str">
        <f>IF(ISNA(VLOOKUP($B430,CPY!$B:$G,2,FALSE))=TRUE," ",VLOOKUP($B430,CPY!$B:$G,2,FALSE))</f>
        <v> </v>
      </c>
      <c r="D430" s="50" t="str">
        <f>IF(ISNA(VLOOKUP($B430,CPY!$B:$G,3,FALSE))=TRUE," ",VLOOKUP($B430,CPY!$B:$G,3,FALSE))</f>
        <v> </v>
      </c>
      <c r="E430" s="65" t="str">
        <f>IF(ISNA(VLOOKUP($B430,CPY!$B:$G,4,FALSE))=TRUE," ",VLOOKUP($B430,CPY!$B:$G,4,FALSE))</f>
        <v> </v>
      </c>
      <c r="F430" s="62"/>
      <c r="G430" s="86"/>
      <c r="H430" s="87"/>
      <c r="I430" s="88"/>
      <c r="J430" s="88"/>
      <c r="K430" s="89">
        <f t="shared" si="15"/>
        <v>0</v>
      </c>
      <c r="L430" s="90" t="b">
        <f>IF((ISNUMBER(K430)),IF(AND(F430="Workdays",(SUMIFS(N:N,F:F,F430,H:H,H430,B:B,B430)&lt;=24)),IF(AND((K430*24)&gt;0,(K430*24)&lt;16),((K430*24)*MD!$I$6),IF((K430*24)&gt;=16,(MD!$J$6))),IF(AND(F430="Non_workdays",(SUMIFS(N:N,F:F,F430,H:H,H430,B:B,B430)&lt;=24)),IF(AND((K430*24)&gt;0,(K430*24)&lt;12),((K430*24)*MD!$I$5),IF((K430*24)&gt;=12,(MD!$J$5))))))</f>
        <v>0</v>
      </c>
      <c r="M430" s="62"/>
      <c r="N430" s="72">
        <f t="shared" si="14"/>
        <v>0</v>
      </c>
    </row>
    <row r="431" spans="1:14" x14ac:dyDescent="0.25">
      <c r="A431" s="62">
        <v>430</v>
      </c>
      <c r="B431" s="62"/>
      <c r="C431" s="85" t="str">
        <f>IF(ISNA(VLOOKUP($B431,CPY!$B:$G,2,FALSE))=TRUE," ",VLOOKUP($B431,CPY!$B:$G,2,FALSE))</f>
        <v> </v>
      </c>
      <c r="D431" s="50" t="str">
        <f>IF(ISNA(VLOOKUP($B431,CPY!$B:$G,3,FALSE))=TRUE," ",VLOOKUP($B431,CPY!$B:$G,3,FALSE))</f>
        <v> </v>
      </c>
      <c r="E431" s="65" t="str">
        <f>IF(ISNA(VLOOKUP($B431,CPY!$B:$G,4,FALSE))=TRUE," ",VLOOKUP($B431,CPY!$B:$G,4,FALSE))</f>
        <v> </v>
      </c>
      <c r="F431" s="62"/>
      <c r="G431" s="86"/>
      <c r="H431" s="87"/>
      <c r="I431" s="88"/>
      <c r="J431" s="88"/>
      <c r="K431" s="89">
        <f t="shared" si="15"/>
        <v>0</v>
      </c>
      <c r="L431" s="90" t="b">
        <f>IF((ISNUMBER(K431)),IF(AND(F431="Workdays",(SUMIFS(N:N,F:F,F431,H:H,H431,B:B,B431)&lt;=24)),IF(AND((K431*24)&gt;0,(K431*24)&lt;16),((K431*24)*MD!$I$6),IF((K431*24)&gt;=16,(MD!$J$6))),IF(AND(F431="Non_workdays",(SUMIFS(N:N,F:F,F431,H:H,H431,B:B,B431)&lt;=24)),IF(AND((K431*24)&gt;0,(K431*24)&lt;12),((K431*24)*MD!$I$5),IF((K431*24)&gt;=12,(MD!$J$5))))))</f>
        <v>0</v>
      </c>
      <c r="M431" s="62"/>
      <c r="N431" s="72">
        <f t="shared" si="14"/>
        <v>0</v>
      </c>
    </row>
    <row r="432" spans="1:14" x14ac:dyDescent="0.25">
      <c r="A432" s="62">
        <v>431</v>
      </c>
      <c r="B432" s="62"/>
      <c r="C432" s="85" t="str">
        <f>IF(ISNA(VLOOKUP($B432,CPY!$B:$G,2,FALSE))=TRUE," ",VLOOKUP($B432,CPY!$B:$G,2,FALSE))</f>
        <v> </v>
      </c>
      <c r="D432" s="50" t="str">
        <f>IF(ISNA(VLOOKUP($B432,CPY!$B:$G,3,FALSE))=TRUE," ",VLOOKUP($B432,CPY!$B:$G,3,FALSE))</f>
        <v> </v>
      </c>
      <c r="E432" s="65" t="str">
        <f>IF(ISNA(VLOOKUP($B432,CPY!$B:$G,4,FALSE))=TRUE," ",VLOOKUP($B432,CPY!$B:$G,4,FALSE))</f>
        <v> </v>
      </c>
      <c r="F432" s="62"/>
      <c r="G432" s="86"/>
      <c r="H432" s="87"/>
      <c r="I432" s="88"/>
      <c r="J432" s="88"/>
      <c r="K432" s="89">
        <f t="shared" si="15"/>
        <v>0</v>
      </c>
      <c r="L432" s="90" t="b">
        <f>IF((ISNUMBER(K432)),IF(AND(F432="Workdays",(SUMIFS(N:N,F:F,F432,H:H,H432,B:B,B432)&lt;=24)),IF(AND((K432*24)&gt;0,(K432*24)&lt;16),((K432*24)*MD!$I$6),IF((K432*24)&gt;=16,(MD!$J$6))),IF(AND(F432="Non_workdays",(SUMIFS(N:N,F:F,F432,H:H,H432,B:B,B432)&lt;=24)),IF(AND((K432*24)&gt;0,(K432*24)&lt;12),((K432*24)*MD!$I$5),IF((K432*24)&gt;=12,(MD!$J$5))))))</f>
        <v>0</v>
      </c>
      <c r="M432" s="62"/>
      <c r="N432" s="72">
        <f t="shared" si="14"/>
        <v>0</v>
      </c>
    </row>
    <row r="433" spans="1:14" x14ac:dyDescent="0.25">
      <c r="A433" s="62">
        <v>432</v>
      </c>
      <c r="B433" s="62"/>
      <c r="C433" s="85" t="str">
        <f>IF(ISNA(VLOOKUP($B433,CPY!$B:$G,2,FALSE))=TRUE," ",VLOOKUP($B433,CPY!$B:$G,2,FALSE))</f>
        <v> </v>
      </c>
      <c r="D433" s="50" t="str">
        <f>IF(ISNA(VLOOKUP($B433,CPY!$B:$G,3,FALSE))=TRUE," ",VLOOKUP($B433,CPY!$B:$G,3,FALSE))</f>
        <v> </v>
      </c>
      <c r="E433" s="65" t="str">
        <f>IF(ISNA(VLOOKUP($B433,CPY!$B:$G,4,FALSE))=TRUE," ",VLOOKUP($B433,CPY!$B:$G,4,FALSE))</f>
        <v> </v>
      </c>
      <c r="F433" s="62"/>
      <c r="G433" s="86"/>
      <c r="H433" s="87"/>
      <c r="I433" s="88"/>
      <c r="J433" s="88"/>
      <c r="K433" s="89">
        <f t="shared" si="15"/>
        <v>0</v>
      </c>
      <c r="L433" s="90" t="b">
        <f>IF((ISNUMBER(K433)),IF(AND(F433="Workdays",(SUMIFS(N:N,F:F,F433,H:H,H433,B:B,B433)&lt;=24)),IF(AND((K433*24)&gt;0,(K433*24)&lt;16),((K433*24)*MD!$I$6),IF((K433*24)&gt;=16,(MD!$J$6))),IF(AND(F433="Non_workdays",(SUMIFS(N:N,F:F,F433,H:H,H433,B:B,B433)&lt;=24)),IF(AND((K433*24)&gt;0,(K433*24)&lt;12),((K433*24)*MD!$I$5),IF((K433*24)&gt;=12,(MD!$J$5))))))</f>
        <v>0</v>
      </c>
      <c r="M433" s="62"/>
      <c r="N433" s="72">
        <f t="shared" si="14"/>
        <v>0</v>
      </c>
    </row>
    <row r="434" spans="1:14" x14ac:dyDescent="0.25">
      <c r="A434" s="62">
        <v>433</v>
      </c>
      <c r="B434" s="62"/>
      <c r="C434" s="85" t="str">
        <f>IF(ISNA(VLOOKUP($B434,CPY!$B:$G,2,FALSE))=TRUE," ",VLOOKUP($B434,CPY!$B:$G,2,FALSE))</f>
        <v> </v>
      </c>
      <c r="D434" s="50" t="str">
        <f>IF(ISNA(VLOOKUP($B434,CPY!$B:$G,3,FALSE))=TRUE," ",VLOOKUP($B434,CPY!$B:$G,3,FALSE))</f>
        <v> </v>
      </c>
      <c r="E434" s="65" t="str">
        <f>IF(ISNA(VLOOKUP($B434,CPY!$B:$G,4,FALSE))=TRUE," ",VLOOKUP($B434,CPY!$B:$G,4,FALSE))</f>
        <v> </v>
      </c>
      <c r="F434" s="62"/>
      <c r="G434" s="86"/>
      <c r="H434" s="87"/>
      <c r="I434" s="88"/>
      <c r="J434" s="88"/>
      <c r="K434" s="89">
        <f t="shared" si="15"/>
        <v>0</v>
      </c>
      <c r="L434" s="90" t="b">
        <f>IF((ISNUMBER(K434)),IF(AND(F434="Workdays",(SUMIFS(N:N,F:F,F434,H:H,H434,B:B,B434)&lt;=24)),IF(AND((K434*24)&gt;0,(K434*24)&lt;16),((K434*24)*MD!$I$6),IF((K434*24)&gt;=16,(MD!$J$6))),IF(AND(F434="Non_workdays",(SUMIFS(N:N,F:F,F434,H:H,H434,B:B,B434)&lt;=24)),IF(AND((K434*24)&gt;0,(K434*24)&lt;12),((K434*24)*MD!$I$5),IF((K434*24)&gt;=12,(MD!$J$5))))))</f>
        <v>0</v>
      </c>
      <c r="M434" s="62"/>
      <c r="N434" s="72">
        <f t="shared" si="14"/>
        <v>0</v>
      </c>
    </row>
    <row r="435" spans="1:14" x14ac:dyDescent="0.25">
      <c r="A435" s="62">
        <v>434</v>
      </c>
      <c r="B435" s="62"/>
      <c r="C435" s="85" t="str">
        <f>IF(ISNA(VLOOKUP($B435,CPY!$B:$G,2,FALSE))=TRUE," ",VLOOKUP($B435,CPY!$B:$G,2,FALSE))</f>
        <v> </v>
      </c>
      <c r="D435" s="50" t="str">
        <f>IF(ISNA(VLOOKUP($B435,CPY!$B:$G,3,FALSE))=TRUE," ",VLOOKUP($B435,CPY!$B:$G,3,FALSE))</f>
        <v> </v>
      </c>
      <c r="E435" s="65" t="str">
        <f>IF(ISNA(VLOOKUP($B435,CPY!$B:$G,4,FALSE))=TRUE," ",VLOOKUP($B435,CPY!$B:$G,4,FALSE))</f>
        <v> </v>
      </c>
      <c r="F435" s="62"/>
      <c r="G435" s="86"/>
      <c r="H435" s="87"/>
      <c r="I435" s="88"/>
      <c r="J435" s="88"/>
      <c r="K435" s="89">
        <f t="shared" si="15"/>
        <v>0</v>
      </c>
      <c r="L435" s="90" t="b">
        <f>IF((ISNUMBER(K435)),IF(AND(F435="Workdays",(SUMIFS(N:N,F:F,F435,H:H,H435,B:B,B435)&lt;=24)),IF(AND((K435*24)&gt;0,(K435*24)&lt;16),((K435*24)*MD!$I$6),IF((K435*24)&gt;=16,(MD!$J$6))),IF(AND(F435="Non_workdays",(SUMIFS(N:N,F:F,F435,H:H,H435,B:B,B435)&lt;=24)),IF(AND((K435*24)&gt;0,(K435*24)&lt;12),((K435*24)*MD!$I$5),IF((K435*24)&gt;=12,(MD!$J$5))))))</f>
        <v>0</v>
      </c>
      <c r="M435" s="62"/>
      <c r="N435" s="72">
        <f t="shared" si="14"/>
        <v>0</v>
      </c>
    </row>
    <row r="436" spans="1:14" x14ac:dyDescent="0.25">
      <c r="A436" s="62">
        <v>435</v>
      </c>
      <c r="B436" s="62"/>
      <c r="C436" s="85" t="str">
        <f>IF(ISNA(VLOOKUP($B436,CPY!$B:$G,2,FALSE))=TRUE," ",VLOOKUP($B436,CPY!$B:$G,2,FALSE))</f>
        <v> </v>
      </c>
      <c r="D436" s="50" t="str">
        <f>IF(ISNA(VLOOKUP($B436,CPY!$B:$G,3,FALSE))=TRUE," ",VLOOKUP($B436,CPY!$B:$G,3,FALSE))</f>
        <v> </v>
      </c>
      <c r="E436" s="65" t="str">
        <f>IF(ISNA(VLOOKUP($B436,CPY!$B:$G,4,FALSE))=TRUE," ",VLOOKUP($B436,CPY!$B:$G,4,FALSE))</f>
        <v> </v>
      </c>
      <c r="F436" s="62"/>
      <c r="G436" s="86"/>
      <c r="H436" s="87"/>
      <c r="I436" s="88"/>
      <c r="J436" s="88"/>
      <c r="K436" s="89">
        <f t="shared" si="15"/>
        <v>0</v>
      </c>
      <c r="L436" s="90" t="b">
        <f>IF((ISNUMBER(K436)),IF(AND(F436="Workdays",(SUMIFS(N:N,F:F,F436,H:H,H436,B:B,B436)&lt;=24)),IF(AND((K436*24)&gt;0,(K436*24)&lt;16),((K436*24)*MD!$I$6),IF((K436*24)&gt;=16,(MD!$J$6))),IF(AND(F436="Non_workdays",(SUMIFS(N:N,F:F,F436,H:H,H436,B:B,B436)&lt;=24)),IF(AND((K436*24)&gt;0,(K436*24)&lt;12),((K436*24)*MD!$I$5),IF((K436*24)&gt;=12,(MD!$J$5))))))</f>
        <v>0</v>
      </c>
      <c r="M436" s="62"/>
      <c r="N436" s="72">
        <f t="shared" si="14"/>
        <v>0</v>
      </c>
    </row>
    <row r="437" spans="1:14" x14ac:dyDescent="0.25">
      <c r="A437" s="62">
        <v>436</v>
      </c>
      <c r="B437" s="62"/>
      <c r="C437" s="85" t="str">
        <f>IF(ISNA(VLOOKUP($B437,CPY!$B:$G,2,FALSE))=TRUE," ",VLOOKUP($B437,CPY!$B:$G,2,FALSE))</f>
        <v> </v>
      </c>
      <c r="D437" s="50" t="str">
        <f>IF(ISNA(VLOOKUP($B437,CPY!$B:$G,3,FALSE))=TRUE," ",VLOOKUP($B437,CPY!$B:$G,3,FALSE))</f>
        <v> </v>
      </c>
      <c r="E437" s="65" t="str">
        <f>IF(ISNA(VLOOKUP($B437,CPY!$B:$G,4,FALSE))=TRUE," ",VLOOKUP($B437,CPY!$B:$G,4,FALSE))</f>
        <v> </v>
      </c>
      <c r="F437" s="62"/>
      <c r="G437" s="86"/>
      <c r="H437" s="87"/>
      <c r="I437" s="88"/>
      <c r="J437" s="88"/>
      <c r="K437" s="89">
        <f t="shared" si="15"/>
        <v>0</v>
      </c>
      <c r="L437" s="90" t="b">
        <f>IF((ISNUMBER(K437)),IF(AND(F437="Workdays",(SUMIFS(N:N,F:F,F437,H:H,H437,B:B,B437)&lt;=24)),IF(AND((K437*24)&gt;0,(K437*24)&lt;16),((K437*24)*MD!$I$6),IF((K437*24)&gt;=16,(MD!$J$6))),IF(AND(F437="Non_workdays",(SUMIFS(N:N,F:F,F437,H:H,H437,B:B,B437)&lt;=24)),IF(AND((K437*24)&gt;0,(K437*24)&lt;12),((K437*24)*MD!$I$5),IF((K437*24)&gt;=12,(MD!$J$5))))))</f>
        <v>0</v>
      </c>
      <c r="M437" s="62"/>
      <c r="N437" s="72">
        <f t="shared" si="14"/>
        <v>0</v>
      </c>
    </row>
    <row r="438" spans="1:14" x14ac:dyDescent="0.25">
      <c r="A438" s="62">
        <v>437</v>
      </c>
      <c r="B438" s="62"/>
      <c r="C438" s="85" t="str">
        <f>IF(ISNA(VLOOKUP($B438,CPY!$B:$G,2,FALSE))=TRUE," ",VLOOKUP($B438,CPY!$B:$G,2,FALSE))</f>
        <v> </v>
      </c>
      <c r="D438" s="50" t="str">
        <f>IF(ISNA(VLOOKUP($B438,CPY!$B:$G,3,FALSE))=TRUE," ",VLOOKUP($B438,CPY!$B:$G,3,FALSE))</f>
        <v> </v>
      </c>
      <c r="E438" s="65" t="str">
        <f>IF(ISNA(VLOOKUP($B438,CPY!$B:$G,4,FALSE))=TRUE," ",VLOOKUP($B438,CPY!$B:$G,4,FALSE))</f>
        <v> </v>
      </c>
      <c r="F438" s="62"/>
      <c r="G438" s="86"/>
      <c r="H438" s="87"/>
      <c r="I438" s="88"/>
      <c r="J438" s="88"/>
      <c r="K438" s="89">
        <f t="shared" si="15"/>
        <v>0</v>
      </c>
      <c r="L438" s="90" t="b">
        <f>IF((ISNUMBER(K438)),IF(AND(F438="Workdays",(SUMIFS(N:N,F:F,F438,H:H,H438,B:B,B438)&lt;=24)),IF(AND((K438*24)&gt;0,(K438*24)&lt;16),((K438*24)*MD!$I$6),IF((K438*24)&gt;=16,(MD!$J$6))),IF(AND(F438="Non_workdays",(SUMIFS(N:N,F:F,F438,H:H,H438,B:B,B438)&lt;=24)),IF(AND((K438*24)&gt;0,(K438*24)&lt;12),((K438*24)*MD!$I$5),IF((K438*24)&gt;=12,(MD!$J$5))))))</f>
        <v>0</v>
      </c>
      <c r="M438" s="62"/>
      <c r="N438" s="72">
        <f t="shared" si="14"/>
        <v>0</v>
      </c>
    </row>
    <row r="439" spans="1:14" x14ac:dyDescent="0.25">
      <c r="A439" s="62">
        <v>438</v>
      </c>
      <c r="B439" s="62"/>
      <c r="C439" s="85" t="str">
        <f>IF(ISNA(VLOOKUP($B439,CPY!$B:$G,2,FALSE))=TRUE," ",VLOOKUP($B439,CPY!$B:$G,2,FALSE))</f>
        <v> </v>
      </c>
      <c r="D439" s="50" t="str">
        <f>IF(ISNA(VLOOKUP($B439,CPY!$B:$G,3,FALSE))=TRUE," ",VLOOKUP($B439,CPY!$B:$G,3,FALSE))</f>
        <v> </v>
      </c>
      <c r="E439" s="65" t="str">
        <f>IF(ISNA(VLOOKUP($B439,CPY!$B:$G,4,FALSE))=TRUE," ",VLOOKUP($B439,CPY!$B:$G,4,FALSE))</f>
        <v> </v>
      </c>
      <c r="F439" s="62"/>
      <c r="G439" s="86"/>
      <c r="H439" s="87"/>
      <c r="I439" s="88"/>
      <c r="J439" s="88"/>
      <c r="K439" s="89">
        <f t="shared" si="15"/>
        <v>0</v>
      </c>
      <c r="L439" s="90" t="b">
        <f>IF((ISNUMBER(K439)),IF(AND(F439="Workdays",(SUMIFS(N:N,F:F,F439,H:H,H439,B:B,B439)&lt;=24)),IF(AND((K439*24)&gt;0,(K439*24)&lt;16),((K439*24)*MD!$I$6),IF((K439*24)&gt;=16,(MD!$J$6))),IF(AND(F439="Non_workdays",(SUMIFS(N:N,F:F,F439,H:H,H439,B:B,B439)&lt;=24)),IF(AND((K439*24)&gt;0,(K439*24)&lt;12),((K439*24)*MD!$I$5),IF((K439*24)&gt;=12,(MD!$J$5))))))</f>
        <v>0</v>
      </c>
      <c r="M439" s="62"/>
      <c r="N439" s="72">
        <f t="shared" si="14"/>
        <v>0</v>
      </c>
    </row>
    <row r="440" spans="1:14" x14ac:dyDescent="0.25">
      <c r="A440" s="62">
        <v>439</v>
      </c>
      <c r="B440" s="62"/>
      <c r="C440" s="85" t="str">
        <f>IF(ISNA(VLOOKUP($B440,CPY!$B:$G,2,FALSE))=TRUE," ",VLOOKUP($B440,CPY!$B:$G,2,FALSE))</f>
        <v> </v>
      </c>
      <c r="D440" s="50" t="str">
        <f>IF(ISNA(VLOOKUP($B440,CPY!$B:$G,3,FALSE))=TRUE," ",VLOOKUP($B440,CPY!$B:$G,3,FALSE))</f>
        <v> </v>
      </c>
      <c r="E440" s="65" t="str">
        <f>IF(ISNA(VLOOKUP($B440,CPY!$B:$G,4,FALSE))=TRUE," ",VLOOKUP($B440,CPY!$B:$G,4,FALSE))</f>
        <v> </v>
      </c>
      <c r="F440" s="62"/>
      <c r="G440" s="86"/>
      <c r="H440" s="87"/>
      <c r="I440" s="88"/>
      <c r="J440" s="88"/>
      <c r="K440" s="89">
        <f t="shared" si="15"/>
        <v>0</v>
      </c>
      <c r="L440" s="90" t="b">
        <f>IF((ISNUMBER(K440)),IF(AND(F440="Workdays",(SUMIFS(N:N,F:F,F440,H:H,H440,B:B,B440)&lt;=24)),IF(AND((K440*24)&gt;0,(K440*24)&lt;16),((K440*24)*MD!$I$6),IF((K440*24)&gt;=16,(MD!$J$6))),IF(AND(F440="Non_workdays",(SUMIFS(N:N,F:F,F440,H:H,H440,B:B,B440)&lt;=24)),IF(AND((K440*24)&gt;0,(K440*24)&lt;12),((K440*24)*MD!$I$5),IF((K440*24)&gt;=12,(MD!$J$5))))))</f>
        <v>0</v>
      </c>
      <c r="M440" s="62"/>
      <c r="N440" s="72">
        <f t="shared" si="14"/>
        <v>0</v>
      </c>
    </row>
    <row r="441" spans="1:14" x14ac:dyDescent="0.25">
      <c r="A441" s="62">
        <v>440</v>
      </c>
      <c r="B441" s="62"/>
      <c r="C441" s="85" t="str">
        <f>IF(ISNA(VLOOKUP($B441,CPY!$B:$G,2,FALSE))=TRUE," ",VLOOKUP($B441,CPY!$B:$G,2,FALSE))</f>
        <v> </v>
      </c>
      <c r="D441" s="50" t="str">
        <f>IF(ISNA(VLOOKUP($B441,CPY!$B:$G,3,FALSE))=TRUE," ",VLOOKUP($B441,CPY!$B:$G,3,FALSE))</f>
        <v> </v>
      </c>
      <c r="E441" s="65" t="str">
        <f>IF(ISNA(VLOOKUP($B441,CPY!$B:$G,4,FALSE))=TRUE," ",VLOOKUP($B441,CPY!$B:$G,4,FALSE))</f>
        <v> </v>
      </c>
      <c r="F441" s="62"/>
      <c r="G441" s="86"/>
      <c r="H441" s="87"/>
      <c r="I441" s="88"/>
      <c r="J441" s="88"/>
      <c r="K441" s="89">
        <f t="shared" si="15"/>
        <v>0</v>
      </c>
      <c r="L441" s="90" t="b">
        <f>IF((ISNUMBER(K441)),IF(AND(F441="Workdays",(SUMIFS(N:N,F:F,F441,H:H,H441,B:B,B441)&lt;=24)),IF(AND((K441*24)&gt;0,(K441*24)&lt;16),((K441*24)*MD!$I$6),IF((K441*24)&gt;=16,(MD!$J$6))),IF(AND(F441="Non_workdays",(SUMIFS(N:N,F:F,F441,H:H,H441,B:B,B441)&lt;=24)),IF(AND((K441*24)&gt;0,(K441*24)&lt;12),((K441*24)*MD!$I$5),IF((K441*24)&gt;=12,(MD!$J$5))))))</f>
        <v>0</v>
      </c>
      <c r="M441" s="62"/>
      <c r="N441" s="72">
        <f t="shared" si="14"/>
        <v>0</v>
      </c>
    </row>
    <row r="442" spans="1:14" x14ac:dyDescent="0.25">
      <c r="A442" s="62">
        <v>441</v>
      </c>
      <c r="B442" s="62"/>
      <c r="C442" s="85" t="str">
        <f>IF(ISNA(VLOOKUP($B442,CPY!$B:$G,2,FALSE))=TRUE," ",VLOOKUP($B442,CPY!$B:$G,2,FALSE))</f>
        <v> </v>
      </c>
      <c r="D442" s="50" t="str">
        <f>IF(ISNA(VLOOKUP($B442,CPY!$B:$G,3,FALSE))=TRUE," ",VLOOKUP($B442,CPY!$B:$G,3,FALSE))</f>
        <v> </v>
      </c>
      <c r="E442" s="65" t="str">
        <f>IF(ISNA(VLOOKUP($B442,CPY!$B:$G,4,FALSE))=TRUE," ",VLOOKUP($B442,CPY!$B:$G,4,FALSE))</f>
        <v> </v>
      </c>
      <c r="F442" s="62"/>
      <c r="G442" s="86"/>
      <c r="H442" s="87"/>
      <c r="I442" s="88"/>
      <c r="J442" s="88"/>
      <c r="K442" s="89">
        <f t="shared" si="15"/>
        <v>0</v>
      </c>
      <c r="L442" s="90" t="b">
        <f>IF((ISNUMBER(K442)),IF(AND(F442="Workdays",(SUMIFS(N:N,F:F,F442,H:H,H442,B:B,B442)&lt;=24)),IF(AND((K442*24)&gt;0,(K442*24)&lt;16),((K442*24)*MD!$I$6),IF((K442*24)&gt;=16,(MD!$J$6))),IF(AND(F442="Non_workdays",(SUMIFS(N:N,F:F,F442,H:H,H442,B:B,B442)&lt;=24)),IF(AND((K442*24)&gt;0,(K442*24)&lt;12),((K442*24)*MD!$I$5),IF((K442*24)&gt;=12,(MD!$J$5))))))</f>
        <v>0</v>
      </c>
      <c r="M442" s="62"/>
      <c r="N442" s="72">
        <f t="shared" si="14"/>
        <v>0</v>
      </c>
    </row>
    <row r="443" spans="1:14" x14ac:dyDescent="0.25">
      <c r="A443" s="62">
        <v>442</v>
      </c>
      <c r="B443" s="62"/>
      <c r="C443" s="85" t="str">
        <f>IF(ISNA(VLOOKUP($B443,CPY!$B:$G,2,FALSE))=TRUE," ",VLOOKUP($B443,CPY!$B:$G,2,FALSE))</f>
        <v> </v>
      </c>
      <c r="D443" s="50" t="str">
        <f>IF(ISNA(VLOOKUP($B443,CPY!$B:$G,3,FALSE))=TRUE," ",VLOOKUP($B443,CPY!$B:$G,3,FALSE))</f>
        <v> </v>
      </c>
      <c r="E443" s="65" t="str">
        <f>IF(ISNA(VLOOKUP($B443,CPY!$B:$G,4,FALSE))=TRUE," ",VLOOKUP($B443,CPY!$B:$G,4,FALSE))</f>
        <v> </v>
      </c>
      <c r="F443" s="62"/>
      <c r="G443" s="86"/>
      <c r="H443" s="87"/>
      <c r="I443" s="88"/>
      <c r="J443" s="88"/>
      <c r="K443" s="89">
        <f t="shared" si="15"/>
        <v>0</v>
      </c>
      <c r="L443" s="90" t="b">
        <f>IF((ISNUMBER(K443)),IF(AND(F443="Workdays",(SUMIFS(N:N,F:F,F443,H:H,H443,B:B,B443)&lt;=24)),IF(AND((K443*24)&gt;0,(K443*24)&lt;16),((K443*24)*MD!$I$6),IF((K443*24)&gt;=16,(MD!$J$6))),IF(AND(F443="Non_workdays",(SUMIFS(N:N,F:F,F443,H:H,H443,B:B,B443)&lt;=24)),IF(AND((K443*24)&gt;0,(K443*24)&lt;12),((K443*24)*MD!$I$5),IF((K443*24)&gt;=12,(MD!$J$5))))))</f>
        <v>0</v>
      </c>
      <c r="M443" s="62"/>
      <c r="N443" s="72">
        <f t="shared" si="14"/>
        <v>0</v>
      </c>
    </row>
    <row r="444" spans="1:14" x14ac:dyDescent="0.25">
      <c r="A444" s="62">
        <v>443</v>
      </c>
      <c r="B444" s="62"/>
      <c r="C444" s="85" t="str">
        <f>IF(ISNA(VLOOKUP($B444,CPY!$B:$G,2,FALSE))=TRUE," ",VLOOKUP($B444,CPY!$B:$G,2,FALSE))</f>
        <v> </v>
      </c>
      <c r="D444" s="50" t="str">
        <f>IF(ISNA(VLOOKUP($B444,CPY!$B:$G,3,FALSE))=TRUE," ",VLOOKUP($B444,CPY!$B:$G,3,FALSE))</f>
        <v> </v>
      </c>
      <c r="E444" s="65" t="str">
        <f>IF(ISNA(VLOOKUP($B444,CPY!$B:$G,4,FALSE))=TRUE," ",VLOOKUP($B444,CPY!$B:$G,4,FALSE))</f>
        <v> </v>
      </c>
      <c r="F444" s="62"/>
      <c r="G444" s="86"/>
      <c r="H444" s="87"/>
      <c r="I444" s="88"/>
      <c r="J444" s="88"/>
      <c r="K444" s="89">
        <f t="shared" si="15"/>
        <v>0</v>
      </c>
      <c r="L444" s="90" t="b">
        <f>IF((ISNUMBER(K444)),IF(AND(F444="Workdays",(SUMIFS(N:N,F:F,F444,H:H,H444,B:B,B444)&lt;=24)),IF(AND((K444*24)&gt;0,(K444*24)&lt;16),((K444*24)*MD!$I$6),IF((K444*24)&gt;=16,(MD!$J$6))),IF(AND(F444="Non_workdays",(SUMIFS(N:N,F:F,F444,H:H,H444,B:B,B444)&lt;=24)),IF(AND((K444*24)&gt;0,(K444*24)&lt;12),((K444*24)*MD!$I$5),IF((K444*24)&gt;=12,(MD!$J$5))))))</f>
        <v>0</v>
      </c>
      <c r="M444" s="62"/>
      <c r="N444" s="72">
        <f t="shared" si="14"/>
        <v>0</v>
      </c>
    </row>
    <row r="445" spans="1:14" x14ac:dyDescent="0.25">
      <c r="A445" s="62">
        <v>444</v>
      </c>
      <c r="B445" s="62"/>
      <c r="C445" s="85" t="str">
        <f>IF(ISNA(VLOOKUP($B445,CPY!$B:$G,2,FALSE))=TRUE," ",VLOOKUP($B445,CPY!$B:$G,2,FALSE))</f>
        <v> </v>
      </c>
      <c r="D445" s="50" t="str">
        <f>IF(ISNA(VLOOKUP($B445,CPY!$B:$G,3,FALSE))=TRUE," ",VLOOKUP($B445,CPY!$B:$G,3,FALSE))</f>
        <v> </v>
      </c>
      <c r="E445" s="65" t="str">
        <f>IF(ISNA(VLOOKUP($B445,CPY!$B:$G,4,FALSE))=TRUE," ",VLOOKUP($B445,CPY!$B:$G,4,FALSE))</f>
        <v> </v>
      </c>
      <c r="F445" s="62"/>
      <c r="G445" s="86"/>
      <c r="H445" s="87"/>
      <c r="I445" s="88"/>
      <c r="J445" s="88"/>
      <c r="K445" s="89">
        <f t="shared" si="15"/>
        <v>0</v>
      </c>
      <c r="L445" s="90" t="b">
        <f>IF((ISNUMBER(K445)),IF(AND(F445="Workdays",(SUMIFS(N:N,F:F,F445,H:H,H445,B:B,B445)&lt;=24)),IF(AND((K445*24)&gt;0,(K445*24)&lt;16),((K445*24)*MD!$I$6),IF((K445*24)&gt;=16,(MD!$J$6))),IF(AND(F445="Non_workdays",(SUMIFS(N:N,F:F,F445,H:H,H445,B:B,B445)&lt;=24)),IF(AND((K445*24)&gt;0,(K445*24)&lt;12),((K445*24)*MD!$I$5),IF((K445*24)&gt;=12,(MD!$J$5))))))</f>
        <v>0</v>
      </c>
      <c r="M445" s="62"/>
      <c r="N445" s="72">
        <f t="shared" si="14"/>
        <v>0</v>
      </c>
    </row>
    <row r="446" spans="1:14" x14ac:dyDescent="0.25">
      <c r="A446" s="62">
        <v>445</v>
      </c>
      <c r="B446" s="62"/>
      <c r="C446" s="85" t="str">
        <f>IF(ISNA(VLOOKUP($B446,CPY!$B:$G,2,FALSE))=TRUE," ",VLOOKUP($B446,CPY!$B:$G,2,FALSE))</f>
        <v> </v>
      </c>
      <c r="D446" s="50" t="str">
        <f>IF(ISNA(VLOOKUP($B446,CPY!$B:$G,3,FALSE))=TRUE," ",VLOOKUP($B446,CPY!$B:$G,3,FALSE))</f>
        <v> </v>
      </c>
      <c r="E446" s="65" t="str">
        <f>IF(ISNA(VLOOKUP($B446,CPY!$B:$G,4,FALSE))=TRUE," ",VLOOKUP($B446,CPY!$B:$G,4,FALSE))</f>
        <v> </v>
      </c>
      <c r="F446" s="62"/>
      <c r="G446" s="86"/>
      <c r="H446" s="87"/>
      <c r="I446" s="88"/>
      <c r="J446" s="88"/>
      <c r="K446" s="89">
        <f t="shared" si="15"/>
        <v>0</v>
      </c>
      <c r="L446" s="90" t="b">
        <f>IF((ISNUMBER(K446)),IF(AND(F446="Workdays",(SUMIFS(N:N,F:F,F446,H:H,H446,B:B,B446)&lt;=24)),IF(AND((K446*24)&gt;0,(K446*24)&lt;16),((K446*24)*MD!$I$6),IF((K446*24)&gt;=16,(MD!$J$6))),IF(AND(F446="Non_workdays",(SUMIFS(N:N,F:F,F446,H:H,H446,B:B,B446)&lt;=24)),IF(AND((K446*24)&gt;0,(K446*24)&lt;12),((K446*24)*MD!$I$5),IF((K446*24)&gt;=12,(MD!$J$5))))))</f>
        <v>0</v>
      </c>
      <c r="M446" s="62"/>
      <c r="N446" s="72">
        <f t="shared" si="14"/>
        <v>0</v>
      </c>
    </row>
    <row r="447" spans="1:14" x14ac:dyDescent="0.25">
      <c r="A447" s="62">
        <v>446</v>
      </c>
      <c r="B447" s="62"/>
      <c r="C447" s="85" t="str">
        <f>IF(ISNA(VLOOKUP($B447,CPY!$B:$G,2,FALSE))=TRUE," ",VLOOKUP($B447,CPY!$B:$G,2,FALSE))</f>
        <v> </v>
      </c>
      <c r="D447" s="50" t="str">
        <f>IF(ISNA(VLOOKUP($B447,CPY!$B:$G,3,FALSE))=TRUE," ",VLOOKUP($B447,CPY!$B:$G,3,FALSE))</f>
        <v> </v>
      </c>
      <c r="E447" s="65" t="str">
        <f>IF(ISNA(VLOOKUP($B447,CPY!$B:$G,4,FALSE))=TRUE," ",VLOOKUP($B447,CPY!$B:$G,4,FALSE))</f>
        <v> </v>
      </c>
      <c r="F447" s="62"/>
      <c r="G447" s="86"/>
      <c r="H447" s="87"/>
      <c r="I447" s="88"/>
      <c r="J447" s="88"/>
      <c r="K447" s="89">
        <f t="shared" si="15"/>
        <v>0</v>
      </c>
      <c r="L447" s="90" t="b">
        <f>IF((ISNUMBER(K447)),IF(AND(F447="Workdays",(SUMIFS(N:N,F:F,F447,H:H,H447,B:B,B447)&lt;=24)),IF(AND((K447*24)&gt;0,(K447*24)&lt;16),((K447*24)*MD!$I$6),IF((K447*24)&gt;=16,(MD!$J$6))),IF(AND(F447="Non_workdays",(SUMIFS(N:N,F:F,F447,H:H,H447,B:B,B447)&lt;=24)),IF(AND((K447*24)&gt;0,(K447*24)&lt;12),((K447*24)*MD!$I$5),IF((K447*24)&gt;=12,(MD!$J$5))))))</f>
        <v>0</v>
      </c>
      <c r="M447" s="62"/>
      <c r="N447" s="72">
        <f t="shared" si="14"/>
        <v>0</v>
      </c>
    </row>
    <row r="448" spans="1:14" x14ac:dyDescent="0.25">
      <c r="A448" s="62">
        <v>447</v>
      </c>
      <c r="B448" s="62"/>
      <c r="C448" s="85" t="str">
        <f>IF(ISNA(VLOOKUP($B448,CPY!$B:$G,2,FALSE))=TRUE," ",VLOOKUP($B448,CPY!$B:$G,2,FALSE))</f>
        <v> </v>
      </c>
      <c r="D448" s="50" t="str">
        <f>IF(ISNA(VLOOKUP($B448,CPY!$B:$G,3,FALSE))=TRUE," ",VLOOKUP($B448,CPY!$B:$G,3,FALSE))</f>
        <v> </v>
      </c>
      <c r="E448" s="65" t="str">
        <f>IF(ISNA(VLOOKUP($B448,CPY!$B:$G,4,FALSE))=TRUE," ",VLOOKUP($B448,CPY!$B:$G,4,FALSE))</f>
        <v> </v>
      </c>
      <c r="F448" s="62"/>
      <c r="G448" s="86"/>
      <c r="H448" s="87"/>
      <c r="I448" s="88"/>
      <c r="J448" s="88"/>
      <c r="K448" s="89">
        <f t="shared" si="15"/>
        <v>0</v>
      </c>
      <c r="L448" s="90" t="b">
        <f>IF((ISNUMBER(K448)),IF(AND(F448="Workdays",(SUMIFS(N:N,F:F,F448,H:H,H448,B:B,B448)&lt;=24)),IF(AND((K448*24)&gt;0,(K448*24)&lt;16),((K448*24)*MD!$I$6),IF((K448*24)&gt;=16,(MD!$J$6))),IF(AND(F448="Non_workdays",(SUMIFS(N:N,F:F,F448,H:H,H448,B:B,B448)&lt;=24)),IF(AND((K448*24)&gt;0,(K448*24)&lt;12),((K448*24)*MD!$I$5),IF((K448*24)&gt;=12,(MD!$J$5))))))</f>
        <v>0</v>
      </c>
      <c r="M448" s="62"/>
      <c r="N448" s="72">
        <f t="shared" si="14"/>
        <v>0</v>
      </c>
    </row>
    <row r="449" spans="1:14" x14ac:dyDescent="0.25">
      <c r="A449" s="62">
        <v>448</v>
      </c>
      <c r="B449" s="62"/>
      <c r="C449" s="85" t="str">
        <f>IF(ISNA(VLOOKUP($B449,CPY!$B:$G,2,FALSE))=TRUE," ",VLOOKUP($B449,CPY!$B:$G,2,FALSE))</f>
        <v> </v>
      </c>
      <c r="D449" s="50" t="str">
        <f>IF(ISNA(VLOOKUP($B449,CPY!$B:$G,3,FALSE))=TRUE," ",VLOOKUP($B449,CPY!$B:$G,3,FALSE))</f>
        <v> </v>
      </c>
      <c r="E449" s="65" t="str">
        <f>IF(ISNA(VLOOKUP($B449,CPY!$B:$G,4,FALSE))=TRUE," ",VLOOKUP($B449,CPY!$B:$G,4,FALSE))</f>
        <v> </v>
      </c>
      <c r="F449" s="62"/>
      <c r="G449" s="86"/>
      <c r="H449" s="87"/>
      <c r="I449" s="88"/>
      <c r="J449" s="88"/>
      <c r="K449" s="89">
        <f t="shared" si="15"/>
        <v>0</v>
      </c>
      <c r="L449" s="90" t="b">
        <f>IF((ISNUMBER(K449)),IF(AND(F449="Workdays",(SUMIFS(N:N,F:F,F449,H:H,H449,B:B,B449)&lt;=24)),IF(AND((K449*24)&gt;0,(K449*24)&lt;16),((K449*24)*MD!$I$6),IF((K449*24)&gt;=16,(MD!$J$6))),IF(AND(F449="Non_workdays",(SUMIFS(N:N,F:F,F449,H:H,H449,B:B,B449)&lt;=24)),IF(AND((K449*24)&gt;0,(K449*24)&lt;12),((K449*24)*MD!$I$5),IF((K449*24)&gt;=12,(MD!$J$5))))))</f>
        <v>0</v>
      </c>
      <c r="M449" s="62"/>
      <c r="N449" s="72">
        <f t="shared" si="14"/>
        <v>0</v>
      </c>
    </row>
    <row r="450" spans="1:14" x14ac:dyDescent="0.25">
      <c r="A450" s="62">
        <v>449</v>
      </c>
      <c r="B450" s="62"/>
      <c r="C450" s="85" t="str">
        <f>IF(ISNA(VLOOKUP($B450,CPY!$B:$G,2,FALSE))=TRUE," ",VLOOKUP($B450,CPY!$B:$G,2,FALSE))</f>
        <v> </v>
      </c>
      <c r="D450" s="50" t="str">
        <f>IF(ISNA(VLOOKUP($B450,CPY!$B:$G,3,FALSE))=TRUE," ",VLOOKUP($B450,CPY!$B:$G,3,FALSE))</f>
        <v> </v>
      </c>
      <c r="E450" s="65" t="str">
        <f>IF(ISNA(VLOOKUP($B450,CPY!$B:$G,4,FALSE))=TRUE," ",VLOOKUP($B450,CPY!$B:$G,4,FALSE))</f>
        <v> </v>
      </c>
      <c r="F450" s="62"/>
      <c r="G450" s="86"/>
      <c r="H450" s="87"/>
      <c r="I450" s="88"/>
      <c r="J450" s="88"/>
      <c r="K450" s="89">
        <f t="shared" si="15"/>
        <v>0</v>
      </c>
      <c r="L450" s="90" t="b">
        <f>IF((ISNUMBER(K450)),IF(AND(F450="Workdays",(SUMIFS(N:N,F:F,F450,H:H,H450,B:B,B450)&lt;=24)),IF(AND((K450*24)&gt;0,(K450*24)&lt;16),((K450*24)*MD!$I$6),IF((K450*24)&gt;=16,(MD!$J$6))),IF(AND(F450="Non_workdays",(SUMIFS(N:N,F:F,F450,H:H,H450,B:B,B450)&lt;=24)),IF(AND((K450*24)&gt;0,(K450*24)&lt;12),((K450*24)*MD!$I$5),IF((K450*24)&gt;=12,(MD!$J$5))))))</f>
        <v>0</v>
      </c>
      <c r="M450" s="62"/>
      <c r="N450" s="72">
        <f t="shared" si="14"/>
        <v>0</v>
      </c>
    </row>
    <row r="451" spans="1:14" x14ac:dyDescent="0.25">
      <c r="A451" s="62">
        <v>450</v>
      </c>
      <c r="B451" s="62"/>
      <c r="C451" s="85" t="str">
        <f>IF(ISNA(VLOOKUP($B451,CPY!$B:$G,2,FALSE))=TRUE," ",VLOOKUP($B451,CPY!$B:$G,2,FALSE))</f>
        <v> </v>
      </c>
      <c r="D451" s="50" t="str">
        <f>IF(ISNA(VLOOKUP($B451,CPY!$B:$G,3,FALSE))=TRUE," ",VLOOKUP($B451,CPY!$B:$G,3,FALSE))</f>
        <v> </v>
      </c>
      <c r="E451" s="65" t="str">
        <f>IF(ISNA(VLOOKUP($B451,CPY!$B:$G,4,FALSE))=TRUE," ",VLOOKUP($B451,CPY!$B:$G,4,FALSE))</f>
        <v> </v>
      </c>
      <c r="F451" s="62"/>
      <c r="G451" s="86"/>
      <c r="H451" s="87"/>
      <c r="I451" s="88"/>
      <c r="J451" s="88"/>
      <c r="K451" s="89">
        <f t="shared" si="15"/>
        <v>0</v>
      </c>
      <c r="L451" s="90" t="b">
        <f>IF((ISNUMBER(K451)),IF(AND(F451="Workdays",(SUMIFS(N:N,F:F,F451,H:H,H451,B:B,B451)&lt;=24)),IF(AND((K451*24)&gt;0,(K451*24)&lt;16),((K451*24)*MD!$I$6),IF((K451*24)&gt;=16,(MD!$J$6))),IF(AND(F451="Non_workdays",(SUMIFS(N:N,F:F,F451,H:H,H451,B:B,B451)&lt;=24)),IF(AND((K451*24)&gt;0,(K451*24)&lt;12),((K451*24)*MD!$I$5),IF((K451*24)&gt;=12,(MD!$J$5))))))</f>
        <v>0</v>
      </c>
      <c r="M451" s="62"/>
      <c r="N451" s="72">
        <f t="shared" ref="N451:N500" si="16">K451*24</f>
        <v>0</v>
      </c>
    </row>
    <row r="452" spans="1:14" x14ac:dyDescent="0.25">
      <c r="A452" s="62">
        <v>451</v>
      </c>
      <c r="B452" s="62"/>
      <c r="C452" s="85" t="str">
        <f>IF(ISNA(VLOOKUP($B452,CPY!$B:$G,2,FALSE))=TRUE," ",VLOOKUP($B452,CPY!$B:$G,2,FALSE))</f>
        <v> </v>
      </c>
      <c r="D452" s="50" t="str">
        <f>IF(ISNA(VLOOKUP($B452,CPY!$B:$G,3,FALSE))=TRUE," ",VLOOKUP($B452,CPY!$B:$G,3,FALSE))</f>
        <v> </v>
      </c>
      <c r="E452" s="65" t="str">
        <f>IF(ISNA(VLOOKUP($B452,CPY!$B:$G,4,FALSE))=TRUE," ",VLOOKUP($B452,CPY!$B:$G,4,FALSE))</f>
        <v> </v>
      </c>
      <c r="F452" s="62"/>
      <c r="G452" s="86"/>
      <c r="H452" s="87"/>
      <c r="I452" s="88"/>
      <c r="J452" s="88"/>
      <c r="K452" s="89">
        <f t="shared" ref="K452:K500" si="17">IF(NOT(ISBLANK($J452)),(IF(J452&lt;I452,J452+1,J452)-I452))</f>
        <v>0</v>
      </c>
      <c r="L452" s="90" t="b">
        <f>IF((ISNUMBER(K452)),IF(AND(F452="Workdays",(SUMIFS(N:N,F:F,F452,H:H,H452,B:B,B452)&lt;=24)),IF(AND((K452*24)&gt;0,(K452*24)&lt;16),((K452*24)*MD!$I$6),IF((K452*24)&gt;=16,(MD!$J$6))),IF(AND(F452="Non_workdays",(SUMIFS(N:N,F:F,F452,H:H,H452,B:B,B452)&lt;=24)),IF(AND((K452*24)&gt;0,(K452*24)&lt;12),((K452*24)*MD!$I$5),IF((K452*24)&gt;=12,(MD!$J$5))))))</f>
        <v>0</v>
      </c>
      <c r="M452" s="62"/>
      <c r="N452" s="72">
        <f t="shared" si="16"/>
        <v>0</v>
      </c>
    </row>
    <row r="453" spans="1:14" x14ac:dyDescent="0.25">
      <c r="A453" s="62">
        <v>452</v>
      </c>
      <c r="B453" s="62"/>
      <c r="C453" s="85" t="str">
        <f>IF(ISNA(VLOOKUP($B453,CPY!$B:$G,2,FALSE))=TRUE," ",VLOOKUP($B453,CPY!$B:$G,2,FALSE))</f>
        <v> </v>
      </c>
      <c r="D453" s="50" t="str">
        <f>IF(ISNA(VLOOKUP($B453,CPY!$B:$G,3,FALSE))=TRUE," ",VLOOKUP($B453,CPY!$B:$G,3,FALSE))</f>
        <v> </v>
      </c>
      <c r="E453" s="65" t="str">
        <f>IF(ISNA(VLOOKUP($B453,CPY!$B:$G,4,FALSE))=TRUE," ",VLOOKUP($B453,CPY!$B:$G,4,FALSE))</f>
        <v> </v>
      </c>
      <c r="F453" s="62"/>
      <c r="G453" s="86"/>
      <c r="H453" s="87"/>
      <c r="I453" s="88"/>
      <c r="J453" s="88"/>
      <c r="K453" s="89">
        <f t="shared" si="17"/>
        <v>0</v>
      </c>
      <c r="L453" s="90" t="b">
        <f>IF((ISNUMBER(K453)),IF(AND(F453="Workdays",(SUMIFS(N:N,F:F,F453,H:H,H453,B:B,B453)&lt;=24)),IF(AND((K453*24)&gt;0,(K453*24)&lt;16),((K453*24)*MD!$I$6),IF((K453*24)&gt;=16,(MD!$J$6))),IF(AND(F453="Non_workdays",(SUMIFS(N:N,F:F,F453,H:H,H453,B:B,B453)&lt;=24)),IF(AND((K453*24)&gt;0,(K453*24)&lt;12),((K453*24)*MD!$I$5),IF((K453*24)&gt;=12,(MD!$J$5))))))</f>
        <v>0</v>
      </c>
      <c r="M453" s="62"/>
      <c r="N453" s="72">
        <f t="shared" si="16"/>
        <v>0</v>
      </c>
    </row>
    <row r="454" spans="1:14" x14ac:dyDescent="0.25">
      <c r="A454" s="62">
        <v>453</v>
      </c>
      <c r="B454" s="62"/>
      <c r="C454" s="85" t="str">
        <f>IF(ISNA(VLOOKUP($B454,CPY!$B:$G,2,FALSE))=TRUE," ",VLOOKUP($B454,CPY!$B:$G,2,FALSE))</f>
        <v> </v>
      </c>
      <c r="D454" s="50" t="str">
        <f>IF(ISNA(VLOOKUP($B454,CPY!$B:$G,3,FALSE))=TRUE," ",VLOOKUP($B454,CPY!$B:$G,3,FALSE))</f>
        <v> </v>
      </c>
      <c r="E454" s="65" t="str">
        <f>IF(ISNA(VLOOKUP($B454,CPY!$B:$G,4,FALSE))=TRUE," ",VLOOKUP($B454,CPY!$B:$G,4,FALSE))</f>
        <v> </v>
      </c>
      <c r="F454" s="62"/>
      <c r="G454" s="86"/>
      <c r="H454" s="87"/>
      <c r="I454" s="88"/>
      <c r="J454" s="88"/>
      <c r="K454" s="89">
        <f t="shared" si="17"/>
        <v>0</v>
      </c>
      <c r="L454" s="90" t="b">
        <f>IF((ISNUMBER(K454)),IF(AND(F454="Workdays",(SUMIFS(N:N,F:F,F454,H:H,H454,B:B,B454)&lt;=24)),IF(AND((K454*24)&gt;0,(K454*24)&lt;16),((K454*24)*MD!$I$6),IF((K454*24)&gt;=16,(MD!$J$6))),IF(AND(F454="Non_workdays",(SUMIFS(N:N,F:F,F454,H:H,H454,B:B,B454)&lt;=24)),IF(AND((K454*24)&gt;0,(K454*24)&lt;12),((K454*24)*MD!$I$5),IF((K454*24)&gt;=12,(MD!$J$5))))))</f>
        <v>0</v>
      </c>
      <c r="M454" s="62"/>
      <c r="N454" s="72">
        <f t="shared" si="16"/>
        <v>0</v>
      </c>
    </row>
    <row r="455" spans="1:14" x14ac:dyDescent="0.25">
      <c r="A455" s="62">
        <v>454</v>
      </c>
      <c r="B455" s="62"/>
      <c r="C455" s="85" t="str">
        <f>IF(ISNA(VLOOKUP($B455,CPY!$B:$G,2,FALSE))=TRUE," ",VLOOKUP($B455,CPY!$B:$G,2,FALSE))</f>
        <v> </v>
      </c>
      <c r="D455" s="50" t="str">
        <f>IF(ISNA(VLOOKUP($B455,CPY!$B:$G,3,FALSE))=TRUE," ",VLOOKUP($B455,CPY!$B:$G,3,FALSE))</f>
        <v> </v>
      </c>
      <c r="E455" s="65" t="str">
        <f>IF(ISNA(VLOOKUP($B455,CPY!$B:$G,4,FALSE))=TRUE," ",VLOOKUP($B455,CPY!$B:$G,4,FALSE))</f>
        <v> </v>
      </c>
      <c r="F455" s="62"/>
      <c r="G455" s="86"/>
      <c r="H455" s="87"/>
      <c r="I455" s="88"/>
      <c r="J455" s="88"/>
      <c r="K455" s="89">
        <f t="shared" si="17"/>
        <v>0</v>
      </c>
      <c r="L455" s="90" t="b">
        <f>IF((ISNUMBER(K455)),IF(AND(F455="Workdays",(SUMIFS(N:N,F:F,F455,H:H,H455,B:B,B455)&lt;=24)),IF(AND((K455*24)&gt;0,(K455*24)&lt;16),((K455*24)*MD!$I$6),IF((K455*24)&gt;=16,(MD!$J$6))),IF(AND(F455="Non_workdays",(SUMIFS(N:N,F:F,F455,H:H,H455,B:B,B455)&lt;=24)),IF(AND((K455*24)&gt;0,(K455*24)&lt;12),((K455*24)*MD!$I$5),IF((K455*24)&gt;=12,(MD!$J$5))))))</f>
        <v>0</v>
      </c>
      <c r="M455" s="62"/>
      <c r="N455" s="72">
        <f t="shared" si="16"/>
        <v>0</v>
      </c>
    </row>
    <row r="456" spans="1:14" x14ac:dyDescent="0.25">
      <c r="A456" s="62">
        <v>455</v>
      </c>
      <c r="B456" s="62"/>
      <c r="C456" s="85" t="str">
        <f>IF(ISNA(VLOOKUP($B456,CPY!$B:$G,2,FALSE))=TRUE," ",VLOOKUP($B456,CPY!$B:$G,2,FALSE))</f>
        <v> </v>
      </c>
      <c r="D456" s="50" t="str">
        <f>IF(ISNA(VLOOKUP($B456,CPY!$B:$G,3,FALSE))=TRUE," ",VLOOKUP($B456,CPY!$B:$G,3,FALSE))</f>
        <v> </v>
      </c>
      <c r="E456" s="65" t="str">
        <f>IF(ISNA(VLOOKUP($B456,CPY!$B:$G,4,FALSE))=TRUE," ",VLOOKUP($B456,CPY!$B:$G,4,FALSE))</f>
        <v> </v>
      </c>
      <c r="F456" s="62"/>
      <c r="G456" s="86"/>
      <c r="H456" s="87"/>
      <c r="I456" s="88"/>
      <c r="J456" s="88"/>
      <c r="K456" s="89">
        <f t="shared" si="17"/>
        <v>0</v>
      </c>
      <c r="L456" s="90" t="b">
        <f>IF((ISNUMBER(K456)),IF(AND(F456="Workdays",(SUMIFS(N:N,F:F,F456,H:H,H456,B:B,B456)&lt;=24)),IF(AND((K456*24)&gt;0,(K456*24)&lt;16),((K456*24)*MD!$I$6),IF((K456*24)&gt;=16,(MD!$J$6))),IF(AND(F456="Non_workdays",(SUMIFS(N:N,F:F,F456,H:H,H456,B:B,B456)&lt;=24)),IF(AND((K456*24)&gt;0,(K456*24)&lt;12),((K456*24)*MD!$I$5),IF((K456*24)&gt;=12,(MD!$J$5))))))</f>
        <v>0</v>
      </c>
      <c r="M456" s="62"/>
      <c r="N456" s="72">
        <f t="shared" si="16"/>
        <v>0</v>
      </c>
    </row>
    <row r="457" spans="1:14" x14ac:dyDescent="0.25">
      <c r="A457" s="62">
        <v>456</v>
      </c>
      <c r="B457" s="62"/>
      <c r="C457" s="85" t="str">
        <f>IF(ISNA(VLOOKUP($B457,CPY!$B:$G,2,FALSE))=TRUE," ",VLOOKUP($B457,CPY!$B:$G,2,FALSE))</f>
        <v> </v>
      </c>
      <c r="D457" s="50" t="str">
        <f>IF(ISNA(VLOOKUP($B457,CPY!$B:$G,3,FALSE))=TRUE," ",VLOOKUP($B457,CPY!$B:$G,3,FALSE))</f>
        <v> </v>
      </c>
      <c r="E457" s="65" t="str">
        <f>IF(ISNA(VLOOKUP($B457,CPY!$B:$G,4,FALSE))=TRUE," ",VLOOKUP($B457,CPY!$B:$G,4,FALSE))</f>
        <v> </v>
      </c>
      <c r="F457" s="62"/>
      <c r="G457" s="86"/>
      <c r="H457" s="87"/>
      <c r="I457" s="88"/>
      <c r="J457" s="88"/>
      <c r="K457" s="89">
        <f t="shared" si="17"/>
        <v>0</v>
      </c>
      <c r="L457" s="90" t="b">
        <f>IF((ISNUMBER(K457)),IF(AND(F457="Workdays",(SUMIFS(N:N,F:F,F457,H:H,H457,B:B,B457)&lt;=24)),IF(AND((K457*24)&gt;0,(K457*24)&lt;16),((K457*24)*MD!$I$6),IF((K457*24)&gt;=16,(MD!$J$6))),IF(AND(F457="Non_workdays",(SUMIFS(N:N,F:F,F457,H:H,H457,B:B,B457)&lt;=24)),IF(AND((K457*24)&gt;0,(K457*24)&lt;12),((K457*24)*MD!$I$5),IF((K457*24)&gt;=12,(MD!$J$5))))))</f>
        <v>0</v>
      </c>
      <c r="M457" s="62"/>
      <c r="N457" s="72">
        <f t="shared" si="16"/>
        <v>0</v>
      </c>
    </row>
    <row r="458" spans="1:14" x14ac:dyDescent="0.25">
      <c r="A458" s="62">
        <v>457</v>
      </c>
      <c r="B458" s="62"/>
      <c r="C458" s="85" t="str">
        <f>IF(ISNA(VLOOKUP($B458,CPY!$B:$G,2,FALSE))=TRUE," ",VLOOKUP($B458,CPY!$B:$G,2,FALSE))</f>
        <v> </v>
      </c>
      <c r="D458" s="50" t="str">
        <f>IF(ISNA(VLOOKUP($B458,CPY!$B:$G,3,FALSE))=TRUE," ",VLOOKUP($B458,CPY!$B:$G,3,FALSE))</f>
        <v> </v>
      </c>
      <c r="E458" s="65" t="str">
        <f>IF(ISNA(VLOOKUP($B458,CPY!$B:$G,4,FALSE))=TRUE," ",VLOOKUP($B458,CPY!$B:$G,4,FALSE))</f>
        <v> </v>
      </c>
      <c r="F458" s="62"/>
      <c r="G458" s="86"/>
      <c r="H458" s="87"/>
      <c r="I458" s="88"/>
      <c r="J458" s="88"/>
      <c r="K458" s="89">
        <f t="shared" si="17"/>
        <v>0</v>
      </c>
      <c r="L458" s="90" t="b">
        <f>IF((ISNUMBER(K458)),IF(AND(F458="Workdays",(SUMIFS(N:N,F:F,F458,H:H,H458,B:B,B458)&lt;=24)),IF(AND((K458*24)&gt;0,(K458*24)&lt;16),((K458*24)*MD!$I$6),IF((K458*24)&gt;=16,(MD!$J$6))),IF(AND(F458="Non_workdays",(SUMIFS(N:N,F:F,F458,H:H,H458,B:B,B458)&lt;=24)),IF(AND((K458*24)&gt;0,(K458*24)&lt;12),((K458*24)*MD!$I$5),IF((K458*24)&gt;=12,(MD!$J$5))))))</f>
        <v>0</v>
      </c>
      <c r="M458" s="62"/>
      <c r="N458" s="72">
        <f t="shared" si="16"/>
        <v>0</v>
      </c>
    </row>
    <row r="459" spans="1:14" x14ac:dyDescent="0.25">
      <c r="A459" s="62">
        <v>458</v>
      </c>
      <c r="B459" s="62"/>
      <c r="C459" s="85" t="str">
        <f>IF(ISNA(VLOOKUP($B459,CPY!$B:$G,2,FALSE))=TRUE," ",VLOOKUP($B459,CPY!$B:$G,2,FALSE))</f>
        <v> </v>
      </c>
      <c r="D459" s="50" t="str">
        <f>IF(ISNA(VLOOKUP($B459,CPY!$B:$G,3,FALSE))=TRUE," ",VLOOKUP($B459,CPY!$B:$G,3,FALSE))</f>
        <v> </v>
      </c>
      <c r="E459" s="65" t="str">
        <f>IF(ISNA(VLOOKUP($B459,CPY!$B:$G,4,FALSE))=TRUE," ",VLOOKUP($B459,CPY!$B:$G,4,FALSE))</f>
        <v> </v>
      </c>
      <c r="F459" s="62"/>
      <c r="G459" s="86"/>
      <c r="H459" s="87"/>
      <c r="I459" s="88"/>
      <c r="J459" s="88"/>
      <c r="K459" s="89">
        <f t="shared" si="17"/>
        <v>0</v>
      </c>
      <c r="L459" s="90" t="b">
        <f>IF((ISNUMBER(K459)),IF(AND(F459="Workdays",(SUMIFS(N:N,F:F,F459,H:H,H459,B:B,B459)&lt;=24)),IF(AND((K459*24)&gt;0,(K459*24)&lt;16),((K459*24)*MD!$I$6),IF((K459*24)&gt;=16,(MD!$J$6))),IF(AND(F459="Non_workdays",(SUMIFS(N:N,F:F,F459,H:H,H459,B:B,B459)&lt;=24)),IF(AND((K459*24)&gt;0,(K459*24)&lt;12),((K459*24)*MD!$I$5),IF((K459*24)&gt;=12,(MD!$J$5))))))</f>
        <v>0</v>
      </c>
      <c r="M459" s="62"/>
      <c r="N459" s="72">
        <f t="shared" si="16"/>
        <v>0</v>
      </c>
    </row>
    <row r="460" spans="1:14" x14ac:dyDescent="0.25">
      <c r="A460" s="62">
        <v>459</v>
      </c>
      <c r="B460" s="62"/>
      <c r="C460" s="85" t="str">
        <f>IF(ISNA(VLOOKUP($B460,CPY!$B:$G,2,FALSE))=TRUE," ",VLOOKUP($B460,CPY!$B:$G,2,FALSE))</f>
        <v> </v>
      </c>
      <c r="D460" s="50" t="str">
        <f>IF(ISNA(VLOOKUP($B460,CPY!$B:$G,3,FALSE))=TRUE," ",VLOOKUP($B460,CPY!$B:$G,3,FALSE))</f>
        <v> </v>
      </c>
      <c r="E460" s="65" t="str">
        <f>IF(ISNA(VLOOKUP($B460,CPY!$B:$G,4,FALSE))=TRUE," ",VLOOKUP($B460,CPY!$B:$G,4,FALSE))</f>
        <v> </v>
      </c>
      <c r="F460" s="62"/>
      <c r="G460" s="86"/>
      <c r="H460" s="87"/>
      <c r="I460" s="88"/>
      <c r="J460" s="88"/>
      <c r="K460" s="89">
        <f t="shared" si="17"/>
        <v>0</v>
      </c>
      <c r="L460" s="90" t="b">
        <f>IF((ISNUMBER(K460)),IF(AND(F460="Workdays",(SUMIFS(N:N,F:F,F460,H:H,H460,B:B,B460)&lt;=24)),IF(AND((K460*24)&gt;0,(K460*24)&lt;16),((K460*24)*MD!$I$6),IF((K460*24)&gt;=16,(MD!$J$6))),IF(AND(F460="Non_workdays",(SUMIFS(N:N,F:F,F460,H:H,H460,B:B,B460)&lt;=24)),IF(AND((K460*24)&gt;0,(K460*24)&lt;12),((K460*24)*MD!$I$5),IF((K460*24)&gt;=12,(MD!$J$5))))))</f>
        <v>0</v>
      </c>
      <c r="M460" s="62"/>
      <c r="N460" s="72">
        <f t="shared" si="16"/>
        <v>0</v>
      </c>
    </row>
    <row r="461" spans="1:14" x14ac:dyDescent="0.25">
      <c r="A461" s="62">
        <v>460</v>
      </c>
      <c r="B461" s="62"/>
      <c r="C461" s="85" t="str">
        <f>IF(ISNA(VLOOKUP($B461,CPY!$B:$G,2,FALSE))=TRUE," ",VLOOKUP($B461,CPY!$B:$G,2,FALSE))</f>
        <v> </v>
      </c>
      <c r="D461" s="50" t="str">
        <f>IF(ISNA(VLOOKUP($B461,CPY!$B:$G,3,FALSE))=TRUE," ",VLOOKUP($B461,CPY!$B:$G,3,FALSE))</f>
        <v> </v>
      </c>
      <c r="E461" s="65" t="str">
        <f>IF(ISNA(VLOOKUP($B461,CPY!$B:$G,4,FALSE))=TRUE," ",VLOOKUP($B461,CPY!$B:$G,4,FALSE))</f>
        <v> </v>
      </c>
      <c r="F461" s="62"/>
      <c r="G461" s="86"/>
      <c r="H461" s="87"/>
      <c r="I461" s="88"/>
      <c r="J461" s="88"/>
      <c r="K461" s="89">
        <f t="shared" si="17"/>
        <v>0</v>
      </c>
      <c r="L461" s="90" t="b">
        <f>IF((ISNUMBER(K461)),IF(AND(F461="Workdays",(SUMIFS(N:N,F:F,F461,H:H,H461,B:B,B461)&lt;=24)),IF(AND((K461*24)&gt;0,(K461*24)&lt;16),((K461*24)*MD!$I$6),IF((K461*24)&gt;=16,(MD!$J$6))),IF(AND(F461="Non_workdays",(SUMIFS(N:N,F:F,F461,H:H,H461,B:B,B461)&lt;=24)),IF(AND((K461*24)&gt;0,(K461*24)&lt;12),((K461*24)*MD!$I$5),IF((K461*24)&gt;=12,(MD!$J$5))))))</f>
        <v>0</v>
      </c>
      <c r="M461" s="62"/>
      <c r="N461" s="72">
        <f t="shared" si="16"/>
        <v>0</v>
      </c>
    </row>
    <row r="462" spans="1:14" x14ac:dyDescent="0.25">
      <c r="A462" s="62">
        <v>461</v>
      </c>
      <c r="B462" s="62"/>
      <c r="C462" s="85" t="str">
        <f>IF(ISNA(VLOOKUP($B462,CPY!$B:$G,2,FALSE))=TRUE," ",VLOOKUP($B462,CPY!$B:$G,2,FALSE))</f>
        <v> </v>
      </c>
      <c r="D462" s="50" t="str">
        <f>IF(ISNA(VLOOKUP($B462,CPY!$B:$G,3,FALSE))=TRUE," ",VLOOKUP($B462,CPY!$B:$G,3,FALSE))</f>
        <v> </v>
      </c>
      <c r="E462" s="65" t="str">
        <f>IF(ISNA(VLOOKUP($B462,CPY!$B:$G,4,FALSE))=TRUE," ",VLOOKUP($B462,CPY!$B:$G,4,FALSE))</f>
        <v> </v>
      </c>
      <c r="F462" s="62"/>
      <c r="G462" s="86"/>
      <c r="H462" s="87"/>
      <c r="I462" s="88"/>
      <c r="J462" s="88"/>
      <c r="K462" s="89">
        <f t="shared" si="17"/>
        <v>0</v>
      </c>
      <c r="L462" s="90" t="b">
        <f>IF((ISNUMBER(K462)),IF(AND(F462="Workdays",(SUMIFS(N:N,F:F,F462,H:H,H462,B:B,B462)&lt;=24)),IF(AND((K462*24)&gt;0,(K462*24)&lt;16),((K462*24)*MD!$I$6),IF((K462*24)&gt;=16,(MD!$J$6))),IF(AND(F462="Non_workdays",(SUMIFS(N:N,F:F,F462,H:H,H462,B:B,B462)&lt;=24)),IF(AND((K462*24)&gt;0,(K462*24)&lt;12),((K462*24)*MD!$I$5),IF((K462*24)&gt;=12,(MD!$J$5))))))</f>
        <v>0</v>
      </c>
      <c r="M462" s="62"/>
      <c r="N462" s="72">
        <f t="shared" si="16"/>
        <v>0</v>
      </c>
    </row>
    <row r="463" spans="1:14" x14ac:dyDescent="0.25">
      <c r="A463" s="62">
        <v>462</v>
      </c>
      <c r="B463" s="62"/>
      <c r="C463" s="85" t="str">
        <f>IF(ISNA(VLOOKUP($B463,CPY!$B:$G,2,FALSE))=TRUE," ",VLOOKUP($B463,CPY!$B:$G,2,FALSE))</f>
        <v> </v>
      </c>
      <c r="D463" s="50" t="str">
        <f>IF(ISNA(VLOOKUP($B463,CPY!$B:$G,3,FALSE))=TRUE," ",VLOOKUP($B463,CPY!$B:$G,3,FALSE))</f>
        <v> </v>
      </c>
      <c r="E463" s="65" t="str">
        <f>IF(ISNA(VLOOKUP($B463,CPY!$B:$G,4,FALSE))=TRUE," ",VLOOKUP($B463,CPY!$B:$G,4,FALSE))</f>
        <v> </v>
      </c>
      <c r="F463" s="62"/>
      <c r="G463" s="86"/>
      <c r="H463" s="87"/>
      <c r="I463" s="88"/>
      <c r="J463" s="88"/>
      <c r="K463" s="89">
        <f t="shared" si="17"/>
        <v>0</v>
      </c>
      <c r="L463" s="90" t="b">
        <f>IF((ISNUMBER(K463)),IF(AND(F463="Workdays",(SUMIFS(N:N,F:F,F463,H:H,H463,B:B,B463)&lt;=24)),IF(AND((K463*24)&gt;0,(K463*24)&lt;16),((K463*24)*MD!$I$6),IF((K463*24)&gt;=16,(MD!$J$6))),IF(AND(F463="Non_workdays",(SUMIFS(N:N,F:F,F463,H:H,H463,B:B,B463)&lt;=24)),IF(AND((K463*24)&gt;0,(K463*24)&lt;12),((K463*24)*MD!$I$5),IF((K463*24)&gt;=12,(MD!$J$5))))))</f>
        <v>0</v>
      </c>
      <c r="M463" s="62"/>
      <c r="N463" s="72">
        <f t="shared" si="16"/>
        <v>0</v>
      </c>
    </row>
    <row r="464" spans="1:14" x14ac:dyDescent="0.25">
      <c r="A464" s="62">
        <v>463</v>
      </c>
      <c r="B464" s="62"/>
      <c r="C464" s="85" t="str">
        <f>IF(ISNA(VLOOKUP($B464,CPY!$B:$G,2,FALSE))=TRUE," ",VLOOKUP($B464,CPY!$B:$G,2,FALSE))</f>
        <v> </v>
      </c>
      <c r="D464" s="50" t="str">
        <f>IF(ISNA(VLOOKUP($B464,CPY!$B:$G,3,FALSE))=TRUE," ",VLOOKUP($B464,CPY!$B:$G,3,FALSE))</f>
        <v> </v>
      </c>
      <c r="E464" s="65" t="str">
        <f>IF(ISNA(VLOOKUP($B464,CPY!$B:$G,4,FALSE))=TRUE," ",VLOOKUP($B464,CPY!$B:$G,4,FALSE))</f>
        <v> </v>
      </c>
      <c r="F464" s="62"/>
      <c r="G464" s="86"/>
      <c r="H464" s="87"/>
      <c r="I464" s="88"/>
      <c r="J464" s="88"/>
      <c r="K464" s="89">
        <f t="shared" si="17"/>
        <v>0</v>
      </c>
      <c r="L464" s="90" t="b">
        <f>IF((ISNUMBER(K464)),IF(AND(F464="Workdays",(SUMIFS(N:N,F:F,F464,H:H,H464,B:B,B464)&lt;=24)),IF(AND((K464*24)&gt;0,(K464*24)&lt;16),((K464*24)*MD!$I$6),IF((K464*24)&gt;=16,(MD!$J$6))),IF(AND(F464="Non_workdays",(SUMIFS(N:N,F:F,F464,H:H,H464,B:B,B464)&lt;=24)),IF(AND((K464*24)&gt;0,(K464*24)&lt;12),((K464*24)*MD!$I$5),IF((K464*24)&gt;=12,(MD!$J$5))))))</f>
        <v>0</v>
      </c>
      <c r="M464" s="62"/>
      <c r="N464" s="72">
        <f t="shared" si="16"/>
        <v>0</v>
      </c>
    </row>
    <row r="465" spans="1:14" x14ac:dyDescent="0.25">
      <c r="A465" s="62">
        <v>464</v>
      </c>
      <c r="B465" s="62"/>
      <c r="C465" s="85" t="str">
        <f>IF(ISNA(VLOOKUP($B465,CPY!$B:$G,2,FALSE))=TRUE," ",VLOOKUP($B465,CPY!$B:$G,2,FALSE))</f>
        <v> </v>
      </c>
      <c r="D465" s="50" t="str">
        <f>IF(ISNA(VLOOKUP($B465,CPY!$B:$G,3,FALSE))=TRUE," ",VLOOKUP($B465,CPY!$B:$G,3,FALSE))</f>
        <v> </v>
      </c>
      <c r="E465" s="65" t="str">
        <f>IF(ISNA(VLOOKUP($B465,CPY!$B:$G,4,FALSE))=TRUE," ",VLOOKUP($B465,CPY!$B:$G,4,FALSE))</f>
        <v> </v>
      </c>
      <c r="F465" s="62"/>
      <c r="G465" s="86"/>
      <c r="H465" s="87"/>
      <c r="I465" s="88"/>
      <c r="J465" s="88"/>
      <c r="K465" s="89">
        <f t="shared" si="17"/>
        <v>0</v>
      </c>
      <c r="L465" s="90" t="b">
        <f>IF((ISNUMBER(K465)),IF(AND(F465="Workdays",(SUMIFS(N:N,F:F,F465,H:H,H465,B:B,B465)&lt;=24)),IF(AND((K465*24)&gt;0,(K465*24)&lt;16),((K465*24)*MD!$I$6),IF((K465*24)&gt;=16,(MD!$J$6))),IF(AND(F465="Non_workdays",(SUMIFS(N:N,F:F,F465,H:H,H465,B:B,B465)&lt;=24)),IF(AND((K465*24)&gt;0,(K465*24)&lt;12),((K465*24)*MD!$I$5),IF((K465*24)&gt;=12,(MD!$J$5))))))</f>
        <v>0</v>
      </c>
      <c r="M465" s="62"/>
      <c r="N465" s="72">
        <f t="shared" si="16"/>
        <v>0</v>
      </c>
    </row>
    <row r="466" spans="1:14" x14ac:dyDescent="0.25">
      <c r="A466" s="62">
        <v>465</v>
      </c>
      <c r="B466" s="62"/>
      <c r="C466" s="85" t="str">
        <f>IF(ISNA(VLOOKUP($B466,CPY!$B:$G,2,FALSE))=TRUE," ",VLOOKUP($B466,CPY!$B:$G,2,FALSE))</f>
        <v> </v>
      </c>
      <c r="D466" s="50" t="str">
        <f>IF(ISNA(VLOOKUP($B466,CPY!$B:$G,3,FALSE))=TRUE," ",VLOOKUP($B466,CPY!$B:$G,3,FALSE))</f>
        <v> </v>
      </c>
      <c r="E466" s="65" t="str">
        <f>IF(ISNA(VLOOKUP($B466,CPY!$B:$G,4,FALSE))=TRUE," ",VLOOKUP($B466,CPY!$B:$G,4,FALSE))</f>
        <v> </v>
      </c>
      <c r="F466" s="62"/>
      <c r="G466" s="86"/>
      <c r="H466" s="87"/>
      <c r="I466" s="88"/>
      <c r="J466" s="88"/>
      <c r="K466" s="89">
        <f t="shared" si="17"/>
        <v>0</v>
      </c>
      <c r="L466" s="90" t="b">
        <f>IF((ISNUMBER(K466)),IF(AND(F466="Workdays",(SUMIFS(N:N,F:F,F466,H:H,H466,B:B,B466)&lt;=24)),IF(AND((K466*24)&gt;0,(K466*24)&lt;16),((K466*24)*MD!$I$6),IF((K466*24)&gt;=16,(MD!$J$6))),IF(AND(F466="Non_workdays",(SUMIFS(N:N,F:F,F466,H:H,H466,B:B,B466)&lt;=24)),IF(AND((K466*24)&gt;0,(K466*24)&lt;12),((K466*24)*MD!$I$5),IF((K466*24)&gt;=12,(MD!$J$5))))))</f>
        <v>0</v>
      </c>
      <c r="M466" s="62"/>
      <c r="N466" s="72">
        <f t="shared" si="16"/>
        <v>0</v>
      </c>
    </row>
    <row r="467" spans="1:14" x14ac:dyDescent="0.25">
      <c r="A467" s="62">
        <v>466</v>
      </c>
      <c r="B467" s="62"/>
      <c r="C467" s="85" t="str">
        <f>IF(ISNA(VLOOKUP($B467,CPY!$B:$G,2,FALSE))=TRUE," ",VLOOKUP($B467,CPY!$B:$G,2,FALSE))</f>
        <v> </v>
      </c>
      <c r="D467" s="50" t="str">
        <f>IF(ISNA(VLOOKUP($B467,CPY!$B:$G,3,FALSE))=TRUE," ",VLOOKUP($B467,CPY!$B:$G,3,FALSE))</f>
        <v> </v>
      </c>
      <c r="E467" s="65" t="str">
        <f>IF(ISNA(VLOOKUP($B467,CPY!$B:$G,4,FALSE))=TRUE," ",VLOOKUP($B467,CPY!$B:$G,4,FALSE))</f>
        <v> </v>
      </c>
      <c r="F467" s="62"/>
      <c r="G467" s="86"/>
      <c r="H467" s="87"/>
      <c r="I467" s="88"/>
      <c r="J467" s="88"/>
      <c r="K467" s="89">
        <f t="shared" si="17"/>
        <v>0</v>
      </c>
      <c r="L467" s="90" t="b">
        <f>IF((ISNUMBER(K467)),IF(AND(F467="Workdays",(SUMIFS(N:N,F:F,F467,H:H,H467,B:B,B467)&lt;=24)),IF(AND((K467*24)&gt;0,(K467*24)&lt;16),((K467*24)*MD!$I$6),IF((K467*24)&gt;=16,(MD!$J$6))),IF(AND(F467="Non_workdays",(SUMIFS(N:N,F:F,F467,H:H,H467,B:B,B467)&lt;=24)),IF(AND((K467*24)&gt;0,(K467*24)&lt;12),((K467*24)*MD!$I$5),IF((K467*24)&gt;=12,(MD!$J$5))))))</f>
        <v>0</v>
      </c>
      <c r="M467" s="62"/>
      <c r="N467" s="72">
        <f t="shared" si="16"/>
        <v>0</v>
      </c>
    </row>
    <row r="468" spans="1:14" x14ac:dyDescent="0.25">
      <c r="A468" s="62">
        <v>467</v>
      </c>
      <c r="B468" s="62"/>
      <c r="C468" s="85" t="str">
        <f>IF(ISNA(VLOOKUP($B468,CPY!$B:$G,2,FALSE))=TRUE," ",VLOOKUP($B468,CPY!$B:$G,2,FALSE))</f>
        <v> </v>
      </c>
      <c r="D468" s="50" t="str">
        <f>IF(ISNA(VLOOKUP($B468,CPY!$B:$G,3,FALSE))=TRUE," ",VLOOKUP($B468,CPY!$B:$G,3,FALSE))</f>
        <v> </v>
      </c>
      <c r="E468" s="65" t="str">
        <f>IF(ISNA(VLOOKUP($B468,CPY!$B:$G,4,FALSE))=TRUE," ",VLOOKUP($B468,CPY!$B:$G,4,FALSE))</f>
        <v> </v>
      </c>
      <c r="F468" s="62"/>
      <c r="G468" s="86"/>
      <c r="H468" s="87"/>
      <c r="I468" s="88"/>
      <c r="J468" s="88"/>
      <c r="K468" s="89">
        <f t="shared" si="17"/>
        <v>0</v>
      </c>
      <c r="L468" s="90" t="b">
        <f>IF((ISNUMBER(K468)),IF(AND(F468="Workdays",(SUMIFS(N:N,F:F,F468,H:H,H468,B:B,B468)&lt;=24)),IF(AND((K468*24)&gt;0,(K468*24)&lt;16),((K468*24)*MD!$I$6),IF((K468*24)&gt;=16,(MD!$J$6))),IF(AND(F468="Non_workdays",(SUMIFS(N:N,F:F,F468,H:H,H468,B:B,B468)&lt;=24)),IF(AND((K468*24)&gt;0,(K468*24)&lt;12),((K468*24)*MD!$I$5),IF((K468*24)&gt;=12,(MD!$J$5))))))</f>
        <v>0</v>
      </c>
      <c r="M468" s="62"/>
      <c r="N468" s="72">
        <f t="shared" si="16"/>
        <v>0</v>
      </c>
    </row>
    <row r="469" spans="1:14" x14ac:dyDescent="0.25">
      <c r="A469" s="62">
        <v>468</v>
      </c>
      <c r="B469" s="62"/>
      <c r="C469" s="85" t="str">
        <f>IF(ISNA(VLOOKUP($B469,CPY!$B:$G,2,FALSE))=TRUE," ",VLOOKUP($B469,CPY!$B:$G,2,FALSE))</f>
        <v> </v>
      </c>
      <c r="D469" s="50" t="str">
        <f>IF(ISNA(VLOOKUP($B469,CPY!$B:$G,3,FALSE))=TRUE," ",VLOOKUP($B469,CPY!$B:$G,3,FALSE))</f>
        <v> </v>
      </c>
      <c r="E469" s="65" t="str">
        <f>IF(ISNA(VLOOKUP($B469,CPY!$B:$G,4,FALSE))=TRUE," ",VLOOKUP($B469,CPY!$B:$G,4,FALSE))</f>
        <v> </v>
      </c>
      <c r="F469" s="62"/>
      <c r="G469" s="86"/>
      <c r="H469" s="87"/>
      <c r="I469" s="88"/>
      <c r="J469" s="88"/>
      <c r="K469" s="89">
        <f t="shared" si="17"/>
        <v>0</v>
      </c>
      <c r="L469" s="90" t="b">
        <f>IF((ISNUMBER(K469)),IF(AND(F469="Workdays",(SUMIFS(N:N,F:F,F469,H:H,H469,B:B,B469)&lt;=24)),IF(AND((K469*24)&gt;0,(K469*24)&lt;16),((K469*24)*MD!$I$6),IF((K469*24)&gt;=16,(MD!$J$6))),IF(AND(F469="Non_workdays",(SUMIFS(N:N,F:F,F469,H:H,H469,B:B,B469)&lt;=24)),IF(AND((K469*24)&gt;0,(K469*24)&lt;12),((K469*24)*MD!$I$5),IF((K469*24)&gt;=12,(MD!$J$5))))))</f>
        <v>0</v>
      </c>
      <c r="M469" s="62"/>
      <c r="N469" s="72">
        <f t="shared" si="16"/>
        <v>0</v>
      </c>
    </row>
    <row r="470" spans="1:14" x14ac:dyDescent="0.25">
      <c r="A470" s="62">
        <v>469</v>
      </c>
      <c r="B470" s="62"/>
      <c r="C470" s="85" t="str">
        <f>IF(ISNA(VLOOKUP($B470,CPY!$B:$G,2,FALSE))=TRUE," ",VLOOKUP($B470,CPY!$B:$G,2,FALSE))</f>
        <v> </v>
      </c>
      <c r="D470" s="50" t="str">
        <f>IF(ISNA(VLOOKUP($B470,CPY!$B:$G,3,FALSE))=TRUE," ",VLOOKUP($B470,CPY!$B:$G,3,FALSE))</f>
        <v> </v>
      </c>
      <c r="E470" s="65" t="str">
        <f>IF(ISNA(VLOOKUP($B470,CPY!$B:$G,4,FALSE))=TRUE," ",VLOOKUP($B470,CPY!$B:$G,4,FALSE))</f>
        <v> </v>
      </c>
      <c r="F470" s="62"/>
      <c r="G470" s="86"/>
      <c r="H470" s="87"/>
      <c r="I470" s="88"/>
      <c r="J470" s="88"/>
      <c r="K470" s="89">
        <f t="shared" si="17"/>
        <v>0</v>
      </c>
      <c r="L470" s="90" t="b">
        <f>IF((ISNUMBER(K470)),IF(AND(F470="Workdays",(SUMIFS(N:N,F:F,F470,H:H,H470,B:B,B470)&lt;=24)),IF(AND((K470*24)&gt;0,(K470*24)&lt;16),((K470*24)*MD!$I$6),IF((K470*24)&gt;=16,(MD!$J$6))),IF(AND(F470="Non_workdays",(SUMIFS(N:N,F:F,F470,H:H,H470,B:B,B470)&lt;=24)),IF(AND((K470*24)&gt;0,(K470*24)&lt;12),((K470*24)*MD!$I$5),IF((K470*24)&gt;=12,(MD!$J$5))))))</f>
        <v>0</v>
      </c>
      <c r="M470" s="62"/>
      <c r="N470" s="72">
        <f t="shared" si="16"/>
        <v>0</v>
      </c>
    </row>
    <row r="471" spans="1:14" x14ac:dyDescent="0.25">
      <c r="A471" s="62">
        <v>470</v>
      </c>
      <c r="B471" s="62"/>
      <c r="C471" s="85" t="str">
        <f>IF(ISNA(VLOOKUP($B471,CPY!$B:$G,2,FALSE))=TRUE," ",VLOOKUP($B471,CPY!$B:$G,2,FALSE))</f>
        <v> </v>
      </c>
      <c r="D471" s="50" t="str">
        <f>IF(ISNA(VLOOKUP($B471,CPY!$B:$G,3,FALSE))=TRUE," ",VLOOKUP($B471,CPY!$B:$G,3,FALSE))</f>
        <v> </v>
      </c>
      <c r="E471" s="65" t="str">
        <f>IF(ISNA(VLOOKUP($B471,CPY!$B:$G,4,FALSE))=TRUE," ",VLOOKUP($B471,CPY!$B:$G,4,FALSE))</f>
        <v> </v>
      </c>
      <c r="F471" s="62"/>
      <c r="G471" s="86"/>
      <c r="H471" s="87"/>
      <c r="I471" s="88"/>
      <c r="J471" s="88"/>
      <c r="K471" s="89">
        <f t="shared" si="17"/>
        <v>0</v>
      </c>
      <c r="L471" s="90" t="b">
        <f>IF((ISNUMBER(K471)),IF(AND(F471="Workdays",(SUMIFS(N:N,F:F,F471,H:H,H471,B:B,B471)&lt;=24)),IF(AND((K471*24)&gt;0,(K471*24)&lt;16),((K471*24)*MD!$I$6),IF((K471*24)&gt;=16,(MD!$J$6))),IF(AND(F471="Non_workdays",(SUMIFS(N:N,F:F,F471,H:H,H471,B:B,B471)&lt;=24)),IF(AND((K471*24)&gt;0,(K471*24)&lt;12),((K471*24)*MD!$I$5),IF((K471*24)&gt;=12,(MD!$J$5))))))</f>
        <v>0</v>
      </c>
      <c r="M471" s="62"/>
      <c r="N471" s="72">
        <f t="shared" si="16"/>
        <v>0</v>
      </c>
    </row>
    <row r="472" spans="1:14" x14ac:dyDescent="0.25">
      <c r="A472" s="62">
        <v>471</v>
      </c>
      <c r="B472" s="62"/>
      <c r="C472" s="85" t="str">
        <f>IF(ISNA(VLOOKUP($B472,CPY!$B:$G,2,FALSE))=TRUE," ",VLOOKUP($B472,CPY!$B:$G,2,FALSE))</f>
        <v> </v>
      </c>
      <c r="D472" s="50" t="str">
        <f>IF(ISNA(VLOOKUP($B472,CPY!$B:$G,3,FALSE))=TRUE," ",VLOOKUP($B472,CPY!$B:$G,3,FALSE))</f>
        <v> </v>
      </c>
      <c r="E472" s="65" t="str">
        <f>IF(ISNA(VLOOKUP($B472,CPY!$B:$G,4,FALSE))=TRUE," ",VLOOKUP($B472,CPY!$B:$G,4,FALSE))</f>
        <v> </v>
      </c>
      <c r="F472" s="62"/>
      <c r="G472" s="86"/>
      <c r="H472" s="87"/>
      <c r="I472" s="88"/>
      <c r="J472" s="88"/>
      <c r="K472" s="89">
        <f t="shared" si="17"/>
        <v>0</v>
      </c>
      <c r="L472" s="90" t="b">
        <f>IF((ISNUMBER(K472)),IF(AND(F472="Workdays",(SUMIFS(N:N,F:F,F472,H:H,H472,B:B,B472)&lt;=24)),IF(AND((K472*24)&gt;0,(K472*24)&lt;16),((K472*24)*MD!$I$6),IF((K472*24)&gt;=16,(MD!$J$6))),IF(AND(F472="Non_workdays",(SUMIFS(N:N,F:F,F472,H:H,H472,B:B,B472)&lt;=24)),IF(AND((K472*24)&gt;0,(K472*24)&lt;12),((K472*24)*MD!$I$5),IF((K472*24)&gt;=12,(MD!$J$5))))))</f>
        <v>0</v>
      </c>
      <c r="M472" s="62"/>
      <c r="N472" s="72">
        <f t="shared" si="16"/>
        <v>0</v>
      </c>
    </row>
    <row r="473" spans="1:14" x14ac:dyDescent="0.25">
      <c r="A473" s="62">
        <v>472</v>
      </c>
      <c r="B473" s="62"/>
      <c r="C473" s="85" t="str">
        <f>IF(ISNA(VLOOKUP($B473,CPY!$B:$G,2,FALSE))=TRUE," ",VLOOKUP($B473,CPY!$B:$G,2,FALSE))</f>
        <v> </v>
      </c>
      <c r="D473" s="50" t="str">
        <f>IF(ISNA(VLOOKUP($B473,CPY!$B:$G,3,FALSE))=TRUE," ",VLOOKUP($B473,CPY!$B:$G,3,FALSE))</f>
        <v> </v>
      </c>
      <c r="E473" s="65" t="str">
        <f>IF(ISNA(VLOOKUP($B473,CPY!$B:$G,4,FALSE))=TRUE," ",VLOOKUP($B473,CPY!$B:$G,4,FALSE))</f>
        <v> </v>
      </c>
      <c r="F473" s="62"/>
      <c r="G473" s="86"/>
      <c r="H473" s="87"/>
      <c r="I473" s="88"/>
      <c r="J473" s="88"/>
      <c r="K473" s="89">
        <f t="shared" si="17"/>
        <v>0</v>
      </c>
      <c r="L473" s="90" t="b">
        <f>IF((ISNUMBER(K473)),IF(AND(F473="Workdays",(SUMIFS(N:N,F:F,F473,H:H,H473,B:B,B473)&lt;=24)),IF(AND((K473*24)&gt;0,(K473*24)&lt;16),((K473*24)*MD!$I$6),IF((K473*24)&gt;=16,(MD!$J$6))),IF(AND(F473="Non_workdays",(SUMIFS(N:N,F:F,F473,H:H,H473,B:B,B473)&lt;=24)),IF(AND((K473*24)&gt;0,(K473*24)&lt;12),((K473*24)*MD!$I$5),IF((K473*24)&gt;=12,(MD!$J$5))))))</f>
        <v>0</v>
      </c>
      <c r="M473" s="62"/>
      <c r="N473" s="72">
        <f t="shared" si="16"/>
        <v>0</v>
      </c>
    </row>
    <row r="474" spans="1:14" x14ac:dyDescent="0.25">
      <c r="A474" s="62">
        <v>473</v>
      </c>
      <c r="B474" s="62"/>
      <c r="C474" s="85" t="str">
        <f>IF(ISNA(VLOOKUP($B474,CPY!$B:$G,2,FALSE))=TRUE," ",VLOOKUP($B474,CPY!$B:$G,2,FALSE))</f>
        <v> </v>
      </c>
      <c r="D474" s="50" t="str">
        <f>IF(ISNA(VLOOKUP($B474,CPY!$B:$G,3,FALSE))=TRUE," ",VLOOKUP($B474,CPY!$B:$G,3,FALSE))</f>
        <v> </v>
      </c>
      <c r="E474" s="65" t="str">
        <f>IF(ISNA(VLOOKUP($B474,CPY!$B:$G,4,FALSE))=TRUE," ",VLOOKUP($B474,CPY!$B:$G,4,FALSE))</f>
        <v> </v>
      </c>
      <c r="F474" s="62"/>
      <c r="G474" s="86"/>
      <c r="H474" s="87"/>
      <c r="I474" s="88"/>
      <c r="J474" s="88"/>
      <c r="K474" s="89">
        <f t="shared" si="17"/>
        <v>0</v>
      </c>
      <c r="L474" s="90" t="b">
        <f>IF((ISNUMBER(K474)),IF(AND(F474="Workdays",(SUMIFS(N:N,F:F,F474,H:H,H474,B:B,B474)&lt;=24)),IF(AND((K474*24)&gt;0,(K474*24)&lt;16),((K474*24)*MD!$I$6),IF((K474*24)&gt;=16,(MD!$J$6))),IF(AND(F474="Non_workdays",(SUMIFS(N:N,F:F,F474,H:H,H474,B:B,B474)&lt;=24)),IF(AND((K474*24)&gt;0,(K474*24)&lt;12),((K474*24)*MD!$I$5),IF((K474*24)&gt;=12,(MD!$J$5))))))</f>
        <v>0</v>
      </c>
      <c r="M474" s="62"/>
      <c r="N474" s="72">
        <f t="shared" si="16"/>
        <v>0</v>
      </c>
    </row>
    <row r="475" spans="1:14" x14ac:dyDescent="0.25">
      <c r="A475" s="62">
        <v>474</v>
      </c>
      <c r="B475" s="62"/>
      <c r="C475" s="85" t="str">
        <f>IF(ISNA(VLOOKUP($B475,CPY!$B:$G,2,FALSE))=TRUE," ",VLOOKUP($B475,CPY!$B:$G,2,FALSE))</f>
        <v> </v>
      </c>
      <c r="D475" s="50" t="str">
        <f>IF(ISNA(VLOOKUP($B475,CPY!$B:$G,3,FALSE))=TRUE," ",VLOOKUP($B475,CPY!$B:$G,3,FALSE))</f>
        <v> </v>
      </c>
      <c r="E475" s="65" t="str">
        <f>IF(ISNA(VLOOKUP($B475,CPY!$B:$G,4,FALSE))=TRUE," ",VLOOKUP($B475,CPY!$B:$G,4,FALSE))</f>
        <v> </v>
      </c>
      <c r="F475" s="62"/>
      <c r="G475" s="86"/>
      <c r="H475" s="87"/>
      <c r="I475" s="88"/>
      <c r="J475" s="88"/>
      <c r="K475" s="89">
        <f t="shared" si="17"/>
        <v>0</v>
      </c>
      <c r="L475" s="90" t="b">
        <f>IF((ISNUMBER(K475)),IF(AND(F475="Workdays",(SUMIFS(N:N,F:F,F475,H:H,H475,B:B,B475)&lt;=24)),IF(AND((K475*24)&gt;0,(K475*24)&lt;16),((K475*24)*MD!$I$6),IF((K475*24)&gt;=16,(MD!$J$6))),IF(AND(F475="Non_workdays",(SUMIFS(N:N,F:F,F475,H:H,H475,B:B,B475)&lt;=24)),IF(AND((K475*24)&gt;0,(K475*24)&lt;12),((K475*24)*MD!$I$5),IF((K475*24)&gt;=12,(MD!$J$5))))))</f>
        <v>0</v>
      </c>
      <c r="M475" s="62"/>
      <c r="N475" s="72">
        <f t="shared" si="16"/>
        <v>0</v>
      </c>
    </row>
    <row r="476" spans="1:14" x14ac:dyDescent="0.25">
      <c r="A476" s="62">
        <v>475</v>
      </c>
      <c r="B476" s="62"/>
      <c r="C476" s="85" t="str">
        <f>IF(ISNA(VLOOKUP($B476,CPY!$B:$G,2,FALSE))=TRUE," ",VLOOKUP($B476,CPY!$B:$G,2,FALSE))</f>
        <v> </v>
      </c>
      <c r="D476" s="50" t="str">
        <f>IF(ISNA(VLOOKUP($B476,CPY!$B:$G,3,FALSE))=TRUE," ",VLOOKUP($B476,CPY!$B:$G,3,FALSE))</f>
        <v> </v>
      </c>
      <c r="E476" s="65" t="str">
        <f>IF(ISNA(VLOOKUP($B476,CPY!$B:$G,4,FALSE))=TRUE," ",VLOOKUP($B476,CPY!$B:$G,4,FALSE))</f>
        <v> </v>
      </c>
      <c r="F476" s="62"/>
      <c r="G476" s="86"/>
      <c r="H476" s="87"/>
      <c r="I476" s="88"/>
      <c r="J476" s="88"/>
      <c r="K476" s="89">
        <f t="shared" si="17"/>
        <v>0</v>
      </c>
      <c r="L476" s="90" t="b">
        <f>IF((ISNUMBER(K476)),IF(AND(F476="Workdays",(SUMIFS(N:N,F:F,F476,H:H,H476,B:B,B476)&lt;=24)),IF(AND((K476*24)&gt;0,(K476*24)&lt;16),((K476*24)*MD!$I$6),IF((K476*24)&gt;=16,(MD!$J$6))),IF(AND(F476="Non_workdays",(SUMIFS(N:N,F:F,F476,H:H,H476,B:B,B476)&lt;=24)),IF(AND((K476*24)&gt;0,(K476*24)&lt;12),((K476*24)*MD!$I$5),IF((K476*24)&gt;=12,(MD!$J$5))))))</f>
        <v>0</v>
      </c>
      <c r="M476" s="62"/>
      <c r="N476" s="72">
        <f t="shared" si="16"/>
        <v>0</v>
      </c>
    </row>
    <row r="477" spans="1:14" x14ac:dyDescent="0.25">
      <c r="A477" s="62">
        <v>476</v>
      </c>
      <c r="B477" s="62"/>
      <c r="C477" s="85" t="str">
        <f>IF(ISNA(VLOOKUP($B477,CPY!$B:$G,2,FALSE))=TRUE," ",VLOOKUP($B477,CPY!$B:$G,2,FALSE))</f>
        <v> </v>
      </c>
      <c r="D477" s="50" t="str">
        <f>IF(ISNA(VLOOKUP($B477,CPY!$B:$G,3,FALSE))=TRUE," ",VLOOKUP($B477,CPY!$B:$G,3,FALSE))</f>
        <v> </v>
      </c>
      <c r="E477" s="65" t="str">
        <f>IF(ISNA(VLOOKUP($B477,CPY!$B:$G,4,FALSE))=TRUE," ",VLOOKUP($B477,CPY!$B:$G,4,FALSE))</f>
        <v> </v>
      </c>
      <c r="F477" s="62"/>
      <c r="G477" s="86"/>
      <c r="H477" s="87"/>
      <c r="I477" s="88"/>
      <c r="J477" s="88"/>
      <c r="K477" s="89">
        <f t="shared" si="17"/>
        <v>0</v>
      </c>
      <c r="L477" s="90" t="b">
        <f>IF((ISNUMBER(K477)),IF(AND(F477="Workdays",(SUMIFS(N:N,F:F,F477,H:H,H477,B:B,B477)&lt;=24)),IF(AND((K477*24)&gt;0,(K477*24)&lt;16),((K477*24)*MD!$I$6),IF((K477*24)&gt;=16,(MD!$J$6))),IF(AND(F477="Non_workdays",(SUMIFS(N:N,F:F,F477,H:H,H477,B:B,B477)&lt;=24)),IF(AND((K477*24)&gt;0,(K477*24)&lt;12),((K477*24)*MD!$I$5),IF((K477*24)&gt;=12,(MD!$J$5))))))</f>
        <v>0</v>
      </c>
      <c r="M477" s="62"/>
      <c r="N477" s="72">
        <f t="shared" si="16"/>
        <v>0</v>
      </c>
    </row>
    <row r="478" spans="1:14" x14ac:dyDescent="0.25">
      <c r="A478" s="62">
        <v>477</v>
      </c>
      <c r="B478" s="62"/>
      <c r="C478" s="85" t="str">
        <f>IF(ISNA(VLOOKUP($B478,CPY!$B:$G,2,FALSE))=TRUE," ",VLOOKUP($B478,CPY!$B:$G,2,FALSE))</f>
        <v> </v>
      </c>
      <c r="D478" s="50" t="str">
        <f>IF(ISNA(VLOOKUP($B478,CPY!$B:$G,3,FALSE))=TRUE," ",VLOOKUP($B478,CPY!$B:$G,3,FALSE))</f>
        <v> </v>
      </c>
      <c r="E478" s="65" t="str">
        <f>IF(ISNA(VLOOKUP($B478,CPY!$B:$G,4,FALSE))=TRUE," ",VLOOKUP($B478,CPY!$B:$G,4,FALSE))</f>
        <v> </v>
      </c>
      <c r="F478" s="62"/>
      <c r="G478" s="86"/>
      <c r="H478" s="87"/>
      <c r="I478" s="88"/>
      <c r="J478" s="88"/>
      <c r="K478" s="89">
        <f t="shared" si="17"/>
        <v>0</v>
      </c>
      <c r="L478" s="90" t="b">
        <f>IF((ISNUMBER(K478)),IF(AND(F478="Workdays",(SUMIFS(N:N,F:F,F478,H:H,H478,B:B,B478)&lt;=24)),IF(AND((K478*24)&gt;0,(K478*24)&lt;16),((K478*24)*MD!$I$6),IF((K478*24)&gt;=16,(MD!$J$6))),IF(AND(F478="Non_workdays",(SUMIFS(N:N,F:F,F478,H:H,H478,B:B,B478)&lt;=24)),IF(AND((K478*24)&gt;0,(K478*24)&lt;12),((K478*24)*MD!$I$5),IF((K478*24)&gt;=12,(MD!$J$5))))))</f>
        <v>0</v>
      </c>
      <c r="M478" s="62"/>
      <c r="N478" s="72">
        <f t="shared" si="16"/>
        <v>0</v>
      </c>
    </row>
    <row r="479" spans="1:14" x14ac:dyDescent="0.25">
      <c r="A479" s="62">
        <v>478</v>
      </c>
      <c r="B479" s="62"/>
      <c r="C479" s="85" t="str">
        <f>IF(ISNA(VLOOKUP($B479,CPY!$B:$G,2,FALSE))=TRUE," ",VLOOKUP($B479,CPY!$B:$G,2,FALSE))</f>
        <v> </v>
      </c>
      <c r="D479" s="50" t="str">
        <f>IF(ISNA(VLOOKUP($B479,CPY!$B:$G,3,FALSE))=TRUE," ",VLOOKUP($B479,CPY!$B:$G,3,FALSE))</f>
        <v> </v>
      </c>
      <c r="E479" s="65" t="str">
        <f>IF(ISNA(VLOOKUP($B479,CPY!$B:$G,4,FALSE))=TRUE," ",VLOOKUP($B479,CPY!$B:$G,4,FALSE))</f>
        <v> </v>
      </c>
      <c r="F479" s="62"/>
      <c r="G479" s="86"/>
      <c r="H479" s="87"/>
      <c r="I479" s="88"/>
      <c r="J479" s="88"/>
      <c r="K479" s="89">
        <f t="shared" si="17"/>
        <v>0</v>
      </c>
      <c r="L479" s="90" t="b">
        <f>IF((ISNUMBER(K479)),IF(AND(F479="Workdays",(SUMIFS(N:N,F:F,F479,H:H,H479,B:B,B479)&lt;=24)),IF(AND((K479*24)&gt;0,(K479*24)&lt;16),((K479*24)*MD!$I$6),IF((K479*24)&gt;=16,(MD!$J$6))),IF(AND(F479="Non_workdays",(SUMIFS(N:N,F:F,F479,H:H,H479,B:B,B479)&lt;=24)),IF(AND((K479*24)&gt;0,(K479*24)&lt;12),((K479*24)*MD!$I$5),IF((K479*24)&gt;=12,(MD!$J$5))))))</f>
        <v>0</v>
      </c>
      <c r="M479" s="62"/>
      <c r="N479" s="72">
        <f t="shared" si="16"/>
        <v>0</v>
      </c>
    </row>
    <row r="480" spans="1:14" x14ac:dyDescent="0.25">
      <c r="A480" s="62">
        <v>479</v>
      </c>
      <c r="B480" s="62"/>
      <c r="C480" s="85" t="str">
        <f>IF(ISNA(VLOOKUP($B480,CPY!$B:$G,2,FALSE))=TRUE," ",VLOOKUP($B480,CPY!$B:$G,2,FALSE))</f>
        <v> </v>
      </c>
      <c r="D480" s="50" t="str">
        <f>IF(ISNA(VLOOKUP($B480,CPY!$B:$G,3,FALSE))=TRUE," ",VLOOKUP($B480,CPY!$B:$G,3,FALSE))</f>
        <v> </v>
      </c>
      <c r="E480" s="65" t="str">
        <f>IF(ISNA(VLOOKUP($B480,CPY!$B:$G,4,FALSE))=TRUE," ",VLOOKUP($B480,CPY!$B:$G,4,FALSE))</f>
        <v> </v>
      </c>
      <c r="F480" s="62"/>
      <c r="G480" s="86"/>
      <c r="H480" s="87"/>
      <c r="I480" s="88"/>
      <c r="J480" s="88"/>
      <c r="K480" s="89">
        <f t="shared" si="17"/>
        <v>0</v>
      </c>
      <c r="L480" s="90" t="b">
        <f>IF((ISNUMBER(K480)),IF(AND(F480="Workdays",(SUMIFS(N:N,F:F,F480,H:H,H480,B:B,B480)&lt;=24)),IF(AND((K480*24)&gt;0,(K480*24)&lt;16),((K480*24)*MD!$I$6),IF((K480*24)&gt;=16,(MD!$J$6))),IF(AND(F480="Non_workdays",(SUMIFS(N:N,F:F,F480,H:H,H480,B:B,B480)&lt;=24)),IF(AND((K480*24)&gt;0,(K480*24)&lt;12),((K480*24)*MD!$I$5),IF((K480*24)&gt;=12,(MD!$J$5))))))</f>
        <v>0</v>
      </c>
      <c r="M480" s="62"/>
      <c r="N480" s="72">
        <f t="shared" si="16"/>
        <v>0</v>
      </c>
    </row>
    <row r="481" spans="1:14" x14ac:dyDescent="0.25">
      <c r="A481" s="62">
        <v>480</v>
      </c>
      <c r="B481" s="62"/>
      <c r="C481" s="85" t="str">
        <f>IF(ISNA(VLOOKUP($B481,CPY!$B:$G,2,FALSE))=TRUE," ",VLOOKUP($B481,CPY!$B:$G,2,FALSE))</f>
        <v> </v>
      </c>
      <c r="D481" s="50" t="str">
        <f>IF(ISNA(VLOOKUP($B481,CPY!$B:$G,3,FALSE))=TRUE," ",VLOOKUP($B481,CPY!$B:$G,3,FALSE))</f>
        <v> </v>
      </c>
      <c r="E481" s="65" t="str">
        <f>IF(ISNA(VLOOKUP($B481,CPY!$B:$G,4,FALSE))=TRUE," ",VLOOKUP($B481,CPY!$B:$G,4,FALSE))</f>
        <v> </v>
      </c>
      <c r="F481" s="62"/>
      <c r="G481" s="86"/>
      <c r="H481" s="87"/>
      <c r="I481" s="88"/>
      <c r="J481" s="88"/>
      <c r="K481" s="89">
        <f t="shared" si="17"/>
        <v>0</v>
      </c>
      <c r="L481" s="90" t="b">
        <f>IF((ISNUMBER(K481)),IF(AND(F481="Workdays",(SUMIFS(N:N,F:F,F481,H:H,H481,B:B,B481)&lt;=24)),IF(AND((K481*24)&gt;0,(K481*24)&lt;16),((K481*24)*MD!$I$6),IF((K481*24)&gt;=16,(MD!$J$6))),IF(AND(F481="Non_workdays",(SUMIFS(N:N,F:F,F481,H:H,H481,B:B,B481)&lt;=24)),IF(AND((K481*24)&gt;0,(K481*24)&lt;12),((K481*24)*MD!$I$5),IF((K481*24)&gt;=12,(MD!$J$5))))))</f>
        <v>0</v>
      </c>
      <c r="M481" s="62"/>
      <c r="N481" s="72">
        <f t="shared" si="16"/>
        <v>0</v>
      </c>
    </row>
    <row r="482" spans="1:14" x14ac:dyDescent="0.25">
      <c r="A482" s="62">
        <v>481</v>
      </c>
      <c r="B482" s="62"/>
      <c r="C482" s="85" t="str">
        <f>IF(ISNA(VLOOKUP($B482,CPY!$B:$G,2,FALSE))=TRUE," ",VLOOKUP($B482,CPY!$B:$G,2,FALSE))</f>
        <v> </v>
      </c>
      <c r="D482" s="50" t="str">
        <f>IF(ISNA(VLOOKUP($B482,CPY!$B:$G,3,FALSE))=TRUE," ",VLOOKUP($B482,CPY!$B:$G,3,FALSE))</f>
        <v> </v>
      </c>
      <c r="E482" s="65" t="str">
        <f>IF(ISNA(VLOOKUP($B482,CPY!$B:$G,4,FALSE))=TRUE," ",VLOOKUP($B482,CPY!$B:$G,4,FALSE))</f>
        <v> </v>
      </c>
      <c r="F482" s="62"/>
      <c r="G482" s="86"/>
      <c r="H482" s="87"/>
      <c r="I482" s="88"/>
      <c r="J482" s="88"/>
      <c r="K482" s="89">
        <f t="shared" si="17"/>
        <v>0</v>
      </c>
      <c r="L482" s="90" t="b">
        <f>IF((ISNUMBER(K482)),IF(AND(F482="Workdays",(SUMIFS(N:N,F:F,F482,H:H,H482,B:B,B482)&lt;=24)),IF(AND((K482*24)&gt;0,(K482*24)&lt;16),((K482*24)*MD!$I$6),IF((K482*24)&gt;=16,(MD!$J$6))),IF(AND(F482="Non_workdays",(SUMIFS(N:N,F:F,F482,H:H,H482,B:B,B482)&lt;=24)),IF(AND((K482*24)&gt;0,(K482*24)&lt;12),((K482*24)*MD!$I$5),IF((K482*24)&gt;=12,(MD!$J$5))))))</f>
        <v>0</v>
      </c>
      <c r="M482" s="62"/>
      <c r="N482" s="72">
        <f t="shared" si="16"/>
        <v>0</v>
      </c>
    </row>
    <row r="483" spans="1:14" x14ac:dyDescent="0.25">
      <c r="A483" s="62">
        <v>482</v>
      </c>
      <c r="B483" s="62"/>
      <c r="C483" s="85" t="str">
        <f>IF(ISNA(VLOOKUP($B483,CPY!$B:$G,2,FALSE))=TRUE," ",VLOOKUP($B483,CPY!$B:$G,2,FALSE))</f>
        <v> </v>
      </c>
      <c r="D483" s="50" t="str">
        <f>IF(ISNA(VLOOKUP($B483,CPY!$B:$G,3,FALSE))=TRUE," ",VLOOKUP($B483,CPY!$B:$G,3,FALSE))</f>
        <v> </v>
      </c>
      <c r="E483" s="65" t="str">
        <f>IF(ISNA(VLOOKUP($B483,CPY!$B:$G,4,FALSE))=TRUE," ",VLOOKUP($B483,CPY!$B:$G,4,FALSE))</f>
        <v> </v>
      </c>
      <c r="F483" s="62"/>
      <c r="G483" s="86"/>
      <c r="H483" s="87"/>
      <c r="I483" s="88"/>
      <c r="J483" s="88"/>
      <c r="K483" s="89">
        <f t="shared" si="17"/>
        <v>0</v>
      </c>
      <c r="L483" s="90" t="b">
        <f>IF((ISNUMBER(K483)),IF(AND(F483="Workdays",(SUMIFS(N:N,F:F,F483,H:H,H483,B:B,B483)&lt;=24)),IF(AND((K483*24)&gt;0,(K483*24)&lt;16),((K483*24)*MD!$I$6),IF((K483*24)&gt;=16,(MD!$J$6))),IF(AND(F483="Non_workdays",(SUMIFS(N:N,F:F,F483,H:H,H483,B:B,B483)&lt;=24)),IF(AND((K483*24)&gt;0,(K483*24)&lt;12),((K483*24)*MD!$I$5),IF((K483*24)&gt;=12,(MD!$J$5))))))</f>
        <v>0</v>
      </c>
      <c r="M483" s="62"/>
      <c r="N483" s="72">
        <f t="shared" si="16"/>
        <v>0</v>
      </c>
    </row>
    <row r="484" spans="1:14" x14ac:dyDescent="0.25">
      <c r="A484" s="62">
        <v>483</v>
      </c>
      <c r="B484" s="62"/>
      <c r="C484" s="85" t="str">
        <f>IF(ISNA(VLOOKUP($B484,CPY!$B:$G,2,FALSE))=TRUE," ",VLOOKUP($B484,CPY!$B:$G,2,FALSE))</f>
        <v> </v>
      </c>
      <c r="D484" s="50" t="str">
        <f>IF(ISNA(VLOOKUP($B484,CPY!$B:$G,3,FALSE))=TRUE," ",VLOOKUP($B484,CPY!$B:$G,3,FALSE))</f>
        <v> </v>
      </c>
      <c r="E484" s="65" t="str">
        <f>IF(ISNA(VLOOKUP($B484,CPY!$B:$G,4,FALSE))=TRUE," ",VLOOKUP($B484,CPY!$B:$G,4,FALSE))</f>
        <v> </v>
      </c>
      <c r="F484" s="62"/>
      <c r="G484" s="86"/>
      <c r="H484" s="87"/>
      <c r="I484" s="88"/>
      <c r="J484" s="88"/>
      <c r="K484" s="89">
        <f t="shared" si="17"/>
        <v>0</v>
      </c>
      <c r="L484" s="90" t="b">
        <f>IF((ISNUMBER(K484)),IF(AND(F484="Workdays",(SUMIFS(N:N,F:F,F484,H:H,H484,B:B,B484)&lt;=24)),IF(AND((K484*24)&gt;0,(K484*24)&lt;16),((K484*24)*MD!$I$6),IF((K484*24)&gt;=16,(MD!$J$6))),IF(AND(F484="Non_workdays",(SUMIFS(N:N,F:F,F484,H:H,H484,B:B,B484)&lt;=24)),IF(AND((K484*24)&gt;0,(K484*24)&lt;12),((K484*24)*MD!$I$5),IF((K484*24)&gt;=12,(MD!$J$5))))))</f>
        <v>0</v>
      </c>
      <c r="M484" s="62"/>
      <c r="N484" s="72">
        <f t="shared" si="16"/>
        <v>0</v>
      </c>
    </row>
    <row r="485" spans="1:14" x14ac:dyDescent="0.25">
      <c r="A485" s="62">
        <v>484</v>
      </c>
      <c r="B485" s="62"/>
      <c r="C485" s="85" t="str">
        <f>IF(ISNA(VLOOKUP($B485,CPY!$B:$G,2,FALSE))=TRUE," ",VLOOKUP($B485,CPY!$B:$G,2,FALSE))</f>
        <v> </v>
      </c>
      <c r="D485" s="50" t="str">
        <f>IF(ISNA(VLOOKUP($B485,CPY!$B:$G,3,FALSE))=TRUE," ",VLOOKUP($B485,CPY!$B:$G,3,FALSE))</f>
        <v> </v>
      </c>
      <c r="E485" s="65" t="str">
        <f>IF(ISNA(VLOOKUP($B485,CPY!$B:$G,4,FALSE))=TRUE," ",VLOOKUP($B485,CPY!$B:$G,4,FALSE))</f>
        <v> </v>
      </c>
      <c r="F485" s="62"/>
      <c r="G485" s="86"/>
      <c r="H485" s="87"/>
      <c r="I485" s="88"/>
      <c r="J485" s="88"/>
      <c r="K485" s="89">
        <f t="shared" si="17"/>
        <v>0</v>
      </c>
      <c r="L485" s="90" t="b">
        <f>IF((ISNUMBER(K485)),IF(AND(F485="Workdays",(SUMIFS(N:N,F:F,F485,H:H,H485,B:B,B485)&lt;=24)),IF(AND((K485*24)&gt;0,(K485*24)&lt;16),((K485*24)*MD!$I$6),IF((K485*24)&gt;=16,(MD!$J$6))),IF(AND(F485="Non_workdays",(SUMIFS(N:N,F:F,F485,H:H,H485,B:B,B485)&lt;=24)),IF(AND((K485*24)&gt;0,(K485*24)&lt;12),((K485*24)*MD!$I$5),IF((K485*24)&gt;=12,(MD!$J$5))))))</f>
        <v>0</v>
      </c>
      <c r="M485" s="62"/>
      <c r="N485" s="72">
        <f t="shared" si="16"/>
        <v>0</v>
      </c>
    </row>
    <row r="486" spans="1:14" x14ac:dyDescent="0.25">
      <c r="A486" s="62">
        <v>485</v>
      </c>
      <c r="B486" s="62"/>
      <c r="C486" s="85" t="str">
        <f>IF(ISNA(VLOOKUP($B486,CPY!$B:$G,2,FALSE))=TRUE," ",VLOOKUP($B486,CPY!$B:$G,2,FALSE))</f>
        <v> </v>
      </c>
      <c r="D486" s="50" t="str">
        <f>IF(ISNA(VLOOKUP($B486,CPY!$B:$G,3,FALSE))=TRUE," ",VLOOKUP($B486,CPY!$B:$G,3,FALSE))</f>
        <v> </v>
      </c>
      <c r="E486" s="65" t="str">
        <f>IF(ISNA(VLOOKUP($B486,CPY!$B:$G,4,FALSE))=TRUE," ",VLOOKUP($B486,CPY!$B:$G,4,FALSE))</f>
        <v> </v>
      </c>
      <c r="F486" s="62"/>
      <c r="G486" s="86"/>
      <c r="H486" s="87"/>
      <c r="I486" s="88"/>
      <c r="J486" s="88"/>
      <c r="K486" s="89">
        <f t="shared" si="17"/>
        <v>0</v>
      </c>
      <c r="L486" s="90" t="b">
        <f>IF((ISNUMBER(K486)),IF(AND(F486="Workdays",(SUMIFS(N:N,F:F,F486,H:H,H486,B:B,B486)&lt;=24)),IF(AND((K486*24)&gt;0,(K486*24)&lt;16),((K486*24)*MD!$I$6),IF((K486*24)&gt;=16,(MD!$J$6))),IF(AND(F486="Non_workdays",(SUMIFS(N:N,F:F,F486,H:H,H486,B:B,B486)&lt;=24)),IF(AND((K486*24)&gt;0,(K486*24)&lt;12),((K486*24)*MD!$I$5),IF((K486*24)&gt;=12,(MD!$J$5))))))</f>
        <v>0</v>
      </c>
      <c r="M486" s="62"/>
      <c r="N486" s="72">
        <f t="shared" si="16"/>
        <v>0</v>
      </c>
    </row>
    <row r="487" spans="1:14" x14ac:dyDescent="0.25">
      <c r="A487" s="62">
        <v>486</v>
      </c>
      <c r="B487" s="62"/>
      <c r="C487" s="85" t="str">
        <f>IF(ISNA(VLOOKUP($B487,CPY!$B:$G,2,FALSE))=TRUE," ",VLOOKUP($B487,CPY!$B:$G,2,FALSE))</f>
        <v> </v>
      </c>
      <c r="D487" s="50" t="str">
        <f>IF(ISNA(VLOOKUP($B487,CPY!$B:$G,3,FALSE))=TRUE," ",VLOOKUP($B487,CPY!$B:$G,3,FALSE))</f>
        <v> </v>
      </c>
      <c r="E487" s="65" t="str">
        <f>IF(ISNA(VLOOKUP($B487,CPY!$B:$G,4,FALSE))=TRUE," ",VLOOKUP($B487,CPY!$B:$G,4,FALSE))</f>
        <v> </v>
      </c>
      <c r="F487" s="62"/>
      <c r="G487" s="86"/>
      <c r="H487" s="87"/>
      <c r="I487" s="88"/>
      <c r="J487" s="88"/>
      <c r="K487" s="89">
        <f t="shared" si="17"/>
        <v>0</v>
      </c>
      <c r="L487" s="90" t="b">
        <f>IF((ISNUMBER(K487)),IF(AND(F487="Workdays",(SUMIFS(N:N,F:F,F487,H:H,H487,B:B,B487)&lt;=24)),IF(AND((K487*24)&gt;0,(K487*24)&lt;16),((K487*24)*MD!$I$6),IF((K487*24)&gt;=16,(MD!$J$6))),IF(AND(F487="Non_workdays",(SUMIFS(N:N,F:F,F487,H:H,H487,B:B,B487)&lt;=24)),IF(AND((K487*24)&gt;0,(K487*24)&lt;12),((K487*24)*MD!$I$5),IF((K487*24)&gt;=12,(MD!$J$5))))))</f>
        <v>0</v>
      </c>
      <c r="M487" s="62"/>
      <c r="N487" s="72">
        <f t="shared" si="16"/>
        <v>0</v>
      </c>
    </row>
    <row r="488" spans="1:14" x14ac:dyDescent="0.25">
      <c r="A488" s="62">
        <v>487</v>
      </c>
      <c r="B488" s="62"/>
      <c r="C488" s="85" t="str">
        <f>IF(ISNA(VLOOKUP($B488,CPY!$B:$G,2,FALSE))=TRUE," ",VLOOKUP($B488,CPY!$B:$G,2,FALSE))</f>
        <v> </v>
      </c>
      <c r="D488" s="50" t="str">
        <f>IF(ISNA(VLOOKUP($B488,CPY!$B:$G,3,FALSE))=TRUE," ",VLOOKUP($B488,CPY!$B:$G,3,FALSE))</f>
        <v> </v>
      </c>
      <c r="E488" s="65" t="str">
        <f>IF(ISNA(VLOOKUP($B488,CPY!$B:$G,4,FALSE))=TRUE," ",VLOOKUP($B488,CPY!$B:$G,4,FALSE))</f>
        <v> </v>
      </c>
      <c r="F488" s="62"/>
      <c r="G488" s="86"/>
      <c r="H488" s="87"/>
      <c r="I488" s="88"/>
      <c r="J488" s="88"/>
      <c r="K488" s="89">
        <f t="shared" si="17"/>
        <v>0</v>
      </c>
      <c r="L488" s="90" t="b">
        <f>IF((ISNUMBER(K488)),IF(AND(F488="Workdays",(SUMIFS(N:N,F:F,F488,H:H,H488,B:B,B488)&lt;=24)),IF(AND((K488*24)&gt;0,(K488*24)&lt;16),((K488*24)*MD!$I$6),IF((K488*24)&gt;=16,(MD!$J$6))),IF(AND(F488="Non_workdays",(SUMIFS(N:N,F:F,F488,H:H,H488,B:B,B488)&lt;=24)),IF(AND((K488*24)&gt;0,(K488*24)&lt;12),((K488*24)*MD!$I$5),IF((K488*24)&gt;=12,(MD!$J$5))))))</f>
        <v>0</v>
      </c>
      <c r="M488" s="62"/>
      <c r="N488" s="72">
        <f t="shared" si="16"/>
        <v>0</v>
      </c>
    </row>
    <row r="489" spans="1:14" x14ac:dyDescent="0.25">
      <c r="A489" s="62">
        <v>488</v>
      </c>
      <c r="B489" s="62"/>
      <c r="C489" s="85" t="str">
        <f>IF(ISNA(VLOOKUP($B489,CPY!$B:$G,2,FALSE))=TRUE," ",VLOOKUP($B489,CPY!$B:$G,2,FALSE))</f>
        <v> </v>
      </c>
      <c r="D489" s="50" t="str">
        <f>IF(ISNA(VLOOKUP($B489,CPY!$B:$G,3,FALSE))=TRUE," ",VLOOKUP($B489,CPY!$B:$G,3,FALSE))</f>
        <v> </v>
      </c>
      <c r="E489" s="65" t="str">
        <f>IF(ISNA(VLOOKUP($B489,CPY!$B:$G,4,FALSE))=TRUE," ",VLOOKUP($B489,CPY!$B:$G,4,FALSE))</f>
        <v> </v>
      </c>
      <c r="F489" s="62"/>
      <c r="G489" s="86"/>
      <c r="H489" s="87"/>
      <c r="I489" s="88"/>
      <c r="J489" s="88"/>
      <c r="K489" s="89">
        <f t="shared" si="17"/>
        <v>0</v>
      </c>
      <c r="L489" s="90" t="b">
        <f>IF((ISNUMBER(K489)),IF(AND(F489="Workdays",(SUMIFS(N:N,F:F,F489,H:H,H489,B:B,B489)&lt;=24)),IF(AND((K489*24)&gt;0,(K489*24)&lt;16),((K489*24)*MD!$I$6),IF((K489*24)&gt;=16,(MD!$J$6))),IF(AND(F489="Non_workdays",(SUMIFS(N:N,F:F,F489,H:H,H489,B:B,B489)&lt;=24)),IF(AND((K489*24)&gt;0,(K489*24)&lt;12),((K489*24)*MD!$I$5),IF((K489*24)&gt;=12,(MD!$J$5))))))</f>
        <v>0</v>
      </c>
      <c r="M489" s="62"/>
      <c r="N489" s="72">
        <f t="shared" si="16"/>
        <v>0</v>
      </c>
    </row>
    <row r="490" spans="1:14" x14ac:dyDescent="0.25">
      <c r="A490" s="62">
        <v>489</v>
      </c>
      <c r="B490" s="62"/>
      <c r="C490" s="85" t="str">
        <f>IF(ISNA(VLOOKUP($B490,CPY!$B:$G,2,FALSE))=TRUE," ",VLOOKUP($B490,CPY!$B:$G,2,FALSE))</f>
        <v> </v>
      </c>
      <c r="D490" s="50" t="str">
        <f>IF(ISNA(VLOOKUP($B490,CPY!$B:$G,3,FALSE))=TRUE," ",VLOOKUP($B490,CPY!$B:$G,3,FALSE))</f>
        <v> </v>
      </c>
      <c r="E490" s="65" t="str">
        <f>IF(ISNA(VLOOKUP($B490,CPY!$B:$G,4,FALSE))=TRUE," ",VLOOKUP($B490,CPY!$B:$G,4,FALSE))</f>
        <v> </v>
      </c>
      <c r="F490" s="62"/>
      <c r="G490" s="86"/>
      <c r="H490" s="87"/>
      <c r="I490" s="88"/>
      <c r="J490" s="88"/>
      <c r="K490" s="89">
        <f t="shared" si="17"/>
        <v>0</v>
      </c>
      <c r="L490" s="90" t="b">
        <f>IF((ISNUMBER(K490)),IF(AND(F490="Workdays",(SUMIFS(N:N,F:F,F490,H:H,H490,B:B,B490)&lt;=24)),IF(AND((K490*24)&gt;0,(K490*24)&lt;16),((K490*24)*MD!$I$6),IF((K490*24)&gt;=16,(MD!$J$6))),IF(AND(F490="Non_workdays",(SUMIFS(N:N,F:F,F490,H:H,H490,B:B,B490)&lt;=24)),IF(AND((K490*24)&gt;0,(K490*24)&lt;12),((K490*24)*MD!$I$5),IF((K490*24)&gt;=12,(MD!$J$5))))))</f>
        <v>0</v>
      </c>
      <c r="M490" s="62"/>
      <c r="N490" s="72">
        <f t="shared" si="16"/>
        <v>0</v>
      </c>
    </row>
    <row r="491" spans="1:14" x14ac:dyDescent="0.25">
      <c r="A491" s="62">
        <v>490</v>
      </c>
      <c r="B491" s="62"/>
      <c r="C491" s="85" t="str">
        <f>IF(ISNA(VLOOKUP($B491,CPY!$B:$G,2,FALSE))=TRUE," ",VLOOKUP($B491,CPY!$B:$G,2,FALSE))</f>
        <v> </v>
      </c>
      <c r="D491" s="50" t="str">
        <f>IF(ISNA(VLOOKUP($B491,CPY!$B:$G,3,FALSE))=TRUE," ",VLOOKUP($B491,CPY!$B:$G,3,FALSE))</f>
        <v> </v>
      </c>
      <c r="E491" s="65" t="str">
        <f>IF(ISNA(VLOOKUP($B491,CPY!$B:$G,4,FALSE))=TRUE," ",VLOOKUP($B491,CPY!$B:$G,4,FALSE))</f>
        <v> </v>
      </c>
      <c r="F491" s="62"/>
      <c r="G491" s="86"/>
      <c r="H491" s="87"/>
      <c r="I491" s="88"/>
      <c r="J491" s="88"/>
      <c r="K491" s="89">
        <f t="shared" si="17"/>
        <v>0</v>
      </c>
      <c r="L491" s="90" t="b">
        <f>IF((ISNUMBER(K491)),IF(AND(F491="Workdays",(SUMIFS(N:N,F:F,F491,H:H,H491,B:B,B491)&lt;=24)),IF(AND((K491*24)&gt;0,(K491*24)&lt;16),((K491*24)*MD!$I$6),IF((K491*24)&gt;=16,(MD!$J$6))),IF(AND(F491="Non_workdays",(SUMIFS(N:N,F:F,F491,H:H,H491,B:B,B491)&lt;=24)),IF(AND((K491*24)&gt;0,(K491*24)&lt;12),((K491*24)*MD!$I$5),IF((K491*24)&gt;=12,(MD!$J$5))))))</f>
        <v>0</v>
      </c>
      <c r="M491" s="62"/>
      <c r="N491" s="72">
        <f t="shared" si="16"/>
        <v>0</v>
      </c>
    </row>
    <row r="492" spans="1:14" x14ac:dyDescent="0.25">
      <c r="A492" s="62">
        <v>491</v>
      </c>
      <c r="B492" s="62"/>
      <c r="C492" s="85" t="str">
        <f>IF(ISNA(VLOOKUP($B492,CPY!$B:$G,2,FALSE))=TRUE," ",VLOOKUP($B492,CPY!$B:$G,2,FALSE))</f>
        <v> </v>
      </c>
      <c r="D492" s="50" t="str">
        <f>IF(ISNA(VLOOKUP($B492,CPY!$B:$G,3,FALSE))=TRUE," ",VLOOKUP($B492,CPY!$B:$G,3,FALSE))</f>
        <v> </v>
      </c>
      <c r="E492" s="65" t="str">
        <f>IF(ISNA(VLOOKUP($B492,CPY!$B:$G,4,FALSE))=TRUE," ",VLOOKUP($B492,CPY!$B:$G,4,FALSE))</f>
        <v> </v>
      </c>
      <c r="F492" s="62"/>
      <c r="G492" s="86"/>
      <c r="H492" s="87"/>
      <c r="I492" s="88"/>
      <c r="J492" s="88"/>
      <c r="K492" s="89">
        <f t="shared" si="17"/>
        <v>0</v>
      </c>
      <c r="L492" s="90" t="b">
        <f>IF((ISNUMBER(K492)),IF(AND(F492="Workdays",(SUMIFS(N:N,F:F,F492,H:H,H492,B:B,B492)&lt;=24)),IF(AND((K492*24)&gt;0,(K492*24)&lt;16),((K492*24)*MD!$I$6),IF((K492*24)&gt;=16,(MD!$J$6))),IF(AND(F492="Non_workdays",(SUMIFS(N:N,F:F,F492,H:H,H492,B:B,B492)&lt;=24)),IF(AND((K492*24)&gt;0,(K492*24)&lt;12),((K492*24)*MD!$I$5),IF((K492*24)&gt;=12,(MD!$J$5))))))</f>
        <v>0</v>
      </c>
      <c r="M492" s="62"/>
      <c r="N492" s="72">
        <f t="shared" si="16"/>
        <v>0</v>
      </c>
    </row>
    <row r="493" spans="1:14" x14ac:dyDescent="0.25">
      <c r="A493" s="62">
        <v>492</v>
      </c>
      <c r="B493" s="62"/>
      <c r="C493" s="85" t="str">
        <f>IF(ISNA(VLOOKUP($B493,CPY!$B:$G,2,FALSE))=TRUE," ",VLOOKUP($B493,CPY!$B:$G,2,FALSE))</f>
        <v> </v>
      </c>
      <c r="D493" s="50" t="str">
        <f>IF(ISNA(VLOOKUP($B493,CPY!$B:$G,3,FALSE))=TRUE," ",VLOOKUP($B493,CPY!$B:$G,3,FALSE))</f>
        <v> </v>
      </c>
      <c r="E493" s="65" t="str">
        <f>IF(ISNA(VLOOKUP($B493,CPY!$B:$G,4,FALSE))=TRUE," ",VLOOKUP($B493,CPY!$B:$G,4,FALSE))</f>
        <v> </v>
      </c>
      <c r="F493" s="62"/>
      <c r="G493" s="86"/>
      <c r="H493" s="87"/>
      <c r="I493" s="88"/>
      <c r="J493" s="88"/>
      <c r="K493" s="89">
        <f t="shared" si="17"/>
        <v>0</v>
      </c>
      <c r="L493" s="90" t="b">
        <f>IF((ISNUMBER(K493)),IF(AND(F493="Workdays",(SUMIFS(N:N,F:F,F493,H:H,H493,B:B,B493)&lt;=24)),IF(AND((K493*24)&gt;0,(K493*24)&lt;16),((K493*24)*MD!$I$6),IF((K493*24)&gt;=16,(MD!$J$6))),IF(AND(F493="Non_workdays",(SUMIFS(N:N,F:F,F493,H:H,H493,B:B,B493)&lt;=24)),IF(AND((K493*24)&gt;0,(K493*24)&lt;12),((K493*24)*MD!$I$5),IF((K493*24)&gt;=12,(MD!$J$5))))))</f>
        <v>0</v>
      </c>
      <c r="M493" s="62"/>
      <c r="N493" s="72">
        <f t="shared" si="16"/>
        <v>0</v>
      </c>
    </row>
    <row r="494" spans="1:14" x14ac:dyDescent="0.25">
      <c r="A494" s="62">
        <v>493</v>
      </c>
      <c r="B494" s="62"/>
      <c r="C494" s="85" t="str">
        <f>IF(ISNA(VLOOKUP($B494,CPY!$B:$G,2,FALSE))=TRUE," ",VLOOKUP($B494,CPY!$B:$G,2,FALSE))</f>
        <v> </v>
      </c>
      <c r="D494" s="50" t="str">
        <f>IF(ISNA(VLOOKUP($B494,CPY!$B:$G,3,FALSE))=TRUE," ",VLOOKUP($B494,CPY!$B:$G,3,FALSE))</f>
        <v> </v>
      </c>
      <c r="E494" s="65" t="str">
        <f>IF(ISNA(VLOOKUP($B494,CPY!$B:$G,4,FALSE))=TRUE," ",VLOOKUP($B494,CPY!$B:$G,4,FALSE))</f>
        <v> </v>
      </c>
      <c r="F494" s="62"/>
      <c r="G494" s="86"/>
      <c r="H494" s="87"/>
      <c r="I494" s="88"/>
      <c r="J494" s="88"/>
      <c r="K494" s="89">
        <f t="shared" si="17"/>
        <v>0</v>
      </c>
      <c r="L494" s="90" t="b">
        <f>IF((ISNUMBER(K494)),IF(AND(F494="Workdays",(SUMIFS(N:N,F:F,F494,H:H,H494,B:B,B494)&lt;=24)),IF(AND((K494*24)&gt;0,(K494*24)&lt;16),((K494*24)*MD!$I$6),IF((K494*24)&gt;=16,(MD!$J$6))),IF(AND(F494="Non_workdays",(SUMIFS(N:N,F:F,F494,H:H,H494,B:B,B494)&lt;=24)),IF(AND((K494*24)&gt;0,(K494*24)&lt;12),((K494*24)*MD!$I$5),IF((K494*24)&gt;=12,(MD!$J$5))))))</f>
        <v>0</v>
      </c>
      <c r="M494" s="62"/>
      <c r="N494" s="72">
        <f t="shared" si="16"/>
        <v>0</v>
      </c>
    </row>
    <row r="495" spans="1:14" x14ac:dyDescent="0.25">
      <c r="A495" s="62">
        <v>494</v>
      </c>
      <c r="B495" s="62"/>
      <c r="C495" s="85" t="str">
        <f>IF(ISNA(VLOOKUP($B495,CPY!$B:$G,2,FALSE))=TRUE," ",VLOOKUP($B495,CPY!$B:$G,2,FALSE))</f>
        <v> </v>
      </c>
      <c r="D495" s="50" t="str">
        <f>IF(ISNA(VLOOKUP($B495,CPY!$B:$G,3,FALSE))=TRUE," ",VLOOKUP($B495,CPY!$B:$G,3,FALSE))</f>
        <v> </v>
      </c>
      <c r="E495" s="65" t="str">
        <f>IF(ISNA(VLOOKUP($B495,CPY!$B:$G,4,FALSE))=TRUE," ",VLOOKUP($B495,CPY!$B:$G,4,FALSE))</f>
        <v> </v>
      </c>
      <c r="F495" s="62"/>
      <c r="G495" s="86"/>
      <c r="H495" s="87"/>
      <c r="I495" s="88"/>
      <c r="J495" s="88"/>
      <c r="K495" s="89">
        <f t="shared" si="17"/>
        <v>0</v>
      </c>
      <c r="L495" s="90" t="b">
        <f>IF((ISNUMBER(K495)),IF(AND(F495="Workdays",(SUMIFS(N:N,F:F,F495,H:H,H495,B:B,B495)&lt;=24)),IF(AND((K495*24)&gt;0,(K495*24)&lt;16),((K495*24)*MD!$I$6),IF((K495*24)&gt;=16,(MD!$J$6))),IF(AND(F495="Non_workdays",(SUMIFS(N:N,F:F,F495,H:H,H495,B:B,B495)&lt;=24)),IF(AND((K495*24)&gt;0,(K495*24)&lt;12),((K495*24)*MD!$I$5),IF((K495*24)&gt;=12,(MD!$J$5))))))</f>
        <v>0</v>
      </c>
      <c r="M495" s="62"/>
      <c r="N495" s="72">
        <f t="shared" si="16"/>
        <v>0</v>
      </c>
    </row>
    <row r="496" spans="1:14" x14ac:dyDescent="0.25">
      <c r="A496" s="62">
        <v>495</v>
      </c>
      <c r="B496" s="62"/>
      <c r="C496" s="85" t="str">
        <f>IF(ISNA(VLOOKUP($B496,CPY!$B:$G,2,FALSE))=TRUE," ",VLOOKUP($B496,CPY!$B:$G,2,FALSE))</f>
        <v> </v>
      </c>
      <c r="D496" s="50" t="str">
        <f>IF(ISNA(VLOOKUP($B496,CPY!$B:$G,3,FALSE))=TRUE," ",VLOOKUP($B496,CPY!$B:$G,3,FALSE))</f>
        <v> </v>
      </c>
      <c r="E496" s="65" t="str">
        <f>IF(ISNA(VLOOKUP($B496,CPY!$B:$G,4,FALSE))=TRUE," ",VLOOKUP($B496,CPY!$B:$G,4,FALSE))</f>
        <v> </v>
      </c>
      <c r="F496" s="62"/>
      <c r="G496" s="86"/>
      <c r="H496" s="87"/>
      <c r="I496" s="88"/>
      <c r="J496" s="88"/>
      <c r="K496" s="89">
        <f t="shared" si="17"/>
        <v>0</v>
      </c>
      <c r="L496" s="90" t="b">
        <f>IF((ISNUMBER(K496)),IF(AND(F496="Workdays",(SUMIFS(N:N,F:F,F496,H:H,H496,B:B,B496)&lt;=24)),IF(AND((K496*24)&gt;0,(K496*24)&lt;16),((K496*24)*MD!$I$6),IF((K496*24)&gt;=16,(MD!$J$6))),IF(AND(F496="Non_workdays",(SUMIFS(N:N,F:F,F496,H:H,H496,B:B,B496)&lt;=24)),IF(AND((K496*24)&gt;0,(K496*24)&lt;12),((K496*24)*MD!$I$5),IF((K496*24)&gt;=12,(MD!$J$5))))))</f>
        <v>0</v>
      </c>
      <c r="M496" s="62"/>
      <c r="N496" s="72">
        <f t="shared" si="16"/>
        <v>0</v>
      </c>
    </row>
    <row r="497" spans="1:14" x14ac:dyDescent="0.25">
      <c r="A497" s="62">
        <v>496</v>
      </c>
      <c r="B497" s="62"/>
      <c r="C497" s="85" t="str">
        <f>IF(ISNA(VLOOKUP($B497,CPY!$B:$G,2,FALSE))=TRUE," ",VLOOKUP($B497,CPY!$B:$G,2,FALSE))</f>
        <v> </v>
      </c>
      <c r="D497" s="50" t="str">
        <f>IF(ISNA(VLOOKUP($B497,CPY!$B:$G,3,FALSE))=TRUE," ",VLOOKUP($B497,CPY!$B:$G,3,FALSE))</f>
        <v> </v>
      </c>
      <c r="E497" s="65" t="str">
        <f>IF(ISNA(VLOOKUP($B497,CPY!$B:$G,4,FALSE))=TRUE," ",VLOOKUP($B497,CPY!$B:$G,4,FALSE))</f>
        <v> </v>
      </c>
      <c r="F497" s="62"/>
      <c r="G497" s="86"/>
      <c r="H497" s="87"/>
      <c r="I497" s="88"/>
      <c r="J497" s="88"/>
      <c r="K497" s="89">
        <f t="shared" si="17"/>
        <v>0</v>
      </c>
      <c r="L497" s="90" t="b">
        <f>IF((ISNUMBER(K497)),IF(AND(F497="Workdays",(SUMIFS(N:N,F:F,F497,H:H,H497,B:B,B497)&lt;=24)),IF(AND((K497*24)&gt;0,(K497*24)&lt;16),((K497*24)*MD!$I$6),IF((K497*24)&gt;=16,(MD!$J$6))),IF(AND(F497="Non_workdays",(SUMIFS(N:N,F:F,F497,H:H,H497,B:B,B497)&lt;=24)),IF(AND((K497*24)&gt;0,(K497*24)&lt;12),((K497*24)*MD!$I$5),IF((K497*24)&gt;=12,(MD!$J$5))))))</f>
        <v>0</v>
      </c>
      <c r="M497" s="62"/>
      <c r="N497" s="72">
        <f t="shared" si="16"/>
        <v>0</v>
      </c>
    </row>
    <row r="498" spans="1:14" x14ac:dyDescent="0.25">
      <c r="A498" s="62">
        <v>497</v>
      </c>
      <c r="B498" s="62"/>
      <c r="C498" s="85" t="str">
        <f>IF(ISNA(VLOOKUP($B498,CPY!$B:$G,2,FALSE))=TRUE," ",VLOOKUP($B498,CPY!$B:$G,2,FALSE))</f>
        <v> </v>
      </c>
      <c r="D498" s="50" t="str">
        <f>IF(ISNA(VLOOKUP($B498,CPY!$B:$G,3,FALSE))=TRUE," ",VLOOKUP($B498,CPY!$B:$G,3,FALSE))</f>
        <v> </v>
      </c>
      <c r="E498" s="65" t="str">
        <f>IF(ISNA(VLOOKUP($B498,CPY!$B:$G,4,FALSE))=TRUE," ",VLOOKUP($B498,CPY!$B:$G,4,FALSE))</f>
        <v> </v>
      </c>
      <c r="F498" s="62"/>
      <c r="G498" s="86"/>
      <c r="H498" s="87"/>
      <c r="I498" s="88"/>
      <c r="J498" s="88"/>
      <c r="K498" s="89">
        <f t="shared" si="17"/>
        <v>0</v>
      </c>
      <c r="L498" s="90" t="b">
        <f>IF((ISNUMBER(K498)),IF(AND(F498="Workdays",(SUMIFS(N:N,F:F,F498,H:H,H498,B:B,B498)&lt;=24)),IF(AND((K498*24)&gt;0,(K498*24)&lt;16),((K498*24)*MD!$I$6),IF((K498*24)&gt;=16,(MD!$J$6))),IF(AND(F498="Non_workdays",(SUMIFS(N:N,F:F,F498,H:H,H498,B:B,B498)&lt;=24)),IF(AND((K498*24)&gt;0,(K498*24)&lt;12),((K498*24)*MD!$I$5),IF((K498*24)&gt;=12,(MD!$J$5))))))</f>
        <v>0</v>
      </c>
      <c r="M498" s="62"/>
      <c r="N498" s="72">
        <f t="shared" si="16"/>
        <v>0</v>
      </c>
    </row>
    <row r="499" spans="1:14" x14ac:dyDescent="0.25">
      <c r="A499" s="62">
        <v>498</v>
      </c>
      <c r="B499" s="62"/>
      <c r="C499" s="85" t="str">
        <f>IF(ISNA(VLOOKUP($B499,CPY!$B:$G,2,FALSE))=TRUE," ",VLOOKUP($B499,CPY!$B:$G,2,FALSE))</f>
        <v> </v>
      </c>
      <c r="D499" s="50" t="str">
        <f>IF(ISNA(VLOOKUP($B499,CPY!$B:$G,3,FALSE))=TRUE," ",VLOOKUP($B499,CPY!$B:$G,3,FALSE))</f>
        <v> </v>
      </c>
      <c r="E499" s="65" t="str">
        <f>IF(ISNA(VLOOKUP($B499,CPY!$B:$G,4,FALSE))=TRUE," ",VLOOKUP($B499,CPY!$B:$G,4,FALSE))</f>
        <v> </v>
      </c>
      <c r="F499" s="62"/>
      <c r="G499" s="86"/>
      <c r="H499" s="87"/>
      <c r="I499" s="88"/>
      <c r="J499" s="88"/>
      <c r="K499" s="89">
        <f t="shared" si="17"/>
        <v>0</v>
      </c>
      <c r="L499" s="90" t="b">
        <f>IF((ISNUMBER(K499)),IF(AND(F499="Workdays",(SUMIFS(N:N,F:F,F499,H:H,H499,B:B,B499)&lt;=24)),IF(AND((K499*24)&gt;0,(K499*24)&lt;16),((K499*24)*MD!$I$6),IF((K499*24)&gt;=16,(MD!$J$6))),IF(AND(F499="Non_workdays",(SUMIFS(N:N,F:F,F499,H:H,H499,B:B,B499)&lt;=24)),IF(AND((K499*24)&gt;0,(K499*24)&lt;12),((K499*24)*MD!$I$5),IF((K499*24)&gt;=12,(MD!$J$5))))))</f>
        <v>0</v>
      </c>
      <c r="M499" s="62"/>
      <c r="N499" s="72">
        <f t="shared" si="16"/>
        <v>0</v>
      </c>
    </row>
    <row r="500" spans="1:14" x14ac:dyDescent="0.25">
      <c r="A500" s="62">
        <v>499</v>
      </c>
      <c r="B500" s="62"/>
      <c r="C500" s="85" t="str">
        <f>IF(ISNA(VLOOKUP($B500,CPY!$B:$G,2,FALSE))=TRUE," ",VLOOKUP($B500,CPY!$B:$G,2,FALSE))</f>
        <v> </v>
      </c>
      <c r="D500" s="50" t="str">
        <f>IF(ISNA(VLOOKUP($B500,CPY!$B:$G,3,FALSE))=TRUE," ",VLOOKUP($B500,CPY!$B:$G,3,FALSE))</f>
        <v> </v>
      </c>
      <c r="E500" s="65" t="str">
        <f>IF(ISNA(VLOOKUP($B500,CPY!$B:$G,4,FALSE))=TRUE," ",VLOOKUP($B500,CPY!$B:$G,4,FALSE))</f>
        <v> </v>
      </c>
      <c r="F500" s="62"/>
      <c r="G500" s="86"/>
      <c r="H500" s="87"/>
      <c r="I500" s="88"/>
      <c r="J500" s="88"/>
      <c r="K500" s="89">
        <f t="shared" si="17"/>
        <v>0</v>
      </c>
      <c r="L500" s="90" t="b">
        <f>IF((ISNUMBER(K500)),IF(AND(F500="Workdays",(SUMIFS(N:N,F:F,F500,H:H,H500,B:B,B500)&lt;=24)),IF(AND((K500*24)&gt;0,(K500*24)&lt;16),((K500*24)*MD!$I$6),IF((K500*24)&gt;=16,(MD!$J$6))),IF(AND(F500="Non_workdays",(SUMIFS(N:N,F:F,F500,H:H,H500,B:B,B500)&lt;=24)),IF(AND((K500*24)&gt;0,(K500*24)&lt;12),((K500*24)*MD!$I$5),IF((K500*24)&gt;=12,(MD!$J$5))))))</f>
        <v>0</v>
      </c>
      <c r="M500" s="62"/>
      <c r="N500" s="72">
        <f t="shared" si="16"/>
        <v>0</v>
      </c>
    </row>
  </sheetData>
  <sheetProtection sheet="1" autoFilter="0" algorithmName="SHA-512" hashValue="34/kaIgHMtXAiej2g9PfdM8H35viGvMQv4GYCqg99RGLFFN8ZLf4rCkWrqgPw9omn0cPlz0HLbFQEMjJzJFBOg==" saltValue="7rl4188km4F/sJgjfI0PFg==" spinCount="100000" objects="1" scenarios="1"/>
  <autoFilter ref="A1:R1"/>
  <dataValidations count="7">
    <dataValidation type="list" allowBlank="1" showInputMessage="1" showErrorMessage="1" sqref="F2:F8">
      <formula1>"Non_workdays,Workdays"</formula1>
    </dataValidation>
    <dataValidation type="custom" showInputMessage="1" showErrorMessage="1" errorTitle="Date" error="Please fill the emp ID" sqref="H10:H500">
      <formula1>($B2&gt;0)</formula1>
    </dataValidation>
    <dataValidation type="custom" showInputMessage="1" showErrorMessage="1" errorTitle="Date" error="Please fill the emp ID" sqref="H2:H500">
      <formula1>($B2&gt;0)</formula1>
    </dataValidation>
    <dataValidation type="custom" showInputMessage="1" showErrorMessage="1" errorTitle="Start Time" error="Please fill the Date" sqref="I10:I500">
      <formula1>NOT(ISBLANK(H2))</formula1>
    </dataValidation>
    <dataValidation type="custom" showInputMessage="1" showErrorMessage="1" errorTitle="Start Time" error="Please fill the Date" sqref="I2:I500">
      <formula1>NOT(ISBLANK(H2))</formula1>
    </dataValidation>
    <dataValidation type="custom" showInputMessage="1" showErrorMessage="1" errorTitle="End Time" error="Please fill Start Time " sqref="J10:J500">
      <formula1>NOT(ISBLANK(I2))</formula1>
    </dataValidation>
    <dataValidation type="custom" showInputMessage="1" showErrorMessage="1" errorTitle="End Time" error="Please fill Start Time " sqref="J2:J500">
      <formula1>NOT(ISBLANK(I2))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0"/>
  <sheetViews>
    <sheetView workbookViewId="0" showGridLines="0" zoomScale="85" zoomScaleNormal="85"/>
  </sheetViews>
  <sheetFormatPr defaultRowHeight="14.5" outlineLevelRow="0" outlineLevelCol="0" x14ac:dyDescent="0.35" defaultColWidth="9.1796875" customHeight="1"/>
  <cols>
    <col min="1" max="1" width="5.54296875" style="1" customWidth="1"/>
    <col min="2" max="2" width="6.54296875" style="1" customWidth="1"/>
    <col min="3" max="3" width="32.26953125" style="1" customWidth="1"/>
    <col min="4" max="4" width="7.26953125" style="1" customWidth="1"/>
    <col min="5" max="5" width="52.453125" style="1" customWidth="1"/>
    <col min="6" max="6" width="18.453125" style="1" customWidth="1"/>
    <col min="7" max="7" width="2.1796875" style="77" customWidth="1"/>
    <col min="8" max="8" width="22.453125" style="77" customWidth="1"/>
    <col min="9" max="9" width="15" style="1" customWidth="1"/>
    <col min="10" max="10" width="10" style="1" customWidth="1"/>
    <col min="11" max="11" width="9.1796875" style="1" customWidth="1"/>
    <col min="12" max="12" width="15.453125" style="91" customWidth="1"/>
    <col min="13" max="13" width="14" style="92" customWidth="1"/>
    <col min="14" max="14" width="87.54296875" style="1" customWidth="1"/>
    <col min="15" max="15" width="1" style="72" customWidth="1"/>
    <col min="16" max="16384" width="9.1796875" style="1" customWidth="1"/>
  </cols>
  <sheetData>
    <row r="1" spans="1:14" x14ac:dyDescent="0.25">
      <c r="A1" s="67" t="s">
        <v>28</v>
      </c>
      <c r="B1" s="67" t="s">
        <v>29</v>
      </c>
      <c r="C1" s="67" t="s">
        <v>30</v>
      </c>
      <c r="D1" s="67" t="s">
        <v>31</v>
      </c>
      <c r="E1" s="67" t="s">
        <v>2014</v>
      </c>
      <c r="F1" s="93" t="s">
        <v>2071</v>
      </c>
      <c r="G1" s="82"/>
      <c r="H1" s="67" t="s">
        <v>2072</v>
      </c>
      <c r="I1" s="67" t="s">
        <v>16</v>
      </c>
      <c r="J1" s="67" t="s">
        <v>2055</v>
      </c>
      <c r="K1" s="67" t="s">
        <v>2056</v>
      </c>
      <c r="L1" s="94" t="s">
        <v>2057</v>
      </c>
      <c r="M1" s="84" t="s">
        <v>2058</v>
      </c>
      <c r="N1" s="67" t="s">
        <v>2073</v>
      </c>
    </row>
    <row r="2" spans="1:15" x14ac:dyDescent="0.25">
      <c r="A2" s="62">
        <v>1</v>
      </c>
      <c r="B2" s="73">
        <v>5713</v>
      </c>
      <c r="C2" s="68" t="str">
        <f>IF(ISNA(VLOOKUP($B2,CPY!$B:$G,2,FALSE))=TRUE," ",VLOOKUP($B2,CPY!$B:$G,2,FALSE))</f>
        <v> </v>
      </c>
      <c r="D2" s="50" t="str">
        <f>IF(ISNA(VLOOKUP($B2,CPY!$B:$G,3,FALSE))=TRUE," ",VLOOKUP($B2,CPY!$B:$G,3,FALSE))</f>
        <v> </v>
      </c>
      <c r="E2" s="65" t="str">
        <f>IF(ISNA(VLOOKUP($B2,CPY!$B:$G,4,FALSE))=TRUE," ",VLOOKUP($B2,CPY!$B:$G,4,FALSE))</f>
        <v> </v>
      </c>
      <c r="F2" s="62" t="s">
        <v>2060</v>
      </c>
      <c r="G2" s="86"/>
      <c r="H2" s="86" t="s">
        <v>2052</v>
      </c>
      <c r="I2" s="87" t="s">
        <v>2074</v>
      </c>
      <c r="J2" s="88" t="s">
        <v>2075</v>
      </c>
      <c r="K2" s="88" t="s">
        <v>2076</v>
      </c>
      <c r="L2" s="95">
        <f>IF($F2="Workdays",IF(NOT(ISBLANK($K2)),(IF($K2&lt;$J2,$K2+1,$K2)-$J2)),IF(OR($F2="Non_workdays",$F2="Call_out"),IF(NOT(ISBLANK($K2)),(IF($K2&lt;$J2,$K2+1,$K2)-$J2)),IF(AND(NOT(ISBLANK($F2)),NOT(ISBLANK($I2))),"Correct the On call slab")))</f>
        <v>0</v>
      </c>
      <c r="M2" s="96" t="b">
        <f>IF((ISNUMBER(L2)),IF(AND(F2="Workdays",(SUMIFS(O:O,F:F,F2,I:I,I2,B:B,B2)&lt;=24)),IF(AND((L2*24)&gt;0,(L2*24)&lt;=8),(L2*24)*MD!$M$5,IF(AND((L2*24)&gt;8,(L2*24)&lt;=16),(MD!$N$5),IF((L2*24)&gt;16,MD!$N$5))),IF(AND(F2="Non_workdays",(SUMIFS(O:O,F:F,F2,I:I,I2,B:B,B2)&lt;=24)),IF(AND((L2*24)&gt;0,(L2*24)&lt;=8),(L2*24)*MD!$M$6,IF(AND((L2*24)&gt;8,(L2*24)&lt;=16),(MD!$N$6),IF((L2*24)&gt;16,MD!$N$6))),IF(AND(F2="Call_out",(SUMIFS(O:O,F:F,F2,I:I,I2,B:B,B2)&lt;=24)),IF(AND((L2*24)&gt;0,(L2*24)&lt;=8),(L2*24)*MD!$P$4,IF(AND((L2*24)&gt;8,(L2*24)&lt;=16),(MD!$Q$4),IF((L2*24)&gt;16,MD!$Q$4)))))))</f>
        <v>0</v>
      </c>
      <c r="N2" s="62"/>
      <c r="O2" s="72">
        <f>L2*24</f>
        <v>0</v>
      </c>
    </row>
    <row r="3" spans="1:15" x14ac:dyDescent="0.25">
      <c r="A3" s="62">
        <v>2</v>
      </c>
      <c r="B3" s="73">
        <v>5713</v>
      </c>
      <c r="C3" s="68" t="str">
        <f>IF(ISNA(VLOOKUP($B3,CPY!$B:$G,2,FALSE))=TRUE," ",VLOOKUP($B3,CPY!$B:$G,2,FALSE))</f>
        <v> </v>
      </c>
      <c r="D3" s="50" t="str">
        <f>IF(ISNA(VLOOKUP($B3,CPY!$B:$G,3,FALSE))=TRUE," ",VLOOKUP($B3,CPY!$B:$G,3,FALSE))</f>
        <v> </v>
      </c>
      <c r="E3" s="65" t="str">
        <f>IF(ISNA(VLOOKUP($B3,CPY!$B:$G,4,FALSE))=TRUE," ",VLOOKUP($B3,CPY!$B:$G,4,FALSE))</f>
        <v> </v>
      </c>
      <c r="F3" s="62" t="s">
        <v>2064</v>
      </c>
      <c r="G3" s="86"/>
      <c r="H3" s="86" t="s">
        <v>2052</v>
      </c>
      <c r="I3" s="87" t="s">
        <v>2077</v>
      </c>
      <c r="J3" s="88" t="s">
        <v>2075</v>
      </c>
      <c r="K3" s="88" t="s">
        <v>2076</v>
      </c>
      <c r="L3" s="95">
        <f t="shared" ref="L3:L66" si="0">IF($F3="Workdays",IF(NOT(ISBLANK($K3)),(IF($K3&lt;$J3,$K3+1,$K3)-$J3)),IF(OR($F3="Non_workdays",$F3="Call_out"),IF(NOT(ISBLANK($K3)),(IF($K3&lt;$J3,$K3+1,$K3)-$J3)),IF(AND(NOT(ISBLANK($F3)),NOT(ISBLANK($I3))),"Correct the On call slab")))</f>
        <v>0</v>
      </c>
      <c r="M3" s="96" t="b">
        <f>IF((ISNUMBER(L3)),IF(AND(F3="Workdays",(SUMIFS(O:O,F:F,F3,I:I,I3,B:B,B3)&lt;=24)),IF(AND((L3*24)&gt;0,(L3*24)&lt;=8),(L3*24)*MD!$M$5,IF(AND((L3*24)&gt;8,(L3*24)&lt;=16),(MD!$N$5),IF((L3*24)&gt;16,MD!$N$5))),IF(AND(F3="Non_workdays",(SUMIFS(O:O,F:F,F3,I:I,I3,B:B,B3)&lt;=24)),IF(AND((L3*24)&gt;0,(L3*24)&lt;=8),(L3*24)*MD!$M$6,IF(AND((L3*24)&gt;8,(L3*24)&lt;=16),(MD!$N$6),IF((L3*24)&gt;16,MD!$N$6))),IF(AND(F3="Call_out",(SUMIFS(O:O,F:F,F3,I:I,I3,B:B,B3)&lt;=24)),IF(AND((L3*24)&gt;0,(L3*24)&lt;=8),(L3*24)*MD!$P$4,IF(AND((L3*24)&gt;8,(L3*24)&lt;=16),(MD!$Q$4),IF((L3*24)&gt;16,MD!$Q$4)))))))</f>
        <v>0</v>
      </c>
      <c r="N3" s="62"/>
      <c r="O3" s="72">
        <f t="shared" ref="O3:O66" si="1">L3*24</f>
        <v>0</v>
      </c>
    </row>
    <row r="4" spans="1:15" x14ac:dyDescent="0.25">
      <c r="A4" s="62">
        <v>3</v>
      </c>
      <c r="B4" s="73"/>
      <c r="C4" s="68" t="str">
        <f>IF(ISNA(VLOOKUP($B4,CPY!$B:$G,2,FALSE))=TRUE," ",VLOOKUP($B4,CPY!$B:$G,2,FALSE))</f>
        <v> </v>
      </c>
      <c r="D4" s="50" t="str">
        <f>IF(ISNA(VLOOKUP($B4,CPY!$B:$G,3,FALSE))=TRUE," ",VLOOKUP($B4,CPY!$B:$G,3,FALSE))</f>
        <v> </v>
      </c>
      <c r="E4" s="65" t="str">
        <f>IF(ISNA(VLOOKUP($B4,CPY!$B:$G,4,FALSE))=TRUE," ",VLOOKUP($B4,CPY!$B:$G,4,FALSE))</f>
        <v> </v>
      </c>
      <c r="F4" s="62"/>
      <c r="G4" s="86"/>
      <c r="H4" s="86"/>
      <c r="I4" s="87"/>
      <c r="J4" s="88"/>
      <c r="K4" s="88"/>
      <c r="L4" s="95">
        <f t="shared" si="0"/>
        <v>0</v>
      </c>
      <c r="M4" s="96" t="b">
        <f>IF((ISNUMBER(L4)),IF(AND(F4="Workdays",(SUMIFS(O:O,F:F,F4,I:I,I4,B:B,B4)&lt;=24)),IF(AND((L4*24)&gt;0,(L4*24)&lt;=8),(L4*24)*MD!$M$5,IF(AND((L4*24)&gt;8,(L4*24)&lt;=16),(MD!$N$5),IF((L4*24)&gt;16,MD!$N$5))),IF(AND(F4="Non_workdays",(SUMIFS(O:O,F:F,F4,I:I,I4,B:B,B4)&lt;=24)),IF(AND((L4*24)&gt;0,(L4*24)&lt;=8),(L4*24)*MD!$M$6,IF(AND((L4*24)&gt;8,(L4*24)&lt;=16),(MD!$N$6),IF((L4*24)&gt;16,MD!$N$6))),IF(AND(F4="Call_out",(SUMIFS(O:O,F:F,F4,I:I,I4,B:B,B4)&lt;=24)),IF(AND((L4*24)&gt;0,(L4*24)&lt;=8),(L4*24)*MD!$P$4,IF(AND((L4*24)&gt;8,(L4*24)&lt;=16),(MD!$Q$4),IF((L4*24)&gt;16,MD!$Q$4)))))))</f>
        <v>0</v>
      </c>
      <c r="N4" s="62"/>
      <c r="O4" s="72">
        <f t="shared" si="1"/>
        <v>0</v>
      </c>
    </row>
    <row r="5" spans="1:17" x14ac:dyDescent="0.25">
      <c r="A5" s="62">
        <v>4</v>
      </c>
      <c r="B5" s="62"/>
      <c r="C5" s="68" t="str">
        <f>IF(ISNA(VLOOKUP($B5,CPY!$B:$G,2,FALSE))=TRUE," ",VLOOKUP($B5,CPY!$B:$G,2,FALSE))</f>
        <v> </v>
      </c>
      <c r="D5" s="50" t="str">
        <f>IF(ISNA(VLOOKUP($B5,CPY!$B:$G,3,FALSE))=TRUE," ",VLOOKUP($B5,CPY!$B:$G,3,FALSE))</f>
        <v> </v>
      </c>
      <c r="E5" s="65" t="str">
        <f>IF(ISNA(VLOOKUP($B5,CPY!$B:$G,4,FALSE))=TRUE," ",VLOOKUP($B5,CPY!$B:$G,4,FALSE))</f>
        <v> </v>
      </c>
      <c r="F5" s="62"/>
      <c r="G5" s="86"/>
      <c r="H5" s="86"/>
      <c r="I5" s="87"/>
      <c r="J5" s="88"/>
      <c r="K5" s="88"/>
      <c r="L5" s="95">
        <f t="shared" si="0"/>
        <v>0</v>
      </c>
      <c r="M5" s="96" t="b">
        <f>IF((ISNUMBER(L5)),IF(AND(F5="Workdays",(SUMIFS(O:O,F:F,F5,I:I,I5,B:B,B5)&lt;=24)),IF(AND((L5*24)&gt;0,(L5*24)&lt;=8),(L5*24)*MD!$M$5,IF(AND((L5*24)&gt;8,(L5*24)&lt;=16),(MD!$N$5),IF((L5*24)&gt;16,MD!$N$5))),IF(AND(F5="Non_workdays",(SUMIFS(O:O,F:F,F5,I:I,I5,B:B,B5)&lt;=24)),IF(AND((L5*24)&gt;0,(L5*24)&lt;=8),(L5*24)*MD!$M$6,IF(AND((L5*24)&gt;8,(L5*24)&lt;=16),(MD!$N$6),IF((L5*24)&gt;16,MD!$N$6))),IF(AND(F5="Call_out",(SUMIFS(O:O,F:F,F5,I:I,I5,B:B,B5)&lt;=24)),IF(AND((L5*24)&gt;0,(L5*24)&lt;=8),(L5*24)*MD!$P$4,IF(AND((L5*24)&gt;8,(L5*24)&lt;=16),(MD!$Q$4),IF((L5*24)&gt;16,MD!$Q$4)))))))</f>
        <v>0</v>
      </c>
      <c r="N5" s="62"/>
      <c r="O5" s="72">
        <f t="shared" si="1"/>
        <v>0</v>
      </c>
      <c r="P5" s="71"/>
      <c r="Q5" s="72"/>
    </row>
    <row r="6" spans="1:15" x14ac:dyDescent="0.25">
      <c r="A6" s="62">
        <v>5</v>
      </c>
      <c r="B6" s="62"/>
      <c r="C6" s="68" t="str">
        <f>IF(ISNA(VLOOKUP($B6,CPY!$B:$G,2,FALSE))=TRUE," ",VLOOKUP($B6,CPY!$B:$G,2,FALSE))</f>
        <v> </v>
      </c>
      <c r="D6" s="50" t="str">
        <f>IF(ISNA(VLOOKUP($B6,CPY!$B:$G,3,FALSE))=TRUE," ",VLOOKUP($B6,CPY!$B:$G,3,FALSE))</f>
        <v> </v>
      </c>
      <c r="E6" s="65" t="str">
        <f>IF(ISNA(VLOOKUP($B6,CPY!$B:$G,4,FALSE))=TRUE," ",VLOOKUP($B6,CPY!$B:$G,4,FALSE))</f>
        <v> </v>
      </c>
      <c r="F6" s="62"/>
      <c r="G6" s="86"/>
      <c r="H6" s="86"/>
      <c r="I6" s="87"/>
      <c r="J6" s="88"/>
      <c r="K6" s="88"/>
      <c r="L6" s="95">
        <f t="shared" si="0"/>
        <v>0</v>
      </c>
      <c r="M6" s="96" t="b">
        <f>IF((ISNUMBER(L6)),IF(AND(F6="Workdays",(SUMIFS(O:O,F:F,F6,I:I,I6,B:B,B6)&lt;=24)),IF(AND((L6*24)&gt;0,(L6*24)&lt;=8),(L6*24)*MD!$M$5,IF(AND((L6*24)&gt;8,(L6*24)&lt;=16),(MD!$N$5),IF((L6*24)&gt;16,MD!$N$5))),IF(AND(F6="Non_workdays",(SUMIFS(O:O,F:F,F6,I:I,I6,B:B,B6)&lt;=24)),IF(AND((L6*24)&gt;0,(L6*24)&lt;=8),(L6*24)*MD!$M$6,IF(AND((L6*24)&gt;8,(L6*24)&lt;=16),(MD!$N$6),IF((L6*24)&gt;16,MD!$N$6))),IF(AND(F6="Call_out",(SUMIFS(O:O,F:F,F6,I:I,I6,B:B,B6)&lt;=24)),IF(AND((L6*24)&gt;0,(L6*24)&lt;=8),(L6*24)*MD!$P$4,IF(AND((L6*24)&gt;8,(L6*24)&lt;=16),(MD!$Q$4),IF((L6*24)&gt;16,MD!$Q$4)))))))</f>
        <v>0</v>
      </c>
      <c r="N6" s="62"/>
      <c r="O6" s="72">
        <f t="shared" si="1"/>
        <v>0</v>
      </c>
    </row>
    <row r="7" spans="1:15" x14ac:dyDescent="0.25">
      <c r="A7" s="62">
        <v>6</v>
      </c>
      <c r="B7" s="62"/>
      <c r="C7" s="68" t="str">
        <f>IF(ISNA(VLOOKUP($B7,CPY!$B:$G,2,FALSE))=TRUE," ",VLOOKUP($B7,CPY!$B:$G,2,FALSE))</f>
        <v> </v>
      </c>
      <c r="D7" s="50" t="str">
        <f>IF(ISNA(VLOOKUP($B7,CPY!$B:$G,3,FALSE))=TRUE," ",VLOOKUP($B7,CPY!$B:$G,3,FALSE))</f>
        <v> </v>
      </c>
      <c r="E7" s="65" t="str">
        <f>IF(ISNA(VLOOKUP($B7,CPY!$B:$G,4,FALSE))=TRUE," ",VLOOKUP($B7,CPY!$B:$G,4,FALSE))</f>
        <v> </v>
      </c>
      <c r="F7" s="62"/>
      <c r="G7" s="86"/>
      <c r="H7" s="86"/>
      <c r="I7" s="87"/>
      <c r="J7" s="88"/>
      <c r="K7" s="88"/>
      <c r="L7" s="95">
        <f t="shared" si="0"/>
        <v>0</v>
      </c>
      <c r="M7" s="96" t="b">
        <f>IF((ISNUMBER(L7)),IF(AND(F7="Workdays",(SUMIFS(O:O,F:F,F7,I:I,I7,B:B,B7)&lt;=24)),IF(AND((L7*24)&gt;0,(L7*24)&lt;=8),(L7*24)*MD!$M$5,IF(AND((L7*24)&gt;8,(L7*24)&lt;=16),(MD!$N$5),IF((L7*24)&gt;16,MD!$N$5))),IF(AND(F7="Non_workdays",(SUMIFS(O:O,F:F,F7,I:I,I7,B:B,B7)&lt;=24)),IF(AND((L7*24)&gt;0,(L7*24)&lt;=8),(L7*24)*MD!$M$6,IF(AND((L7*24)&gt;8,(L7*24)&lt;=16),(MD!$N$6),IF((L7*24)&gt;16,MD!$N$6))),IF(AND(F7="Call_out",(SUMIFS(O:O,F:F,F7,I:I,I7,B:B,B7)&lt;=24)),IF(AND((L7*24)&gt;0,(L7*24)&lt;=8),(L7*24)*MD!$P$4,IF(AND((L7*24)&gt;8,(L7*24)&lt;=16),(MD!$Q$4),IF((L7*24)&gt;16,MD!$Q$4)))))))</f>
        <v>0</v>
      </c>
      <c r="N7" s="62"/>
      <c r="O7" s="72">
        <f t="shared" si="1"/>
        <v>0</v>
      </c>
    </row>
    <row r="8" spans="1:15" x14ac:dyDescent="0.25">
      <c r="A8" s="62">
        <v>7</v>
      </c>
      <c r="B8" s="62"/>
      <c r="C8" s="68" t="str">
        <f>IF(ISNA(VLOOKUP($B8,CPY!$B:$G,2,FALSE))=TRUE," ",VLOOKUP($B8,CPY!$B:$G,2,FALSE))</f>
        <v> </v>
      </c>
      <c r="D8" s="50" t="str">
        <f>IF(ISNA(VLOOKUP($B8,CPY!$B:$G,3,FALSE))=TRUE," ",VLOOKUP($B8,CPY!$B:$G,3,FALSE))</f>
        <v> </v>
      </c>
      <c r="E8" s="65" t="str">
        <f>IF(ISNA(VLOOKUP($B8,CPY!$B:$G,4,FALSE))=TRUE," ",VLOOKUP($B8,CPY!$B:$G,4,FALSE))</f>
        <v> </v>
      </c>
      <c r="F8" s="62"/>
      <c r="G8" s="86"/>
      <c r="H8" s="86"/>
      <c r="I8" s="87"/>
      <c r="J8" s="88"/>
      <c r="K8" s="88"/>
      <c r="L8" s="95">
        <f t="shared" si="0"/>
        <v>0</v>
      </c>
      <c r="M8" s="96" t="b">
        <f>IF((ISNUMBER(L8)),IF(AND(F8="Workdays",(SUMIFS(O:O,F:F,F8,I:I,I8,B:B,B8)&lt;=24)),IF(AND((L8*24)&gt;0,(L8*24)&lt;=8),(L8*24)*MD!$M$5,IF(AND((L8*24)&gt;8,(L8*24)&lt;=16),(MD!$N$5),IF((L8*24)&gt;16,MD!$N$5))),IF(AND(F8="Non_workdays",(SUMIFS(O:O,F:F,F8,I:I,I8,B:B,B8)&lt;=24)),IF(AND((L8*24)&gt;0,(L8*24)&lt;=8),(L8*24)*MD!$M$6,IF(AND((L8*24)&gt;8,(L8*24)&lt;=16),(MD!$N$6),IF((L8*24)&gt;16,MD!$N$6))),IF(AND(F8="Call_out",(SUMIFS(O:O,F:F,F8,I:I,I8,B:B,B8)&lt;=24)),IF(AND((L8*24)&gt;0,(L8*24)&lt;=8),(L8*24)*MD!$P$4,IF(AND((L8*24)&gt;8,(L8*24)&lt;=16),(MD!$Q$4),IF((L8*24)&gt;16,MD!$Q$4)))))))</f>
        <v>0</v>
      </c>
      <c r="N8" s="62"/>
      <c r="O8" s="72">
        <f t="shared" si="1"/>
        <v>0</v>
      </c>
    </row>
    <row r="9" spans="1:15" x14ac:dyDescent="0.25">
      <c r="A9" s="62">
        <v>8</v>
      </c>
      <c r="B9" s="62"/>
      <c r="C9" s="68" t="str">
        <f>IF(ISNA(VLOOKUP($B9,CPY!$B:$G,2,FALSE))=TRUE," ",VLOOKUP($B9,CPY!$B:$G,2,FALSE))</f>
        <v> </v>
      </c>
      <c r="D9" s="50" t="str">
        <f>IF(ISNA(VLOOKUP($B9,CPY!$B:$G,3,FALSE))=TRUE," ",VLOOKUP($B9,CPY!$B:$G,3,FALSE))</f>
        <v> </v>
      </c>
      <c r="E9" s="65" t="str">
        <f>IF(ISNA(VLOOKUP($B9,CPY!$B:$G,4,FALSE))=TRUE," ",VLOOKUP($B9,CPY!$B:$G,4,FALSE))</f>
        <v> </v>
      </c>
      <c r="F9" s="62"/>
      <c r="G9" s="86"/>
      <c r="H9" s="86"/>
      <c r="I9" s="87"/>
      <c r="J9" s="88"/>
      <c r="K9" s="88"/>
      <c r="L9" s="95">
        <f t="shared" si="0"/>
        <v>0</v>
      </c>
      <c r="M9" s="96" t="b">
        <f>IF((ISNUMBER(L9)),IF(AND(F9="Workdays",(SUMIFS(O:O,F:F,F9,I:I,I9,B:B,B9)&lt;=24)),IF(AND((L9*24)&gt;0,(L9*24)&lt;=8),(L9*24)*MD!$M$5,IF(AND((L9*24)&gt;8,(L9*24)&lt;=16),(MD!$N$5),IF((L9*24)&gt;16,MD!$N$5))),IF(AND(F9="Non_workdays",(SUMIFS(O:O,F:F,F9,I:I,I9,B:B,B9)&lt;=24)),IF(AND((L9*24)&gt;0,(L9*24)&lt;=8),(L9*24)*MD!$M$6,IF(AND((L9*24)&gt;8,(L9*24)&lt;=16),(MD!$N$6),IF((L9*24)&gt;16,MD!$N$6))),IF(AND(F9="Call_out",(SUMIFS(O:O,F:F,F9,I:I,I9,B:B,B9)&lt;=24)),IF(AND((L9*24)&gt;0,(L9*24)&lt;=8),(L9*24)*MD!$P$4,IF(AND((L9*24)&gt;8,(L9*24)&lt;=16),(MD!$Q$4),IF((L9*24)&gt;16,MD!$Q$4)))))))</f>
        <v>0</v>
      </c>
      <c r="N9" s="62"/>
      <c r="O9" s="72">
        <f t="shared" si="1"/>
        <v>0</v>
      </c>
    </row>
    <row r="10" spans="1:15" x14ac:dyDescent="0.25">
      <c r="A10" s="62">
        <v>9</v>
      </c>
      <c r="B10" s="62"/>
      <c r="C10" s="68" t="str">
        <f>IF(ISNA(VLOOKUP($B10,CPY!$B:$G,2,FALSE))=TRUE," ",VLOOKUP($B10,CPY!$B:$G,2,FALSE))</f>
        <v> </v>
      </c>
      <c r="D10" s="50" t="str">
        <f>IF(ISNA(VLOOKUP($B10,CPY!$B:$G,3,FALSE))=TRUE," ",VLOOKUP($B10,CPY!$B:$G,3,FALSE))</f>
        <v> </v>
      </c>
      <c r="E10" s="65" t="str">
        <f>IF(ISNA(VLOOKUP($B10,CPY!$B:$G,4,FALSE))=TRUE," ",VLOOKUP($B10,CPY!$B:$G,4,FALSE))</f>
        <v> </v>
      </c>
      <c r="F10" s="62"/>
      <c r="G10" s="86"/>
      <c r="H10" s="86"/>
      <c r="I10" s="87"/>
      <c r="J10" s="88"/>
      <c r="K10" s="88"/>
      <c r="L10" s="95">
        <f t="shared" si="0"/>
        <v>0</v>
      </c>
      <c r="M10" s="96" t="b">
        <f>IF((ISNUMBER(L10)),IF(AND(F10="Workdays",(SUMIFS(O:O,F:F,F10,I:I,I10,B:B,B10)&lt;=24)),IF(AND((L10*24)&gt;0,(L10*24)&lt;=8),(L10*24)*MD!$M$5,IF(AND((L10*24)&gt;8,(L10*24)&lt;=16),(MD!$N$5),IF((L10*24)&gt;16,MD!$N$5))),IF(AND(F10="Non_workdays",(SUMIFS(O:O,F:F,F10,I:I,I10,B:B,B10)&lt;=24)),IF(AND((L10*24)&gt;0,(L10*24)&lt;=8),(L10*24)*MD!$M$6,IF(AND((L10*24)&gt;8,(L10*24)&lt;=16),(MD!$N$6),IF((L10*24)&gt;16,MD!$N$6))),IF(AND(F10="Call_out",(SUMIFS(O:O,F:F,F10,I:I,I10,B:B,B10)&lt;=24)),IF(AND((L10*24)&gt;0,(L10*24)&lt;=8),(L10*24)*MD!$P$4,IF(AND((L10*24)&gt;8,(L10*24)&lt;=16),(MD!$Q$4),IF((L10*24)&gt;16,MD!$Q$4)))))))</f>
        <v>0</v>
      </c>
      <c r="N10" s="62"/>
      <c r="O10" s="72">
        <f t="shared" si="1"/>
        <v>0</v>
      </c>
    </row>
    <row r="11" spans="1:15" x14ac:dyDescent="0.25">
      <c r="A11" s="62">
        <v>10</v>
      </c>
      <c r="B11" s="62"/>
      <c r="C11" s="68" t="str">
        <f>IF(ISNA(VLOOKUP($B11,CPY!$B:$G,2,FALSE))=TRUE," ",VLOOKUP($B11,CPY!$B:$G,2,FALSE))</f>
        <v> </v>
      </c>
      <c r="D11" s="50" t="str">
        <f>IF(ISNA(VLOOKUP($B11,CPY!$B:$G,3,FALSE))=TRUE," ",VLOOKUP($B11,CPY!$B:$G,3,FALSE))</f>
        <v> </v>
      </c>
      <c r="E11" s="65" t="str">
        <f>IF(ISNA(VLOOKUP($B11,CPY!$B:$G,4,FALSE))=TRUE," ",VLOOKUP($B11,CPY!$B:$G,4,FALSE))</f>
        <v> </v>
      </c>
      <c r="F11" s="62"/>
      <c r="G11" s="86"/>
      <c r="H11" s="86"/>
      <c r="I11" s="87"/>
      <c r="J11" s="88"/>
      <c r="K11" s="88"/>
      <c r="L11" s="95">
        <f t="shared" si="0"/>
        <v>0</v>
      </c>
      <c r="M11" s="96" t="b">
        <f>IF((ISNUMBER(L11)),IF(AND(F11="Workdays",(SUMIFS(O:O,F:F,F11,I:I,I11,B:B,B11)&lt;=24)),IF(AND((L11*24)&gt;0,(L11*24)&lt;=8),(L11*24)*MD!$M$5,IF(AND((L11*24)&gt;8,(L11*24)&lt;=16),(MD!$N$5),IF((L11*24)&gt;16,MD!$N$5))),IF(AND(F11="Non_workdays",(SUMIFS(O:O,F:F,F11,I:I,I11,B:B,B11)&lt;=24)),IF(AND((L11*24)&gt;0,(L11*24)&lt;=8),(L11*24)*MD!$M$6,IF(AND((L11*24)&gt;8,(L11*24)&lt;=16),(MD!$N$6),IF((L11*24)&gt;16,MD!$N$6))),IF(AND(F11="Call_out",(SUMIFS(O:O,F:F,F11,I:I,I11,B:B,B11)&lt;=24)),IF(AND((L11*24)&gt;0,(L11*24)&lt;=8),(L11*24)*MD!$P$4,IF(AND((L11*24)&gt;8,(L11*24)&lt;=16),(MD!$Q$4),IF((L11*24)&gt;16,MD!$Q$4)))))))</f>
        <v>0</v>
      </c>
      <c r="N11" s="62"/>
      <c r="O11" s="72">
        <f t="shared" si="1"/>
        <v>0</v>
      </c>
    </row>
    <row r="12" spans="1:15" x14ac:dyDescent="0.25">
      <c r="A12" s="62">
        <v>11</v>
      </c>
      <c r="B12" s="62"/>
      <c r="C12" s="68" t="str">
        <f>IF(ISNA(VLOOKUP($B12,CPY!$B:$G,2,FALSE))=TRUE," ",VLOOKUP($B12,CPY!$B:$G,2,FALSE))</f>
        <v> </v>
      </c>
      <c r="D12" s="50" t="str">
        <f>IF(ISNA(VLOOKUP($B12,CPY!$B:$G,3,FALSE))=TRUE," ",VLOOKUP($B12,CPY!$B:$G,3,FALSE))</f>
        <v> </v>
      </c>
      <c r="E12" s="65" t="str">
        <f>IF(ISNA(VLOOKUP($B12,CPY!$B:$G,4,FALSE))=TRUE," ",VLOOKUP($B12,CPY!$B:$G,4,FALSE))</f>
        <v> </v>
      </c>
      <c r="F12" s="62"/>
      <c r="G12" s="86"/>
      <c r="H12" s="86"/>
      <c r="I12" s="87"/>
      <c r="J12" s="88"/>
      <c r="K12" s="88"/>
      <c r="L12" s="95">
        <f t="shared" si="0"/>
        <v>0</v>
      </c>
      <c r="M12" s="96" t="b">
        <f>IF((ISNUMBER(L12)),IF(AND(F12="Workdays",(SUMIFS(O:O,F:F,F12,I:I,I12,B:B,B12)&lt;=24)),IF(AND((L12*24)&gt;0,(L12*24)&lt;=8),(L12*24)*MD!$M$5,IF(AND((L12*24)&gt;8,(L12*24)&lt;=16),(MD!$N$5),IF((L12*24)&gt;16,MD!$N$5))),IF(AND(F12="Non_workdays",(SUMIFS(O:O,F:F,F12,I:I,I12,B:B,B12)&lt;=24)),IF(AND((L12*24)&gt;0,(L12*24)&lt;=8),(L12*24)*MD!$M$6,IF(AND((L12*24)&gt;8,(L12*24)&lt;=16),(MD!$N$6),IF((L12*24)&gt;16,MD!$N$6))),IF(AND(F12="Call_out",(SUMIFS(O:O,F:F,F12,I:I,I12,B:B,B12)&lt;=24)),IF(AND((L12*24)&gt;0,(L12*24)&lt;=8),(L12*24)*MD!$P$4,IF(AND((L12*24)&gt;8,(L12*24)&lt;=16),(MD!$Q$4),IF((L12*24)&gt;16,MD!$Q$4)))))))</f>
        <v>0</v>
      </c>
      <c r="N12" s="62"/>
      <c r="O12" s="72">
        <f t="shared" si="1"/>
        <v>0</v>
      </c>
    </row>
    <row r="13" spans="1:15" x14ac:dyDescent="0.25">
      <c r="A13" s="62">
        <v>12</v>
      </c>
      <c r="B13" s="62"/>
      <c r="C13" s="68" t="str">
        <f>IF(ISNA(VLOOKUP($B13,CPY!$B:$G,2,FALSE))=TRUE," ",VLOOKUP($B13,CPY!$B:$G,2,FALSE))</f>
        <v> </v>
      </c>
      <c r="D13" s="50" t="str">
        <f>IF(ISNA(VLOOKUP($B13,CPY!$B:$G,3,FALSE))=TRUE," ",VLOOKUP($B13,CPY!$B:$G,3,FALSE))</f>
        <v> </v>
      </c>
      <c r="E13" s="65" t="str">
        <f>IF(ISNA(VLOOKUP($B13,CPY!$B:$G,4,FALSE))=TRUE," ",VLOOKUP($B13,CPY!$B:$G,4,FALSE))</f>
        <v> </v>
      </c>
      <c r="F13" s="62"/>
      <c r="G13" s="86"/>
      <c r="H13" s="86"/>
      <c r="I13" s="87"/>
      <c r="J13" s="88"/>
      <c r="K13" s="88"/>
      <c r="L13" s="95">
        <f t="shared" si="0"/>
        <v>0</v>
      </c>
      <c r="M13" s="96" t="b">
        <f>IF((ISNUMBER(L13)),IF(AND(F13="Workdays",(SUMIFS(O:O,F:F,F13,I:I,I13,B:B,B13)&lt;=24)),IF(AND((L13*24)&gt;0,(L13*24)&lt;=8),(L13*24)*MD!$M$5,IF(AND((L13*24)&gt;8,(L13*24)&lt;=16),(MD!$N$5),IF((L13*24)&gt;16,MD!$N$5))),IF(AND(F13="Non_workdays",(SUMIFS(O:O,F:F,F13,I:I,I13,B:B,B13)&lt;=24)),IF(AND((L13*24)&gt;0,(L13*24)&lt;=8),(L13*24)*MD!$M$6,IF(AND((L13*24)&gt;8,(L13*24)&lt;=16),(MD!$N$6),IF((L13*24)&gt;16,MD!$N$6))),IF(AND(F13="Call_out",(SUMIFS(O:O,F:F,F13,I:I,I13,B:B,B13)&lt;=24)),IF(AND((L13*24)&gt;0,(L13*24)&lt;=8),(L13*24)*MD!$P$4,IF(AND((L13*24)&gt;8,(L13*24)&lt;=16),(MD!$Q$4),IF((L13*24)&gt;16,MD!$Q$4)))))))</f>
        <v>0</v>
      </c>
      <c r="N13" s="62"/>
      <c r="O13" s="72">
        <f t="shared" si="1"/>
        <v>0</v>
      </c>
    </row>
    <row r="14" spans="1:15" x14ac:dyDescent="0.25">
      <c r="A14" s="62">
        <v>13</v>
      </c>
      <c r="B14" s="62"/>
      <c r="C14" s="68" t="str">
        <f>IF(ISNA(VLOOKUP($B14,CPY!$B:$G,2,FALSE))=TRUE," ",VLOOKUP($B14,CPY!$B:$G,2,FALSE))</f>
        <v> </v>
      </c>
      <c r="D14" s="50" t="str">
        <f>IF(ISNA(VLOOKUP($B14,CPY!$B:$G,3,FALSE))=TRUE," ",VLOOKUP($B14,CPY!$B:$G,3,FALSE))</f>
        <v> </v>
      </c>
      <c r="E14" s="65" t="str">
        <f>IF(ISNA(VLOOKUP($B14,CPY!$B:$G,4,FALSE))=TRUE," ",VLOOKUP($B14,CPY!$B:$G,4,FALSE))</f>
        <v> </v>
      </c>
      <c r="F14" s="62"/>
      <c r="G14" s="86"/>
      <c r="H14" s="86"/>
      <c r="I14" s="87"/>
      <c r="J14" s="88"/>
      <c r="K14" s="88"/>
      <c r="L14" s="95">
        <f t="shared" si="0"/>
        <v>0</v>
      </c>
      <c r="M14" s="96" t="b">
        <f>IF((ISNUMBER(L14)),IF(AND(F14="Workdays",(SUMIFS(O:O,F:F,F14,I:I,I14,B:B,B14)&lt;=24)),IF(AND((L14*24)&gt;0,(L14*24)&lt;=8),(L14*24)*MD!$M$5,IF(AND((L14*24)&gt;8,(L14*24)&lt;=16),(MD!$N$5),IF((L14*24)&gt;16,MD!$N$5))),IF(AND(F14="Non_workdays",(SUMIFS(O:O,F:F,F14,I:I,I14,B:B,B14)&lt;=24)),IF(AND((L14*24)&gt;0,(L14*24)&lt;=8),(L14*24)*MD!$M$6,IF(AND((L14*24)&gt;8,(L14*24)&lt;=16),(MD!$N$6),IF((L14*24)&gt;16,MD!$N$6))),IF(AND(F14="Call_out",(SUMIFS(O:O,F:F,F14,I:I,I14,B:B,B14)&lt;=24)),IF(AND((L14*24)&gt;0,(L14*24)&lt;=8),(L14*24)*MD!$P$4,IF(AND((L14*24)&gt;8,(L14*24)&lt;=16),(MD!$Q$4),IF((L14*24)&gt;16,MD!$Q$4)))))))</f>
        <v>0</v>
      </c>
      <c r="N14" s="62"/>
      <c r="O14" s="72">
        <f t="shared" si="1"/>
        <v>0</v>
      </c>
    </row>
    <row r="15" spans="1:15" x14ac:dyDescent="0.25">
      <c r="A15" s="62">
        <v>14</v>
      </c>
      <c r="B15" s="62"/>
      <c r="C15" s="68" t="str">
        <f>IF(ISNA(VLOOKUP($B15,CPY!$B:$G,2,FALSE))=TRUE," ",VLOOKUP($B15,CPY!$B:$G,2,FALSE))</f>
        <v> </v>
      </c>
      <c r="D15" s="50" t="str">
        <f>IF(ISNA(VLOOKUP($B15,CPY!$B:$G,3,FALSE))=TRUE," ",VLOOKUP($B15,CPY!$B:$G,3,FALSE))</f>
        <v> </v>
      </c>
      <c r="E15" s="65" t="str">
        <f>IF(ISNA(VLOOKUP($B15,CPY!$B:$G,4,FALSE))=TRUE," ",VLOOKUP($B15,CPY!$B:$G,4,FALSE))</f>
        <v> </v>
      </c>
      <c r="F15" s="62"/>
      <c r="G15" s="86"/>
      <c r="H15" s="86"/>
      <c r="I15" s="87"/>
      <c r="J15" s="88"/>
      <c r="K15" s="88"/>
      <c r="L15" s="95">
        <f t="shared" si="0"/>
        <v>0</v>
      </c>
      <c r="M15" s="96" t="b">
        <f>IF((ISNUMBER(L15)),IF(AND(F15="Workdays",(SUMIFS(O:O,F:F,F15,I:I,I15,B:B,B15)&lt;=24)),IF(AND((L15*24)&gt;0,(L15*24)&lt;=8),(L15*24)*MD!$M$5,IF(AND((L15*24)&gt;8,(L15*24)&lt;=16),(MD!$N$5),IF((L15*24)&gt;16,MD!$N$5))),IF(AND(F15="Non_workdays",(SUMIFS(O:O,F:F,F15,I:I,I15,B:B,B15)&lt;=24)),IF(AND((L15*24)&gt;0,(L15*24)&lt;=8),(L15*24)*MD!$M$6,IF(AND((L15*24)&gt;8,(L15*24)&lt;=16),(MD!$N$6),IF((L15*24)&gt;16,MD!$N$6))),IF(AND(F15="Call_out",(SUMIFS(O:O,F:F,F15,I:I,I15,B:B,B15)&lt;=24)),IF(AND((L15*24)&gt;0,(L15*24)&lt;=8),(L15*24)*MD!$P$4,IF(AND((L15*24)&gt;8,(L15*24)&lt;=16),(MD!$Q$4),IF((L15*24)&gt;16,MD!$Q$4)))))))</f>
        <v>0</v>
      </c>
      <c r="N15" s="62"/>
      <c r="O15" s="72">
        <f t="shared" si="1"/>
        <v>0</v>
      </c>
    </row>
    <row r="16" spans="1:15" x14ac:dyDescent="0.25">
      <c r="A16" s="62">
        <v>15</v>
      </c>
      <c r="B16" s="62"/>
      <c r="C16" s="68" t="str">
        <f>IF(ISNA(VLOOKUP($B16,CPY!$B:$G,2,FALSE))=TRUE," ",VLOOKUP($B16,CPY!$B:$G,2,FALSE))</f>
        <v> </v>
      </c>
      <c r="D16" s="50" t="str">
        <f>IF(ISNA(VLOOKUP($B16,CPY!$B:$G,3,FALSE))=TRUE," ",VLOOKUP($B16,CPY!$B:$G,3,FALSE))</f>
        <v> </v>
      </c>
      <c r="E16" s="65" t="str">
        <f>IF(ISNA(VLOOKUP($B16,CPY!$B:$G,4,FALSE))=TRUE," ",VLOOKUP($B16,CPY!$B:$G,4,FALSE))</f>
        <v> </v>
      </c>
      <c r="F16" s="62"/>
      <c r="G16" s="86"/>
      <c r="H16" s="86"/>
      <c r="I16" s="87"/>
      <c r="J16" s="88"/>
      <c r="K16" s="88"/>
      <c r="L16" s="95">
        <f t="shared" si="0"/>
        <v>0</v>
      </c>
      <c r="M16" s="96" t="b">
        <f>IF((ISNUMBER(L16)),IF(AND(F16="Workdays",(SUMIFS(O:O,F:F,F16,I:I,I16,B:B,B16)&lt;=24)),IF(AND((L16*24)&gt;0,(L16*24)&lt;=8),(L16*24)*MD!$M$5,IF(AND((L16*24)&gt;8,(L16*24)&lt;=16),(MD!$N$5),IF((L16*24)&gt;16,MD!$N$5))),IF(AND(F16="Non_workdays",(SUMIFS(O:O,F:F,F16,I:I,I16,B:B,B16)&lt;=24)),IF(AND((L16*24)&gt;0,(L16*24)&lt;=8),(L16*24)*MD!$M$6,IF(AND((L16*24)&gt;8,(L16*24)&lt;=16),(MD!$N$6),IF((L16*24)&gt;16,MD!$N$6))),IF(AND(F16="Call_out",(SUMIFS(O:O,F:F,F16,I:I,I16,B:B,B16)&lt;=24)),IF(AND((L16*24)&gt;0,(L16*24)&lt;=8),(L16*24)*MD!$P$4,IF(AND((L16*24)&gt;8,(L16*24)&lt;=16),(MD!$Q$4),IF((L16*24)&gt;16,MD!$Q$4)))))))</f>
        <v>0</v>
      </c>
      <c r="N16" s="62"/>
      <c r="O16" s="72">
        <f t="shared" si="1"/>
        <v>0</v>
      </c>
    </row>
    <row r="17" spans="1:15" x14ac:dyDescent="0.25">
      <c r="A17" s="62">
        <v>16</v>
      </c>
      <c r="B17" s="62"/>
      <c r="C17" s="68" t="str">
        <f>IF(ISNA(VLOOKUP($B17,CPY!$B:$G,2,FALSE))=TRUE," ",VLOOKUP($B17,CPY!$B:$G,2,FALSE))</f>
        <v> </v>
      </c>
      <c r="D17" s="50" t="str">
        <f>IF(ISNA(VLOOKUP($B17,CPY!$B:$G,3,FALSE))=TRUE," ",VLOOKUP($B17,CPY!$B:$G,3,FALSE))</f>
        <v> </v>
      </c>
      <c r="E17" s="65" t="str">
        <f>IF(ISNA(VLOOKUP($B17,CPY!$B:$G,4,FALSE))=TRUE," ",VLOOKUP($B17,CPY!$B:$G,4,FALSE))</f>
        <v> </v>
      </c>
      <c r="F17" s="62"/>
      <c r="G17" s="86"/>
      <c r="H17" s="86"/>
      <c r="I17" s="87"/>
      <c r="J17" s="88"/>
      <c r="K17" s="88"/>
      <c r="L17" s="95">
        <f t="shared" si="0"/>
        <v>0</v>
      </c>
      <c r="M17" s="96" t="b">
        <f>IF((ISNUMBER(L17)),IF(AND(F17="Workdays",(SUMIFS(O:O,F:F,F17,I:I,I17,B:B,B17)&lt;=24)),IF(AND((L17*24)&gt;0,(L17*24)&lt;=8),(L17*24)*MD!$M$5,IF(AND((L17*24)&gt;8,(L17*24)&lt;=16),(MD!$N$5),IF((L17*24)&gt;16,MD!$N$5))),IF(AND(F17="Non_workdays",(SUMIFS(O:O,F:F,F17,I:I,I17,B:B,B17)&lt;=24)),IF(AND((L17*24)&gt;0,(L17*24)&lt;=8),(L17*24)*MD!$M$6,IF(AND((L17*24)&gt;8,(L17*24)&lt;=16),(MD!$N$6),IF((L17*24)&gt;16,MD!$N$6))),IF(AND(F17="Call_out",(SUMIFS(O:O,F:F,F17,I:I,I17,B:B,B17)&lt;=24)),IF(AND((L17*24)&gt;0,(L17*24)&lt;=8),(L17*24)*MD!$P$4,IF(AND((L17*24)&gt;8,(L17*24)&lt;=16),(MD!$Q$4),IF((L17*24)&gt;16,MD!$Q$4)))))))</f>
        <v>0</v>
      </c>
      <c r="N17" s="62"/>
      <c r="O17" s="72">
        <f t="shared" si="1"/>
        <v>0</v>
      </c>
    </row>
    <row r="18" spans="1:15" x14ac:dyDescent="0.25">
      <c r="A18" s="62">
        <v>17</v>
      </c>
      <c r="B18" s="62"/>
      <c r="C18" s="68" t="str">
        <f>IF(ISNA(VLOOKUP($B18,CPY!$B:$G,2,FALSE))=TRUE," ",VLOOKUP($B18,CPY!$B:$G,2,FALSE))</f>
        <v> </v>
      </c>
      <c r="D18" s="50" t="str">
        <f>IF(ISNA(VLOOKUP($B18,CPY!$B:$G,3,FALSE))=TRUE," ",VLOOKUP($B18,CPY!$B:$G,3,FALSE))</f>
        <v> </v>
      </c>
      <c r="E18" s="65" t="str">
        <f>IF(ISNA(VLOOKUP($B18,CPY!$B:$G,4,FALSE))=TRUE," ",VLOOKUP($B18,CPY!$B:$G,4,FALSE))</f>
        <v> </v>
      </c>
      <c r="F18" s="62"/>
      <c r="G18" s="86"/>
      <c r="H18" s="86"/>
      <c r="I18" s="87"/>
      <c r="J18" s="88"/>
      <c r="K18" s="88"/>
      <c r="L18" s="95">
        <f t="shared" si="0"/>
        <v>0</v>
      </c>
      <c r="M18" s="96" t="b">
        <f>IF((ISNUMBER(L18)),IF(AND(F18="Workdays",(SUMIFS(O:O,F:F,F18,I:I,I18,B:B,B18)&lt;=24)),IF(AND((L18*24)&gt;0,(L18*24)&lt;=8),(L18*24)*MD!$M$5,IF(AND((L18*24)&gt;8,(L18*24)&lt;=16),(MD!$N$5),IF((L18*24)&gt;16,MD!$N$5))),IF(AND(F18="Non_workdays",(SUMIFS(O:O,F:F,F18,I:I,I18,B:B,B18)&lt;=24)),IF(AND((L18*24)&gt;0,(L18*24)&lt;=8),(L18*24)*MD!$M$6,IF(AND((L18*24)&gt;8,(L18*24)&lt;=16),(MD!$N$6),IF((L18*24)&gt;16,MD!$N$6))),IF(AND(F18="Call_out",(SUMIFS(O:O,F:F,F18,I:I,I18,B:B,B18)&lt;=24)),IF(AND((L18*24)&gt;0,(L18*24)&lt;=8),(L18*24)*MD!$P$4,IF(AND((L18*24)&gt;8,(L18*24)&lt;=16),(MD!$Q$4),IF((L18*24)&gt;16,MD!$Q$4)))))))</f>
        <v>0</v>
      </c>
      <c r="N18" s="62"/>
      <c r="O18" s="72">
        <f t="shared" si="1"/>
        <v>0</v>
      </c>
    </row>
    <row r="19" spans="1:15" x14ac:dyDescent="0.25">
      <c r="A19" s="62">
        <v>18</v>
      </c>
      <c r="B19" s="62"/>
      <c r="C19" s="68" t="str">
        <f>IF(ISNA(VLOOKUP($B19,CPY!$B:$G,2,FALSE))=TRUE," ",VLOOKUP($B19,CPY!$B:$G,2,FALSE))</f>
        <v> </v>
      </c>
      <c r="D19" s="50" t="str">
        <f>IF(ISNA(VLOOKUP($B19,CPY!$B:$G,3,FALSE))=TRUE," ",VLOOKUP($B19,CPY!$B:$G,3,FALSE))</f>
        <v> </v>
      </c>
      <c r="E19" s="65" t="str">
        <f>IF(ISNA(VLOOKUP($B19,CPY!$B:$G,4,FALSE))=TRUE," ",VLOOKUP($B19,CPY!$B:$G,4,FALSE))</f>
        <v> </v>
      </c>
      <c r="F19" s="62"/>
      <c r="G19" s="86"/>
      <c r="H19" s="86"/>
      <c r="I19" s="87"/>
      <c r="J19" s="88"/>
      <c r="K19" s="88"/>
      <c r="L19" s="95">
        <f t="shared" si="0"/>
        <v>0</v>
      </c>
      <c r="M19" s="96" t="b">
        <f>IF((ISNUMBER(L19)),IF(AND(F19="Workdays",(SUMIFS(O:O,F:F,F19,I:I,I19,B:B,B19)&lt;=24)),IF(AND((L19*24)&gt;0,(L19*24)&lt;=8),(L19*24)*MD!$M$5,IF(AND((L19*24)&gt;8,(L19*24)&lt;=16),(MD!$N$5),IF((L19*24)&gt;16,MD!$N$5))),IF(AND(F19="Non_workdays",(SUMIFS(O:O,F:F,F19,I:I,I19,B:B,B19)&lt;=24)),IF(AND((L19*24)&gt;0,(L19*24)&lt;=8),(L19*24)*MD!$M$6,IF(AND((L19*24)&gt;8,(L19*24)&lt;=16),(MD!$N$6),IF((L19*24)&gt;16,MD!$N$6))),IF(AND(F19="Call_out",(SUMIFS(O:O,F:F,F19,I:I,I19,B:B,B19)&lt;=24)),IF(AND((L19*24)&gt;0,(L19*24)&lt;=8),(L19*24)*MD!$P$4,IF(AND((L19*24)&gt;8,(L19*24)&lt;=16),(MD!$Q$4),IF((L19*24)&gt;16,MD!$Q$4)))))))</f>
        <v>0</v>
      </c>
      <c r="N19" s="62"/>
      <c r="O19" s="72">
        <f t="shared" si="1"/>
        <v>0</v>
      </c>
    </row>
    <row r="20" spans="1:15" x14ac:dyDescent="0.25">
      <c r="A20" s="62">
        <v>19</v>
      </c>
      <c r="B20" s="62"/>
      <c r="C20" s="68" t="str">
        <f>IF(ISNA(VLOOKUP($B20,CPY!$B:$G,2,FALSE))=TRUE," ",VLOOKUP($B20,CPY!$B:$G,2,FALSE))</f>
        <v> </v>
      </c>
      <c r="D20" s="50" t="str">
        <f>IF(ISNA(VLOOKUP($B20,CPY!$B:$G,3,FALSE))=TRUE," ",VLOOKUP($B20,CPY!$B:$G,3,FALSE))</f>
        <v> </v>
      </c>
      <c r="E20" s="65" t="str">
        <f>IF(ISNA(VLOOKUP($B20,CPY!$B:$G,4,FALSE))=TRUE," ",VLOOKUP($B20,CPY!$B:$G,4,FALSE))</f>
        <v> </v>
      </c>
      <c r="F20" s="62"/>
      <c r="G20" s="86"/>
      <c r="H20" s="86"/>
      <c r="I20" s="87"/>
      <c r="J20" s="88"/>
      <c r="K20" s="88"/>
      <c r="L20" s="95">
        <f t="shared" si="0"/>
        <v>0</v>
      </c>
      <c r="M20" s="96" t="b">
        <f>IF((ISNUMBER(L20)),IF(AND(F20="Workdays",(SUMIFS(O:O,F:F,F20,I:I,I20,B:B,B20)&lt;=24)),IF(AND((L20*24)&gt;0,(L20*24)&lt;=8),(L20*24)*MD!$M$5,IF(AND((L20*24)&gt;8,(L20*24)&lt;=16),(MD!$N$5),IF((L20*24)&gt;16,MD!$N$5))),IF(AND(F20="Non_workdays",(SUMIFS(O:O,F:F,F20,I:I,I20,B:B,B20)&lt;=24)),IF(AND((L20*24)&gt;0,(L20*24)&lt;=8),(L20*24)*MD!$M$6,IF(AND((L20*24)&gt;8,(L20*24)&lt;=16),(MD!$N$6),IF((L20*24)&gt;16,MD!$N$6))),IF(AND(F20="Call_out",(SUMIFS(O:O,F:F,F20,I:I,I20,B:B,B20)&lt;=24)),IF(AND((L20*24)&gt;0,(L20*24)&lt;=8),(L20*24)*MD!$P$4,IF(AND((L20*24)&gt;8,(L20*24)&lt;=16),(MD!$Q$4),IF((L20*24)&gt;16,MD!$Q$4)))))))</f>
        <v>0</v>
      </c>
      <c r="N20" s="62"/>
      <c r="O20" s="72">
        <f t="shared" si="1"/>
        <v>0</v>
      </c>
    </row>
    <row r="21" spans="1:15" x14ac:dyDescent="0.25">
      <c r="A21" s="62">
        <v>20</v>
      </c>
      <c r="B21" s="62"/>
      <c r="C21" s="68" t="str">
        <f>IF(ISNA(VLOOKUP($B21,CPY!$B:$G,2,FALSE))=TRUE," ",VLOOKUP($B21,CPY!$B:$G,2,FALSE))</f>
        <v> </v>
      </c>
      <c r="D21" s="50" t="str">
        <f>IF(ISNA(VLOOKUP($B21,CPY!$B:$G,3,FALSE))=TRUE," ",VLOOKUP($B21,CPY!$B:$G,3,FALSE))</f>
        <v> </v>
      </c>
      <c r="E21" s="65" t="str">
        <f>IF(ISNA(VLOOKUP($B21,CPY!$B:$G,4,FALSE))=TRUE," ",VLOOKUP($B21,CPY!$B:$G,4,FALSE))</f>
        <v> </v>
      </c>
      <c r="F21" s="62"/>
      <c r="G21" s="86"/>
      <c r="H21" s="86"/>
      <c r="I21" s="87"/>
      <c r="J21" s="88"/>
      <c r="K21" s="88"/>
      <c r="L21" s="95">
        <f t="shared" si="0"/>
        <v>0</v>
      </c>
      <c r="M21" s="96" t="b">
        <f>IF((ISNUMBER(L21)),IF(AND(F21="Workdays",(SUMIFS(O:O,F:F,F21,I:I,I21,B:B,B21)&lt;=24)),IF(AND((L21*24)&gt;0,(L21*24)&lt;=8),(L21*24)*MD!$M$5,IF(AND((L21*24)&gt;8,(L21*24)&lt;=16),(MD!$N$5),IF((L21*24)&gt;16,MD!$N$5))),IF(AND(F21="Non_workdays",(SUMIFS(O:O,F:F,F21,I:I,I21,B:B,B21)&lt;=24)),IF(AND((L21*24)&gt;0,(L21*24)&lt;=8),(L21*24)*MD!$M$6,IF(AND((L21*24)&gt;8,(L21*24)&lt;=16),(MD!$N$6),IF((L21*24)&gt;16,MD!$N$6))),IF(AND(F21="Call_out",(SUMIFS(O:O,F:F,F21,I:I,I21,B:B,B21)&lt;=24)),IF(AND((L21*24)&gt;0,(L21*24)&lt;=8),(L21*24)*MD!$P$4,IF(AND((L21*24)&gt;8,(L21*24)&lt;=16),(MD!$Q$4),IF((L21*24)&gt;16,MD!$Q$4)))))))</f>
        <v>0</v>
      </c>
      <c r="N21" s="62"/>
      <c r="O21" s="72">
        <f t="shared" si="1"/>
        <v>0</v>
      </c>
    </row>
    <row r="22" spans="1:15" x14ac:dyDescent="0.25">
      <c r="A22" s="62">
        <v>21</v>
      </c>
      <c r="B22" s="62"/>
      <c r="C22" s="68" t="str">
        <f>IF(ISNA(VLOOKUP($B22,CPY!$B:$G,2,FALSE))=TRUE," ",VLOOKUP($B22,CPY!$B:$G,2,FALSE))</f>
        <v> </v>
      </c>
      <c r="D22" s="50" t="str">
        <f>IF(ISNA(VLOOKUP($B22,CPY!$B:$G,3,FALSE))=TRUE," ",VLOOKUP($B22,CPY!$B:$G,3,FALSE))</f>
        <v> </v>
      </c>
      <c r="E22" s="65" t="str">
        <f>IF(ISNA(VLOOKUP($B22,CPY!$B:$G,4,FALSE))=TRUE," ",VLOOKUP($B22,CPY!$B:$G,4,FALSE))</f>
        <v> </v>
      </c>
      <c r="F22" s="62"/>
      <c r="G22" s="86"/>
      <c r="H22" s="86"/>
      <c r="I22" s="87"/>
      <c r="J22" s="88"/>
      <c r="K22" s="88"/>
      <c r="L22" s="95">
        <f t="shared" si="0"/>
        <v>0</v>
      </c>
      <c r="M22" s="96" t="b">
        <f>IF((ISNUMBER(L22)),IF(AND(F22="Workdays",(SUMIFS(O:O,F:F,F22,I:I,I22,B:B,B22)&lt;=24)),IF(AND((L22*24)&gt;0,(L22*24)&lt;=8),(L22*24)*MD!$M$5,IF(AND((L22*24)&gt;8,(L22*24)&lt;=16),(MD!$N$5),IF((L22*24)&gt;16,MD!$N$5))),IF(AND(F22="Non_workdays",(SUMIFS(O:O,F:F,F22,I:I,I22,B:B,B22)&lt;=24)),IF(AND((L22*24)&gt;0,(L22*24)&lt;=8),(L22*24)*MD!$M$6,IF(AND((L22*24)&gt;8,(L22*24)&lt;=16),(MD!$N$6),IF((L22*24)&gt;16,MD!$N$6))),IF(AND(F22="Call_out",(SUMIFS(O:O,F:F,F22,I:I,I22,B:B,B22)&lt;=24)),IF(AND((L22*24)&gt;0,(L22*24)&lt;=8),(L22*24)*MD!$P$4,IF(AND((L22*24)&gt;8,(L22*24)&lt;=16),(MD!$Q$4),IF((L22*24)&gt;16,MD!$Q$4)))))))</f>
        <v>0</v>
      </c>
      <c r="N22" s="62"/>
      <c r="O22" s="72">
        <f t="shared" si="1"/>
        <v>0</v>
      </c>
    </row>
    <row r="23" spans="1:15" x14ac:dyDescent="0.25">
      <c r="A23" s="62">
        <v>22</v>
      </c>
      <c r="B23" s="62"/>
      <c r="C23" s="68" t="str">
        <f>IF(ISNA(VLOOKUP($B23,CPY!$B:$G,2,FALSE))=TRUE," ",VLOOKUP($B23,CPY!$B:$G,2,FALSE))</f>
        <v> </v>
      </c>
      <c r="D23" s="50" t="str">
        <f>IF(ISNA(VLOOKUP($B23,CPY!$B:$G,3,FALSE))=TRUE," ",VLOOKUP($B23,CPY!$B:$G,3,FALSE))</f>
        <v> </v>
      </c>
      <c r="E23" s="65" t="str">
        <f>IF(ISNA(VLOOKUP($B23,CPY!$B:$G,4,FALSE))=TRUE," ",VLOOKUP($B23,CPY!$B:$G,4,FALSE))</f>
        <v> </v>
      </c>
      <c r="F23" s="62"/>
      <c r="G23" s="86"/>
      <c r="H23" s="86"/>
      <c r="I23" s="87"/>
      <c r="J23" s="88"/>
      <c r="K23" s="88"/>
      <c r="L23" s="95">
        <f t="shared" si="0"/>
        <v>0</v>
      </c>
      <c r="M23" s="96" t="b">
        <f>IF((ISNUMBER(L23)),IF(AND(F23="Workdays",(SUMIFS(O:O,F:F,F23,I:I,I23,B:B,B23)&lt;=24)),IF(AND((L23*24)&gt;0,(L23*24)&lt;=8),(L23*24)*MD!$M$5,IF(AND((L23*24)&gt;8,(L23*24)&lt;=16),(MD!$N$5),IF((L23*24)&gt;16,MD!$N$5))),IF(AND(F23="Non_workdays",(SUMIFS(O:O,F:F,F23,I:I,I23,B:B,B23)&lt;=24)),IF(AND((L23*24)&gt;0,(L23*24)&lt;=8),(L23*24)*MD!$M$6,IF(AND((L23*24)&gt;8,(L23*24)&lt;=16),(MD!$N$6),IF((L23*24)&gt;16,MD!$N$6))),IF(AND(F23="Call_out",(SUMIFS(O:O,F:F,F23,I:I,I23,B:B,B23)&lt;=24)),IF(AND((L23*24)&gt;0,(L23*24)&lt;=8),(L23*24)*MD!$P$4,IF(AND((L23*24)&gt;8,(L23*24)&lt;=16),(MD!$Q$4),IF((L23*24)&gt;16,MD!$Q$4)))))))</f>
        <v>0</v>
      </c>
      <c r="N23" s="62"/>
      <c r="O23" s="72">
        <f t="shared" si="1"/>
        <v>0</v>
      </c>
    </row>
    <row r="24" spans="1:15" x14ac:dyDescent="0.25">
      <c r="A24" s="62">
        <v>23</v>
      </c>
      <c r="B24" s="62"/>
      <c r="C24" s="68" t="str">
        <f>IF(ISNA(VLOOKUP($B24,CPY!$B:$G,2,FALSE))=TRUE," ",VLOOKUP($B24,CPY!$B:$G,2,FALSE))</f>
        <v> </v>
      </c>
      <c r="D24" s="50" t="str">
        <f>IF(ISNA(VLOOKUP($B24,CPY!$B:$G,3,FALSE))=TRUE," ",VLOOKUP($B24,CPY!$B:$G,3,FALSE))</f>
        <v> </v>
      </c>
      <c r="E24" s="65" t="str">
        <f>IF(ISNA(VLOOKUP($B24,CPY!$B:$G,4,FALSE))=TRUE," ",VLOOKUP($B24,CPY!$B:$G,4,FALSE))</f>
        <v> </v>
      </c>
      <c r="F24" s="62"/>
      <c r="G24" s="86"/>
      <c r="H24" s="86"/>
      <c r="I24" s="87"/>
      <c r="J24" s="88"/>
      <c r="K24" s="88"/>
      <c r="L24" s="95">
        <f t="shared" si="0"/>
        <v>0</v>
      </c>
      <c r="M24" s="96" t="b">
        <f>IF((ISNUMBER(L24)),IF(AND(F24="Workdays",(SUMIFS(O:O,F:F,F24,I:I,I24,B:B,B24)&lt;=24)),IF(AND((L24*24)&gt;0,(L24*24)&lt;=8),(L24*24)*MD!$M$5,IF(AND((L24*24)&gt;8,(L24*24)&lt;=16),(MD!$N$5),IF((L24*24)&gt;16,MD!$N$5))),IF(AND(F24="Non_workdays",(SUMIFS(O:O,F:F,F24,I:I,I24,B:B,B24)&lt;=24)),IF(AND((L24*24)&gt;0,(L24*24)&lt;=8),(L24*24)*MD!$M$6,IF(AND((L24*24)&gt;8,(L24*24)&lt;=16),(MD!$N$6),IF((L24*24)&gt;16,MD!$N$6))),IF(AND(F24="Call_out",(SUMIFS(O:O,F:F,F24,I:I,I24,B:B,B24)&lt;=24)),IF(AND((L24*24)&gt;0,(L24*24)&lt;=8),(L24*24)*MD!$P$4,IF(AND((L24*24)&gt;8,(L24*24)&lt;=16),(MD!$Q$4),IF((L24*24)&gt;16,MD!$Q$4)))))))</f>
        <v>0</v>
      </c>
      <c r="N24" s="62"/>
      <c r="O24" s="72">
        <f t="shared" si="1"/>
        <v>0</v>
      </c>
    </row>
    <row r="25" spans="1:15" x14ac:dyDescent="0.25">
      <c r="A25" s="62">
        <v>24</v>
      </c>
      <c r="B25" s="62"/>
      <c r="C25" s="68" t="str">
        <f>IF(ISNA(VLOOKUP($B25,CPY!$B:$G,2,FALSE))=TRUE," ",VLOOKUP($B25,CPY!$B:$G,2,FALSE))</f>
        <v> </v>
      </c>
      <c r="D25" s="50" t="str">
        <f>IF(ISNA(VLOOKUP($B25,CPY!$B:$G,3,FALSE))=TRUE," ",VLOOKUP($B25,CPY!$B:$G,3,FALSE))</f>
        <v> </v>
      </c>
      <c r="E25" s="65" t="str">
        <f>IF(ISNA(VLOOKUP($B25,CPY!$B:$G,4,FALSE))=TRUE," ",VLOOKUP($B25,CPY!$B:$G,4,FALSE))</f>
        <v> </v>
      </c>
      <c r="F25" s="62"/>
      <c r="G25" s="86"/>
      <c r="H25" s="86"/>
      <c r="I25" s="87"/>
      <c r="J25" s="88"/>
      <c r="K25" s="88"/>
      <c r="L25" s="95">
        <f t="shared" si="0"/>
        <v>0</v>
      </c>
      <c r="M25" s="96" t="b">
        <f>IF((ISNUMBER(L25)),IF(AND(F25="Workdays",(SUMIFS(O:O,F:F,F25,I:I,I25,B:B,B25)&lt;=24)),IF(AND((L25*24)&gt;0,(L25*24)&lt;=8),(L25*24)*MD!$M$5,IF(AND((L25*24)&gt;8,(L25*24)&lt;=16),(MD!$N$5),IF((L25*24)&gt;16,MD!$N$5))),IF(AND(F25="Non_workdays",(SUMIFS(O:O,F:F,F25,I:I,I25,B:B,B25)&lt;=24)),IF(AND((L25*24)&gt;0,(L25*24)&lt;=8),(L25*24)*MD!$M$6,IF(AND((L25*24)&gt;8,(L25*24)&lt;=16),(MD!$N$6),IF((L25*24)&gt;16,MD!$N$6))),IF(AND(F25="Call_out",(SUMIFS(O:O,F:F,F25,I:I,I25,B:B,B25)&lt;=24)),IF(AND((L25*24)&gt;0,(L25*24)&lt;=8),(L25*24)*MD!$P$4,IF(AND((L25*24)&gt;8,(L25*24)&lt;=16),(MD!$Q$4),IF((L25*24)&gt;16,MD!$Q$4)))))))</f>
        <v>0</v>
      </c>
      <c r="N25" s="62"/>
      <c r="O25" s="72">
        <f t="shared" si="1"/>
        <v>0</v>
      </c>
    </row>
    <row r="26" spans="1:15" x14ac:dyDescent="0.25">
      <c r="A26" s="62">
        <v>25</v>
      </c>
      <c r="B26" s="62"/>
      <c r="C26" s="68" t="str">
        <f>IF(ISNA(VLOOKUP($B26,CPY!$B:$G,2,FALSE))=TRUE," ",VLOOKUP($B26,CPY!$B:$G,2,FALSE))</f>
        <v> </v>
      </c>
      <c r="D26" s="50" t="str">
        <f>IF(ISNA(VLOOKUP($B26,CPY!$B:$G,3,FALSE))=TRUE," ",VLOOKUP($B26,CPY!$B:$G,3,FALSE))</f>
        <v> </v>
      </c>
      <c r="E26" s="65" t="str">
        <f>IF(ISNA(VLOOKUP($B26,CPY!$B:$G,4,FALSE))=TRUE," ",VLOOKUP($B26,CPY!$B:$G,4,FALSE))</f>
        <v> </v>
      </c>
      <c r="F26" s="62"/>
      <c r="G26" s="86"/>
      <c r="H26" s="86"/>
      <c r="I26" s="87"/>
      <c r="J26" s="88"/>
      <c r="K26" s="88"/>
      <c r="L26" s="95">
        <f t="shared" si="0"/>
        <v>0</v>
      </c>
      <c r="M26" s="96" t="b">
        <f>IF((ISNUMBER(L26)),IF(AND(F26="Workdays",(SUMIFS(O:O,F:F,F26,I:I,I26,B:B,B26)&lt;=24)),IF(AND((L26*24)&gt;0,(L26*24)&lt;=8),(L26*24)*MD!$M$5,IF(AND((L26*24)&gt;8,(L26*24)&lt;=16),(MD!$N$5),IF((L26*24)&gt;16,MD!$N$5))),IF(AND(F26="Non_workdays",(SUMIFS(O:O,F:F,F26,I:I,I26,B:B,B26)&lt;=24)),IF(AND((L26*24)&gt;0,(L26*24)&lt;=8),(L26*24)*MD!$M$6,IF(AND((L26*24)&gt;8,(L26*24)&lt;=16),(MD!$N$6),IF((L26*24)&gt;16,MD!$N$6))),IF(AND(F26="Call_out",(SUMIFS(O:O,F:F,F26,I:I,I26,B:B,B26)&lt;=24)),IF(AND((L26*24)&gt;0,(L26*24)&lt;=8),(L26*24)*MD!$P$4,IF(AND((L26*24)&gt;8,(L26*24)&lt;=16),(MD!$Q$4),IF((L26*24)&gt;16,MD!$Q$4)))))))</f>
        <v>0</v>
      </c>
      <c r="N26" s="62"/>
      <c r="O26" s="72">
        <f t="shared" si="1"/>
        <v>0</v>
      </c>
    </row>
    <row r="27" spans="1:15" x14ac:dyDescent="0.25">
      <c r="A27" s="62">
        <v>26</v>
      </c>
      <c r="B27" s="62"/>
      <c r="C27" s="68" t="str">
        <f>IF(ISNA(VLOOKUP($B27,CPY!$B:$G,2,FALSE))=TRUE," ",VLOOKUP($B27,CPY!$B:$G,2,FALSE))</f>
        <v> </v>
      </c>
      <c r="D27" s="50" t="str">
        <f>IF(ISNA(VLOOKUP($B27,CPY!$B:$G,3,FALSE))=TRUE," ",VLOOKUP($B27,CPY!$B:$G,3,FALSE))</f>
        <v> </v>
      </c>
      <c r="E27" s="65" t="str">
        <f>IF(ISNA(VLOOKUP($B27,CPY!$B:$G,4,FALSE))=TRUE," ",VLOOKUP($B27,CPY!$B:$G,4,FALSE))</f>
        <v> </v>
      </c>
      <c r="F27" s="62"/>
      <c r="G27" s="86"/>
      <c r="H27" s="86"/>
      <c r="I27" s="87"/>
      <c r="J27" s="88"/>
      <c r="K27" s="88"/>
      <c r="L27" s="95">
        <f t="shared" si="0"/>
        <v>0</v>
      </c>
      <c r="M27" s="96" t="b">
        <f>IF((ISNUMBER(L27)),IF(AND(F27="Workdays",(SUMIFS(O:O,F:F,F27,I:I,I27,B:B,B27)&lt;=24)),IF(AND((L27*24)&gt;0,(L27*24)&lt;=8),(L27*24)*MD!$M$5,IF(AND((L27*24)&gt;8,(L27*24)&lt;=16),(MD!$N$5),IF((L27*24)&gt;16,MD!$N$5))),IF(AND(F27="Non_workdays",(SUMIFS(O:O,F:F,F27,I:I,I27,B:B,B27)&lt;=24)),IF(AND((L27*24)&gt;0,(L27*24)&lt;=8),(L27*24)*MD!$M$6,IF(AND((L27*24)&gt;8,(L27*24)&lt;=16),(MD!$N$6),IF((L27*24)&gt;16,MD!$N$6))),IF(AND(F27="Call_out",(SUMIFS(O:O,F:F,F27,I:I,I27,B:B,B27)&lt;=24)),IF(AND((L27*24)&gt;0,(L27*24)&lt;=8),(L27*24)*MD!$P$4,IF(AND((L27*24)&gt;8,(L27*24)&lt;=16),(MD!$Q$4),IF((L27*24)&gt;16,MD!$Q$4)))))))</f>
        <v>0</v>
      </c>
      <c r="N27" s="62"/>
      <c r="O27" s="72">
        <f t="shared" si="1"/>
        <v>0</v>
      </c>
    </row>
    <row r="28" spans="1:15" x14ac:dyDescent="0.25">
      <c r="A28" s="62">
        <v>27</v>
      </c>
      <c r="B28" s="62"/>
      <c r="C28" s="68" t="str">
        <f>IF(ISNA(VLOOKUP($B28,CPY!$B:$G,2,FALSE))=TRUE," ",VLOOKUP($B28,CPY!$B:$G,2,FALSE))</f>
        <v> </v>
      </c>
      <c r="D28" s="50" t="str">
        <f>IF(ISNA(VLOOKUP($B28,CPY!$B:$G,3,FALSE))=TRUE," ",VLOOKUP($B28,CPY!$B:$G,3,FALSE))</f>
        <v> </v>
      </c>
      <c r="E28" s="65" t="str">
        <f>IF(ISNA(VLOOKUP($B28,CPY!$B:$G,4,FALSE))=TRUE," ",VLOOKUP($B28,CPY!$B:$G,4,FALSE))</f>
        <v> </v>
      </c>
      <c r="F28" s="62"/>
      <c r="G28" s="86"/>
      <c r="H28" s="86"/>
      <c r="I28" s="87"/>
      <c r="J28" s="88"/>
      <c r="K28" s="88"/>
      <c r="L28" s="95">
        <f t="shared" si="0"/>
        <v>0</v>
      </c>
      <c r="M28" s="96" t="b">
        <f>IF((ISNUMBER(L28)),IF(AND(F28="Workdays",(SUMIFS(O:O,F:F,F28,I:I,I28,B:B,B28)&lt;=24)),IF(AND((L28*24)&gt;0,(L28*24)&lt;=8),(L28*24)*MD!$M$5,IF(AND((L28*24)&gt;8,(L28*24)&lt;=16),(MD!$N$5),IF((L28*24)&gt;16,MD!$N$5))),IF(AND(F28="Non_workdays",(SUMIFS(O:O,F:F,F28,I:I,I28,B:B,B28)&lt;=24)),IF(AND((L28*24)&gt;0,(L28*24)&lt;=8),(L28*24)*MD!$M$6,IF(AND((L28*24)&gt;8,(L28*24)&lt;=16),(MD!$N$6),IF((L28*24)&gt;16,MD!$N$6))),IF(AND(F28="Call_out",(SUMIFS(O:O,F:F,F28,I:I,I28,B:B,B28)&lt;=24)),IF(AND((L28*24)&gt;0,(L28*24)&lt;=8),(L28*24)*MD!$P$4,IF(AND((L28*24)&gt;8,(L28*24)&lt;=16),(MD!$Q$4),IF((L28*24)&gt;16,MD!$Q$4)))))))</f>
        <v>0</v>
      </c>
      <c r="N28" s="62"/>
      <c r="O28" s="72">
        <f t="shared" si="1"/>
        <v>0</v>
      </c>
    </row>
    <row r="29" spans="1:15" x14ac:dyDescent="0.25">
      <c r="A29" s="62">
        <v>28</v>
      </c>
      <c r="B29" s="62"/>
      <c r="C29" s="68" t="str">
        <f>IF(ISNA(VLOOKUP($B29,CPY!$B:$G,2,FALSE))=TRUE," ",VLOOKUP($B29,CPY!$B:$G,2,FALSE))</f>
        <v> </v>
      </c>
      <c r="D29" s="50" t="str">
        <f>IF(ISNA(VLOOKUP($B29,CPY!$B:$G,3,FALSE))=TRUE," ",VLOOKUP($B29,CPY!$B:$G,3,FALSE))</f>
        <v> </v>
      </c>
      <c r="E29" s="65" t="str">
        <f>IF(ISNA(VLOOKUP($B29,CPY!$B:$G,4,FALSE))=TRUE," ",VLOOKUP($B29,CPY!$B:$G,4,FALSE))</f>
        <v> </v>
      </c>
      <c r="F29" s="62"/>
      <c r="G29" s="86"/>
      <c r="H29" s="86"/>
      <c r="I29" s="87"/>
      <c r="J29" s="88"/>
      <c r="K29" s="88"/>
      <c r="L29" s="95">
        <f t="shared" si="0"/>
        <v>0</v>
      </c>
      <c r="M29" s="96" t="b">
        <f>IF((ISNUMBER(L29)),IF(AND(F29="Workdays",(SUMIFS(O:O,F:F,F29,I:I,I29,B:B,B29)&lt;=24)),IF(AND((L29*24)&gt;0,(L29*24)&lt;=8),(L29*24)*MD!$M$5,IF(AND((L29*24)&gt;8,(L29*24)&lt;=16),(MD!$N$5),IF((L29*24)&gt;16,MD!$N$5))),IF(AND(F29="Non_workdays",(SUMIFS(O:O,F:F,F29,I:I,I29,B:B,B29)&lt;=24)),IF(AND((L29*24)&gt;0,(L29*24)&lt;=8),(L29*24)*MD!$M$6,IF(AND((L29*24)&gt;8,(L29*24)&lt;=16),(MD!$N$6),IF((L29*24)&gt;16,MD!$N$6))),IF(AND(F29="Call_out",(SUMIFS(O:O,F:F,F29,I:I,I29,B:B,B29)&lt;=24)),IF(AND((L29*24)&gt;0,(L29*24)&lt;=8),(L29*24)*MD!$P$4,IF(AND((L29*24)&gt;8,(L29*24)&lt;=16),(MD!$Q$4),IF((L29*24)&gt;16,MD!$Q$4)))))))</f>
        <v>0</v>
      </c>
      <c r="N29" s="62"/>
      <c r="O29" s="72">
        <f t="shared" si="1"/>
        <v>0</v>
      </c>
    </row>
    <row r="30" spans="1:15" x14ac:dyDescent="0.25">
      <c r="A30" s="62">
        <v>29</v>
      </c>
      <c r="B30" s="62"/>
      <c r="C30" s="68" t="str">
        <f>IF(ISNA(VLOOKUP($B30,CPY!$B:$G,2,FALSE))=TRUE," ",VLOOKUP($B30,CPY!$B:$G,2,FALSE))</f>
        <v> </v>
      </c>
      <c r="D30" s="50" t="str">
        <f>IF(ISNA(VLOOKUP($B30,CPY!$B:$G,3,FALSE))=TRUE," ",VLOOKUP($B30,CPY!$B:$G,3,FALSE))</f>
        <v> </v>
      </c>
      <c r="E30" s="65" t="str">
        <f>IF(ISNA(VLOOKUP($B30,CPY!$B:$G,4,FALSE))=TRUE," ",VLOOKUP($B30,CPY!$B:$G,4,FALSE))</f>
        <v> </v>
      </c>
      <c r="F30" s="62"/>
      <c r="G30" s="86"/>
      <c r="H30" s="86"/>
      <c r="I30" s="87"/>
      <c r="J30" s="88"/>
      <c r="K30" s="88"/>
      <c r="L30" s="95">
        <f t="shared" si="0"/>
        <v>0</v>
      </c>
      <c r="M30" s="96" t="b">
        <f>IF((ISNUMBER(L30)),IF(AND(F30="Workdays",(SUMIFS(O:O,F:F,F30,I:I,I30,B:B,B30)&lt;=24)),IF(AND((L30*24)&gt;0,(L30*24)&lt;=8),(L30*24)*MD!$M$5,IF(AND((L30*24)&gt;8,(L30*24)&lt;=16),(MD!$N$5),IF((L30*24)&gt;16,MD!$N$5))),IF(AND(F30="Non_workdays",(SUMIFS(O:O,F:F,F30,I:I,I30,B:B,B30)&lt;=24)),IF(AND((L30*24)&gt;0,(L30*24)&lt;=8),(L30*24)*MD!$M$6,IF(AND((L30*24)&gt;8,(L30*24)&lt;=16),(MD!$N$6),IF((L30*24)&gt;16,MD!$N$6))),IF(AND(F30="Call_out",(SUMIFS(O:O,F:F,F30,I:I,I30,B:B,B30)&lt;=24)),IF(AND((L30*24)&gt;0,(L30*24)&lt;=8),(L30*24)*MD!$P$4,IF(AND((L30*24)&gt;8,(L30*24)&lt;=16),(MD!$Q$4),IF((L30*24)&gt;16,MD!$Q$4)))))))</f>
        <v>0</v>
      </c>
      <c r="N30" s="62"/>
      <c r="O30" s="72">
        <f t="shared" si="1"/>
        <v>0</v>
      </c>
    </row>
    <row r="31" spans="1:15" x14ac:dyDescent="0.25">
      <c r="A31" s="62">
        <v>30</v>
      </c>
      <c r="B31" s="62"/>
      <c r="C31" s="68" t="str">
        <f>IF(ISNA(VLOOKUP($B31,CPY!$B:$G,2,FALSE))=TRUE," ",VLOOKUP($B31,CPY!$B:$G,2,FALSE))</f>
        <v> </v>
      </c>
      <c r="D31" s="50" t="str">
        <f>IF(ISNA(VLOOKUP($B31,CPY!$B:$G,3,FALSE))=TRUE," ",VLOOKUP($B31,CPY!$B:$G,3,FALSE))</f>
        <v> </v>
      </c>
      <c r="E31" s="65" t="str">
        <f>IF(ISNA(VLOOKUP($B31,CPY!$B:$G,4,FALSE))=TRUE," ",VLOOKUP($B31,CPY!$B:$G,4,FALSE))</f>
        <v> </v>
      </c>
      <c r="F31" s="62"/>
      <c r="G31" s="86"/>
      <c r="H31" s="86"/>
      <c r="I31" s="87"/>
      <c r="J31" s="88"/>
      <c r="K31" s="88"/>
      <c r="L31" s="95">
        <f t="shared" si="0"/>
        <v>0</v>
      </c>
      <c r="M31" s="96" t="b">
        <f>IF((ISNUMBER(L31)),IF(AND(F31="Workdays",(SUMIFS(O:O,F:F,F31,I:I,I31,B:B,B31)&lt;=24)),IF(AND((L31*24)&gt;0,(L31*24)&lt;=8),(L31*24)*MD!$M$5,IF(AND((L31*24)&gt;8,(L31*24)&lt;=16),(MD!$N$5),IF((L31*24)&gt;16,MD!$N$5))),IF(AND(F31="Non_workdays",(SUMIFS(O:O,F:F,F31,I:I,I31,B:B,B31)&lt;=24)),IF(AND((L31*24)&gt;0,(L31*24)&lt;=8),(L31*24)*MD!$M$6,IF(AND((L31*24)&gt;8,(L31*24)&lt;=16),(MD!$N$6),IF((L31*24)&gt;16,MD!$N$6))),IF(AND(F31="Call_out",(SUMIFS(O:O,F:F,F31,I:I,I31,B:B,B31)&lt;=24)),IF(AND((L31*24)&gt;0,(L31*24)&lt;=8),(L31*24)*MD!$P$4,IF(AND((L31*24)&gt;8,(L31*24)&lt;=16),(MD!$Q$4),IF((L31*24)&gt;16,MD!$Q$4)))))))</f>
        <v>0</v>
      </c>
      <c r="N31" s="62"/>
      <c r="O31" s="72">
        <f t="shared" si="1"/>
        <v>0</v>
      </c>
    </row>
    <row r="32" spans="1:15" x14ac:dyDescent="0.25">
      <c r="A32" s="62">
        <v>31</v>
      </c>
      <c r="B32" s="62"/>
      <c r="C32" s="68" t="str">
        <f>IF(ISNA(VLOOKUP($B32,CPY!$B:$G,2,FALSE))=TRUE," ",VLOOKUP($B32,CPY!$B:$G,2,FALSE))</f>
        <v> </v>
      </c>
      <c r="D32" s="50" t="str">
        <f>IF(ISNA(VLOOKUP($B32,CPY!$B:$G,3,FALSE))=TRUE," ",VLOOKUP($B32,CPY!$B:$G,3,FALSE))</f>
        <v> </v>
      </c>
      <c r="E32" s="65" t="str">
        <f>IF(ISNA(VLOOKUP($B32,CPY!$B:$G,4,FALSE))=TRUE," ",VLOOKUP($B32,CPY!$B:$G,4,FALSE))</f>
        <v> </v>
      </c>
      <c r="F32" s="62"/>
      <c r="G32" s="86"/>
      <c r="H32" s="86"/>
      <c r="I32" s="87"/>
      <c r="J32" s="88"/>
      <c r="K32" s="88"/>
      <c r="L32" s="95">
        <f t="shared" si="0"/>
        <v>0</v>
      </c>
      <c r="M32" s="96" t="b">
        <f>IF((ISNUMBER(L32)),IF(AND(F32="Workdays",(SUMIFS(O:O,F:F,F32,I:I,I32,B:B,B32)&lt;=24)),IF(AND((L32*24)&gt;0,(L32*24)&lt;=8),(L32*24)*MD!$M$5,IF(AND((L32*24)&gt;8,(L32*24)&lt;=16),(MD!$N$5),IF((L32*24)&gt;16,MD!$N$5))),IF(AND(F32="Non_workdays",(SUMIFS(O:O,F:F,F32,I:I,I32,B:B,B32)&lt;=24)),IF(AND((L32*24)&gt;0,(L32*24)&lt;=8),(L32*24)*MD!$M$6,IF(AND((L32*24)&gt;8,(L32*24)&lt;=16),(MD!$N$6),IF((L32*24)&gt;16,MD!$N$6))),IF(AND(F32="Call_out",(SUMIFS(O:O,F:F,F32,I:I,I32,B:B,B32)&lt;=24)),IF(AND((L32*24)&gt;0,(L32*24)&lt;=8),(L32*24)*MD!$P$4,IF(AND((L32*24)&gt;8,(L32*24)&lt;=16),(MD!$Q$4),IF((L32*24)&gt;16,MD!$Q$4)))))))</f>
        <v>0</v>
      </c>
      <c r="N32" s="62"/>
      <c r="O32" s="72">
        <f t="shared" si="1"/>
        <v>0</v>
      </c>
    </row>
    <row r="33" spans="1:15" x14ac:dyDescent="0.25">
      <c r="A33" s="62">
        <v>32</v>
      </c>
      <c r="B33" s="62"/>
      <c r="C33" s="68" t="str">
        <f>IF(ISNA(VLOOKUP($B33,CPY!$B:$G,2,FALSE))=TRUE," ",VLOOKUP($B33,CPY!$B:$G,2,FALSE))</f>
        <v> </v>
      </c>
      <c r="D33" s="50" t="str">
        <f>IF(ISNA(VLOOKUP($B33,CPY!$B:$G,3,FALSE))=TRUE," ",VLOOKUP($B33,CPY!$B:$G,3,FALSE))</f>
        <v> </v>
      </c>
      <c r="E33" s="65" t="str">
        <f>IF(ISNA(VLOOKUP($B33,CPY!$B:$G,4,FALSE))=TRUE," ",VLOOKUP($B33,CPY!$B:$G,4,FALSE))</f>
        <v> </v>
      </c>
      <c r="F33" s="62"/>
      <c r="G33" s="86"/>
      <c r="H33" s="86"/>
      <c r="I33" s="87"/>
      <c r="J33" s="88"/>
      <c r="K33" s="88"/>
      <c r="L33" s="95">
        <f t="shared" si="0"/>
        <v>0</v>
      </c>
      <c r="M33" s="96" t="b">
        <f>IF((ISNUMBER(L33)),IF(AND(F33="Workdays",(SUMIFS(O:O,F:F,F33,I:I,I33,B:B,B33)&lt;=24)),IF(AND((L33*24)&gt;0,(L33*24)&lt;=8),(L33*24)*MD!$M$5,IF(AND((L33*24)&gt;8,(L33*24)&lt;=16),(MD!$N$5),IF((L33*24)&gt;16,MD!$N$5))),IF(AND(F33="Non_workdays",(SUMIFS(O:O,F:F,F33,I:I,I33,B:B,B33)&lt;=24)),IF(AND((L33*24)&gt;0,(L33*24)&lt;=8),(L33*24)*MD!$M$6,IF(AND((L33*24)&gt;8,(L33*24)&lt;=16),(MD!$N$6),IF((L33*24)&gt;16,MD!$N$6))),IF(AND(F33="Call_out",(SUMIFS(O:O,F:F,F33,I:I,I33,B:B,B33)&lt;=24)),IF(AND((L33*24)&gt;0,(L33*24)&lt;=8),(L33*24)*MD!$P$4,IF(AND((L33*24)&gt;8,(L33*24)&lt;=16),(MD!$Q$4),IF((L33*24)&gt;16,MD!$Q$4)))))))</f>
        <v>0</v>
      </c>
      <c r="N33" s="62"/>
      <c r="O33" s="72">
        <f t="shared" si="1"/>
        <v>0</v>
      </c>
    </row>
    <row r="34" spans="1:15" x14ac:dyDescent="0.25">
      <c r="A34" s="62">
        <v>33</v>
      </c>
      <c r="B34" s="62"/>
      <c r="C34" s="68" t="str">
        <f>IF(ISNA(VLOOKUP($B34,CPY!$B:$G,2,FALSE))=TRUE," ",VLOOKUP($B34,CPY!$B:$G,2,FALSE))</f>
        <v> </v>
      </c>
      <c r="D34" s="50" t="str">
        <f>IF(ISNA(VLOOKUP($B34,CPY!$B:$G,3,FALSE))=TRUE," ",VLOOKUP($B34,CPY!$B:$G,3,FALSE))</f>
        <v> </v>
      </c>
      <c r="E34" s="65" t="str">
        <f>IF(ISNA(VLOOKUP($B34,CPY!$B:$G,4,FALSE))=TRUE," ",VLOOKUP($B34,CPY!$B:$G,4,FALSE))</f>
        <v> </v>
      </c>
      <c r="F34" s="62"/>
      <c r="G34" s="86"/>
      <c r="H34" s="86"/>
      <c r="I34" s="87"/>
      <c r="J34" s="88"/>
      <c r="K34" s="88"/>
      <c r="L34" s="95">
        <f t="shared" si="0"/>
        <v>0</v>
      </c>
      <c r="M34" s="96" t="b">
        <f>IF((ISNUMBER(L34)),IF(AND(F34="Workdays",(SUMIFS(O:O,F:F,F34,I:I,I34,B:B,B34)&lt;=24)),IF(AND((L34*24)&gt;0,(L34*24)&lt;=8),(L34*24)*MD!$M$5,IF(AND((L34*24)&gt;8,(L34*24)&lt;=16),(MD!$N$5),IF((L34*24)&gt;16,MD!$N$5))),IF(AND(F34="Non_workdays",(SUMIFS(O:O,F:F,F34,I:I,I34,B:B,B34)&lt;=24)),IF(AND((L34*24)&gt;0,(L34*24)&lt;=8),(L34*24)*MD!$M$6,IF(AND((L34*24)&gt;8,(L34*24)&lt;=16),(MD!$N$6),IF((L34*24)&gt;16,MD!$N$6))),IF(AND(F34="Call_out",(SUMIFS(O:O,F:F,F34,I:I,I34,B:B,B34)&lt;=24)),IF(AND((L34*24)&gt;0,(L34*24)&lt;=8),(L34*24)*MD!$P$4,IF(AND((L34*24)&gt;8,(L34*24)&lt;=16),(MD!$Q$4),IF((L34*24)&gt;16,MD!$Q$4)))))))</f>
        <v>0</v>
      </c>
      <c r="N34" s="62"/>
      <c r="O34" s="72">
        <f t="shared" si="1"/>
        <v>0</v>
      </c>
    </row>
    <row r="35" spans="1:15" x14ac:dyDescent="0.25">
      <c r="A35" s="62">
        <v>34</v>
      </c>
      <c r="B35" s="62"/>
      <c r="C35" s="68" t="str">
        <f>IF(ISNA(VLOOKUP($B35,CPY!$B:$G,2,FALSE))=TRUE," ",VLOOKUP($B35,CPY!$B:$G,2,FALSE))</f>
        <v> </v>
      </c>
      <c r="D35" s="50" t="str">
        <f>IF(ISNA(VLOOKUP($B35,CPY!$B:$G,3,FALSE))=TRUE," ",VLOOKUP($B35,CPY!$B:$G,3,FALSE))</f>
        <v> </v>
      </c>
      <c r="E35" s="65" t="str">
        <f>IF(ISNA(VLOOKUP($B35,CPY!$B:$G,4,FALSE))=TRUE," ",VLOOKUP($B35,CPY!$B:$G,4,FALSE))</f>
        <v> </v>
      </c>
      <c r="F35" s="62"/>
      <c r="G35" s="86"/>
      <c r="H35" s="86"/>
      <c r="I35" s="87"/>
      <c r="J35" s="88"/>
      <c r="K35" s="88"/>
      <c r="L35" s="95">
        <f t="shared" si="0"/>
        <v>0</v>
      </c>
      <c r="M35" s="96" t="b">
        <f>IF((ISNUMBER(L35)),IF(AND(F35="Workdays",(SUMIFS(O:O,F:F,F35,I:I,I35,B:B,B35)&lt;=24)),IF(AND((L35*24)&gt;0,(L35*24)&lt;=8),(L35*24)*MD!$M$5,IF(AND((L35*24)&gt;8,(L35*24)&lt;=16),(MD!$N$5),IF((L35*24)&gt;16,MD!$N$5))),IF(AND(F35="Non_workdays",(SUMIFS(O:O,F:F,F35,I:I,I35,B:B,B35)&lt;=24)),IF(AND((L35*24)&gt;0,(L35*24)&lt;=8),(L35*24)*MD!$M$6,IF(AND((L35*24)&gt;8,(L35*24)&lt;=16),(MD!$N$6),IF((L35*24)&gt;16,MD!$N$6))),IF(AND(F35="Call_out",(SUMIFS(O:O,F:F,F35,I:I,I35,B:B,B35)&lt;=24)),IF(AND((L35*24)&gt;0,(L35*24)&lt;=8),(L35*24)*MD!$P$4,IF(AND((L35*24)&gt;8,(L35*24)&lt;=16),(MD!$Q$4),IF((L35*24)&gt;16,MD!$Q$4)))))))</f>
        <v>0</v>
      </c>
      <c r="N35" s="62"/>
      <c r="O35" s="72">
        <f t="shared" si="1"/>
        <v>0</v>
      </c>
    </row>
    <row r="36" spans="1:15" x14ac:dyDescent="0.25">
      <c r="A36" s="62">
        <v>35</v>
      </c>
      <c r="B36" s="62"/>
      <c r="C36" s="68" t="str">
        <f>IF(ISNA(VLOOKUP($B36,CPY!$B:$G,2,FALSE))=TRUE," ",VLOOKUP($B36,CPY!$B:$G,2,FALSE))</f>
        <v> </v>
      </c>
      <c r="D36" s="50" t="str">
        <f>IF(ISNA(VLOOKUP($B36,CPY!$B:$G,3,FALSE))=TRUE," ",VLOOKUP($B36,CPY!$B:$G,3,FALSE))</f>
        <v> </v>
      </c>
      <c r="E36" s="65" t="str">
        <f>IF(ISNA(VLOOKUP($B36,CPY!$B:$G,4,FALSE))=TRUE," ",VLOOKUP($B36,CPY!$B:$G,4,FALSE))</f>
        <v> </v>
      </c>
      <c r="F36" s="62"/>
      <c r="G36" s="86"/>
      <c r="H36" s="86"/>
      <c r="I36" s="87"/>
      <c r="J36" s="88"/>
      <c r="K36" s="88"/>
      <c r="L36" s="95">
        <f t="shared" si="0"/>
        <v>0</v>
      </c>
      <c r="M36" s="96" t="b">
        <f>IF((ISNUMBER(L36)),IF(AND(F36="Workdays",(SUMIFS(O:O,F:F,F36,I:I,I36,B:B,B36)&lt;=24)),IF(AND((L36*24)&gt;0,(L36*24)&lt;=8),(L36*24)*MD!$M$5,IF(AND((L36*24)&gt;8,(L36*24)&lt;=16),(MD!$N$5),IF((L36*24)&gt;16,MD!$N$5))),IF(AND(F36="Non_workdays",(SUMIFS(O:O,F:F,F36,I:I,I36,B:B,B36)&lt;=24)),IF(AND((L36*24)&gt;0,(L36*24)&lt;=8),(L36*24)*MD!$M$6,IF(AND((L36*24)&gt;8,(L36*24)&lt;=16),(MD!$N$6),IF((L36*24)&gt;16,MD!$N$6))),IF(AND(F36="Call_out",(SUMIFS(O:O,F:F,F36,I:I,I36,B:B,B36)&lt;=24)),IF(AND((L36*24)&gt;0,(L36*24)&lt;=8),(L36*24)*MD!$P$4,IF(AND((L36*24)&gt;8,(L36*24)&lt;=16),(MD!$Q$4),IF((L36*24)&gt;16,MD!$Q$4)))))))</f>
        <v>0</v>
      </c>
      <c r="N36" s="62"/>
      <c r="O36" s="72">
        <f t="shared" si="1"/>
        <v>0</v>
      </c>
    </row>
    <row r="37" spans="1:15" x14ac:dyDescent="0.25">
      <c r="A37" s="62">
        <v>36</v>
      </c>
      <c r="B37" s="62"/>
      <c r="C37" s="68" t="str">
        <f>IF(ISNA(VLOOKUP($B37,CPY!$B:$G,2,FALSE))=TRUE," ",VLOOKUP($B37,CPY!$B:$G,2,FALSE))</f>
        <v> </v>
      </c>
      <c r="D37" s="50" t="str">
        <f>IF(ISNA(VLOOKUP($B37,CPY!$B:$G,3,FALSE))=TRUE," ",VLOOKUP($B37,CPY!$B:$G,3,FALSE))</f>
        <v> </v>
      </c>
      <c r="E37" s="65" t="str">
        <f>IF(ISNA(VLOOKUP($B37,CPY!$B:$G,4,FALSE))=TRUE," ",VLOOKUP($B37,CPY!$B:$G,4,FALSE))</f>
        <v> </v>
      </c>
      <c r="F37" s="62"/>
      <c r="G37" s="86"/>
      <c r="H37" s="86"/>
      <c r="I37" s="87"/>
      <c r="J37" s="88"/>
      <c r="K37" s="88"/>
      <c r="L37" s="95">
        <f t="shared" si="0"/>
        <v>0</v>
      </c>
      <c r="M37" s="96" t="b">
        <f>IF((ISNUMBER(L37)),IF(AND(F37="Workdays",(SUMIFS(O:O,F:F,F37,I:I,I37,B:B,B37)&lt;=24)),IF(AND((L37*24)&gt;0,(L37*24)&lt;=8),(L37*24)*MD!$M$5,IF(AND((L37*24)&gt;8,(L37*24)&lt;=16),(MD!$N$5),IF((L37*24)&gt;16,MD!$N$5))),IF(AND(F37="Non_workdays",(SUMIFS(O:O,F:F,F37,I:I,I37,B:B,B37)&lt;=24)),IF(AND((L37*24)&gt;0,(L37*24)&lt;=8),(L37*24)*MD!$M$6,IF(AND((L37*24)&gt;8,(L37*24)&lt;=16),(MD!$N$6),IF((L37*24)&gt;16,MD!$N$6))),IF(AND(F37="Call_out",(SUMIFS(O:O,F:F,F37,I:I,I37,B:B,B37)&lt;=24)),IF(AND((L37*24)&gt;0,(L37*24)&lt;=8),(L37*24)*MD!$P$4,IF(AND((L37*24)&gt;8,(L37*24)&lt;=16),(MD!$Q$4),IF((L37*24)&gt;16,MD!$Q$4)))))))</f>
        <v>0</v>
      </c>
      <c r="N37" s="62"/>
      <c r="O37" s="72">
        <f t="shared" si="1"/>
        <v>0</v>
      </c>
    </row>
    <row r="38" spans="1:15" x14ac:dyDescent="0.25">
      <c r="A38" s="62">
        <v>37</v>
      </c>
      <c r="B38" s="62"/>
      <c r="C38" s="68" t="str">
        <f>IF(ISNA(VLOOKUP($B38,CPY!$B:$G,2,FALSE))=TRUE," ",VLOOKUP($B38,CPY!$B:$G,2,FALSE))</f>
        <v> </v>
      </c>
      <c r="D38" s="50" t="str">
        <f>IF(ISNA(VLOOKUP($B38,CPY!$B:$G,3,FALSE))=TRUE," ",VLOOKUP($B38,CPY!$B:$G,3,FALSE))</f>
        <v> </v>
      </c>
      <c r="E38" s="65" t="str">
        <f>IF(ISNA(VLOOKUP($B38,CPY!$B:$G,4,FALSE))=TRUE," ",VLOOKUP($B38,CPY!$B:$G,4,FALSE))</f>
        <v> </v>
      </c>
      <c r="F38" s="62"/>
      <c r="G38" s="86"/>
      <c r="H38" s="86"/>
      <c r="I38" s="87"/>
      <c r="J38" s="88"/>
      <c r="K38" s="88"/>
      <c r="L38" s="95">
        <f t="shared" si="0"/>
        <v>0</v>
      </c>
      <c r="M38" s="96" t="b">
        <f>IF((ISNUMBER(L38)),IF(AND(F38="Workdays",(SUMIFS(O:O,F:F,F38,I:I,I38,B:B,B38)&lt;=24)),IF(AND((L38*24)&gt;0,(L38*24)&lt;=8),(L38*24)*MD!$M$5,IF(AND((L38*24)&gt;8,(L38*24)&lt;=16),(MD!$N$5),IF((L38*24)&gt;16,MD!$N$5))),IF(AND(F38="Non_workdays",(SUMIFS(O:O,F:F,F38,I:I,I38,B:B,B38)&lt;=24)),IF(AND((L38*24)&gt;0,(L38*24)&lt;=8),(L38*24)*MD!$M$6,IF(AND((L38*24)&gt;8,(L38*24)&lt;=16),(MD!$N$6),IF((L38*24)&gt;16,MD!$N$6))),IF(AND(F38="Call_out",(SUMIFS(O:O,F:F,F38,I:I,I38,B:B,B38)&lt;=24)),IF(AND((L38*24)&gt;0,(L38*24)&lt;=8),(L38*24)*MD!$P$4,IF(AND((L38*24)&gt;8,(L38*24)&lt;=16),(MD!$Q$4),IF((L38*24)&gt;16,MD!$Q$4)))))))</f>
        <v>0</v>
      </c>
      <c r="N38" s="62"/>
      <c r="O38" s="72">
        <f t="shared" si="1"/>
        <v>0</v>
      </c>
    </row>
    <row r="39" spans="1:15" x14ac:dyDescent="0.25">
      <c r="A39" s="62">
        <v>38</v>
      </c>
      <c r="B39" s="62"/>
      <c r="C39" s="68" t="str">
        <f>IF(ISNA(VLOOKUP($B39,CPY!$B:$G,2,FALSE))=TRUE," ",VLOOKUP($B39,CPY!$B:$G,2,FALSE))</f>
        <v> </v>
      </c>
      <c r="D39" s="50" t="str">
        <f>IF(ISNA(VLOOKUP($B39,CPY!$B:$G,3,FALSE))=TRUE," ",VLOOKUP($B39,CPY!$B:$G,3,FALSE))</f>
        <v> </v>
      </c>
      <c r="E39" s="65" t="str">
        <f>IF(ISNA(VLOOKUP($B39,CPY!$B:$G,4,FALSE))=TRUE," ",VLOOKUP($B39,CPY!$B:$G,4,FALSE))</f>
        <v> </v>
      </c>
      <c r="F39" s="62"/>
      <c r="G39" s="86"/>
      <c r="H39" s="86"/>
      <c r="I39" s="87"/>
      <c r="J39" s="88"/>
      <c r="K39" s="88"/>
      <c r="L39" s="95">
        <f t="shared" si="0"/>
        <v>0</v>
      </c>
      <c r="M39" s="96" t="b">
        <f>IF((ISNUMBER(L39)),IF(AND(F39="Workdays",(SUMIFS(O:O,F:F,F39,I:I,I39,B:B,B39)&lt;=24)),IF(AND((L39*24)&gt;0,(L39*24)&lt;=8),(L39*24)*MD!$M$5,IF(AND((L39*24)&gt;8,(L39*24)&lt;=16),(MD!$N$5),IF((L39*24)&gt;16,MD!$N$5))),IF(AND(F39="Non_workdays",(SUMIFS(O:O,F:F,F39,I:I,I39,B:B,B39)&lt;=24)),IF(AND((L39*24)&gt;0,(L39*24)&lt;=8),(L39*24)*MD!$M$6,IF(AND((L39*24)&gt;8,(L39*24)&lt;=16),(MD!$N$6),IF((L39*24)&gt;16,MD!$N$6))),IF(AND(F39="Call_out",(SUMIFS(O:O,F:F,F39,I:I,I39,B:B,B39)&lt;=24)),IF(AND((L39*24)&gt;0,(L39*24)&lt;=8),(L39*24)*MD!$P$4,IF(AND((L39*24)&gt;8,(L39*24)&lt;=16),(MD!$Q$4),IF((L39*24)&gt;16,MD!$Q$4)))))))</f>
        <v>0</v>
      </c>
      <c r="N39" s="62"/>
      <c r="O39" s="72">
        <f t="shared" si="1"/>
        <v>0</v>
      </c>
    </row>
    <row r="40" spans="1:15" x14ac:dyDescent="0.25">
      <c r="A40" s="62">
        <v>39</v>
      </c>
      <c r="B40" s="62"/>
      <c r="C40" s="68" t="str">
        <f>IF(ISNA(VLOOKUP($B40,CPY!$B:$G,2,FALSE))=TRUE," ",VLOOKUP($B40,CPY!$B:$G,2,FALSE))</f>
        <v> </v>
      </c>
      <c r="D40" s="50" t="str">
        <f>IF(ISNA(VLOOKUP($B40,CPY!$B:$G,3,FALSE))=TRUE," ",VLOOKUP($B40,CPY!$B:$G,3,FALSE))</f>
        <v> </v>
      </c>
      <c r="E40" s="65" t="str">
        <f>IF(ISNA(VLOOKUP($B40,CPY!$B:$G,4,FALSE))=TRUE," ",VLOOKUP($B40,CPY!$B:$G,4,FALSE))</f>
        <v> </v>
      </c>
      <c r="F40" s="62"/>
      <c r="G40" s="86"/>
      <c r="H40" s="86"/>
      <c r="I40" s="87"/>
      <c r="J40" s="88"/>
      <c r="K40" s="88"/>
      <c r="L40" s="95">
        <f t="shared" si="0"/>
        <v>0</v>
      </c>
      <c r="M40" s="96" t="b">
        <f>IF((ISNUMBER(L40)),IF(AND(F40="Workdays",(SUMIFS(O:O,F:F,F40,I:I,I40,B:B,B40)&lt;=24)),IF(AND((L40*24)&gt;0,(L40*24)&lt;=8),(L40*24)*MD!$M$5,IF(AND((L40*24)&gt;8,(L40*24)&lt;=16),(MD!$N$5),IF((L40*24)&gt;16,MD!$N$5))),IF(AND(F40="Non_workdays",(SUMIFS(O:O,F:F,F40,I:I,I40,B:B,B40)&lt;=24)),IF(AND((L40*24)&gt;0,(L40*24)&lt;=8),(L40*24)*MD!$M$6,IF(AND((L40*24)&gt;8,(L40*24)&lt;=16),(MD!$N$6),IF((L40*24)&gt;16,MD!$N$6))),IF(AND(F40="Call_out",(SUMIFS(O:O,F:F,F40,I:I,I40,B:B,B40)&lt;=24)),IF(AND((L40*24)&gt;0,(L40*24)&lt;=8),(L40*24)*MD!$P$4,IF(AND((L40*24)&gt;8,(L40*24)&lt;=16),(MD!$Q$4),IF((L40*24)&gt;16,MD!$Q$4)))))))</f>
        <v>0</v>
      </c>
      <c r="N40" s="62"/>
      <c r="O40" s="72">
        <f t="shared" si="1"/>
        <v>0</v>
      </c>
    </row>
    <row r="41" spans="1:15" x14ac:dyDescent="0.25">
      <c r="A41" s="62">
        <v>40</v>
      </c>
      <c r="B41" s="62"/>
      <c r="C41" s="68" t="str">
        <f>IF(ISNA(VLOOKUP($B41,CPY!$B:$G,2,FALSE))=TRUE," ",VLOOKUP($B41,CPY!$B:$G,2,FALSE))</f>
        <v> </v>
      </c>
      <c r="D41" s="50" t="str">
        <f>IF(ISNA(VLOOKUP($B41,CPY!$B:$G,3,FALSE))=TRUE," ",VLOOKUP($B41,CPY!$B:$G,3,FALSE))</f>
        <v> </v>
      </c>
      <c r="E41" s="65" t="str">
        <f>IF(ISNA(VLOOKUP($B41,CPY!$B:$G,4,FALSE))=TRUE," ",VLOOKUP($B41,CPY!$B:$G,4,FALSE))</f>
        <v> </v>
      </c>
      <c r="F41" s="62"/>
      <c r="G41" s="86"/>
      <c r="H41" s="86"/>
      <c r="I41" s="87"/>
      <c r="J41" s="88"/>
      <c r="K41" s="88"/>
      <c r="L41" s="95">
        <f t="shared" si="0"/>
        <v>0</v>
      </c>
      <c r="M41" s="96" t="b">
        <f>IF((ISNUMBER(L41)),IF(AND(F41="Workdays",(SUMIFS(O:O,F:F,F41,I:I,I41,B:B,B41)&lt;=24)),IF(AND((L41*24)&gt;0,(L41*24)&lt;=8),(L41*24)*MD!$M$5,IF(AND((L41*24)&gt;8,(L41*24)&lt;=16),(MD!$N$5),IF((L41*24)&gt;16,MD!$N$5))),IF(AND(F41="Non_workdays",(SUMIFS(O:O,F:F,F41,I:I,I41,B:B,B41)&lt;=24)),IF(AND((L41*24)&gt;0,(L41*24)&lt;=8),(L41*24)*MD!$M$6,IF(AND((L41*24)&gt;8,(L41*24)&lt;=16),(MD!$N$6),IF((L41*24)&gt;16,MD!$N$6))),IF(AND(F41="Call_out",(SUMIFS(O:O,F:F,F41,I:I,I41,B:B,B41)&lt;=24)),IF(AND((L41*24)&gt;0,(L41*24)&lt;=8),(L41*24)*MD!$P$4,IF(AND((L41*24)&gt;8,(L41*24)&lt;=16),(MD!$Q$4),IF((L41*24)&gt;16,MD!$Q$4)))))))</f>
        <v>0</v>
      </c>
      <c r="N41" s="62"/>
      <c r="O41" s="72">
        <f t="shared" si="1"/>
        <v>0</v>
      </c>
    </row>
    <row r="42" spans="1:15" x14ac:dyDescent="0.25">
      <c r="A42" s="62">
        <v>41</v>
      </c>
      <c r="B42" s="62"/>
      <c r="C42" s="68" t="str">
        <f>IF(ISNA(VLOOKUP($B42,CPY!$B:$G,2,FALSE))=TRUE," ",VLOOKUP($B42,CPY!$B:$G,2,FALSE))</f>
        <v> </v>
      </c>
      <c r="D42" s="50" t="str">
        <f>IF(ISNA(VLOOKUP($B42,CPY!$B:$G,3,FALSE))=TRUE," ",VLOOKUP($B42,CPY!$B:$G,3,FALSE))</f>
        <v> </v>
      </c>
      <c r="E42" s="65" t="str">
        <f>IF(ISNA(VLOOKUP($B42,CPY!$B:$G,4,FALSE))=TRUE," ",VLOOKUP($B42,CPY!$B:$G,4,FALSE))</f>
        <v> </v>
      </c>
      <c r="F42" s="62"/>
      <c r="G42" s="86"/>
      <c r="H42" s="86"/>
      <c r="I42" s="87"/>
      <c r="J42" s="88"/>
      <c r="K42" s="88"/>
      <c r="L42" s="95">
        <f t="shared" si="0"/>
        <v>0</v>
      </c>
      <c r="M42" s="96" t="b">
        <f>IF((ISNUMBER(L42)),IF(AND(F42="Workdays",(SUMIFS(O:O,F:F,F42,I:I,I42,B:B,B42)&lt;=24)),IF(AND((L42*24)&gt;0,(L42*24)&lt;=8),(L42*24)*MD!$M$5,IF(AND((L42*24)&gt;8,(L42*24)&lt;=16),(MD!$N$5),IF((L42*24)&gt;16,MD!$N$5))),IF(AND(F42="Non_workdays",(SUMIFS(O:O,F:F,F42,I:I,I42,B:B,B42)&lt;=24)),IF(AND((L42*24)&gt;0,(L42*24)&lt;=8),(L42*24)*MD!$M$6,IF(AND((L42*24)&gt;8,(L42*24)&lt;=16),(MD!$N$6),IF((L42*24)&gt;16,MD!$N$6))),IF(AND(F42="Call_out",(SUMIFS(O:O,F:F,F42,I:I,I42,B:B,B42)&lt;=24)),IF(AND((L42*24)&gt;0,(L42*24)&lt;=8),(L42*24)*MD!$P$4,IF(AND((L42*24)&gt;8,(L42*24)&lt;=16),(MD!$Q$4),IF((L42*24)&gt;16,MD!$Q$4)))))))</f>
        <v>0</v>
      </c>
      <c r="N42" s="62"/>
      <c r="O42" s="72">
        <f t="shared" si="1"/>
        <v>0</v>
      </c>
    </row>
    <row r="43" spans="1:15" x14ac:dyDescent="0.25">
      <c r="A43" s="62">
        <v>42</v>
      </c>
      <c r="B43" s="62"/>
      <c r="C43" s="68" t="str">
        <f>IF(ISNA(VLOOKUP($B43,CPY!$B:$G,2,FALSE))=TRUE," ",VLOOKUP($B43,CPY!$B:$G,2,FALSE))</f>
        <v> </v>
      </c>
      <c r="D43" s="50" t="str">
        <f>IF(ISNA(VLOOKUP($B43,CPY!$B:$G,3,FALSE))=TRUE," ",VLOOKUP($B43,CPY!$B:$G,3,FALSE))</f>
        <v> </v>
      </c>
      <c r="E43" s="65" t="str">
        <f>IF(ISNA(VLOOKUP($B43,CPY!$B:$G,4,FALSE))=TRUE," ",VLOOKUP($B43,CPY!$B:$G,4,FALSE))</f>
        <v> </v>
      </c>
      <c r="F43" s="62"/>
      <c r="G43" s="86"/>
      <c r="H43" s="86"/>
      <c r="I43" s="87"/>
      <c r="J43" s="88"/>
      <c r="K43" s="88"/>
      <c r="L43" s="95">
        <f t="shared" si="0"/>
        <v>0</v>
      </c>
      <c r="M43" s="96" t="b">
        <f>IF((ISNUMBER(L43)),IF(AND(F43="Workdays",(SUMIFS(O:O,F:F,F43,I:I,I43,B:B,B43)&lt;=24)),IF(AND((L43*24)&gt;0,(L43*24)&lt;=8),(L43*24)*MD!$M$5,IF(AND((L43*24)&gt;8,(L43*24)&lt;=16),(MD!$N$5),IF((L43*24)&gt;16,MD!$N$5))),IF(AND(F43="Non_workdays",(SUMIFS(O:O,F:F,F43,I:I,I43,B:B,B43)&lt;=24)),IF(AND((L43*24)&gt;0,(L43*24)&lt;=8),(L43*24)*MD!$M$6,IF(AND((L43*24)&gt;8,(L43*24)&lt;=16),(MD!$N$6),IF((L43*24)&gt;16,MD!$N$6))),IF(AND(F43="Call_out",(SUMIFS(O:O,F:F,F43,I:I,I43,B:B,B43)&lt;=24)),IF(AND((L43*24)&gt;0,(L43*24)&lt;=8),(L43*24)*MD!$P$4,IF(AND((L43*24)&gt;8,(L43*24)&lt;=16),(MD!$Q$4),IF((L43*24)&gt;16,MD!$Q$4)))))))</f>
        <v>0</v>
      </c>
      <c r="N43" s="62"/>
      <c r="O43" s="72">
        <f t="shared" si="1"/>
        <v>0</v>
      </c>
    </row>
    <row r="44" spans="1:15" x14ac:dyDescent="0.25">
      <c r="A44" s="62">
        <v>43</v>
      </c>
      <c r="B44" s="62"/>
      <c r="C44" s="68" t="str">
        <f>IF(ISNA(VLOOKUP($B44,CPY!$B:$G,2,FALSE))=TRUE," ",VLOOKUP($B44,CPY!$B:$G,2,FALSE))</f>
        <v> </v>
      </c>
      <c r="D44" s="50" t="str">
        <f>IF(ISNA(VLOOKUP($B44,CPY!$B:$G,3,FALSE))=TRUE," ",VLOOKUP($B44,CPY!$B:$G,3,FALSE))</f>
        <v> </v>
      </c>
      <c r="E44" s="65" t="str">
        <f>IF(ISNA(VLOOKUP($B44,CPY!$B:$G,4,FALSE))=TRUE," ",VLOOKUP($B44,CPY!$B:$G,4,FALSE))</f>
        <v> </v>
      </c>
      <c r="F44" s="62"/>
      <c r="G44" s="86"/>
      <c r="H44" s="86"/>
      <c r="I44" s="87"/>
      <c r="J44" s="88"/>
      <c r="K44" s="88"/>
      <c r="L44" s="95">
        <f t="shared" si="0"/>
        <v>0</v>
      </c>
      <c r="M44" s="96" t="b">
        <f>IF((ISNUMBER(L44)),IF(AND(F44="Workdays",(SUMIFS(O:O,F:F,F44,I:I,I44,B:B,B44)&lt;=24)),IF(AND((L44*24)&gt;0,(L44*24)&lt;=8),(L44*24)*MD!$M$5,IF(AND((L44*24)&gt;8,(L44*24)&lt;=16),(MD!$N$5),IF((L44*24)&gt;16,MD!$N$5))),IF(AND(F44="Non_workdays",(SUMIFS(O:O,F:F,F44,I:I,I44,B:B,B44)&lt;=24)),IF(AND((L44*24)&gt;0,(L44*24)&lt;=8),(L44*24)*MD!$M$6,IF(AND((L44*24)&gt;8,(L44*24)&lt;=16),(MD!$N$6),IF((L44*24)&gt;16,MD!$N$6))),IF(AND(F44="Call_out",(SUMIFS(O:O,F:F,F44,I:I,I44,B:B,B44)&lt;=24)),IF(AND((L44*24)&gt;0,(L44*24)&lt;=8),(L44*24)*MD!$P$4,IF(AND((L44*24)&gt;8,(L44*24)&lt;=16),(MD!$Q$4),IF((L44*24)&gt;16,MD!$Q$4)))))))</f>
        <v>0</v>
      </c>
      <c r="N44" s="62"/>
      <c r="O44" s="72">
        <f t="shared" si="1"/>
        <v>0</v>
      </c>
    </row>
    <row r="45" spans="1:15" x14ac:dyDescent="0.25">
      <c r="A45" s="62">
        <v>44</v>
      </c>
      <c r="B45" s="62"/>
      <c r="C45" s="68" t="str">
        <f>IF(ISNA(VLOOKUP($B45,CPY!$B:$G,2,FALSE))=TRUE," ",VLOOKUP($B45,CPY!$B:$G,2,FALSE))</f>
        <v> </v>
      </c>
      <c r="D45" s="50" t="str">
        <f>IF(ISNA(VLOOKUP($B45,CPY!$B:$G,3,FALSE))=TRUE," ",VLOOKUP($B45,CPY!$B:$G,3,FALSE))</f>
        <v> </v>
      </c>
      <c r="E45" s="65" t="str">
        <f>IF(ISNA(VLOOKUP($B45,CPY!$B:$G,4,FALSE))=TRUE," ",VLOOKUP($B45,CPY!$B:$G,4,FALSE))</f>
        <v> </v>
      </c>
      <c r="F45" s="62"/>
      <c r="G45" s="86"/>
      <c r="H45" s="86"/>
      <c r="I45" s="87"/>
      <c r="J45" s="88"/>
      <c r="K45" s="88"/>
      <c r="L45" s="95">
        <f t="shared" si="0"/>
        <v>0</v>
      </c>
      <c r="M45" s="96" t="b">
        <f>IF((ISNUMBER(L45)),IF(AND(F45="Workdays",(SUMIFS(O:O,F:F,F45,I:I,I45,B:B,B45)&lt;=24)),IF(AND((L45*24)&gt;0,(L45*24)&lt;=8),(L45*24)*MD!$M$5,IF(AND((L45*24)&gt;8,(L45*24)&lt;=16),(MD!$N$5),IF((L45*24)&gt;16,MD!$N$5))),IF(AND(F45="Non_workdays",(SUMIFS(O:O,F:F,F45,I:I,I45,B:B,B45)&lt;=24)),IF(AND((L45*24)&gt;0,(L45*24)&lt;=8),(L45*24)*MD!$M$6,IF(AND((L45*24)&gt;8,(L45*24)&lt;=16),(MD!$N$6),IF((L45*24)&gt;16,MD!$N$6))),IF(AND(F45="Call_out",(SUMIFS(O:O,F:F,F45,I:I,I45,B:B,B45)&lt;=24)),IF(AND((L45*24)&gt;0,(L45*24)&lt;=8),(L45*24)*MD!$P$4,IF(AND((L45*24)&gt;8,(L45*24)&lt;=16),(MD!$Q$4),IF((L45*24)&gt;16,MD!$Q$4)))))))</f>
        <v>0</v>
      </c>
      <c r="N45" s="62"/>
      <c r="O45" s="72">
        <f t="shared" si="1"/>
        <v>0</v>
      </c>
    </row>
    <row r="46" spans="1:15" x14ac:dyDescent="0.25">
      <c r="A46" s="62">
        <v>45</v>
      </c>
      <c r="B46" s="62"/>
      <c r="C46" s="68" t="str">
        <f>IF(ISNA(VLOOKUP($B46,CPY!$B:$G,2,FALSE))=TRUE," ",VLOOKUP($B46,CPY!$B:$G,2,FALSE))</f>
        <v> </v>
      </c>
      <c r="D46" s="50" t="str">
        <f>IF(ISNA(VLOOKUP($B46,CPY!$B:$G,3,FALSE))=TRUE," ",VLOOKUP($B46,CPY!$B:$G,3,FALSE))</f>
        <v> </v>
      </c>
      <c r="E46" s="65" t="str">
        <f>IF(ISNA(VLOOKUP($B46,CPY!$B:$G,4,FALSE))=TRUE," ",VLOOKUP($B46,CPY!$B:$G,4,FALSE))</f>
        <v> </v>
      </c>
      <c r="F46" s="62"/>
      <c r="G46" s="86"/>
      <c r="H46" s="86"/>
      <c r="I46" s="87"/>
      <c r="J46" s="88"/>
      <c r="K46" s="88"/>
      <c r="L46" s="95">
        <f t="shared" si="0"/>
        <v>0</v>
      </c>
      <c r="M46" s="96" t="b">
        <f>IF((ISNUMBER(L46)),IF(AND(F46="Workdays",(SUMIFS(O:O,F:F,F46,I:I,I46,B:B,B46)&lt;=24)),IF(AND((L46*24)&gt;0,(L46*24)&lt;=8),(L46*24)*MD!$M$5,IF(AND((L46*24)&gt;8,(L46*24)&lt;=16),(MD!$N$5),IF((L46*24)&gt;16,MD!$N$5))),IF(AND(F46="Non_workdays",(SUMIFS(O:O,F:F,F46,I:I,I46,B:B,B46)&lt;=24)),IF(AND((L46*24)&gt;0,(L46*24)&lt;=8),(L46*24)*MD!$M$6,IF(AND((L46*24)&gt;8,(L46*24)&lt;=16),(MD!$N$6),IF((L46*24)&gt;16,MD!$N$6))),IF(AND(F46="Call_out",(SUMIFS(O:O,F:F,F46,I:I,I46,B:B,B46)&lt;=24)),IF(AND((L46*24)&gt;0,(L46*24)&lt;=8),(L46*24)*MD!$P$4,IF(AND((L46*24)&gt;8,(L46*24)&lt;=16),(MD!$Q$4),IF((L46*24)&gt;16,MD!$Q$4)))))))</f>
        <v>0</v>
      </c>
      <c r="N46" s="62"/>
      <c r="O46" s="72">
        <f t="shared" si="1"/>
        <v>0</v>
      </c>
    </row>
    <row r="47" spans="1:15" x14ac:dyDescent="0.25">
      <c r="A47" s="62">
        <v>46</v>
      </c>
      <c r="B47" s="62"/>
      <c r="C47" s="68" t="str">
        <f>IF(ISNA(VLOOKUP($B47,CPY!$B:$G,2,FALSE))=TRUE," ",VLOOKUP($B47,CPY!$B:$G,2,FALSE))</f>
        <v> </v>
      </c>
      <c r="D47" s="50" t="str">
        <f>IF(ISNA(VLOOKUP($B47,CPY!$B:$G,3,FALSE))=TRUE," ",VLOOKUP($B47,CPY!$B:$G,3,FALSE))</f>
        <v> </v>
      </c>
      <c r="E47" s="65" t="str">
        <f>IF(ISNA(VLOOKUP($B47,CPY!$B:$G,4,FALSE))=TRUE," ",VLOOKUP($B47,CPY!$B:$G,4,FALSE))</f>
        <v> </v>
      </c>
      <c r="F47" s="62"/>
      <c r="G47" s="86"/>
      <c r="H47" s="86"/>
      <c r="I47" s="87"/>
      <c r="J47" s="88"/>
      <c r="K47" s="88"/>
      <c r="L47" s="95">
        <f t="shared" si="0"/>
        <v>0</v>
      </c>
      <c r="M47" s="96" t="b">
        <f>IF((ISNUMBER(L47)),IF(AND(F47="Workdays",(SUMIFS(O:O,F:F,F47,I:I,I47,B:B,B47)&lt;=24)),IF(AND((L47*24)&gt;0,(L47*24)&lt;=8),(L47*24)*MD!$M$5,IF(AND((L47*24)&gt;8,(L47*24)&lt;=16),(MD!$N$5),IF((L47*24)&gt;16,MD!$N$5))),IF(AND(F47="Non_workdays",(SUMIFS(O:O,F:F,F47,I:I,I47,B:B,B47)&lt;=24)),IF(AND((L47*24)&gt;0,(L47*24)&lt;=8),(L47*24)*MD!$M$6,IF(AND((L47*24)&gt;8,(L47*24)&lt;=16),(MD!$N$6),IF((L47*24)&gt;16,MD!$N$6))),IF(AND(F47="Call_out",(SUMIFS(O:O,F:F,F47,I:I,I47,B:B,B47)&lt;=24)),IF(AND((L47*24)&gt;0,(L47*24)&lt;=8),(L47*24)*MD!$P$4,IF(AND((L47*24)&gt;8,(L47*24)&lt;=16),(MD!$Q$4),IF((L47*24)&gt;16,MD!$Q$4)))))))</f>
        <v>0</v>
      </c>
      <c r="N47" s="62"/>
      <c r="O47" s="72">
        <f t="shared" si="1"/>
        <v>0</v>
      </c>
    </row>
    <row r="48" spans="1:15" x14ac:dyDescent="0.25">
      <c r="A48" s="62">
        <v>47</v>
      </c>
      <c r="B48" s="62"/>
      <c r="C48" s="68" t="str">
        <f>IF(ISNA(VLOOKUP($B48,CPY!$B:$G,2,FALSE))=TRUE," ",VLOOKUP($B48,CPY!$B:$G,2,FALSE))</f>
        <v> </v>
      </c>
      <c r="D48" s="50" t="str">
        <f>IF(ISNA(VLOOKUP($B48,CPY!$B:$G,3,FALSE))=TRUE," ",VLOOKUP($B48,CPY!$B:$G,3,FALSE))</f>
        <v> </v>
      </c>
      <c r="E48" s="65" t="str">
        <f>IF(ISNA(VLOOKUP($B48,CPY!$B:$G,4,FALSE))=TRUE," ",VLOOKUP($B48,CPY!$B:$G,4,FALSE))</f>
        <v> </v>
      </c>
      <c r="F48" s="62"/>
      <c r="G48" s="86"/>
      <c r="H48" s="86"/>
      <c r="I48" s="87"/>
      <c r="J48" s="88"/>
      <c r="K48" s="88"/>
      <c r="L48" s="95">
        <f t="shared" si="0"/>
        <v>0</v>
      </c>
      <c r="M48" s="96" t="b">
        <f>IF((ISNUMBER(L48)),IF(AND(F48="Workdays",(SUMIFS(O:O,F:F,F48,I:I,I48,B:B,B48)&lt;=24)),IF(AND((L48*24)&gt;0,(L48*24)&lt;=8),(L48*24)*MD!$M$5,IF(AND((L48*24)&gt;8,(L48*24)&lt;=16),(MD!$N$5),IF((L48*24)&gt;16,MD!$N$5))),IF(AND(F48="Non_workdays",(SUMIFS(O:O,F:F,F48,I:I,I48,B:B,B48)&lt;=24)),IF(AND((L48*24)&gt;0,(L48*24)&lt;=8),(L48*24)*MD!$M$6,IF(AND((L48*24)&gt;8,(L48*24)&lt;=16),(MD!$N$6),IF((L48*24)&gt;16,MD!$N$6))),IF(AND(F48="Call_out",(SUMIFS(O:O,F:F,F48,I:I,I48,B:B,B48)&lt;=24)),IF(AND((L48*24)&gt;0,(L48*24)&lt;=8),(L48*24)*MD!$P$4,IF(AND((L48*24)&gt;8,(L48*24)&lt;=16),(MD!$Q$4),IF((L48*24)&gt;16,MD!$Q$4)))))))</f>
        <v>0</v>
      </c>
      <c r="N48" s="62"/>
      <c r="O48" s="72">
        <f t="shared" si="1"/>
        <v>0</v>
      </c>
    </row>
    <row r="49" spans="1:15" x14ac:dyDescent="0.25">
      <c r="A49" s="62">
        <v>48</v>
      </c>
      <c r="B49" s="62"/>
      <c r="C49" s="68" t="str">
        <f>IF(ISNA(VLOOKUP($B49,CPY!$B:$G,2,FALSE))=TRUE," ",VLOOKUP($B49,CPY!$B:$G,2,FALSE))</f>
        <v> </v>
      </c>
      <c r="D49" s="50" t="str">
        <f>IF(ISNA(VLOOKUP($B49,CPY!$B:$G,3,FALSE))=TRUE," ",VLOOKUP($B49,CPY!$B:$G,3,FALSE))</f>
        <v> </v>
      </c>
      <c r="E49" s="65" t="str">
        <f>IF(ISNA(VLOOKUP($B49,CPY!$B:$G,4,FALSE))=TRUE," ",VLOOKUP($B49,CPY!$B:$G,4,FALSE))</f>
        <v> </v>
      </c>
      <c r="F49" s="62"/>
      <c r="G49" s="86"/>
      <c r="H49" s="86"/>
      <c r="I49" s="87"/>
      <c r="J49" s="88"/>
      <c r="K49" s="88"/>
      <c r="L49" s="95">
        <f t="shared" si="0"/>
        <v>0</v>
      </c>
      <c r="M49" s="96" t="b">
        <f>IF((ISNUMBER(L49)),IF(AND(F49="Workdays",(SUMIFS(O:O,F:F,F49,I:I,I49,B:B,B49)&lt;=24)),IF(AND((L49*24)&gt;0,(L49*24)&lt;=8),(L49*24)*MD!$M$5,IF(AND((L49*24)&gt;8,(L49*24)&lt;=16),(MD!$N$5),IF((L49*24)&gt;16,MD!$N$5))),IF(AND(F49="Non_workdays",(SUMIFS(O:O,F:F,F49,I:I,I49,B:B,B49)&lt;=24)),IF(AND((L49*24)&gt;0,(L49*24)&lt;=8),(L49*24)*MD!$M$6,IF(AND((L49*24)&gt;8,(L49*24)&lt;=16),(MD!$N$6),IF((L49*24)&gt;16,MD!$N$6))),IF(AND(F49="Call_out",(SUMIFS(O:O,F:F,F49,I:I,I49,B:B,B49)&lt;=24)),IF(AND((L49*24)&gt;0,(L49*24)&lt;=8),(L49*24)*MD!$P$4,IF(AND((L49*24)&gt;8,(L49*24)&lt;=16),(MD!$Q$4),IF((L49*24)&gt;16,MD!$Q$4)))))))</f>
        <v>0</v>
      </c>
      <c r="N49" s="62"/>
      <c r="O49" s="72">
        <f t="shared" si="1"/>
        <v>0</v>
      </c>
    </row>
    <row r="50" spans="1:15" x14ac:dyDescent="0.25">
      <c r="A50" s="62">
        <v>49</v>
      </c>
      <c r="B50" s="62"/>
      <c r="C50" s="68" t="str">
        <f>IF(ISNA(VLOOKUP($B50,CPY!$B:$G,2,FALSE))=TRUE," ",VLOOKUP($B50,CPY!$B:$G,2,FALSE))</f>
        <v> </v>
      </c>
      <c r="D50" s="50" t="str">
        <f>IF(ISNA(VLOOKUP($B50,CPY!$B:$G,3,FALSE))=TRUE," ",VLOOKUP($B50,CPY!$B:$G,3,FALSE))</f>
        <v> </v>
      </c>
      <c r="E50" s="65" t="str">
        <f>IF(ISNA(VLOOKUP($B50,CPY!$B:$G,4,FALSE))=TRUE," ",VLOOKUP($B50,CPY!$B:$G,4,FALSE))</f>
        <v> </v>
      </c>
      <c r="F50" s="62"/>
      <c r="G50" s="86"/>
      <c r="H50" s="86"/>
      <c r="I50" s="87"/>
      <c r="J50" s="88"/>
      <c r="K50" s="88"/>
      <c r="L50" s="95">
        <f t="shared" si="0"/>
        <v>0</v>
      </c>
      <c r="M50" s="96" t="b">
        <f>IF((ISNUMBER(L50)),IF(AND(F50="Workdays",(SUMIFS(O:O,F:F,F50,I:I,I50,B:B,B50)&lt;=24)),IF(AND((L50*24)&gt;0,(L50*24)&lt;=8),(L50*24)*MD!$M$5,IF(AND((L50*24)&gt;8,(L50*24)&lt;=16),(MD!$N$5),IF((L50*24)&gt;16,MD!$N$5))),IF(AND(F50="Non_workdays",(SUMIFS(O:O,F:F,F50,I:I,I50,B:B,B50)&lt;=24)),IF(AND((L50*24)&gt;0,(L50*24)&lt;=8),(L50*24)*MD!$M$6,IF(AND((L50*24)&gt;8,(L50*24)&lt;=16),(MD!$N$6),IF((L50*24)&gt;16,MD!$N$6))),IF(AND(F50="Call_out",(SUMIFS(O:O,F:F,F50,I:I,I50,B:B,B50)&lt;=24)),IF(AND((L50*24)&gt;0,(L50*24)&lt;=8),(L50*24)*MD!$P$4,IF(AND((L50*24)&gt;8,(L50*24)&lt;=16),(MD!$Q$4),IF((L50*24)&gt;16,MD!$Q$4)))))))</f>
        <v>0</v>
      </c>
      <c r="N50" s="62"/>
      <c r="O50" s="72">
        <f t="shared" si="1"/>
        <v>0</v>
      </c>
    </row>
    <row r="51" spans="1:15" x14ac:dyDescent="0.25">
      <c r="A51" s="62">
        <v>50</v>
      </c>
      <c r="B51" s="62"/>
      <c r="C51" s="68" t="str">
        <f>IF(ISNA(VLOOKUP($B51,CPY!$B:$G,2,FALSE))=TRUE," ",VLOOKUP($B51,CPY!$B:$G,2,FALSE))</f>
        <v> </v>
      </c>
      <c r="D51" s="50" t="str">
        <f>IF(ISNA(VLOOKUP($B51,CPY!$B:$G,3,FALSE))=TRUE," ",VLOOKUP($B51,CPY!$B:$G,3,FALSE))</f>
        <v> </v>
      </c>
      <c r="E51" s="65" t="str">
        <f>IF(ISNA(VLOOKUP($B51,CPY!$B:$G,4,FALSE))=TRUE," ",VLOOKUP($B51,CPY!$B:$G,4,FALSE))</f>
        <v> </v>
      </c>
      <c r="F51" s="62"/>
      <c r="G51" s="86"/>
      <c r="H51" s="86"/>
      <c r="I51" s="87"/>
      <c r="J51" s="88"/>
      <c r="K51" s="88"/>
      <c r="L51" s="95">
        <f t="shared" si="0"/>
        <v>0</v>
      </c>
      <c r="M51" s="96" t="b">
        <f>IF((ISNUMBER(L51)),IF(AND(F51="Workdays",(SUMIFS(O:O,F:F,F51,I:I,I51,B:B,B51)&lt;=24)),IF(AND((L51*24)&gt;0,(L51*24)&lt;=8),(L51*24)*MD!$M$5,IF(AND((L51*24)&gt;8,(L51*24)&lt;=16),(MD!$N$5),IF((L51*24)&gt;16,MD!$N$5))),IF(AND(F51="Non_workdays",(SUMIFS(O:O,F:F,F51,I:I,I51,B:B,B51)&lt;=24)),IF(AND((L51*24)&gt;0,(L51*24)&lt;=8),(L51*24)*MD!$M$6,IF(AND((L51*24)&gt;8,(L51*24)&lt;=16),(MD!$N$6),IF((L51*24)&gt;16,MD!$N$6))),IF(AND(F51="Call_out",(SUMIFS(O:O,F:F,F51,I:I,I51,B:B,B51)&lt;=24)),IF(AND((L51*24)&gt;0,(L51*24)&lt;=8),(L51*24)*MD!$P$4,IF(AND((L51*24)&gt;8,(L51*24)&lt;=16),(MD!$Q$4),IF((L51*24)&gt;16,MD!$Q$4)))))))</f>
        <v>0</v>
      </c>
      <c r="N51" s="62"/>
      <c r="O51" s="72">
        <f t="shared" si="1"/>
        <v>0</v>
      </c>
    </row>
    <row r="52" spans="1:15" x14ac:dyDescent="0.25">
      <c r="A52" s="62">
        <v>51</v>
      </c>
      <c r="B52" s="62"/>
      <c r="C52" s="68" t="str">
        <f>IF(ISNA(VLOOKUP($B52,CPY!$B:$G,2,FALSE))=TRUE," ",VLOOKUP($B52,CPY!$B:$G,2,FALSE))</f>
        <v> </v>
      </c>
      <c r="D52" s="50" t="str">
        <f>IF(ISNA(VLOOKUP($B52,CPY!$B:$G,3,FALSE))=TRUE," ",VLOOKUP($B52,CPY!$B:$G,3,FALSE))</f>
        <v> </v>
      </c>
      <c r="E52" s="65" t="str">
        <f>IF(ISNA(VLOOKUP($B52,CPY!$B:$G,4,FALSE))=TRUE," ",VLOOKUP($B52,CPY!$B:$G,4,FALSE))</f>
        <v> </v>
      </c>
      <c r="F52" s="62"/>
      <c r="G52" s="86"/>
      <c r="H52" s="86"/>
      <c r="I52" s="87"/>
      <c r="J52" s="88"/>
      <c r="K52" s="88"/>
      <c r="L52" s="95">
        <f t="shared" si="0"/>
        <v>0</v>
      </c>
      <c r="M52" s="96" t="b">
        <f>IF((ISNUMBER(L52)),IF(AND(F52="Workdays",(SUMIFS(O:O,F:F,F52,I:I,I52,B:B,B52)&lt;=24)),IF(AND((L52*24)&gt;0,(L52*24)&lt;=8),(L52*24)*MD!$M$5,IF(AND((L52*24)&gt;8,(L52*24)&lt;=16),(MD!$N$5),IF((L52*24)&gt;16,MD!$N$5))),IF(AND(F52="Non_workdays",(SUMIFS(O:O,F:F,F52,I:I,I52,B:B,B52)&lt;=24)),IF(AND((L52*24)&gt;0,(L52*24)&lt;=8),(L52*24)*MD!$M$6,IF(AND((L52*24)&gt;8,(L52*24)&lt;=16),(MD!$N$6),IF((L52*24)&gt;16,MD!$N$6))),IF(AND(F52="Call_out",(SUMIFS(O:O,F:F,F52,I:I,I52,B:B,B52)&lt;=24)),IF(AND((L52*24)&gt;0,(L52*24)&lt;=8),(L52*24)*MD!$P$4,IF(AND((L52*24)&gt;8,(L52*24)&lt;=16),(MD!$Q$4),IF((L52*24)&gt;16,MD!$Q$4)))))))</f>
        <v>0</v>
      </c>
      <c r="N52" s="62"/>
      <c r="O52" s="72">
        <f t="shared" si="1"/>
        <v>0</v>
      </c>
    </row>
    <row r="53" spans="1:15" x14ac:dyDescent="0.25">
      <c r="A53" s="62">
        <v>52</v>
      </c>
      <c r="B53" s="62"/>
      <c r="C53" s="68" t="str">
        <f>IF(ISNA(VLOOKUP($B53,CPY!$B:$G,2,FALSE))=TRUE," ",VLOOKUP($B53,CPY!$B:$G,2,FALSE))</f>
        <v> </v>
      </c>
      <c r="D53" s="50" t="str">
        <f>IF(ISNA(VLOOKUP($B53,CPY!$B:$G,3,FALSE))=TRUE," ",VLOOKUP($B53,CPY!$B:$G,3,FALSE))</f>
        <v> </v>
      </c>
      <c r="E53" s="65" t="str">
        <f>IF(ISNA(VLOOKUP($B53,CPY!$B:$G,4,FALSE))=TRUE," ",VLOOKUP($B53,CPY!$B:$G,4,FALSE))</f>
        <v> </v>
      </c>
      <c r="F53" s="62"/>
      <c r="G53" s="86"/>
      <c r="H53" s="86"/>
      <c r="I53" s="87"/>
      <c r="J53" s="88"/>
      <c r="K53" s="88"/>
      <c r="L53" s="95">
        <f t="shared" si="0"/>
        <v>0</v>
      </c>
      <c r="M53" s="96" t="b">
        <f>IF((ISNUMBER(L53)),IF(AND(F53="Workdays",(SUMIFS(O:O,F:F,F53,I:I,I53,B:B,B53)&lt;=24)),IF(AND((L53*24)&gt;0,(L53*24)&lt;=8),(L53*24)*MD!$M$5,IF(AND((L53*24)&gt;8,(L53*24)&lt;=16),(MD!$N$5),IF((L53*24)&gt;16,MD!$N$5))),IF(AND(F53="Non_workdays",(SUMIFS(O:O,F:F,F53,I:I,I53,B:B,B53)&lt;=24)),IF(AND((L53*24)&gt;0,(L53*24)&lt;=8),(L53*24)*MD!$M$6,IF(AND((L53*24)&gt;8,(L53*24)&lt;=16),(MD!$N$6),IF((L53*24)&gt;16,MD!$N$6))),IF(AND(F53="Call_out",(SUMIFS(O:O,F:F,F53,I:I,I53,B:B,B53)&lt;=24)),IF(AND((L53*24)&gt;0,(L53*24)&lt;=8),(L53*24)*MD!$P$4,IF(AND((L53*24)&gt;8,(L53*24)&lt;=16),(MD!$Q$4),IF((L53*24)&gt;16,MD!$Q$4)))))))</f>
        <v>0</v>
      </c>
      <c r="N53" s="62"/>
      <c r="O53" s="72">
        <f t="shared" si="1"/>
        <v>0</v>
      </c>
    </row>
    <row r="54" spans="1:15" x14ac:dyDescent="0.25">
      <c r="A54" s="62">
        <v>53</v>
      </c>
      <c r="B54" s="62"/>
      <c r="C54" s="68" t="str">
        <f>IF(ISNA(VLOOKUP($B54,CPY!$B:$G,2,FALSE))=TRUE," ",VLOOKUP($B54,CPY!$B:$G,2,FALSE))</f>
        <v> </v>
      </c>
      <c r="D54" s="50" t="str">
        <f>IF(ISNA(VLOOKUP($B54,CPY!$B:$G,3,FALSE))=TRUE," ",VLOOKUP($B54,CPY!$B:$G,3,FALSE))</f>
        <v> </v>
      </c>
      <c r="E54" s="65" t="str">
        <f>IF(ISNA(VLOOKUP($B54,CPY!$B:$G,4,FALSE))=TRUE," ",VLOOKUP($B54,CPY!$B:$G,4,FALSE))</f>
        <v> </v>
      </c>
      <c r="F54" s="62"/>
      <c r="G54" s="86"/>
      <c r="H54" s="86"/>
      <c r="I54" s="87"/>
      <c r="J54" s="88"/>
      <c r="K54" s="88"/>
      <c r="L54" s="95">
        <f t="shared" si="0"/>
        <v>0</v>
      </c>
      <c r="M54" s="96" t="b">
        <f>IF((ISNUMBER(L54)),IF(AND(F54="Workdays",(SUMIFS(O:O,F:F,F54,I:I,I54,B:B,B54)&lt;=24)),IF(AND((L54*24)&gt;0,(L54*24)&lt;=8),(L54*24)*MD!$M$5,IF(AND((L54*24)&gt;8,(L54*24)&lt;=16),(MD!$N$5),IF((L54*24)&gt;16,MD!$N$5))),IF(AND(F54="Non_workdays",(SUMIFS(O:O,F:F,F54,I:I,I54,B:B,B54)&lt;=24)),IF(AND((L54*24)&gt;0,(L54*24)&lt;=8),(L54*24)*MD!$M$6,IF(AND((L54*24)&gt;8,(L54*24)&lt;=16),(MD!$N$6),IF((L54*24)&gt;16,MD!$N$6))),IF(AND(F54="Call_out",(SUMIFS(O:O,F:F,F54,I:I,I54,B:B,B54)&lt;=24)),IF(AND((L54*24)&gt;0,(L54*24)&lt;=8),(L54*24)*MD!$P$4,IF(AND((L54*24)&gt;8,(L54*24)&lt;=16),(MD!$Q$4),IF((L54*24)&gt;16,MD!$Q$4)))))))</f>
        <v>0</v>
      </c>
      <c r="N54" s="62"/>
      <c r="O54" s="72">
        <f t="shared" si="1"/>
        <v>0</v>
      </c>
    </row>
    <row r="55" spans="1:15" x14ac:dyDescent="0.25">
      <c r="A55" s="62">
        <v>54</v>
      </c>
      <c r="B55" s="62"/>
      <c r="C55" s="68" t="str">
        <f>IF(ISNA(VLOOKUP($B55,CPY!$B:$G,2,FALSE))=TRUE," ",VLOOKUP($B55,CPY!$B:$G,2,FALSE))</f>
        <v> </v>
      </c>
      <c r="D55" s="50" t="str">
        <f>IF(ISNA(VLOOKUP($B55,CPY!$B:$G,3,FALSE))=TRUE," ",VLOOKUP($B55,CPY!$B:$G,3,FALSE))</f>
        <v> </v>
      </c>
      <c r="E55" s="65" t="str">
        <f>IF(ISNA(VLOOKUP($B55,CPY!$B:$G,4,FALSE))=TRUE," ",VLOOKUP($B55,CPY!$B:$G,4,FALSE))</f>
        <v> </v>
      </c>
      <c r="F55" s="62"/>
      <c r="G55" s="86"/>
      <c r="H55" s="86"/>
      <c r="I55" s="87"/>
      <c r="J55" s="88"/>
      <c r="K55" s="88"/>
      <c r="L55" s="95">
        <f t="shared" si="0"/>
        <v>0</v>
      </c>
      <c r="M55" s="96" t="b">
        <f>IF((ISNUMBER(L55)),IF(AND(F55="Workdays",(SUMIFS(O:O,F:F,F55,I:I,I55,B:B,B55)&lt;=24)),IF(AND((L55*24)&gt;0,(L55*24)&lt;=8),(L55*24)*MD!$M$5,IF(AND((L55*24)&gt;8,(L55*24)&lt;=16),(MD!$N$5),IF((L55*24)&gt;16,MD!$N$5))),IF(AND(F55="Non_workdays",(SUMIFS(O:O,F:F,F55,I:I,I55,B:B,B55)&lt;=24)),IF(AND((L55*24)&gt;0,(L55*24)&lt;=8),(L55*24)*MD!$M$6,IF(AND((L55*24)&gt;8,(L55*24)&lt;=16),(MD!$N$6),IF((L55*24)&gt;16,MD!$N$6))),IF(AND(F55="Call_out",(SUMIFS(O:O,F:F,F55,I:I,I55,B:B,B55)&lt;=24)),IF(AND((L55*24)&gt;0,(L55*24)&lt;=8),(L55*24)*MD!$P$4,IF(AND((L55*24)&gt;8,(L55*24)&lt;=16),(MD!$Q$4),IF((L55*24)&gt;16,MD!$Q$4)))))))</f>
        <v>0</v>
      </c>
      <c r="N55" s="62"/>
      <c r="O55" s="72">
        <f t="shared" si="1"/>
        <v>0</v>
      </c>
    </row>
    <row r="56" spans="1:15" x14ac:dyDescent="0.25">
      <c r="A56" s="62">
        <v>55</v>
      </c>
      <c r="B56" s="62"/>
      <c r="C56" s="68" t="str">
        <f>IF(ISNA(VLOOKUP($B56,CPY!$B:$G,2,FALSE))=TRUE," ",VLOOKUP($B56,CPY!$B:$G,2,FALSE))</f>
        <v> </v>
      </c>
      <c r="D56" s="50" t="str">
        <f>IF(ISNA(VLOOKUP($B56,CPY!$B:$G,3,FALSE))=TRUE," ",VLOOKUP($B56,CPY!$B:$G,3,FALSE))</f>
        <v> </v>
      </c>
      <c r="E56" s="65" t="str">
        <f>IF(ISNA(VLOOKUP($B56,CPY!$B:$G,4,FALSE))=TRUE," ",VLOOKUP($B56,CPY!$B:$G,4,FALSE))</f>
        <v> </v>
      </c>
      <c r="F56" s="62"/>
      <c r="G56" s="86"/>
      <c r="H56" s="86"/>
      <c r="I56" s="87"/>
      <c r="J56" s="88"/>
      <c r="K56" s="88"/>
      <c r="L56" s="95">
        <f t="shared" si="0"/>
        <v>0</v>
      </c>
      <c r="M56" s="96" t="b">
        <f>IF((ISNUMBER(L56)),IF(AND(F56="Workdays",(SUMIFS(O:O,F:F,F56,I:I,I56,B:B,B56)&lt;=24)),IF(AND((L56*24)&gt;0,(L56*24)&lt;=8),(L56*24)*MD!$M$5,IF(AND((L56*24)&gt;8,(L56*24)&lt;=16),(MD!$N$5),IF((L56*24)&gt;16,MD!$N$5))),IF(AND(F56="Non_workdays",(SUMIFS(O:O,F:F,F56,I:I,I56,B:B,B56)&lt;=24)),IF(AND((L56*24)&gt;0,(L56*24)&lt;=8),(L56*24)*MD!$M$6,IF(AND((L56*24)&gt;8,(L56*24)&lt;=16),(MD!$N$6),IF((L56*24)&gt;16,MD!$N$6))),IF(AND(F56="Call_out",(SUMIFS(O:O,F:F,F56,I:I,I56,B:B,B56)&lt;=24)),IF(AND((L56*24)&gt;0,(L56*24)&lt;=8),(L56*24)*MD!$P$4,IF(AND((L56*24)&gt;8,(L56*24)&lt;=16),(MD!$Q$4),IF((L56*24)&gt;16,MD!$Q$4)))))))</f>
        <v>0</v>
      </c>
      <c r="N56" s="62"/>
      <c r="O56" s="72">
        <f t="shared" si="1"/>
        <v>0</v>
      </c>
    </row>
    <row r="57" spans="1:15" x14ac:dyDescent="0.25">
      <c r="A57" s="62">
        <v>56</v>
      </c>
      <c r="B57" s="62"/>
      <c r="C57" s="68" t="str">
        <f>IF(ISNA(VLOOKUP($B57,CPY!$B:$G,2,FALSE))=TRUE," ",VLOOKUP($B57,CPY!$B:$G,2,FALSE))</f>
        <v> </v>
      </c>
      <c r="D57" s="50" t="str">
        <f>IF(ISNA(VLOOKUP($B57,CPY!$B:$G,3,FALSE))=TRUE," ",VLOOKUP($B57,CPY!$B:$G,3,FALSE))</f>
        <v> </v>
      </c>
      <c r="E57" s="65" t="str">
        <f>IF(ISNA(VLOOKUP($B57,CPY!$B:$G,4,FALSE))=TRUE," ",VLOOKUP($B57,CPY!$B:$G,4,FALSE))</f>
        <v> </v>
      </c>
      <c r="F57" s="62"/>
      <c r="G57" s="86"/>
      <c r="H57" s="86"/>
      <c r="I57" s="87"/>
      <c r="J57" s="88"/>
      <c r="K57" s="88"/>
      <c r="L57" s="95">
        <f t="shared" si="0"/>
        <v>0</v>
      </c>
      <c r="M57" s="96" t="b">
        <f>IF((ISNUMBER(L57)),IF(AND(F57="Workdays",(SUMIFS(O:O,F:F,F57,I:I,I57,B:B,B57)&lt;=24)),IF(AND((L57*24)&gt;0,(L57*24)&lt;=8),(L57*24)*MD!$M$5,IF(AND((L57*24)&gt;8,(L57*24)&lt;=16),(MD!$N$5),IF((L57*24)&gt;16,MD!$N$5))),IF(AND(F57="Non_workdays",(SUMIFS(O:O,F:F,F57,I:I,I57,B:B,B57)&lt;=24)),IF(AND((L57*24)&gt;0,(L57*24)&lt;=8),(L57*24)*MD!$M$6,IF(AND((L57*24)&gt;8,(L57*24)&lt;=16),(MD!$N$6),IF((L57*24)&gt;16,MD!$N$6))),IF(AND(F57="Call_out",(SUMIFS(O:O,F:F,F57,I:I,I57,B:B,B57)&lt;=24)),IF(AND((L57*24)&gt;0,(L57*24)&lt;=8),(L57*24)*MD!$P$4,IF(AND((L57*24)&gt;8,(L57*24)&lt;=16),(MD!$Q$4),IF((L57*24)&gt;16,MD!$Q$4)))))))</f>
        <v>0</v>
      </c>
      <c r="N57" s="62"/>
      <c r="O57" s="72">
        <f t="shared" si="1"/>
        <v>0</v>
      </c>
    </row>
    <row r="58" spans="1:15" x14ac:dyDescent="0.25">
      <c r="A58" s="62">
        <v>57</v>
      </c>
      <c r="B58" s="62"/>
      <c r="C58" s="68" t="str">
        <f>IF(ISNA(VLOOKUP($B58,CPY!$B:$G,2,FALSE))=TRUE," ",VLOOKUP($B58,CPY!$B:$G,2,FALSE))</f>
        <v> </v>
      </c>
      <c r="D58" s="50" t="str">
        <f>IF(ISNA(VLOOKUP($B58,CPY!$B:$G,3,FALSE))=TRUE," ",VLOOKUP($B58,CPY!$B:$G,3,FALSE))</f>
        <v> </v>
      </c>
      <c r="E58" s="65" t="str">
        <f>IF(ISNA(VLOOKUP($B58,CPY!$B:$G,4,FALSE))=TRUE," ",VLOOKUP($B58,CPY!$B:$G,4,FALSE))</f>
        <v> </v>
      </c>
      <c r="F58" s="62"/>
      <c r="G58" s="86"/>
      <c r="H58" s="86"/>
      <c r="I58" s="87"/>
      <c r="J58" s="88"/>
      <c r="K58" s="88"/>
      <c r="L58" s="95">
        <f t="shared" si="0"/>
        <v>0</v>
      </c>
      <c r="M58" s="96" t="b">
        <f>IF((ISNUMBER(L58)),IF(AND(F58="Workdays",(SUMIFS(O:O,F:F,F58,I:I,I58,B:B,B58)&lt;=24)),IF(AND((L58*24)&gt;0,(L58*24)&lt;=8),(L58*24)*MD!$M$5,IF(AND((L58*24)&gt;8,(L58*24)&lt;=16),(MD!$N$5),IF((L58*24)&gt;16,MD!$N$5))),IF(AND(F58="Non_workdays",(SUMIFS(O:O,F:F,F58,I:I,I58,B:B,B58)&lt;=24)),IF(AND((L58*24)&gt;0,(L58*24)&lt;=8),(L58*24)*MD!$M$6,IF(AND((L58*24)&gt;8,(L58*24)&lt;=16),(MD!$N$6),IF((L58*24)&gt;16,MD!$N$6))),IF(AND(F58="Call_out",(SUMIFS(O:O,F:F,F58,I:I,I58,B:B,B58)&lt;=24)),IF(AND((L58*24)&gt;0,(L58*24)&lt;=8),(L58*24)*MD!$P$4,IF(AND((L58*24)&gt;8,(L58*24)&lt;=16),(MD!$Q$4),IF((L58*24)&gt;16,MD!$Q$4)))))))</f>
        <v>0</v>
      </c>
      <c r="N58" s="62"/>
      <c r="O58" s="72">
        <f t="shared" si="1"/>
        <v>0</v>
      </c>
    </row>
    <row r="59" spans="1:15" x14ac:dyDescent="0.25">
      <c r="A59" s="62">
        <v>58</v>
      </c>
      <c r="B59" s="62"/>
      <c r="C59" s="68" t="str">
        <f>IF(ISNA(VLOOKUP($B59,CPY!$B:$G,2,FALSE))=TRUE," ",VLOOKUP($B59,CPY!$B:$G,2,FALSE))</f>
        <v> </v>
      </c>
      <c r="D59" s="50" t="str">
        <f>IF(ISNA(VLOOKUP($B59,CPY!$B:$G,3,FALSE))=TRUE," ",VLOOKUP($B59,CPY!$B:$G,3,FALSE))</f>
        <v> </v>
      </c>
      <c r="E59" s="65" t="str">
        <f>IF(ISNA(VLOOKUP($B59,CPY!$B:$G,4,FALSE))=TRUE," ",VLOOKUP($B59,CPY!$B:$G,4,FALSE))</f>
        <v> </v>
      </c>
      <c r="F59" s="62"/>
      <c r="G59" s="86"/>
      <c r="H59" s="86"/>
      <c r="I59" s="87"/>
      <c r="J59" s="88"/>
      <c r="K59" s="88"/>
      <c r="L59" s="95">
        <f t="shared" si="0"/>
        <v>0</v>
      </c>
      <c r="M59" s="96" t="b">
        <f>IF((ISNUMBER(L59)),IF(AND(F59="Workdays",(SUMIFS(O:O,F:F,F59,I:I,I59,B:B,B59)&lt;=24)),IF(AND((L59*24)&gt;0,(L59*24)&lt;=8),(L59*24)*MD!$M$5,IF(AND((L59*24)&gt;8,(L59*24)&lt;=16),(MD!$N$5),IF((L59*24)&gt;16,MD!$N$5))),IF(AND(F59="Non_workdays",(SUMIFS(O:O,F:F,F59,I:I,I59,B:B,B59)&lt;=24)),IF(AND((L59*24)&gt;0,(L59*24)&lt;=8),(L59*24)*MD!$M$6,IF(AND((L59*24)&gt;8,(L59*24)&lt;=16),(MD!$N$6),IF((L59*24)&gt;16,MD!$N$6))),IF(AND(F59="Call_out",(SUMIFS(O:O,F:F,F59,I:I,I59,B:B,B59)&lt;=24)),IF(AND((L59*24)&gt;0,(L59*24)&lt;=8),(L59*24)*MD!$P$4,IF(AND((L59*24)&gt;8,(L59*24)&lt;=16),(MD!$Q$4),IF((L59*24)&gt;16,MD!$Q$4)))))))</f>
        <v>0</v>
      </c>
      <c r="N59" s="62"/>
      <c r="O59" s="72">
        <f t="shared" si="1"/>
        <v>0</v>
      </c>
    </row>
    <row r="60" spans="1:15" x14ac:dyDescent="0.25">
      <c r="A60" s="62">
        <v>59</v>
      </c>
      <c r="B60" s="62"/>
      <c r="C60" s="68" t="str">
        <f>IF(ISNA(VLOOKUP($B60,CPY!$B:$G,2,FALSE))=TRUE," ",VLOOKUP($B60,CPY!$B:$G,2,FALSE))</f>
        <v> </v>
      </c>
      <c r="D60" s="50" t="str">
        <f>IF(ISNA(VLOOKUP($B60,CPY!$B:$G,3,FALSE))=TRUE," ",VLOOKUP($B60,CPY!$B:$G,3,FALSE))</f>
        <v> </v>
      </c>
      <c r="E60" s="65" t="str">
        <f>IF(ISNA(VLOOKUP($B60,CPY!$B:$G,4,FALSE))=TRUE," ",VLOOKUP($B60,CPY!$B:$G,4,FALSE))</f>
        <v> </v>
      </c>
      <c r="F60" s="62"/>
      <c r="G60" s="86"/>
      <c r="H60" s="86"/>
      <c r="I60" s="87"/>
      <c r="J60" s="88"/>
      <c r="K60" s="88"/>
      <c r="L60" s="95">
        <f t="shared" si="0"/>
        <v>0</v>
      </c>
      <c r="M60" s="96" t="b">
        <f>IF((ISNUMBER(L60)),IF(AND(F60="Workdays",(SUMIFS(O:O,F:F,F60,I:I,I60,B:B,B60)&lt;=24)),IF(AND((L60*24)&gt;0,(L60*24)&lt;=8),(L60*24)*MD!$M$5,IF(AND((L60*24)&gt;8,(L60*24)&lt;=16),(MD!$N$5),IF((L60*24)&gt;16,MD!$N$5))),IF(AND(F60="Non_workdays",(SUMIFS(O:O,F:F,F60,I:I,I60,B:B,B60)&lt;=24)),IF(AND((L60*24)&gt;0,(L60*24)&lt;=8),(L60*24)*MD!$M$6,IF(AND((L60*24)&gt;8,(L60*24)&lt;=16),(MD!$N$6),IF((L60*24)&gt;16,MD!$N$6))),IF(AND(F60="Call_out",(SUMIFS(O:O,F:F,F60,I:I,I60,B:B,B60)&lt;=24)),IF(AND((L60*24)&gt;0,(L60*24)&lt;=8),(L60*24)*MD!$P$4,IF(AND((L60*24)&gt;8,(L60*24)&lt;=16),(MD!$Q$4),IF((L60*24)&gt;16,MD!$Q$4)))))))</f>
        <v>0</v>
      </c>
      <c r="N60" s="62"/>
      <c r="O60" s="72">
        <f t="shared" si="1"/>
        <v>0</v>
      </c>
    </row>
    <row r="61" spans="1:15" x14ac:dyDescent="0.25">
      <c r="A61" s="62">
        <v>60</v>
      </c>
      <c r="B61" s="62"/>
      <c r="C61" s="68" t="str">
        <f>IF(ISNA(VLOOKUP($B61,CPY!$B:$G,2,FALSE))=TRUE," ",VLOOKUP($B61,CPY!$B:$G,2,FALSE))</f>
        <v> </v>
      </c>
      <c r="D61" s="50" t="str">
        <f>IF(ISNA(VLOOKUP($B61,CPY!$B:$G,3,FALSE))=TRUE," ",VLOOKUP($B61,CPY!$B:$G,3,FALSE))</f>
        <v> </v>
      </c>
      <c r="E61" s="65" t="str">
        <f>IF(ISNA(VLOOKUP($B61,CPY!$B:$G,4,FALSE))=TRUE," ",VLOOKUP($B61,CPY!$B:$G,4,FALSE))</f>
        <v> </v>
      </c>
      <c r="F61" s="62"/>
      <c r="G61" s="86"/>
      <c r="H61" s="86"/>
      <c r="I61" s="87"/>
      <c r="J61" s="88"/>
      <c r="K61" s="88"/>
      <c r="L61" s="95">
        <f t="shared" si="0"/>
        <v>0</v>
      </c>
      <c r="M61" s="96" t="b">
        <f>IF((ISNUMBER(L61)),IF(AND(F61="Workdays",(SUMIFS(O:O,F:F,F61,I:I,I61,B:B,B61)&lt;=24)),IF(AND((L61*24)&gt;0,(L61*24)&lt;=8),(L61*24)*MD!$M$5,IF(AND((L61*24)&gt;8,(L61*24)&lt;=16),(MD!$N$5),IF((L61*24)&gt;16,MD!$N$5))),IF(AND(F61="Non_workdays",(SUMIFS(O:O,F:F,F61,I:I,I61,B:B,B61)&lt;=24)),IF(AND((L61*24)&gt;0,(L61*24)&lt;=8),(L61*24)*MD!$M$6,IF(AND((L61*24)&gt;8,(L61*24)&lt;=16),(MD!$N$6),IF((L61*24)&gt;16,MD!$N$6))),IF(AND(F61="Call_out",(SUMIFS(O:O,F:F,F61,I:I,I61,B:B,B61)&lt;=24)),IF(AND((L61*24)&gt;0,(L61*24)&lt;=8),(L61*24)*MD!$P$4,IF(AND((L61*24)&gt;8,(L61*24)&lt;=16),(MD!$Q$4),IF((L61*24)&gt;16,MD!$Q$4)))))))</f>
        <v>0</v>
      </c>
      <c r="N61" s="62"/>
      <c r="O61" s="72">
        <f t="shared" si="1"/>
        <v>0</v>
      </c>
    </row>
    <row r="62" spans="1:15" x14ac:dyDescent="0.25">
      <c r="A62" s="62">
        <v>61</v>
      </c>
      <c r="B62" s="62"/>
      <c r="C62" s="68" t="str">
        <f>IF(ISNA(VLOOKUP($B62,CPY!$B:$G,2,FALSE))=TRUE," ",VLOOKUP($B62,CPY!$B:$G,2,FALSE))</f>
        <v> </v>
      </c>
      <c r="D62" s="50" t="str">
        <f>IF(ISNA(VLOOKUP($B62,CPY!$B:$G,3,FALSE))=TRUE," ",VLOOKUP($B62,CPY!$B:$G,3,FALSE))</f>
        <v> </v>
      </c>
      <c r="E62" s="65" t="str">
        <f>IF(ISNA(VLOOKUP($B62,CPY!$B:$G,4,FALSE))=TRUE," ",VLOOKUP($B62,CPY!$B:$G,4,FALSE))</f>
        <v> </v>
      </c>
      <c r="F62" s="62"/>
      <c r="G62" s="86"/>
      <c r="H62" s="86"/>
      <c r="I62" s="87"/>
      <c r="J62" s="88"/>
      <c r="K62" s="88"/>
      <c r="L62" s="95">
        <f t="shared" si="0"/>
        <v>0</v>
      </c>
      <c r="M62" s="96" t="b">
        <f>IF((ISNUMBER(L62)),IF(AND(F62="Workdays",(SUMIFS(O:O,F:F,F62,I:I,I62,B:B,B62)&lt;=24)),IF(AND((L62*24)&gt;0,(L62*24)&lt;=8),(L62*24)*MD!$M$5,IF(AND((L62*24)&gt;8,(L62*24)&lt;=16),(MD!$N$5),IF((L62*24)&gt;16,MD!$N$5))),IF(AND(F62="Non_workdays",(SUMIFS(O:O,F:F,F62,I:I,I62,B:B,B62)&lt;=24)),IF(AND((L62*24)&gt;0,(L62*24)&lt;=8),(L62*24)*MD!$M$6,IF(AND((L62*24)&gt;8,(L62*24)&lt;=16),(MD!$N$6),IF((L62*24)&gt;16,MD!$N$6))),IF(AND(F62="Call_out",(SUMIFS(O:O,F:F,F62,I:I,I62,B:B,B62)&lt;=24)),IF(AND((L62*24)&gt;0,(L62*24)&lt;=8),(L62*24)*MD!$P$4,IF(AND((L62*24)&gt;8,(L62*24)&lt;=16),(MD!$Q$4),IF((L62*24)&gt;16,MD!$Q$4)))))))</f>
        <v>0</v>
      </c>
      <c r="N62" s="62"/>
      <c r="O62" s="72">
        <f t="shared" si="1"/>
        <v>0</v>
      </c>
    </row>
    <row r="63" spans="1:15" x14ac:dyDescent="0.25">
      <c r="A63" s="62">
        <v>62</v>
      </c>
      <c r="B63" s="62"/>
      <c r="C63" s="68" t="str">
        <f>IF(ISNA(VLOOKUP($B63,CPY!$B:$G,2,FALSE))=TRUE," ",VLOOKUP($B63,CPY!$B:$G,2,FALSE))</f>
        <v> </v>
      </c>
      <c r="D63" s="50" t="str">
        <f>IF(ISNA(VLOOKUP($B63,CPY!$B:$G,3,FALSE))=TRUE," ",VLOOKUP($B63,CPY!$B:$G,3,FALSE))</f>
        <v> </v>
      </c>
      <c r="E63" s="65" t="str">
        <f>IF(ISNA(VLOOKUP($B63,CPY!$B:$G,4,FALSE))=TRUE," ",VLOOKUP($B63,CPY!$B:$G,4,FALSE))</f>
        <v> </v>
      </c>
      <c r="F63" s="62"/>
      <c r="G63" s="86"/>
      <c r="H63" s="86"/>
      <c r="I63" s="87"/>
      <c r="J63" s="88"/>
      <c r="K63" s="88"/>
      <c r="L63" s="95">
        <f t="shared" si="0"/>
        <v>0</v>
      </c>
      <c r="M63" s="96" t="b">
        <f>IF((ISNUMBER(L63)),IF(AND(F63="Workdays",(SUMIFS(O:O,F:F,F63,I:I,I63,B:B,B63)&lt;=24)),IF(AND((L63*24)&gt;0,(L63*24)&lt;=8),(L63*24)*MD!$M$5,IF(AND((L63*24)&gt;8,(L63*24)&lt;=16),(MD!$N$5),IF((L63*24)&gt;16,MD!$N$5))),IF(AND(F63="Non_workdays",(SUMIFS(O:O,F:F,F63,I:I,I63,B:B,B63)&lt;=24)),IF(AND((L63*24)&gt;0,(L63*24)&lt;=8),(L63*24)*MD!$M$6,IF(AND((L63*24)&gt;8,(L63*24)&lt;=16),(MD!$N$6),IF((L63*24)&gt;16,MD!$N$6))),IF(AND(F63="Call_out",(SUMIFS(O:O,F:F,F63,I:I,I63,B:B,B63)&lt;=24)),IF(AND((L63*24)&gt;0,(L63*24)&lt;=8),(L63*24)*MD!$P$4,IF(AND((L63*24)&gt;8,(L63*24)&lt;=16),(MD!$Q$4),IF((L63*24)&gt;16,MD!$Q$4)))))))</f>
        <v>0</v>
      </c>
      <c r="N63" s="62"/>
      <c r="O63" s="72">
        <f t="shared" si="1"/>
        <v>0</v>
      </c>
    </row>
    <row r="64" spans="1:15" x14ac:dyDescent="0.25">
      <c r="A64" s="62">
        <v>63</v>
      </c>
      <c r="B64" s="62"/>
      <c r="C64" s="68" t="str">
        <f>IF(ISNA(VLOOKUP($B64,CPY!$B:$G,2,FALSE))=TRUE," ",VLOOKUP($B64,CPY!$B:$G,2,FALSE))</f>
        <v> </v>
      </c>
      <c r="D64" s="50" t="str">
        <f>IF(ISNA(VLOOKUP($B64,CPY!$B:$G,3,FALSE))=TRUE," ",VLOOKUP($B64,CPY!$B:$G,3,FALSE))</f>
        <v> </v>
      </c>
      <c r="E64" s="65" t="str">
        <f>IF(ISNA(VLOOKUP($B64,CPY!$B:$G,4,FALSE))=TRUE," ",VLOOKUP($B64,CPY!$B:$G,4,FALSE))</f>
        <v> </v>
      </c>
      <c r="F64" s="62"/>
      <c r="G64" s="86"/>
      <c r="H64" s="86"/>
      <c r="I64" s="87"/>
      <c r="J64" s="88"/>
      <c r="K64" s="88"/>
      <c r="L64" s="95">
        <f t="shared" si="0"/>
        <v>0</v>
      </c>
      <c r="M64" s="96" t="b">
        <f>IF((ISNUMBER(L64)),IF(AND(F64="Workdays",(SUMIFS(O:O,F:F,F64,I:I,I64,B:B,B64)&lt;=24)),IF(AND((L64*24)&gt;0,(L64*24)&lt;=8),(L64*24)*MD!$M$5,IF(AND((L64*24)&gt;8,(L64*24)&lt;=16),(MD!$N$5),IF((L64*24)&gt;16,MD!$N$5))),IF(AND(F64="Non_workdays",(SUMIFS(O:O,F:F,F64,I:I,I64,B:B,B64)&lt;=24)),IF(AND((L64*24)&gt;0,(L64*24)&lt;=8),(L64*24)*MD!$M$6,IF(AND((L64*24)&gt;8,(L64*24)&lt;=16),(MD!$N$6),IF((L64*24)&gt;16,MD!$N$6))),IF(AND(F64="Call_out",(SUMIFS(O:O,F:F,F64,I:I,I64,B:B,B64)&lt;=24)),IF(AND((L64*24)&gt;0,(L64*24)&lt;=8),(L64*24)*MD!$P$4,IF(AND((L64*24)&gt;8,(L64*24)&lt;=16),(MD!$Q$4),IF((L64*24)&gt;16,MD!$Q$4)))))))</f>
        <v>0</v>
      </c>
      <c r="N64" s="62"/>
      <c r="O64" s="72">
        <f t="shared" si="1"/>
        <v>0</v>
      </c>
    </row>
    <row r="65" spans="1:15" x14ac:dyDescent="0.25">
      <c r="A65" s="62">
        <v>64</v>
      </c>
      <c r="B65" s="62"/>
      <c r="C65" s="68" t="str">
        <f>IF(ISNA(VLOOKUP($B65,CPY!$B:$G,2,FALSE))=TRUE," ",VLOOKUP($B65,CPY!$B:$G,2,FALSE))</f>
        <v> </v>
      </c>
      <c r="D65" s="50" t="str">
        <f>IF(ISNA(VLOOKUP($B65,CPY!$B:$G,3,FALSE))=TRUE," ",VLOOKUP($B65,CPY!$B:$G,3,FALSE))</f>
        <v> </v>
      </c>
      <c r="E65" s="65" t="str">
        <f>IF(ISNA(VLOOKUP($B65,CPY!$B:$G,4,FALSE))=TRUE," ",VLOOKUP($B65,CPY!$B:$G,4,FALSE))</f>
        <v> </v>
      </c>
      <c r="F65" s="62"/>
      <c r="G65" s="86"/>
      <c r="H65" s="86"/>
      <c r="I65" s="87"/>
      <c r="J65" s="88"/>
      <c r="K65" s="88"/>
      <c r="L65" s="95">
        <f t="shared" si="0"/>
        <v>0</v>
      </c>
      <c r="M65" s="96" t="b">
        <f>IF((ISNUMBER(L65)),IF(AND(F65="Workdays",(SUMIFS(O:O,F:F,F65,I:I,I65,B:B,B65)&lt;=24)),IF(AND((L65*24)&gt;0,(L65*24)&lt;=8),(L65*24)*MD!$M$5,IF(AND((L65*24)&gt;8,(L65*24)&lt;=16),(MD!$N$5),IF((L65*24)&gt;16,MD!$N$5))),IF(AND(F65="Non_workdays",(SUMIFS(O:O,F:F,F65,I:I,I65,B:B,B65)&lt;=24)),IF(AND((L65*24)&gt;0,(L65*24)&lt;=8),(L65*24)*MD!$M$6,IF(AND((L65*24)&gt;8,(L65*24)&lt;=16),(MD!$N$6),IF((L65*24)&gt;16,MD!$N$6))),IF(AND(F65="Call_out",(SUMIFS(O:O,F:F,F65,I:I,I65,B:B,B65)&lt;=24)),IF(AND((L65*24)&gt;0,(L65*24)&lt;=8),(L65*24)*MD!$P$4,IF(AND((L65*24)&gt;8,(L65*24)&lt;=16),(MD!$Q$4),IF((L65*24)&gt;16,MD!$Q$4)))))))</f>
        <v>0</v>
      </c>
      <c r="N65" s="62"/>
      <c r="O65" s="72">
        <f t="shared" si="1"/>
        <v>0</v>
      </c>
    </row>
    <row r="66" spans="1:15" x14ac:dyDescent="0.25">
      <c r="A66" s="62">
        <v>65</v>
      </c>
      <c r="B66" s="62"/>
      <c r="C66" s="68" t="str">
        <f>IF(ISNA(VLOOKUP($B66,CPY!$B:$G,2,FALSE))=TRUE," ",VLOOKUP($B66,CPY!$B:$G,2,FALSE))</f>
        <v> </v>
      </c>
      <c r="D66" s="50" t="str">
        <f>IF(ISNA(VLOOKUP($B66,CPY!$B:$G,3,FALSE))=TRUE," ",VLOOKUP($B66,CPY!$B:$G,3,FALSE))</f>
        <v> </v>
      </c>
      <c r="E66" s="65" t="str">
        <f>IF(ISNA(VLOOKUP($B66,CPY!$B:$G,4,FALSE))=TRUE," ",VLOOKUP($B66,CPY!$B:$G,4,FALSE))</f>
        <v> </v>
      </c>
      <c r="F66" s="62"/>
      <c r="G66" s="86"/>
      <c r="H66" s="86"/>
      <c r="I66" s="87"/>
      <c r="J66" s="88"/>
      <c r="K66" s="88"/>
      <c r="L66" s="95">
        <f t="shared" si="0"/>
        <v>0</v>
      </c>
      <c r="M66" s="96" t="b">
        <f>IF((ISNUMBER(L66)),IF(AND(F66="Workdays",(SUMIFS(O:O,F:F,F66,I:I,I66,B:B,B66)&lt;=24)),IF(AND((L66*24)&gt;0,(L66*24)&lt;=8),(L66*24)*MD!$M$5,IF(AND((L66*24)&gt;8,(L66*24)&lt;=16),(MD!$N$5),IF((L66*24)&gt;16,MD!$N$5))),IF(AND(F66="Non_workdays",(SUMIFS(O:O,F:F,F66,I:I,I66,B:B,B66)&lt;=24)),IF(AND((L66*24)&gt;0,(L66*24)&lt;=8),(L66*24)*MD!$M$6,IF(AND((L66*24)&gt;8,(L66*24)&lt;=16),(MD!$N$6),IF((L66*24)&gt;16,MD!$N$6))),IF(AND(F66="Call_out",(SUMIFS(O:O,F:F,F66,I:I,I66,B:B,B66)&lt;=24)),IF(AND((L66*24)&gt;0,(L66*24)&lt;=8),(L66*24)*MD!$P$4,IF(AND((L66*24)&gt;8,(L66*24)&lt;=16),(MD!$Q$4),IF((L66*24)&gt;16,MD!$Q$4)))))))</f>
        <v>0</v>
      </c>
      <c r="N66" s="62"/>
      <c r="O66" s="72">
        <f t="shared" si="1"/>
        <v>0</v>
      </c>
    </row>
    <row r="67" spans="1:15" x14ac:dyDescent="0.25">
      <c r="A67" s="62">
        <v>66</v>
      </c>
      <c r="B67" s="62"/>
      <c r="C67" s="68" t="str">
        <f>IF(ISNA(VLOOKUP($B67,CPY!$B:$G,2,FALSE))=TRUE," ",VLOOKUP($B67,CPY!$B:$G,2,FALSE))</f>
        <v> </v>
      </c>
      <c r="D67" s="50" t="str">
        <f>IF(ISNA(VLOOKUP($B67,CPY!$B:$G,3,FALSE))=TRUE," ",VLOOKUP($B67,CPY!$B:$G,3,FALSE))</f>
        <v> </v>
      </c>
      <c r="E67" s="65" t="str">
        <f>IF(ISNA(VLOOKUP($B67,CPY!$B:$G,4,FALSE))=TRUE," ",VLOOKUP($B67,CPY!$B:$G,4,FALSE))</f>
        <v> </v>
      </c>
      <c r="F67" s="62"/>
      <c r="G67" s="86"/>
      <c r="H67" s="86"/>
      <c r="I67" s="87"/>
      <c r="J67" s="88"/>
      <c r="K67" s="88"/>
      <c r="L67" s="95">
        <f t="shared" ref="L67:L130" si="2">IF($F67="Workdays",IF(NOT(ISBLANK($K67)),(IF($K67&lt;$J67,$K67+1,$K67)-$J67)),IF(OR($F67="Non_workdays",$F67="Call_out"),IF(NOT(ISBLANK($K67)),(IF($K67&lt;$J67,$K67+1,$K67)-$J67)),IF(AND(NOT(ISBLANK($F67)),NOT(ISBLANK($I67))),"Correct the On call slab")))</f>
        <v>0</v>
      </c>
      <c r="M67" s="96" t="b">
        <f>IF((ISNUMBER(L67)),IF(AND(F67="Workdays",(SUMIFS(O:O,F:F,F67,I:I,I67,B:B,B67)&lt;=24)),IF(AND((L67*24)&gt;0,(L67*24)&lt;=8),(L67*24)*MD!$M$5,IF(AND((L67*24)&gt;8,(L67*24)&lt;=16),(MD!$N$5),IF((L67*24)&gt;16,MD!$N$5))),IF(AND(F67="Non_workdays",(SUMIFS(O:O,F:F,F67,I:I,I67,B:B,B67)&lt;=24)),IF(AND((L67*24)&gt;0,(L67*24)&lt;=8),(L67*24)*MD!$M$6,IF(AND((L67*24)&gt;8,(L67*24)&lt;=16),(MD!$N$6),IF((L67*24)&gt;16,MD!$N$6))),IF(AND(F67="Call_out",(SUMIFS(O:O,F:F,F67,I:I,I67,B:B,B67)&lt;=24)),IF(AND((L67*24)&gt;0,(L67*24)&lt;=8),(L67*24)*MD!$P$4,IF(AND((L67*24)&gt;8,(L67*24)&lt;=16),(MD!$Q$4),IF((L67*24)&gt;16,MD!$Q$4)))))))</f>
        <v>0</v>
      </c>
      <c r="N67" s="62"/>
      <c r="O67" s="72">
        <f t="shared" ref="O67:O130" si="3">L67*24</f>
        <v>0</v>
      </c>
    </row>
    <row r="68" spans="1:15" x14ac:dyDescent="0.25">
      <c r="A68" s="62">
        <v>67</v>
      </c>
      <c r="B68" s="62"/>
      <c r="C68" s="68" t="str">
        <f>IF(ISNA(VLOOKUP($B68,CPY!$B:$G,2,FALSE))=TRUE," ",VLOOKUP($B68,CPY!$B:$G,2,FALSE))</f>
        <v> </v>
      </c>
      <c r="D68" s="50" t="str">
        <f>IF(ISNA(VLOOKUP($B68,CPY!$B:$G,3,FALSE))=TRUE," ",VLOOKUP($B68,CPY!$B:$G,3,FALSE))</f>
        <v> </v>
      </c>
      <c r="E68" s="65" t="str">
        <f>IF(ISNA(VLOOKUP($B68,CPY!$B:$G,4,FALSE))=TRUE," ",VLOOKUP($B68,CPY!$B:$G,4,FALSE))</f>
        <v> </v>
      </c>
      <c r="F68" s="62"/>
      <c r="G68" s="86"/>
      <c r="H68" s="86"/>
      <c r="I68" s="87"/>
      <c r="J68" s="88"/>
      <c r="K68" s="88"/>
      <c r="L68" s="95">
        <f t="shared" si="2"/>
        <v>0</v>
      </c>
      <c r="M68" s="96" t="b">
        <f>IF((ISNUMBER(L68)),IF(AND(F68="Workdays",(SUMIFS(O:O,F:F,F68,I:I,I68,B:B,B68)&lt;=24)),IF(AND((L68*24)&gt;0,(L68*24)&lt;=8),(L68*24)*MD!$M$5,IF(AND((L68*24)&gt;8,(L68*24)&lt;=16),(MD!$N$5),IF((L68*24)&gt;16,MD!$N$5))),IF(AND(F68="Non_workdays",(SUMIFS(O:O,F:F,F68,I:I,I68,B:B,B68)&lt;=24)),IF(AND((L68*24)&gt;0,(L68*24)&lt;=8),(L68*24)*MD!$M$6,IF(AND((L68*24)&gt;8,(L68*24)&lt;=16),(MD!$N$6),IF((L68*24)&gt;16,MD!$N$6))),IF(AND(F68="Call_out",(SUMIFS(O:O,F:F,F68,I:I,I68,B:B,B68)&lt;=24)),IF(AND((L68*24)&gt;0,(L68*24)&lt;=8),(L68*24)*MD!$P$4,IF(AND((L68*24)&gt;8,(L68*24)&lt;=16),(MD!$Q$4),IF((L68*24)&gt;16,MD!$Q$4)))))))</f>
        <v>0</v>
      </c>
      <c r="N68" s="62"/>
      <c r="O68" s="72">
        <f t="shared" si="3"/>
        <v>0</v>
      </c>
    </row>
    <row r="69" spans="1:15" x14ac:dyDescent="0.25">
      <c r="A69" s="62">
        <v>68</v>
      </c>
      <c r="B69" s="62"/>
      <c r="C69" s="68" t="str">
        <f>IF(ISNA(VLOOKUP($B69,CPY!$B:$G,2,FALSE))=TRUE," ",VLOOKUP($B69,CPY!$B:$G,2,FALSE))</f>
        <v> </v>
      </c>
      <c r="D69" s="50" t="str">
        <f>IF(ISNA(VLOOKUP($B69,CPY!$B:$G,3,FALSE))=TRUE," ",VLOOKUP($B69,CPY!$B:$G,3,FALSE))</f>
        <v> </v>
      </c>
      <c r="E69" s="65" t="str">
        <f>IF(ISNA(VLOOKUP($B69,CPY!$B:$G,4,FALSE))=TRUE," ",VLOOKUP($B69,CPY!$B:$G,4,FALSE))</f>
        <v> </v>
      </c>
      <c r="F69" s="62"/>
      <c r="G69" s="86"/>
      <c r="H69" s="86"/>
      <c r="I69" s="87"/>
      <c r="J69" s="88"/>
      <c r="K69" s="88"/>
      <c r="L69" s="95">
        <f t="shared" si="2"/>
        <v>0</v>
      </c>
      <c r="M69" s="96" t="b">
        <f>IF((ISNUMBER(L69)),IF(AND(F69="Workdays",(SUMIFS(O:O,F:F,F69,I:I,I69,B:B,B69)&lt;=24)),IF(AND((L69*24)&gt;0,(L69*24)&lt;=8),(L69*24)*MD!$M$5,IF(AND((L69*24)&gt;8,(L69*24)&lt;=16),(MD!$N$5),IF((L69*24)&gt;16,MD!$N$5))),IF(AND(F69="Non_workdays",(SUMIFS(O:O,F:F,F69,I:I,I69,B:B,B69)&lt;=24)),IF(AND((L69*24)&gt;0,(L69*24)&lt;=8),(L69*24)*MD!$M$6,IF(AND((L69*24)&gt;8,(L69*24)&lt;=16),(MD!$N$6),IF((L69*24)&gt;16,MD!$N$6))),IF(AND(F69="Call_out",(SUMIFS(O:O,F:F,F69,I:I,I69,B:B,B69)&lt;=24)),IF(AND((L69*24)&gt;0,(L69*24)&lt;=8),(L69*24)*MD!$P$4,IF(AND((L69*24)&gt;8,(L69*24)&lt;=16),(MD!$Q$4),IF((L69*24)&gt;16,MD!$Q$4)))))))</f>
        <v>0</v>
      </c>
      <c r="N69" s="62"/>
      <c r="O69" s="72">
        <f t="shared" si="3"/>
        <v>0</v>
      </c>
    </row>
    <row r="70" spans="1:15" x14ac:dyDescent="0.25">
      <c r="A70" s="62">
        <v>69</v>
      </c>
      <c r="B70" s="62"/>
      <c r="C70" s="68" t="str">
        <f>IF(ISNA(VLOOKUP($B70,CPY!$B:$G,2,FALSE))=TRUE," ",VLOOKUP($B70,CPY!$B:$G,2,FALSE))</f>
        <v> </v>
      </c>
      <c r="D70" s="50" t="str">
        <f>IF(ISNA(VLOOKUP($B70,CPY!$B:$G,3,FALSE))=TRUE," ",VLOOKUP($B70,CPY!$B:$G,3,FALSE))</f>
        <v> </v>
      </c>
      <c r="E70" s="65" t="str">
        <f>IF(ISNA(VLOOKUP($B70,CPY!$B:$G,4,FALSE))=TRUE," ",VLOOKUP($B70,CPY!$B:$G,4,FALSE))</f>
        <v> </v>
      </c>
      <c r="F70" s="62"/>
      <c r="G70" s="86"/>
      <c r="H70" s="86"/>
      <c r="I70" s="87"/>
      <c r="J70" s="88"/>
      <c r="K70" s="88"/>
      <c r="L70" s="95">
        <f t="shared" si="2"/>
        <v>0</v>
      </c>
      <c r="M70" s="96" t="b">
        <f>IF((ISNUMBER(L70)),IF(AND(F70="Workdays",(SUMIFS(O:O,F:F,F70,I:I,I70,B:B,B70)&lt;=24)),IF(AND((L70*24)&gt;0,(L70*24)&lt;=8),(L70*24)*MD!$M$5,IF(AND((L70*24)&gt;8,(L70*24)&lt;=16),(MD!$N$5),IF((L70*24)&gt;16,MD!$N$5))),IF(AND(F70="Non_workdays",(SUMIFS(O:O,F:F,F70,I:I,I70,B:B,B70)&lt;=24)),IF(AND((L70*24)&gt;0,(L70*24)&lt;=8),(L70*24)*MD!$M$6,IF(AND((L70*24)&gt;8,(L70*24)&lt;=16),(MD!$N$6),IF((L70*24)&gt;16,MD!$N$6))),IF(AND(F70="Call_out",(SUMIFS(O:O,F:F,F70,I:I,I70,B:B,B70)&lt;=24)),IF(AND((L70*24)&gt;0,(L70*24)&lt;=8),(L70*24)*MD!$P$4,IF(AND((L70*24)&gt;8,(L70*24)&lt;=16),(MD!$Q$4),IF((L70*24)&gt;16,MD!$Q$4)))))))</f>
        <v>0</v>
      </c>
      <c r="N70" s="62"/>
      <c r="O70" s="72">
        <f t="shared" si="3"/>
        <v>0</v>
      </c>
    </row>
    <row r="71" spans="1:15" x14ac:dyDescent="0.25">
      <c r="A71" s="62">
        <v>70</v>
      </c>
      <c r="B71" s="62"/>
      <c r="C71" s="68" t="str">
        <f>IF(ISNA(VLOOKUP($B71,CPY!$B:$G,2,FALSE))=TRUE," ",VLOOKUP($B71,CPY!$B:$G,2,FALSE))</f>
        <v> </v>
      </c>
      <c r="D71" s="50" t="str">
        <f>IF(ISNA(VLOOKUP($B71,CPY!$B:$G,3,FALSE))=TRUE," ",VLOOKUP($B71,CPY!$B:$G,3,FALSE))</f>
        <v> </v>
      </c>
      <c r="E71" s="65" t="str">
        <f>IF(ISNA(VLOOKUP($B71,CPY!$B:$G,4,FALSE))=TRUE," ",VLOOKUP($B71,CPY!$B:$G,4,FALSE))</f>
        <v> </v>
      </c>
      <c r="F71" s="62"/>
      <c r="G71" s="86"/>
      <c r="H71" s="86"/>
      <c r="I71" s="87"/>
      <c r="J71" s="88"/>
      <c r="K71" s="88"/>
      <c r="L71" s="95">
        <f t="shared" si="2"/>
        <v>0</v>
      </c>
      <c r="M71" s="96" t="b">
        <f>IF((ISNUMBER(L71)),IF(AND(F71="Workdays",(SUMIFS(O:O,F:F,F71,I:I,I71,B:B,B71)&lt;=24)),IF(AND((L71*24)&gt;0,(L71*24)&lt;=8),(L71*24)*MD!$M$5,IF(AND((L71*24)&gt;8,(L71*24)&lt;=16),(MD!$N$5),IF((L71*24)&gt;16,MD!$N$5))),IF(AND(F71="Non_workdays",(SUMIFS(O:O,F:F,F71,I:I,I71,B:B,B71)&lt;=24)),IF(AND((L71*24)&gt;0,(L71*24)&lt;=8),(L71*24)*MD!$M$6,IF(AND((L71*24)&gt;8,(L71*24)&lt;=16),(MD!$N$6),IF((L71*24)&gt;16,MD!$N$6))),IF(AND(F71="Call_out",(SUMIFS(O:O,F:F,F71,I:I,I71,B:B,B71)&lt;=24)),IF(AND((L71*24)&gt;0,(L71*24)&lt;=8),(L71*24)*MD!$P$4,IF(AND((L71*24)&gt;8,(L71*24)&lt;=16),(MD!$Q$4),IF((L71*24)&gt;16,MD!$Q$4)))))))</f>
        <v>0</v>
      </c>
      <c r="N71" s="62"/>
      <c r="O71" s="72">
        <f t="shared" si="3"/>
        <v>0</v>
      </c>
    </row>
    <row r="72" spans="1:15" x14ac:dyDescent="0.25">
      <c r="A72" s="62">
        <v>71</v>
      </c>
      <c r="B72" s="62"/>
      <c r="C72" s="68" t="str">
        <f>IF(ISNA(VLOOKUP($B72,CPY!$B:$G,2,FALSE))=TRUE," ",VLOOKUP($B72,CPY!$B:$G,2,FALSE))</f>
        <v> </v>
      </c>
      <c r="D72" s="50" t="str">
        <f>IF(ISNA(VLOOKUP($B72,CPY!$B:$G,3,FALSE))=TRUE," ",VLOOKUP($B72,CPY!$B:$G,3,FALSE))</f>
        <v> </v>
      </c>
      <c r="E72" s="65" t="str">
        <f>IF(ISNA(VLOOKUP($B72,CPY!$B:$G,4,FALSE))=TRUE," ",VLOOKUP($B72,CPY!$B:$G,4,FALSE))</f>
        <v> </v>
      </c>
      <c r="F72" s="62"/>
      <c r="G72" s="86"/>
      <c r="H72" s="86"/>
      <c r="I72" s="87"/>
      <c r="J72" s="88"/>
      <c r="K72" s="88"/>
      <c r="L72" s="95">
        <f t="shared" si="2"/>
        <v>0</v>
      </c>
      <c r="M72" s="96" t="b">
        <f>IF((ISNUMBER(L72)),IF(AND(F72="Workdays",(SUMIFS(O:O,F:F,F72,I:I,I72,B:B,B72)&lt;=24)),IF(AND((L72*24)&gt;0,(L72*24)&lt;=8),(L72*24)*MD!$M$5,IF(AND((L72*24)&gt;8,(L72*24)&lt;=16),(MD!$N$5),IF((L72*24)&gt;16,MD!$N$5))),IF(AND(F72="Non_workdays",(SUMIFS(O:O,F:F,F72,I:I,I72,B:B,B72)&lt;=24)),IF(AND((L72*24)&gt;0,(L72*24)&lt;=8),(L72*24)*MD!$M$6,IF(AND((L72*24)&gt;8,(L72*24)&lt;=16),(MD!$N$6),IF((L72*24)&gt;16,MD!$N$6))),IF(AND(F72="Call_out",(SUMIFS(O:O,F:F,F72,I:I,I72,B:B,B72)&lt;=24)),IF(AND((L72*24)&gt;0,(L72*24)&lt;=8),(L72*24)*MD!$P$4,IF(AND((L72*24)&gt;8,(L72*24)&lt;=16),(MD!$Q$4),IF((L72*24)&gt;16,MD!$Q$4)))))))</f>
        <v>0</v>
      </c>
      <c r="N72" s="62"/>
      <c r="O72" s="72">
        <f t="shared" si="3"/>
        <v>0</v>
      </c>
    </row>
    <row r="73" spans="1:15" x14ac:dyDescent="0.25">
      <c r="A73" s="62">
        <v>72</v>
      </c>
      <c r="B73" s="62"/>
      <c r="C73" s="68" t="str">
        <f>IF(ISNA(VLOOKUP($B73,CPY!$B:$G,2,FALSE))=TRUE," ",VLOOKUP($B73,CPY!$B:$G,2,FALSE))</f>
        <v> </v>
      </c>
      <c r="D73" s="50" t="str">
        <f>IF(ISNA(VLOOKUP($B73,CPY!$B:$G,3,FALSE))=TRUE," ",VLOOKUP($B73,CPY!$B:$G,3,FALSE))</f>
        <v> </v>
      </c>
      <c r="E73" s="65" t="str">
        <f>IF(ISNA(VLOOKUP($B73,CPY!$B:$G,4,FALSE))=TRUE," ",VLOOKUP($B73,CPY!$B:$G,4,FALSE))</f>
        <v> </v>
      </c>
      <c r="F73" s="62"/>
      <c r="G73" s="86"/>
      <c r="H73" s="86"/>
      <c r="I73" s="87"/>
      <c r="J73" s="88"/>
      <c r="K73" s="88"/>
      <c r="L73" s="95">
        <f t="shared" si="2"/>
        <v>0</v>
      </c>
      <c r="M73" s="96" t="b">
        <f>IF((ISNUMBER(L73)),IF(AND(F73="Workdays",(SUMIFS(O:O,F:F,F73,I:I,I73,B:B,B73)&lt;=24)),IF(AND((L73*24)&gt;0,(L73*24)&lt;=8),(L73*24)*MD!$M$5,IF(AND((L73*24)&gt;8,(L73*24)&lt;=16),(MD!$N$5),IF((L73*24)&gt;16,MD!$N$5))),IF(AND(F73="Non_workdays",(SUMIFS(O:O,F:F,F73,I:I,I73,B:B,B73)&lt;=24)),IF(AND((L73*24)&gt;0,(L73*24)&lt;=8),(L73*24)*MD!$M$6,IF(AND((L73*24)&gt;8,(L73*24)&lt;=16),(MD!$N$6),IF((L73*24)&gt;16,MD!$N$6))),IF(AND(F73="Call_out",(SUMIFS(O:O,F:F,F73,I:I,I73,B:B,B73)&lt;=24)),IF(AND((L73*24)&gt;0,(L73*24)&lt;=8),(L73*24)*MD!$P$4,IF(AND((L73*24)&gt;8,(L73*24)&lt;=16),(MD!$Q$4),IF((L73*24)&gt;16,MD!$Q$4)))))))</f>
        <v>0</v>
      </c>
      <c r="N73" s="62"/>
      <c r="O73" s="72">
        <f t="shared" si="3"/>
        <v>0</v>
      </c>
    </row>
    <row r="74" spans="1:15" x14ac:dyDescent="0.25">
      <c r="A74" s="62">
        <v>73</v>
      </c>
      <c r="B74" s="62"/>
      <c r="C74" s="68" t="str">
        <f>IF(ISNA(VLOOKUP($B74,CPY!$B:$G,2,FALSE))=TRUE," ",VLOOKUP($B74,CPY!$B:$G,2,FALSE))</f>
        <v> </v>
      </c>
      <c r="D74" s="50" t="str">
        <f>IF(ISNA(VLOOKUP($B74,CPY!$B:$G,3,FALSE))=TRUE," ",VLOOKUP($B74,CPY!$B:$G,3,FALSE))</f>
        <v> </v>
      </c>
      <c r="E74" s="65" t="str">
        <f>IF(ISNA(VLOOKUP($B74,CPY!$B:$G,4,FALSE))=TRUE," ",VLOOKUP($B74,CPY!$B:$G,4,FALSE))</f>
        <v> </v>
      </c>
      <c r="F74" s="62"/>
      <c r="G74" s="86"/>
      <c r="H74" s="86"/>
      <c r="I74" s="87"/>
      <c r="J74" s="88"/>
      <c r="K74" s="88"/>
      <c r="L74" s="95">
        <f t="shared" si="2"/>
        <v>0</v>
      </c>
      <c r="M74" s="96" t="b">
        <f>IF((ISNUMBER(L74)),IF(AND(F74="Workdays",(SUMIFS(O:O,F:F,F74,I:I,I74,B:B,B74)&lt;=24)),IF(AND((L74*24)&gt;0,(L74*24)&lt;=8),(L74*24)*MD!$M$5,IF(AND((L74*24)&gt;8,(L74*24)&lt;=16),(MD!$N$5),IF((L74*24)&gt;16,MD!$N$5))),IF(AND(F74="Non_workdays",(SUMIFS(O:O,F:F,F74,I:I,I74,B:B,B74)&lt;=24)),IF(AND((L74*24)&gt;0,(L74*24)&lt;=8),(L74*24)*MD!$M$6,IF(AND((L74*24)&gt;8,(L74*24)&lt;=16),(MD!$N$6),IF((L74*24)&gt;16,MD!$N$6))),IF(AND(F74="Call_out",(SUMIFS(O:O,F:F,F74,I:I,I74,B:B,B74)&lt;=24)),IF(AND((L74*24)&gt;0,(L74*24)&lt;=8),(L74*24)*MD!$P$4,IF(AND((L74*24)&gt;8,(L74*24)&lt;=16),(MD!$Q$4),IF((L74*24)&gt;16,MD!$Q$4)))))))</f>
        <v>0</v>
      </c>
      <c r="N74" s="62"/>
      <c r="O74" s="72">
        <f t="shared" si="3"/>
        <v>0</v>
      </c>
    </row>
    <row r="75" spans="1:15" x14ac:dyDescent="0.25">
      <c r="A75" s="62">
        <v>74</v>
      </c>
      <c r="B75" s="62"/>
      <c r="C75" s="68" t="str">
        <f>IF(ISNA(VLOOKUP($B75,CPY!$B:$G,2,FALSE))=TRUE," ",VLOOKUP($B75,CPY!$B:$G,2,FALSE))</f>
        <v> </v>
      </c>
      <c r="D75" s="50" t="str">
        <f>IF(ISNA(VLOOKUP($B75,CPY!$B:$G,3,FALSE))=TRUE," ",VLOOKUP($B75,CPY!$B:$G,3,FALSE))</f>
        <v> </v>
      </c>
      <c r="E75" s="65" t="str">
        <f>IF(ISNA(VLOOKUP($B75,CPY!$B:$G,4,FALSE))=TRUE," ",VLOOKUP($B75,CPY!$B:$G,4,FALSE))</f>
        <v> </v>
      </c>
      <c r="F75" s="62"/>
      <c r="G75" s="86"/>
      <c r="H75" s="86"/>
      <c r="I75" s="87"/>
      <c r="J75" s="88"/>
      <c r="K75" s="88"/>
      <c r="L75" s="95">
        <f t="shared" si="2"/>
        <v>0</v>
      </c>
      <c r="M75" s="96" t="b">
        <f>IF((ISNUMBER(L75)),IF(AND(F75="Workdays",(SUMIFS(O:O,F:F,F75,I:I,I75,B:B,B75)&lt;=24)),IF(AND((L75*24)&gt;0,(L75*24)&lt;=8),(L75*24)*MD!$M$5,IF(AND((L75*24)&gt;8,(L75*24)&lt;=16),(MD!$N$5),IF((L75*24)&gt;16,MD!$N$5))),IF(AND(F75="Non_workdays",(SUMIFS(O:O,F:F,F75,I:I,I75,B:B,B75)&lt;=24)),IF(AND((L75*24)&gt;0,(L75*24)&lt;=8),(L75*24)*MD!$M$6,IF(AND((L75*24)&gt;8,(L75*24)&lt;=16),(MD!$N$6),IF((L75*24)&gt;16,MD!$N$6))),IF(AND(F75="Call_out",(SUMIFS(O:O,F:F,F75,I:I,I75,B:B,B75)&lt;=24)),IF(AND((L75*24)&gt;0,(L75*24)&lt;=8),(L75*24)*MD!$P$4,IF(AND((L75*24)&gt;8,(L75*24)&lt;=16),(MD!$Q$4),IF((L75*24)&gt;16,MD!$Q$4)))))))</f>
        <v>0</v>
      </c>
      <c r="N75" s="62"/>
      <c r="O75" s="72">
        <f t="shared" si="3"/>
        <v>0</v>
      </c>
    </row>
    <row r="76" spans="1:15" x14ac:dyDescent="0.25">
      <c r="A76" s="62">
        <v>75</v>
      </c>
      <c r="B76" s="62"/>
      <c r="C76" s="68" t="str">
        <f>IF(ISNA(VLOOKUP($B76,CPY!$B:$G,2,FALSE))=TRUE," ",VLOOKUP($B76,CPY!$B:$G,2,FALSE))</f>
        <v> </v>
      </c>
      <c r="D76" s="50" t="str">
        <f>IF(ISNA(VLOOKUP($B76,CPY!$B:$G,3,FALSE))=TRUE," ",VLOOKUP($B76,CPY!$B:$G,3,FALSE))</f>
        <v> </v>
      </c>
      <c r="E76" s="65" t="str">
        <f>IF(ISNA(VLOOKUP($B76,CPY!$B:$G,4,FALSE))=TRUE," ",VLOOKUP($B76,CPY!$B:$G,4,FALSE))</f>
        <v> </v>
      </c>
      <c r="F76" s="62"/>
      <c r="G76" s="86"/>
      <c r="H76" s="86"/>
      <c r="I76" s="87"/>
      <c r="J76" s="88"/>
      <c r="K76" s="88"/>
      <c r="L76" s="95">
        <f t="shared" si="2"/>
        <v>0</v>
      </c>
      <c r="M76" s="96" t="b">
        <f>IF((ISNUMBER(L76)),IF(AND(F76="Workdays",(SUMIFS(O:O,F:F,F76,I:I,I76,B:B,B76)&lt;=24)),IF(AND((L76*24)&gt;0,(L76*24)&lt;=8),(L76*24)*MD!$M$5,IF(AND((L76*24)&gt;8,(L76*24)&lt;=16),(MD!$N$5),IF((L76*24)&gt;16,MD!$N$5))),IF(AND(F76="Non_workdays",(SUMIFS(O:O,F:F,F76,I:I,I76,B:B,B76)&lt;=24)),IF(AND((L76*24)&gt;0,(L76*24)&lt;=8),(L76*24)*MD!$M$6,IF(AND((L76*24)&gt;8,(L76*24)&lt;=16),(MD!$N$6),IF((L76*24)&gt;16,MD!$N$6))),IF(AND(F76="Call_out",(SUMIFS(O:O,F:F,F76,I:I,I76,B:B,B76)&lt;=24)),IF(AND((L76*24)&gt;0,(L76*24)&lt;=8),(L76*24)*MD!$P$4,IF(AND((L76*24)&gt;8,(L76*24)&lt;=16),(MD!$Q$4),IF((L76*24)&gt;16,MD!$Q$4)))))))</f>
        <v>0</v>
      </c>
      <c r="N76" s="62"/>
      <c r="O76" s="72">
        <f t="shared" si="3"/>
        <v>0</v>
      </c>
    </row>
    <row r="77" spans="1:15" x14ac:dyDescent="0.25">
      <c r="A77" s="62">
        <v>76</v>
      </c>
      <c r="B77" s="62"/>
      <c r="C77" s="68" t="str">
        <f>IF(ISNA(VLOOKUP($B77,CPY!$B:$G,2,FALSE))=TRUE," ",VLOOKUP($B77,CPY!$B:$G,2,FALSE))</f>
        <v> </v>
      </c>
      <c r="D77" s="50" t="str">
        <f>IF(ISNA(VLOOKUP($B77,CPY!$B:$G,3,FALSE))=TRUE," ",VLOOKUP($B77,CPY!$B:$G,3,FALSE))</f>
        <v> </v>
      </c>
      <c r="E77" s="65" t="str">
        <f>IF(ISNA(VLOOKUP($B77,CPY!$B:$G,4,FALSE))=TRUE," ",VLOOKUP($B77,CPY!$B:$G,4,FALSE))</f>
        <v> </v>
      </c>
      <c r="F77" s="62"/>
      <c r="G77" s="86"/>
      <c r="H77" s="86"/>
      <c r="I77" s="87"/>
      <c r="J77" s="88"/>
      <c r="K77" s="88"/>
      <c r="L77" s="95">
        <f t="shared" si="2"/>
        <v>0</v>
      </c>
      <c r="M77" s="96" t="b">
        <f>IF((ISNUMBER(L77)),IF(AND(F77="Workdays",(SUMIFS(O:O,F:F,F77,I:I,I77,B:B,B77)&lt;=24)),IF(AND((L77*24)&gt;0,(L77*24)&lt;=8),(L77*24)*MD!$M$5,IF(AND((L77*24)&gt;8,(L77*24)&lt;=16),(MD!$N$5),IF((L77*24)&gt;16,MD!$N$5))),IF(AND(F77="Non_workdays",(SUMIFS(O:O,F:F,F77,I:I,I77,B:B,B77)&lt;=24)),IF(AND((L77*24)&gt;0,(L77*24)&lt;=8),(L77*24)*MD!$M$6,IF(AND((L77*24)&gt;8,(L77*24)&lt;=16),(MD!$N$6),IF((L77*24)&gt;16,MD!$N$6))),IF(AND(F77="Call_out",(SUMIFS(O:O,F:F,F77,I:I,I77,B:B,B77)&lt;=24)),IF(AND((L77*24)&gt;0,(L77*24)&lt;=8),(L77*24)*MD!$P$4,IF(AND((L77*24)&gt;8,(L77*24)&lt;=16),(MD!$Q$4),IF((L77*24)&gt;16,MD!$Q$4)))))))</f>
        <v>0</v>
      </c>
      <c r="N77" s="62"/>
      <c r="O77" s="72">
        <f t="shared" si="3"/>
        <v>0</v>
      </c>
    </row>
    <row r="78" spans="1:15" x14ac:dyDescent="0.25">
      <c r="A78" s="62">
        <v>77</v>
      </c>
      <c r="B78" s="62"/>
      <c r="C78" s="68" t="str">
        <f>IF(ISNA(VLOOKUP($B78,CPY!$B:$G,2,FALSE))=TRUE," ",VLOOKUP($B78,CPY!$B:$G,2,FALSE))</f>
        <v> </v>
      </c>
      <c r="D78" s="50" t="str">
        <f>IF(ISNA(VLOOKUP($B78,CPY!$B:$G,3,FALSE))=TRUE," ",VLOOKUP($B78,CPY!$B:$G,3,FALSE))</f>
        <v> </v>
      </c>
      <c r="E78" s="65" t="str">
        <f>IF(ISNA(VLOOKUP($B78,CPY!$B:$G,4,FALSE))=TRUE," ",VLOOKUP($B78,CPY!$B:$G,4,FALSE))</f>
        <v> </v>
      </c>
      <c r="F78" s="62"/>
      <c r="G78" s="86"/>
      <c r="H78" s="86"/>
      <c r="I78" s="87"/>
      <c r="J78" s="88"/>
      <c r="K78" s="88"/>
      <c r="L78" s="95">
        <f t="shared" si="2"/>
        <v>0</v>
      </c>
      <c r="M78" s="96" t="b">
        <f>IF((ISNUMBER(L78)),IF(AND(F78="Workdays",(SUMIFS(O:O,F:F,F78,I:I,I78,B:B,B78)&lt;=24)),IF(AND((L78*24)&gt;0,(L78*24)&lt;=8),(L78*24)*MD!$M$5,IF(AND((L78*24)&gt;8,(L78*24)&lt;=16),(MD!$N$5),IF((L78*24)&gt;16,MD!$N$5))),IF(AND(F78="Non_workdays",(SUMIFS(O:O,F:F,F78,I:I,I78,B:B,B78)&lt;=24)),IF(AND((L78*24)&gt;0,(L78*24)&lt;=8),(L78*24)*MD!$M$6,IF(AND((L78*24)&gt;8,(L78*24)&lt;=16),(MD!$N$6),IF((L78*24)&gt;16,MD!$N$6))),IF(AND(F78="Call_out",(SUMIFS(O:O,F:F,F78,I:I,I78,B:B,B78)&lt;=24)),IF(AND((L78*24)&gt;0,(L78*24)&lt;=8),(L78*24)*MD!$P$4,IF(AND((L78*24)&gt;8,(L78*24)&lt;=16),(MD!$Q$4),IF((L78*24)&gt;16,MD!$Q$4)))))))</f>
        <v>0</v>
      </c>
      <c r="N78" s="62"/>
      <c r="O78" s="72">
        <f t="shared" si="3"/>
        <v>0</v>
      </c>
    </row>
    <row r="79" spans="1:15" x14ac:dyDescent="0.25">
      <c r="A79" s="62">
        <v>78</v>
      </c>
      <c r="B79" s="62"/>
      <c r="C79" s="68" t="str">
        <f>IF(ISNA(VLOOKUP($B79,CPY!$B:$G,2,FALSE))=TRUE," ",VLOOKUP($B79,CPY!$B:$G,2,FALSE))</f>
        <v> </v>
      </c>
      <c r="D79" s="50" t="str">
        <f>IF(ISNA(VLOOKUP($B79,CPY!$B:$G,3,FALSE))=TRUE," ",VLOOKUP($B79,CPY!$B:$G,3,FALSE))</f>
        <v> </v>
      </c>
      <c r="E79" s="65" t="str">
        <f>IF(ISNA(VLOOKUP($B79,CPY!$B:$G,4,FALSE))=TRUE," ",VLOOKUP($B79,CPY!$B:$G,4,FALSE))</f>
        <v> </v>
      </c>
      <c r="F79" s="62"/>
      <c r="G79" s="86"/>
      <c r="H79" s="86"/>
      <c r="I79" s="87"/>
      <c r="J79" s="88"/>
      <c r="K79" s="88"/>
      <c r="L79" s="95">
        <f t="shared" si="2"/>
        <v>0</v>
      </c>
      <c r="M79" s="96" t="b">
        <f>IF((ISNUMBER(L79)),IF(AND(F79="Workdays",(SUMIFS(O:O,F:F,F79,I:I,I79,B:B,B79)&lt;=24)),IF(AND((L79*24)&gt;0,(L79*24)&lt;=8),(L79*24)*MD!$M$5,IF(AND((L79*24)&gt;8,(L79*24)&lt;=16),(MD!$N$5),IF((L79*24)&gt;16,MD!$N$5))),IF(AND(F79="Non_workdays",(SUMIFS(O:O,F:F,F79,I:I,I79,B:B,B79)&lt;=24)),IF(AND((L79*24)&gt;0,(L79*24)&lt;=8),(L79*24)*MD!$M$6,IF(AND((L79*24)&gt;8,(L79*24)&lt;=16),(MD!$N$6),IF((L79*24)&gt;16,MD!$N$6))),IF(AND(F79="Call_out",(SUMIFS(O:O,F:F,F79,I:I,I79,B:B,B79)&lt;=24)),IF(AND((L79*24)&gt;0,(L79*24)&lt;=8),(L79*24)*MD!$P$4,IF(AND((L79*24)&gt;8,(L79*24)&lt;=16),(MD!$Q$4),IF((L79*24)&gt;16,MD!$Q$4)))))))</f>
        <v>0</v>
      </c>
      <c r="N79" s="62"/>
      <c r="O79" s="72">
        <f t="shared" si="3"/>
        <v>0</v>
      </c>
    </row>
    <row r="80" spans="1:15" x14ac:dyDescent="0.25">
      <c r="A80" s="62">
        <v>79</v>
      </c>
      <c r="B80" s="62"/>
      <c r="C80" s="68" t="str">
        <f>IF(ISNA(VLOOKUP($B80,CPY!$B:$G,2,FALSE))=TRUE," ",VLOOKUP($B80,CPY!$B:$G,2,FALSE))</f>
        <v> </v>
      </c>
      <c r="D80" s="50" t="str">
        <f>IF(ISNA(VLOOKUP($B80,CPY!$B:$G,3,FALSE))=TRUE," ",VLOOKUP($B80,CPY!$B:$G,3,FALSE))</f>
        <v> </v>
      </c>
      <c r="E80" s="65" t="str">
        <f>IF(ISNA(VLOOKUP($B80,CPY!$B:$G,4,FALSE))=TRUE," ",VLOOKUP($B80,CPY!$B:$G,4,FALSE))</f>
        <v> </v>
      </c>
      <c r="F80" s="62"/>
      <c r="G80" s="86"/>
      <c r="H80" s="86"/>
      <c r="I80" s="87"/>
      <c r="J80" s="88"/>
      <c r="K80" s="88"/>
      <c r="L80" s="95">
        <f t="shared" si="2"/>
        <v>0</v>
      </c>
      <c r="M80" s="96" t="b">
        <f>IF((ISNUMBER(L80)),IF(AND(F80="Workdays",(SUMIFS(O:O,F:F,F80,I:I,I80,B:B,B80)&lt;=24)),IF(AND((L80*24)&gt;0,(L80*24)&lt;=8),(L80*24)*MD!$M$5,IF(AND((L80*24)&gt;8,(L80*24)&lt;=16),(MD!$N$5),IF((L80*24)&gt;16,MD!$N$5))),IF(AND(F80="Non_workdays",(SUMIFS(O:O,F:F,F80,I:I,I80,B:B,B80)&lt;=24)),IF(AND((L80*24)&gt;0,(L80*24)&lt;=8),(L80*24)*MD!$M$6,IF(AND((L80*24)&gt;8,(L80*24)&lt;=16),(MD!$N$6),IF((L80*24)&gt;16,MD!$N$6))),IF(AND(F80="Call_out",(SUMIFS(O:O,F:F,F80,I:I,I80,B:B,B80)&lt;=24)),IF(AND((L80*24)&gt;0,(L80*24)&lt;=8),(L80*24)*MD!$P$4,IF(AND((L80*24)&gt;8,(L80*24)&lt;=16),(MD!$Q$4),IF((L80*24)&gt;16,MD!$Q$4)))))))</f>
        <v>0</v>
      </c>
      <c r="N80" s="62"/>
      <c r="O80" s="72">
        <f t="shared" si="3"/>
        <v>0</v>
      </c>
    </row>
    <row r="81" spans="1:15" x14ac:dyDescent="0.25">
      <c r="A81" s="62">
        <v>80</v>
      </c>
      <c r="B81" s="62"/>
      <c r="C81" s="68" t="str">
        <f>IF(ISNA(VLOOKUP($B81,CPY!$B:$G,2,FALSE))=TRUE," ",VLOOKUP($B81,CPY!$B:$G,2,FALSE))</f>
        <v> </v>
      </c>
      <c r="D81" s="50" t="str">
        <f>IF(ISNA(VLOOKUP($B81,CPY!$B:$G,3,FALSE))=TRUE," ",VLOOKUP($B81,CPY!$B:$G,3,FALSE))</f>
        <v> </v>
      </c>
      <c r="E81" s="65" t="str">
        <f>IF(ISNA(VLOOKUP($B81,CPY!$B:$G,4,FALSE))=TRUE," ",VLOOKUP($B81,CPY!$B:$G,4,FALSE))</f>
        <v> </v>
      </c>
      <c r="F81" s="62"/>
      <c r="G81" s="86"/>
      <c r="H81" s="86"/>
      <c r="I81" s="87"/>
      <c r="J81" s="88"/>
      <c r="K81" s="88"/>
      <c r="L81" s="95">
        <f t="shared" si="2"/>
        <v>0</v>
      </c>
      <c r="M81" s="96" t="b">
        <f>IF((ISNUMBER(L81)),IF(AND(F81="Workdays",(SUMIFS(O:O,F:F,F81,I:I,I81,B:B,B81)&lt;=24)),IF(AND((L81*24)&gt;0,(L81*24)&lt;=8),(L81*24)*MD!$M$5,IF(AND((L81*24)&gt;8,(L81*24)&lt;=16),(MD!$N$5),IF((L81*24)&gt;16,MD!$N$5))),IF(AND(F81="Non_workdays",(SUMIFS(O:O,F:F,F81,I:I,I81,B:B,B81)&lt;=24)),IF(AND((L81*24)&gt;0,(L81*24)&lt;=8),(L81*24)*MD!$M$6,IF(AND((L81*24)&gt;8,(L81*24)&lt;=16),(MD!$N$6),IF((L81*24)&gt;16,MD!$N$6))),IF(AND(F81="Call_out",(SUMIFS(O:O,F:F,F81,I:I,I81,B:B,B81)&lt;=24)),IF(AND((L81*24)&gt;0,(L81*24)&lt;=8),(L81*24)*MD!$P$4,IF(AND((L81*24)&gt;8,(L81*24)&lt;=16),(MD!$Q$4),IF((L81*24)&gt;16,MD!$Q$4)))))))</f>
        <v>0</v>
      </c>
      <c r="N81" s="62"/>
      <c r="O81" s="72">
        <f t="shared" si="3"/>
        <v>0</v>
      </c>
    </row>
    <row r="82" spans="1:15" x14ac:dyDescent="0.25">
      <c r="A82" s="62">
        <v>81</v>
      </c>
      <c r="B82" s="62"/>
      <c r="C82" s="68" t="str">
        <f>IF(ISNA(VLOOKUP($B82,CPY!$B:$G,2,FALSE))=TRUE," ",VLOOKUP($B82,CPY!$B:$G,2,FALSE))</f>
        <v> </v>
      </c>
      <c r="D82" s="50" t="str">
        <f>IF(ISNA(VLOOKUP($B82,CPY!$B:$G,3,FALSE))=TRUE," ",VLOOKUP($B82,CPY!$B:$G,3,FALSE))</f>
        <v> </v>
      </c>
      <c r="E82" s="65" t="str">
        <f>IF(ISNA(VLOOKUP($B82,CPY!$B:$G,4,FALSE))=TRUE," ",VLOOKUP($B82,CPY!$B:$G,4,FALSE))</f>
        <v> </v>
      </c>
      <c r="F82" s="62"/>
      <c r="G82" s="86"/>
      <c r="H82" s="86"/>
      <c r="I82" s="87"/>
      <c r="J82" s="88"/>
      <c r="K82" s="88"/>
      <c r="L82" s="95">
        <f t="shared" si="2"/>
        <v>0</v>
      </c>
      <c r="M82" s="96" t="b">
        <f>IF((ISNUMBER(L82)),IF(AND(F82="Workdays",(SUMIFS(O:O,F:F,F82,I:I,I82,B:B,B82)&lt;=24)),IF(AND((L82*24)&gt;0,(L82*24)&lt;=8),(L82*24)*MD!$M$5,IF(AND((L82*24)&gt;8,(L82*24)&lt;=16),(MD!$N$5),IF((L82*24)&gt;16,MD!$N$5))),IF(AND(F82="Non_workdays",(SUMIFS(O:O,F:F,F82,I:I,I82,B:B,B82)&lt;=24)),IF(AND((L82*24)&gt;0,(L82*24)&lt;=8),(L82*24)*MD!$M$6,IF(AND((L82*24)&gt;8,(L82*24)&lt;=16),(MD!$N$6),IF((L82*24)&gt;16,MD!$N$6))),IF(AND(F82="Call_out",(SUMIFS(O:O,F:F,F82,I:I,I82,B:B,B82)&lt;=24)),IF(AND((L82*24)&gt;0,(L82*24)&lt;=8),(L82*24)*MD!$P$4,IF(AND((L82*24)&gt;8,(L82*24)&lt;=16),(MD!$Q$4),IF((L82*24)&gt;16,MD!$Q$4)))))))</f>
        <v>0</v>
      </c>
      <c r="N82" s="62"/>
      <c r="O82" s="72">
        <f t="shared" si="3"/>
        <v>0</v>
      </c>
    </row>
    <row r="83" spans="1:15" x14ac:dyDescent="0.25">
      <c r="A83" s="62">
        <v>82</v>
      </c>
      <c r="B83" s="62"/>
      <c r="C83" s="68" t="str">
        <f>IF(ISNA(VLOOKUP($B83,CPY!$B:$G,2,FALSE))=TRUE," ",VLOOKUP($B83,CPY!$B:$G,2,FALSE))</f>
        <v> </v>
      </c>
      <c r="D83" s="50" t="str">
        <f>IF(ISNA(VLOOKUP($B83,CPY!$B:$G,3,FALSE))=TRUE," ",VLOOKUP($B83,CPY!$B:$G,3,FALSE))</f>
        <v> </v>
      </c>
      <c r="E83" s="65" t="str">
        <f>IF(ISNA(VLOOKUP($B83,CPY!$B:$G,4,FALSE))=TRUE," ",VLOOKUP($B83,CPY!$B:$G,4,FALSE))</f>
        <v> </v>
      </c>
      <c r="F83" s="62"/>
      <c r="G83" s="86"/>
      <c r="H83" s="86"/>
      <c r="I83" s="87"/>
      <c r="J83" s="88"/>
      <c r="K83" s="88"/>
      <c r="L83" s="95">
        <f t="shared" si="2"/>
        <v>0</v>
      </c>
      <c r="M83" s="96" t="b">
        <f>IF((ISNUMBER(L83)),IF(AND(F83="Workdays",(SUMIFS(O:O,F:F,F83,I:I,I83,B:B,B83)&lt;=24)),IF(AND((L83*24)&gt;0,(L83*24)&lt;=8),(L83*24)*MD!$M$5,IF(AND((L83*24)&gt;8,(L83*24)&lt;=16),(MD!$N$5),IF((L83*24)&gt;16,MD!$N$5))),IF(AND(F83="Non_workdays",(SUMIFS(O:O,F:F,F83,I:I,I83,B:B,B83)&lt;=24)),IF(AND((L83*24)&gt;0,(L83*24)&lt;=8),(L83*24)*MD!$M$6,IF(AND((L83*24)&gt;8,(L83*24)&lt;=16),(MD!$N$6),IF((L83*24)&gt;16,MD!$N$6))),IF(AND(F83="Call_out",(SUMIFS(O:O,F:F,F83,I:I,I83,B:B,B83)&lt;=24)),IF(AND((L83*24)&gt;0,(L83*24)&lt;=8),(L83*24)*MD!$P$4,IF(AND((L83*24)&gt;8,(L83*24)&lt;=16),(MD!$Q$4),IF((L83*24)&gt;16,MD!$Q$4)))))))</f>
        <v>0</v>
      </c>
      <c r="N83" s="62"/>
      <c r="O83" s="72">
        <f t="shared" si="3"/>
        <v>0</v>
      </c>
    </row>
    <row r="84" spans="1:15" x14ac:dyDescent="0.25">
      <c r="A84" s="62">
        <v>83</v>
      </c>
      <c r="B84" s="62"/>
      <c r="C84" s="68" t="str">
        <f>IF(ISNA(VLOOKUP($B84,CPY!$B:$G,2,FALSE))=TRUE," ",VLOOKUP($B84,CPY!$B:$G,2,FALSE))</f>
        <v> </v>
      </c>
      <c r="D84" s="50" t="str">
        <f>IF(ISNA(VLOOKUP($B84,CPY!$B:$G,3,FALSE))=TRUE," ",VLOOKUP($B84,CPY!$B:$G,3,FALSE))</f>
        <v> </v>
      </c>
      <c r="E84" s="65" t="str">
        <f>IF(ISNA(VLOOKUP($B84,CPY!$B:$G,4,FALSE))=TRUE," ",VLOOKUP($B84,CPY!$B:$G,4,FALSE))</f>
        <v> </v>
      </c>
      <c r="F84" s="62"/>
      <c r="G84" s="86"/>
      <c r="H84" s="86"/>
      <c r="I84" s="87"/>
      <c r="J84" s="88"/>
      <c r="K84" s="88"/>
      <c r="L84" s="95">
        <f t="shared" si="2"/>
        <v>0</v>
      </c>
      <c r="M84" s="96" t="b">
        <f>IF((ISNUMBER(L84)),IF(AND(F84="Workdays",(SUMIFS(O:O,F:F,F84,I:I,I84,B:B,B84)&lt;=24)),IF(AND((L84*24)&gt;0,(L84*24)&lt;=8),(L84*24)*MD!$M$5,IF(AND((L84*24)&gt;8,(L84*24)&lt;=16),(MD!$N$5),IF((L84*24)&gt;16,MD!$N$5))),IF(AND(F84="Non_workdays",(SUMIFS(O:O,F:F,F84,I:I,I84,B:B,B84)&lt;=24)),IF(AND((L84*24)&gt;0,(L84*24)&lt;=8),(L84*24)*MD!$M$6,IF(AND((L84*24)&gt;8,(L84*24)&lt;=16),(MD!$N$6),IF((L84*24)&gt;16,MD!$N$6))),IF(AND(F84="Call_out",(SUMIFS(O:O,F:F,F84,I:I,I84,B:B,B84)&lt;=24)),IF(AND((L84*24)&gt;0,(L84*24)&lt;=8),(L84*24)*MD!$P$4,IF(AND((L84*24)&gt;8,(L84*24)&lt;=16),(MD!$Q$4),IF((L84*24)&gt;16,MD!$Q$4)))))))</f>
        <v>0</v>
      </c>
      <c r="N84" s="62"/>
      <c r="O84" s="72">
        <f t="shared" si="3"/>
        <v>0</v>
      </c>
    </row>
    <row r="85" spans="1:15" x14ac:dyDescent="0.25">
      <c r="A85" s="62">
        <v>84</v>
      </c>
      <c r="B85" s="62"/>
      <c r="C85" s="68" t="str">
        <f>IF(ISNA(VLOOKUP($B85,CPY!$B:$G,2,FALSE))=TRUE," ",VLOOKUP($B85,CPY!$B:$G,2,FALSE))</f>
        <v> </v>
      </c>
      <c r="D85" s="50" t="str">
        <f>IF(ISNA(VLOOKUP($B85,CPY!$B:$G,3,FALSE))=TRUE," ",VLOOKUP($B85,CPY!$B:$G,3,FALSE))</f>
        <v> </v>
      </c>
      <c r="E85" s="65" t="str">
        <f>IF(ISNA(VLOOKUP($B85,CPY!$B:$G,4,FALSE))=TRUE," ",VLOOKUP($B85,CPY!$B:$G,4,FALSE))</f>
        <v> </v>
      </c>
      <c r="F85" s="62"/>
      <c r="G85" s="86"/>
      <c r="H85" s="86"/>
      <c r="I85" s="87"/>
      <c r="J85" s="88"/>
      <c r="K85" s="88"/>
      <c r="L85" s="95">
        <f t="shared" si="2"/>
        <v>0</v>
      </c>
      <c r="M85" s="96" t="b">
        <f>IF((ISNUMBER(L85)),IF(AND(F85="Workdays",(SUMIFS(O:O,F:F,F85,I:I,I85,B:B,B85)&lt;=24)),IF(AND((L85*24)&gt;0,(L85*24)&lt;=8),(L85*24)*MD!$M$5,IF(AND((L85*24)&gt;8,(L85*24)&lt;=16),(MD!$N$5),IF((L85*24)&gt;16,MD!$N$5))),IF(AND(F85="Non_workdays",(SUMIFS(O:O,F:F,F85,I:I,I85,B:B,B85)&lt;=24)),IF(AND((L85*24)&gt;0,(L85*24)&lt;=8),(L85*24)*MD!$M$6,IF(AND((L85*24)&gt;8,(L85*24)&lt;=16),(MD!$N$6),IF((L85*24)&gt;16,MD!$N$6))),IF(AND(F85="Call_out",(SUMIFS(O:O,F:F,F85,I:I,I85,B:B,B85)&lt;=24)),IF(AND((L85*24)&gt;0,(L85*24)&lt;=8),(L85*24)*MD!$P$4,IF(AND((L85*24)&gt;8,(L85*24)&lt;=16),(MD!$Q$4),IF((L85*24)&gt;16,MD!$Q$4)))))))</f>
        <v>0</v>
      </c>
      <c r="N85" s="62"/>
      <c r="O85" s="72">
        <f t="shared" si="3"/>
        <v>0</v>
      </c>
    </row>
    <row r="86" spans="1:15" x14ac:dyDescent="0.25">
      <c r="A86" s="62">
        <v>85</v>
      </c>
      <c r="B86" s="62"/>
      <c r="C86" s="68" t="str">
        <f>IF(ISNA(VLOOKUP($B86,CPY!$B:$G,2,FALSE))=TRUE," ",VLOOKUP($B86,CPY!$B:$G,2,FALSE))</f>
        <v> </v>
      </c>
      <c r="D86" s="50" t="str">
        <f>IF(ISNA(VLOOKUP($B86,CPY!$B:$G,3,FALSE))=TRUE," ",VLOOKUP($B86,CPY!$B:$G,3,FALSE))</f>
        <v> </v>
      </c>
      <c r="E86" s="65" t="str">
        <f>IF(ISNA(VLOOKUP($B86,CPY!$B:$G,4,FALSE))=TRUE," ",VLOOKUP($B86,CPY!$B:$G,4,FALSE))</f>
        <v> </v>
      </c>
      <c r="F86" s="62"/>
      <c r="G86" s="86"/>
      <c r="H86" s="86"/>
      <c r="I86" s="87"/>
      <c r="J86" s="88"/>
      <c r="K86" s="88"/>
      <c r="L86" s="95">
        <f t="shared" si="2"/>
        <v>0</v>
      </c>
      <c r="M86" s="96" t="b">
        <f>IF((ISNUMBER(L86)),IF(AND(F86="Workdays",(SUMIFS(O:O,F:F,F86,I:I,I86,B:B,B86)&lt;=24)),IF(AND((L86*24)&gt;0,(L86*24)&lt;=8),(L86*24)*MD!$M$5,IF(AND((L86*24)&gt;8,(L86*24)&lt;=16),(MD!$N$5),IF((L86*24)&gt;16,MD!$N$5))),IF(AND(F86="Non_workdays",(SUMIFS(O:O,F:F,F86,I:I,I86,B:B,B86)&lt;=24)),IF(AND((L86*24)&gt;0,(L86*24)&lt;=8),(L86*24)*MD!$M$6,IF(AND((L86*24)&gt;8,(L86*24)&lt;=16),(MD!$N$6),IF((L86*24)&gt;16,MD!$N$6))),IF(AND(F86="Call_out",(SUMIFS(O:O,F:F,F86,I:I,I86,B:B,B86)&lt;=24)),IF(AND((L86*24)&gt;0,(L86*24)&lt;=8),(L86*24)*MD!$P$4,IF(AND((L86*24)&gt;8,(L86*24)&lt;=16),(MD!$Q$4),IF((L86*24)&gt;16,MD!$Q$4)))))))</f>
        <v>0</v>
      </c>
      <c r="N86" s="62"/>
      <c r="O86" s="72">
        <f t="shared" si="3"/>
        <v>0</v>
      </c>
    </row>
    <row r="87" spans="1:15" x14ac:dyDescent="0.25">
      <c r="A87" s="62">
        <v>86</v>
      </c>
      <c r="B87" s="62"/>
      <c r="C87" s="68" t="str">
        <f>IF(ISNA(VLOOKUP($B87,CPY!$B:$G,2,FALSE))=TRUE," ",VLOOKUP($B87,CPY!$B:$G,2,FALSE))</f>
        <v> </v>
      </c>
      <c r="D87" s="50" t="str">
        <f>IF(ISNA(VLOOKUP($B87,CPY!$B:$G,3,FALSE))=TRUE," ",VLOOKUP($B87,CPY!$B:$G,3,FALSE))</f>
        <v> </v>
      </c>
      <c r="E87" s="65" t="str">
        <f>IF(ISNA(VLOOKUP($B87,CPY!$B:$G,4,FALSE))=TRUE," ",VLOOKUP($B87,CPY!$B:$G,4,FALSE))</f>
        <v> </v>
      </c>
      <c r="F87" s="62"/>
      <c r="G87" s="86"/>
      <c r="H87" s="86"/>
      <c r="I87" s="87"/>
      <c r="J87" s="88"/>
      <c r="K87" s="88"/>
      <c r="L87" s="95">
        <f t="shared" si="2"/>
        <v>0</v>
      </c>
      <c r="M87" s="96" t="b">
        <f>IF((ISNUMBER(L87)),IF(AND(F87="Workdays",(SUMIFS(O:O,F:F,F87,I:I,I87,B:B,B87)&lt;=24)),IF(AND((L87*24)&gt;0,(L87*24)&lt;=8),(L87*24)*MD!$M$5,IF(AND((L87*24)&gt;8,(L87*24)&lt;=16),(MD!$N$5),IF((L87*24)&gt;16,MD!$N$5))),IF(AND(F87="Non_workdays",(SUMIFS(O:O,F:F,F87,I:I,I87,B:B,B87)&lt;=24)),IF(AND((L87*24)&gt;0,(L87*24)&lt;=8),(L87*24)*MD!$M$6,IF(AND((L87*24)&gt;8,(L87*24)&lt;=16),(MD!$N$6),IF((L87*24)&gt;16,MD!$N$6))),IF(AND(F87="Call_out",(SUMIFS(O:O,F:F,F87,I:I,I87,B:B,B87)&lt;=24)),IF(AND((L87*24)&gt;0,(L87*24)&lt;=8),(L87*24)*MD!$P$4,IF(AND((L87*24)&gt;8,(L87*24)&lt;=16),(MD!$Q$4),IF((L87*24)&gt;16,MD!$Q$4)))))))</f>
        <v>0</v>
      </c>
      <c r="N87" s="62"/>
      <c r="O87" s="72">
        <f t="shared" si="3"/>
        <v>0</v>
      </c>
    </row>
    <row r="88" spans="1:15" x14ac:dyDescent="0.25">
      <c r="A88" s="62">
        <v>87</v>
      </c>
      <c r="B88" s="62"/>
      <c r="C88" s="68" t="str">
        <f>IF(ISNA(VLOOKUP($B88,CPY!$B:$G,2,FALSE))=TRUE," ",VLOOKUP($B88,CPY!$B:$G,2,FALSE))</f>
        <v> </v>
      </c>
      <c r="D88" s="50" t="str">
        <f>IF(ISNA(VLOOKUP($B88,CPY!$B:$G,3,FALSE))=TRUE," ",VLOOKUP($B88,CPY!$B:$G,3,FALSE))</f>
        <v> </v>
      </c>
      <c r="E88" s="65" t="str">
        <f>IF(ISNA(VLOOKUP($B88,CPY!$B:$G,4,FALSE))=TRUE," ",VLOOKUP($B88,CPY!$B:$G,4,FALSE))</f>
        <v> </v>
      </c>
      <c r="F88" s="62"/>
      <c r="G88" s="86"/>
      <c r="H88" s="86"/>
      <c r="I88" s="87"/>
      <c r="J88" s="88"/>
      <c r="K88" s="88"/>
      <c r="L88" s="95">
        <f t="shared" si="2"/>
        <v>0</v>
      </c>
      <c r="M88" s="96" t="b">
        <f>IF((ISNUMBER(L88)),IF(AND(F88="Workdays",(SUMIFS(O:O,F:F,F88,I:I,I88,B:B,B88)&lt;=24)),IF(AND((L88*24)&gt;0,(L88*24)&lt;=8),(L88*24)*MD!$M$5,IF(AND((L88*24)&gt;8,(L88*24)&lt;=16),(MD!$N$5),IF((L88*24)&gt;16,MD!$N$5))),IF(AND(F88="Non_workdays",(SUMIFS(O:O,F:F,F88,I:I,I88,B:B,B88)&lt;=24)),IF(AND((L88*24)&gt;0,(L88*24)&lt;=8),(L88*24)*MD!$M$6,IF(AND((L88*24)&gt;8,(L88*24)&lt;=16),(MD!$N$6),IF((L88*24)&gt;16,MD!$N$6))),IF(AND(F88="Call_out",(SUMIFS(O:O,F:F,F88,I:I,I88,B:B,B88)&lt;=24)),IF(AND((L88*24)&gt;0,(L88*24)&lt;=8),(L88*24)*MD!$P$4,IF(AND((L88*24)&gt;8,(L88*24)&lt;=16),(MD!$Q$4),IF((L88*24)&gt;16,MD!$Q$4)))))))</f>
        <v>0</v>
      </c>
      <c r="N88" s="62"/>
      <c r="O88" s="72">
        <f t="shared" si="3"/>
        <v>0</v>
      </c>
    </row>
    <row r="89" spans="1:15" x14ac:dyDescent="0.25">
      <c r="A89" s="62">
        <v>88</v>
      </c>
      <c r="B89" s="62"/>
      <c r="C89" s="68" t="str">
        <f>IF(ISNA(VLOOKUP($B89,CPY!$B:$G,2,FALSE))=TRUE," ",VLOOKUP($B89,CPY!$B:$G,2,FALSE))</f>
        <v> </v>
      </c>
      <c r="D89" s="50" t="str">
        <f>IF(ISNA(VLOOKUP($B89,CPY!$B:$G,3,FALSE))=TRUE," ",VLOOKUP($B89,CPY!$B:$G,3,FALSE))</f>
        <v> </v>
      </c>
      <c r="E89" s="65" t="str">
        <f>IF(ISNA(VLOOKUP($B89,CPY!$B:$G,4,FALSE))=TRUE," ",VLOOKUP($B89,CPY!$B:$G,4,FALSE))</f>
        <v> </v>
      </c>
      <c r="F89" s="62"/>
      <c r="G89" s="86"/>
      <c r="H89" s="86"/>
      <c r="I89" s="87"/>
      <c r="J89" s="88"/>
      <c r="K89" s="88"/>
      <c r="L89" s="95">
        <f t="shared" si="2"/>
        <v>0</v>
      </c>
      <c r="M89" s="96" t="b">
        <f>IF((ISNUMBER(L89)),IF(AND(F89="Workdays",(SUMIFS(O:O,F:F,F89,I:I,I89,B:B,B89)&lt;=24)),IF(AND((L89*24)&gt;0,(L89*24)&lt;=8),(L89*24)*MD!$M$5,IF(AND((L89*24)&gt;8,(L89*24)&lt;=16),(MD!$N$5),IF((L89*24)&gt;16,MD!$N$5))),IF(AND(F89="Non_workdays",(SUMIFS(O:O,F:F,F89,I:I,I89,B:B,B89)&lt;=24)),IF(AND((L89*24)&gt;0,(L89*24)&lt;=8),(L89*24)*MD!$M$6,IF(AND((L89*24)&gt;8,(L89*24)&lt;=16),(MD!$N$6),IF((L89*24)&gt;16,MD!$N$6))),IF(AND(F89="Call_out",(SUMIFS(O:O,F:F,F89,I:I,I89,B:B,B89)&lt;=24)),IF(AND((L89*24)&gt;0,(L89*24)&lt;=8),(L89*24)*MD!$P$4,IF(AND((L89*24)&gt;8,(L89*24)&lt;=16),(MD!$Q$4),IF((L89*24)&gt;16,MD!$Q$4)))))))</f>
        <v>0</v>
      </c>
      <c r="N89" s="62"/>
      <c r="O89" s="72">
        <f t="shared" si="3"/>
        <v>0</v>
      </c>
    </row>
    <row r="90" spans="1:15" x14ac:dyDescent="0.25">
      <c r="A90" s="62">
        <v>89</v>
      </c>
      <c r="B90" s="62"/>
      <c r="C90" s="68" t="str">
        <f>IF(ISNA(VLOOKUP($B90,CPY!$B:$G,2,FALSE))=TRUE," ",VLOOKUP($B90,CPY!$B:$G,2,FALSE))</f>
        <v> </v>
      </c>
      <c r="D90" s="50" t="str">
        <f>IF(ISNA(VLOOKUP($B90,CPY!$B:$G,3,FALSE))=TRUE," ",VLOOKUP($B90,CPY!$B:$G,3,FALSE))</f>
        <v> </v>
      </c>
      <c r="E90" s="65" t="str">
        <f>IF(ISNA(VLOOKUP($B90,CPY!$B:$G,4,FALSE))=TRUE," ",VLOOKUP($B90,CPY!$B:$G,4,FALSE))</f>
        <v> </v>
      </c>
      <c r="F90" s="62"/>
      <c r="G90" s="86"/>
      <c r="H90" s="86"/>
      <c r="I90" s="87"/>
      <c r="J90" s="88"/>
      <c r="K90" s="88"/>
      <c r="L90" s="95">
        <f t="shared" si="2"/>
        <v>0</v>
      </c>
      <c r="M90" s="96" t="b">
        <f>IF((ISNUMBER(L90)),IF(AND(F90="Workdays",(SUMIFS(O:O,F:F,F90,I:I,I90,B:B,B90)&lt;=24)),IF(AND((L90*24)&gt;0,(L90*24)&lt;=8),(L90*24)*MD!$M$5,IF(AND((L90*24)&gt;8,(L90*24)&lt;=16),(MD!$N$5),IF((L90*24)&gt;16,MD!$N$5))),IF(AND(F90="Non_workdays",(SUMIFS(O:O,F:F,F90,I:I,I90,B:B,B90)&lt;=24)),IF(AND((L90*24)&gt;0,(L90*24)&lt;=8),(L90*24)*MD!$M$6,IF(AND((L90*24)&gt;8,(L90*24)&lt;=16),(MD!$N$6),IF((L90*24)&gt;16,MD!$N$6))),IF(AND(F90="Call_out",(SUMIFS(O:O,F:F,F90,I:I,I90,B:B,B90)&lt;=24)),IF(AND((L90*24)&gt;0,(L90*24)&lt;=8),(L90*24)*MD!$P$4,IF(AND((L90*24)&gt;8,(L90*24)&lt;=16),(MD!$Q$4),IF((L90*24)&gt;16,MD!$Q$4)))))))</f>
        <v>0</v>
      </c>
      <c r="N90" s="62"/>
      <c r="O90" s="72">
        <f t="shared" si="3"/>
        <v>0</v>
      </c>
    </row>
    <row r="91" spans="1:15" x14ac:dyDescent="0.25">
      <c r="A91" s="62">
        <v>90</v>
      </c>
      <c r="B91" s="62"/>
      <c r="C91" s="68" t="str">
        <f>IF(ISNA(VLOOKUP($B91,CPY!$B:$G,2,FALSE))=TRUE," ",VLOOKUP($B91,CPY!$B:$G,2,FALSE))</f>
        <v> </v>
      </c>
      <c r="D91" s="50" t="str">
        <f>IF(ISNA(VLOOKUP($B91,CPY!$B:$G,3,FALSE))=TRUE," ",VLOOKUP($B91,CPY!$B:$G,3,FALSE))</f>
        <v> </v>
      </c>
      <c r="E91" s="65" t="str">
        <f>IF(ISNA(VLOOKUP($B91,CPY!$B:$G,4,FALSE))=TRUE," ",VLOOKUP($B91,CPY!$B:$G,4,FALSE))</f>
        <v> </v>
      </c>
      <c r="F91" s="62"/>
      <c r="G91" s="86"/>
      <c r="H91" s="86"/>
      <c r="I91" s="87"/>
      <c r="J91" s="88"/>
      <c r="K91" s="88"/>
      <c r="L91" s="95">
        <f t="shared" si="2"/>
        <v>0</v>
      </c>
      <c r="M91" s="96" t="b">
        <f>IF((ISNUMBER(L91)),IF(AND(F91="Workdays",(SUMIFS(O:O,F:F,F91,I:I,I91,B:B,B91)&lt;=24)),IF(AND((L91*24)&gt;0,(L91*24)&lt;=8),(L91*24)*MD!$M$5,IF(AND((L91*24)&gt;8,(L91*24)&lt;=16),(MD!$N$5),IF((L91*24)&gt;16,MD!$N$5))),IF(AND(F91="Non_workdays",(SUMIFS(O:O,F:F,F91,I:I,I91,B:B,B91)&lt;=24)),IF(AND((L91*24)&gt;0,(L91*24)&lt;=8),(L91*24)*MD!$M$6,IF(AND((L91*24)&gt;8,(L91*24)&lt;=16),(MD!$N$6),IF((L91*24)&gt;16,MD!$N$6))),IF(AND(F91="Call_out",(SUMIFS(O:O,F:F,F91,I:I,I91,B:B,B91)&lt;=24)),IF(AND((L91*24)&gt;0,(L91*24)&lt;=8),(L91*24)*MD!$P$4,IF(AND((L91*24)&gt;8,(L91*24)&lt;=16),(MD!$Q$4),IF((L91*24)&gt;16,MD!$Q$4)))))))</f>
        <v>0</v>
      </c>
      <c r="N91" s="62"/>
      <c r="O91" s="72">
        <f t="shared" si="3"/>
        <v>0</v>
      </c>
    </row>
    <row r="92" spans="1:15" x14ac:dyDescent="0.25">
      <c r="A92" s="62">
        <v>91</v>
      </c>
      <c r="B92" s="62"/>
      <c r="C92" s="68" t="str">
        <f>IF(ISNA(VLOOKUP($B92,CPY!$B:$G,2,FALSE))=TRUE," ",VLOOKUP($B92,CPY!$B:$G,2,FALSE))</f>
        <v> </v>
      </c>
      <c r="D92" s="50" t="str">
        <f>IF(ISNA(VLOOKUP($B92,CPY!$B:$G,3,FALSE))=TRUE," ",VLOOKUP($B92,CPY!$B:$G,3,FALSE))</f>
        <v> </v>
      </c>
      <c r="E92" s="65" t="str">
        <f>IF(ISNA(VLOOKUP($B92,CPY!$B:$G,4,FALSE))=TRUE," ",VLOOKUP($B92,CPY!$B:$G,4,FALSE))</f>
        <v> </v>
      </c>
      <c r="F92" s="62"/>
      <c r="G92" s="86"/>
      <c r="H92" s="86"/>
      <c r="I92" s="87"/>
      <c r="J92" s="88"/>
      <c r="K92" s="88"/>
      <c r="L92" s="95">
        <f t="shared" si="2"/>
        <v>0</v>
      </c>
      <c r="M92" s="96" t="b">
        <f>IF((ISNUMBER(L92)),IF(AND(F92="Workdays",(SUMIFS(O:O,F:F,F92,I:I,I92,B:B,B92)&lt;=24)),IF(AND((L92*24)&gt;0,(L92*24)&lt;=8),(L92*24)*MD!$M$5,IF(AND((L92*24)&gt;8,(L92*24)&lt;=16),(MD!$N$5),IF((L92*24)&gt;16,MD!$N$5))),IF(AND(F92="Non_workdays",(SUMIFS(O:O,F:F,F92,I:I,I92,B:B,B92)&lt;=24)),IF(AND((L92*24)&gt;0,(L92*24)&lt;=8),(L92*24)*MD!$M$6,IF(AND((L92*24)&gt;8,(L92*24)&lt;=16),(MD!$N$6),IF((L92*24)&gt;16,MD!$N$6))),IF(AND(F92="Call_out",(SUMIFS(O:O,F:F,F92,I:I,I92,B:B,B92)&lt;=24)),IF(AND((L92*24)&gt;0,(L92*24)&lt;=8),(L92*24)*MD!$P$4,IF(AND((L92*24)&gt;8,(L92*24)&lt;=16),(MD!$Q$4),IF((L92*24)&gt;16,MD!$Q$4)))))))</f>
        <v>0</v>
      </c>
      <c r="N92" s="62"/>
      <c r="O92" s="72">
        <f t="shared" si="3"/>
        <v>0</v>
      </c>
    </row>
    <row r="93" spans="1:15" x14ac:dyDescent="0.25">
      <c r="A93" s="62">
        <v>92</v>
      </c>
      <c r="B93" s="62"/>
      <c r="C93" s="68" t="str">
        <f>IF(ISNA(VLOOKUP($B93,CPY!$B:$G,2,FALSE))=TRUE," ",VLOOKUP($B93,CPY!$B:$G,2,FALSE))</f>
        <v> </v>
      </c>
      <c r="D93" s="50" t="str">
        <f>IF(ISNA(VLOOKUP($B93,CPY!$B:$G,3,FALSE))=TRUE," ",VLOOKUP($B93,CPY!$B:$G,3,FALSE))</f>
        <v> </v>
      </c>
      <c r="E93" s="65" t="str">
        <f>IF(ISNA(VLOOKUP($B93,CPY!$B:$G,4,FALSE))=TRUE," ",VLOOKUP($B93,CPY!$B:$G,4,FALSE))</f>
        <v> </v>
      </c>
      <c r="F93" s="62"/>
      <c r="G93" s="86"/>
      <c r="H93" s="86"/>
      <c r="I93" s="87"/>
      <c r="J93" s="88"/>
      <c r="K93" s="88"/>
      <c r="L93" s="95">
        <f t="shared" si="2"/>
        <v>0</v>
      </c>
      <c r="M93" s="96" t="b">
        <f>IF((ISNUMBER(L93)),IF(AND(F93="Workdays",(SUMIFS(O:O,F:F,F93,I:I,I93,B:B,B93)&lt;=24)),IF(AND((L93*24)&gt;0,(L93*24)&lt;=8),(L93*24)*MD!$M$5,IF(AND((L93*24)&gt;8,(L93*24)&lt;=16),(MD!$N$5),IF((L93*24)&gt;16,MD!$N$5))),IF(AND(F93="Non_workdays",(SUMIFS(O:O,F:F,F93,I:I,I93,B:B,B93)&lt;=24)),IF(AND((L93*24)&gt;0,(L93*24)&lt;=8),(L93*24)*MD!$M$6,IF(AND((L93*24)&gt;8,(L93*24)&lt;=16),(MD!$N$6),IF((L93*24)&gt;16,MD!$N$6))),IF(AND(F93="Call_out",(SUMIFS(O:O,F:F,F93,I:I,I93,B:B,B93)&lt;=24)),IF(AND((L93*24)&gt;0,(L93*24)&lt;=8),(L93*24)*MD!$P$4,IF(AND((L93*24)&gt;8,(L93*24)&lt;=16),(MD!$Q$4),IF((L93*24)&gt;16,MD!$Q$4)))))))</f>
        <v>0</v>
      </c>
      <c r="N93" s="62"/>
      <c r="O93" s="72">
        <f t="shared" si="3"/>
        <v>0</v>
      </c>
    </row>
    <row r="94" spans="1:15" x14ac:dyDescent="0.25">
      <c r="A94" s="62">
        <v>93</v>
      </c>
      <c r="B94" s="62"/>
      <c r="C94" s="68" t="str">
        <f>IF(ISNA(VLOOKUP($B94,CPY!$B:$G,2,FALSE))=TRUE," ",VLOOKUP($B94,CPY!$B:$G,2,FALSE))</f>
        <v> </v>
      </c>
      <c r="D94" s="50" t="str">
        <f>IF(ISNA(VLOOKUP($B94,CPY!$B:$G,3,FALSE))=TRUE," ",VLOOKUP($B94,CPY!$B:$G,3,FALSE))</f>
        <v> </v>
      </c>
      <c r="E94" s="65" t="str">
        <f>IF(ISNA(VLOOKUP($B94,CPY!$B:$G,4,FALSE))=TRUE," ",VLOOKUP($B94,CPY!$B:$G,4,FALSE))</f>
        <v> </v>
      </c>
      <c r="F94" s="62"/>
      <c r="G94" s="86"/>
      <c r="H94" s="86"/>
      <c r="I94" s="87"/>
      <c r="J94" s="88"/>
      <c r="K94" s="88"/>
      <c r="L94" s="95">
        <f t="shared" si="2"/>
        <v>0</v>
      </c>
      <c r="M94" s="96" t="b">
        <f>IF((ISNUMBER(L94)),IF(AND(F94="Workdays",(SUMIFS(O:O,F:F,F94,I:I,I94,B:B,B94)&lt;=24)),IF(AND((L94*24)&gt;0,(L94*24)&lt;=8),(L94*24)*MD!$M$5,IF(AND((L94*24)&gt;8,(L94*24)&lt;=16),(MD!$N$5),IF((L94*24)&gt;16,MD!$N$5))),IF(AND(F94="Non_workdays",(SUMIFS(O:O,F:F,F94,I:I,I94,B:B,B94)&lt;=24)),IF(AND((L94*24)&gt;0,(L94*24)&lt;=8),(L94*24)*MD!$M$6,IF(AND((L94*24)&gt;8,(L94*24)&lt;=16),(MD!$N$6),IF((L94*24)&gt;16,MD!$N$6))),IF(AND(F94="Call_out",(SUMIFS(O:O,F:F,F94,I:I,I94,B:B,B94)&lt;=24)),IF(AND((L94*24)&gt;0,(L94*24)&lt;=8),(L94*24)*MD!$P$4,IF(AND((L94*24)&gt;8,(L94*24)&lt;=16),(MD!$Q$4),IF((L94*24)&gt;16,MD!$Q$4)))))))</f>
        <v>0</v>
      </c>
      <c r="N94" s="62"/>
      <c r="O94" s="72">
        <f t="shared" si="3"/>
        <v>0</v>
      </c>
    </row>
    <row r="95" spans="1:15" x14ac:dyDescent="0.25">
      <c r="A95" s="62">
        <v>94</v>
      </c>
      <c r="B95" s="62"/>
      <c r="C95" s="68" t="str">
        <f>IF(ISNA(VLOOKUP($B95,CPY!$B:$G,2,FALSE))=TRUE," ",VLOOKUP($B95,CPY!$B:$G,2,FALSE))</f>
        <v> </v>
      </c>
      <c r="D95" s="50" t="str">
        <f>IF(ISNA(VLOOKUP($B95,CPY!$B:$G,3,FALSE))=TRUE," ",VLOOKUP($B95,CPY!$B:$G,3,FALSE))</f>
        <v> </v>
      </c>
      <c r="E95" s="65" t="str">
        <f>IF(ISNA(VLOOKUP($B95,CPY!$B:$G,4,FALSE))=TRUE," ",VLOOKUP($B95,CPY!$B:$G,4,FALSE))</f>
        <v> </v>
      </c>
      <c r="F95" s="62"/>
      <c r="G95" s="86"/>
      <c r="H95" s="86"/>
      <c r="I95" s="87"/>
      <c r="J95" s="88"/>
      <c r="K95" s="88"/>
      <c r="L95" s="95">
        <f t="shared" si="2"/>
        <v>0</v>
      </c>
      <c r="M95" s="96" t="b">
        <f>IF((ISNUMBER(L95)),IF(AND(F95="Workdays",(SUMIFS(O:O,F:F,F95,I:I,I95,B:B,B95)&lt;=24)),IF(AND((L95*24)&gt;0,(L95*24)&lt;=8),(L95*24)*MD!$M$5,IF(AND((L95*24)&gt;8,(L95*24)&lt;=16),(MD!$N$5),IF((L95*24)&gt;16,MD!$N$5))),IF(AND(F95="Non_workdays",(SUMIFS(O:O,F:F,F95,I:I,I95,B:B,B95)&lt;=24)),IF(AND((L95*24)&gt;0,(L95*24)&lt;=8),(L95*24)*MD!$M$6,IF(AND((L95*24)&gt;8,(L95*24)&lt;=16),(MD!$N$6),IF((L95*24)&gt;16,MD!$N$6))),IF(AND(F95="Call_out",(SUMIFS(O:O,F:F,F95,I:I,I95,B:B,B95)&lt;=24)),IF(AND((L95*24)&gt;0,(L95*24)&lt;=8),(L95*24)*MD!$P$4,IF(AND((L95*24)&gt;8,(L95*24)&lt;=16),(MD!$Q$4),IF((L95*24)&gt;16,MD!$Q$4)))))))</f>
        <v>0</v>
      </c>
      <c r="N95" s="62"/>
      <c r="O95" s="72">
        <f t="shared" si="3"/>
        <v>0</v>
      </c>
    </row>
    <row r="96" spans="1:15" x14ac:dyDescent="0.25">
      <c r="A96" s="62">
        <v>95</v>
      </c>
      <c r="B96" s="62"/>
      <c r="C96" s="68" t="str">
        <f>IF(ISNA(VLOOKUP($B96,CPY!$B:$G,2,FALSE))=TRUE," ",VLOOKUP($B96,CPY!$B:$G,2,FALSE))</f>
        <v> </v>
      </c>
      <c r="D96" s="50" t="str">
        <f>IF(ISNA(VLOOKUP($B96,CPY!$B:$G,3,FALSE))=TRUE," ",VLOOKUP($B96,CPY!$B:$G,3,FALSE))</f>
        <v> </v>
      </c>
      <c r="E96" s="65" t="str">
        <f>IF(ISNA(VLOOKUP($B96,CPY!$B:$G,4,FALSE))=TRUE," ",VLOOKUP($B96,CPY!$B:$G,4,FALSE))</f>
        <v> </v>
      </c>
      <c r="F96" s="62"/>
      <c r="G96" s="86"/>
      <c r="H96" s="86"/>
      <c r="I96" s="87"/>
      <c r="J96" s="88"/>
      <c r="K96" s="88"/>
      <c r="L96" s="95">
        <f t="shared" si="2"/>
        <v>0</v>
      </c>
      <c r="M96" s="96" t="b">
        <f>IF((ISNUMBER(L96)),IF(AND(F96="Workdays",(SUMIFS(O:O,F:F,F96,I:I,I96,B:B,B96)&lt;=24)),IF(AND((L96*24)&gt;0,(L96*24)&lt;=8),(L96*24)*MD!$M$5,IF(AND((L96*24)&gt;8,(L96*24)&lt;=16),(MD!$N$5),IF((L96*24)&gt;16,MD!$N$5))),IF(AND(F96="Non_workdays",(SUMIFS(O:O,F:F,F96,I:I,I96,B:B,B96)&lt;=24)),IF(AND((L96*24)&gt;0,(L96*24)&lt;=8),(L96*24)*MD!$M$6,IF(AND((L96*24)&gt;8,(L96*24)&lt;=16),(MD!$N$6),IF((L96*24)&gt;16,MD!$N$6))),IF(AND(F96="Call_out",(SUMIFS(O:O,F:F,F96,I:I,I96,B:B,B96)&lt;=24)),IF(AND((L96*24)&gt;0,(L96*24)&lt;=8),(L96*24)*MD!$P$4,IF(AND((L96*24)&gt;8,(L96*24)&lt;=16),(MD!$Q$4),IF((L96*24)&gt;16,MD!$Q$4)))))))</f>
        <v>0</v>
      </c>
      <c r="N96" s="62"/>
      <c r="O96" s="72">
        <f t="shared" si="3"/>
        <v>0</v>
      </c>
    </row>
    <row r="97" spans="1:15" x14ac:dyDescent="0.25">
      <c r="A97" s="62">
        <v>96</v>
      </c>
      <c r="B97" s="62"/>
      <c r="C97" s="68" t="str">
        <f>IF(ISNA(VLOOKUP($B97,CPY!$B:$G,2,FALSE))=TRUE," ",VLOOKUP($B97,CPY!$B:$G,2,FALSE))</f>
        <v> </v>
      </c>
      <c r="D97" s="50" t="str">
        <f>IF(ISNA(VLOOKUP($B97,CPY!$B:$G,3,FALSE))=TRUE," ",VLOOKUP($B97,CPY!$B:$G,3,FALSE))</f>
        <v> </v>
      </c>
      <c r="E97" s="65" t="str">
        <f>IF(ISNA(VLOOKUP($B97,CPY!$B:$G,4,FALSE))=TRUE," ",VLOOKUP($B97,CPY!$B:$G,4,FALSE))</f>
        <v> </v>
      </c>
      <c r="F97" s="62"/>
      <c r="G97" s="86"/>
      <c r="H97" s="86"/>
      <c r="I97" s="87"/>
      <c r="J97" s="88"/>
      <c r="K97" s="88"/>
      <c r="L97" s="95">
        <f t="shared" si="2"/>
        <v>0</v>
      </c>
      <c r="M97" s="96" t="b">
        <f>IF((ISNUMBER(L97)),IF(AND(F97="Workdays",(SUMIFS(O:O,F:F,F97,I:I,I97,B:B,B97)&lt;=24)),IF(AND((L97*24)&gt;0,(L97*24)&lt;=8),(L97*24)*MD!$M$5,IF(AND((L97*24)&gt;8,(L97*24)&lt;=16),(MD!$N$5),IF((L97*24)&gt;16,MD!$N$5))),IF(AND(F97="Non_workdays",(SUMIFS(O:O,F:F,F97,I:I,I97,B:B,B97)&lt;=24)),IF(AND((L97*24)&gt;0,(L97*24)&lt;=8),(L97*24)*MD!$M$6,IF(AND((L97*24)&gt;8,(L97*24)&lt;=16),(MD!$N$6),IF((L97*24)&gt;16,MD!$N$6))),IF(AND(F97="Call_out",(SUMIFS(O:O,F:F,F97,I:I,I97,B:B,B97)&lt;=24)),IF(AND((L97*24)&gt;0,(L97*24)&lt;=8),(L97*24)*MD!$P$4,IF(AND((L97*24)&gt;8,(L97*24)&lt;=16),(MD!$Q$4),IF((L97*24)&gt;16,MD!$Q$4)))))))</f>
        <v>0</v>
      </c>
      <c r="N97" s="62"/>
      <c r="O97" s="72">
        <f t="shared" si="3"/>
        <v>0</v>
      </c>
    </row>
    <row r="98" spans="1:15" x14ac:dyDescent="0.25">
      <c r="A98" s="62">
        <v>97</v>
      </c>
      <c r="B98" s="62"/>
      <c r="C98" s="68" t="str">
        <f>IF(ISNA(VLOOKUP($B98,CPY!$B:$G,2,FALSE))=TRUE," ",VLOOKUP($B98,CPY!$B:$G,2,FALSE))</f>
        <v> </v>
      </c>
      <c r="D98" s="50" t="str">
        <f>IF(ISNA(VLOOKUP($B98,CPY!$B:$G,3,FALSE))=TRUE," ",VLOOKUP($B98,CPY!$B:$G,3,FALSE))</f>
        <v> </v>
      </c>
      <c r="E98" s="65" t="str">
        <f>IF(ISNA(VLOOKUP($B98,CPY!$B:$G,4,FALSE))=TRUE," ",VLOOKUP($B98,CPY!$B:$G,4,FALSE))</f>
        <v> </v>
      </c>
      <c r="F98" s="62"/>
      <c r="G98" s="86"/>
      <c r="H98" s="86"/>
      <c r="I98" s="87"/>
      <c r="J98" s="88"/>
      <c r="K98" s="88"/>
      <c r="L98" s="95">
        <f t="shared" si="2"/>
        <v>0</v>
      </c>
      <c r="M98" s="96" t="b">
        <f>IF((ISNUMBER(L98)),IF(AND(F98="Workdays",(SUMIFS(O:O,F:F,F98,I:I,I98,B:B,B98)&lt;=24)),IF(AND((L98*24)&gt;0,(L98*24)&lt;=8),(L98*24)*MD!$M$5,IF(AND((L98*24)&gt;8,(L98*24)&lt;=16),(MD!$N$5),IF((L98*24)&gt;16,MD!$N$5))),IF(AND(F98="Non_workdays",(SUMIFS(O:O,F:F,F98,I:I,I98,B:B,B98)&lt;=24)),IF(AND((L98*24)&gt;0,(L98*24)&lt;=8),(L98*24)*MD!$M$6,IF(AND((L98*24)&gt;8,(L98*24)&lt;=16),(MD!$N$6),IF((L98*24)&gt;16,MD!$N$6))),IF(AND(F98="Call_out",(SUMIFS(O:O,F:F,F98,I:I,I98,B:B,B98)&lt;=24)),IF(AND((L98*24)&gt;0,(L98*24)&lt;=8),(L98*24)*MD!$P$4,IF(AND((L98*24)&gt;8,(L98*24)&lt;=16),(MD!$Q$4),IF((L98*24)&gt;16,MD!$Q$4)))))))</f>
        <v>0</v>
      </c>
      <c r="N98" s="62"/>
      <c r="O98" s="72">
        <f t="shared" si="3"/>
        <v>0</v>
      </c>
    </row>
    <row r="99" spans="1:15" x14ac:dyDescent="0.25">
      <c r="A99" s="62">
        <v>98</v>
      </c>
      <c r="B99" s="62"/>
      <c r="C99" s="68" t="str">
        <f>IF(ISNA(VLOOKUP($B99,CPY!$B:$G,2,FALSE))=TRUE," ",VLOOKUP($B99,CPY!$B:$G,2,FALSE))</f>
        <v> </v>
      </c>
      <c r="D99" s="50" t="str">
        <f>IF(ISNA(VLOOKUP($B99,CPY!$B:$G,3,FALSE))=TRUE," ",VLOOKUP($B99,CPY!$B:$G,3,FALSE))</f>
        <v> </v>
      </c>
      <c r="E99" s="65" t="str">
        <f>IF(ISNA(VLOOKUP($B99,CPY!$B:$G,4,FALSE))=TRUE," ",VLOOKUP($B99,CPY!$B:$G,4,FALSE))</f>
        <v> </v>
      </c>
      <c r="F99" s="62"/>
      <c r="G99" s="86"/>
      <c r="H99" s="86"/>
      <c r="I99" s="87"/>
      <c r="J99" s="88"/>
      <c r="K99" s="88"/>
      <c r="L99" s="95">
        <f t="shared" si="2"/>
        <v>0</v>
      </c>
      <c r="M99" s="96" t="b">
        <f>IF((ISNUMBER(L99)),IF(AND(F99="Workdays",(SUMIFS(O:O,F:F,F99,I:I,I99,B:B,B99)&lt;=24)),IF(AND((L99*24)&gt;0,(L99*24)&lt;=8),(L99*24)*MD!$M$5,IF(AND((L99*24)&gt;8,(L99*24)&lt;=16),(MD!$N$5),IF((L99*24)&gt;16,MD!$N$5))),IF(AND(F99="Non_workdays",(SUMIFS(O:O,F:F,F99,I:I,I99,B:B,B99)&lt;=24)),IF(AND((L99*24)&gt;0,(L99*24)&lt;=8),(L99*24)*MD!$M$6,IF(AND((L99*24)&gt;8,(L99*24)&lt;=16),(MD!$N$6),IF((L99*24)&gt;16,MD!$N$6))),IF(AND(F99="Call_out",(SUMIFS(O:O,F:F,F99,I:I,I99,B:B,B99)&lt;=24)),IF(AND((L99*24)&gt;0,(L99*24)&lt;=8),(L99*24)*MD!$P$4,IF(AND((L99*24)&gt;8,(L99*24)&lt;=16),(MD!$Q$4),IF((L99*24)&gt;16,MD!$Q$4)))))))</f>
        <v>0</v>
      </c>
      <c r="N99" s="62"/>
      <c r="O99" s="72">
        <f t="shared" si="3"/>
        <v>0</v>
      </c>
    </row>
    <row r="100" spans="1:15" x14ac:dyDescent="0.25">
      <c r="A100" s="62">
        <v>99</v>
      </c>
      <c r="B100" s="62"/>
      <c r="C100" s="68" t="str">
        <f>IF(ISNA(VLOOKUP($B100,CPY!$B:$G,2,FALSE))=TRUE," ",VLOOKUP($B100,CPY!$B:$G,2,FALSE))</f>
        <v> </v>
      </c>
      <c r="D100" s="50" t="str">
        <f>IF(ISNA(VLOOKUP($B100,CPY!$B:$G,3,FALSE))=TRUE," ",VLOOKUP($B100,CPY!$B:$G,3,FALSE))</f>
        <v> </v>
      </c>
      <c r="E100" s="65" t="str">
        <f>IF(ISNA(VLOOKUP($B100,CPY!$B:$G,4,FALSE))=TRUE," ",VLOOKUP($B100,CPY!$B:$G,4,FALSE))</f>
        <v> </v>
      </c>
      <c r="F100" s="62"/>
      <c r="G100" s="86"/>
      <c r="H100" s="86"/>
      <c r="I100" s="87"/>
      <c r="J100" s="88"/>
      <c r="K100" s="88"/>
      <c r="L100" s="95">
        <f t="shared" si="2"/>
        <v>0</v>
      </c>
      <c r="M100" s="96" t="b">
        <f>IF((ISNUMBER(L100)),IF(AND(F100="Workdays",(SUMIFS(O:O,F:F,F100,I:I,I100,B:B,B100)&lt;=24)),IF(AND((L100*24)&gt;0,(L100*24)&lt;=8),(L100*24)*MD!$M$5,IF(AND((L100*24)&gt;8,(L100*24)&lt;=16),(MD!$N$5),IF((L100*24)&gt;16,MD!$N$5))),IF(AND(F100="Non_workdays",(SUMIFS(O:O,F:F,F100,I:I,I100,B:B,B100)&lt;=24)),IF(AND((L100*24)&gt;0,(L100*24)&lt;=8),(L100*24)*MD!$M$6,IF(AND((L100*24)&gt;8,(L100*24)&lt;=16),(MD!$N$6),IF((L100*24)&gt;16,MD!$N$6))),IF(AND(F100="Call_out",(SUMIFS(O:O,F:F,F100,I:I,I100,B:B,B100)&lt;=24)),IF(AND((L100*24)&gt;0,(L100*24)&lt;=8),(L100*24)*MD!$P$4,IF(AND((L100*24)&gt;8,(L100*24)&lt;=16),(MD!$Q$4),IF((L100*24)&gt;16,MD!$Q$4)))))))</f>
        <v>0</v>
      </c>
      <c r="N100" s="62"/>
      <c r="O100" s="72">
        <f t="shared" si="3"/>
        <v>0</v>
      </c>
    </row>
    <row r="101" spans="1:15" x14ac:dyDescent="0.25">
      <c r="A101" s="62">
        <v>100</v>
      </c>
      <c r="B101" s="62"/>
      <c r="C101" s="68" t="str">
        <f>IF(ISNA(VLOOKUP($B101,CPY!$B:$G,2,FALSE))=TRUE," ",VLOOKUP($B101,CPY!$B:$G,2,FALSE))</f>
        <v> </v>
      </c>
      <c r="D101" s="50" t="str">
        <f>IF(ISNA(VLOOKUP($B101,CPY!$B:$G,3,FALSE))=TRUE," ",VLOOKUP($B101,CPY!$B:$G,3,FALSE))</f>
        <v> </v>
      </c>
      <c r="E101" s="65" t="str">
        <f>IF(ISNA(VLOOKUP($B101,CPY!$B:$G,4,FALSE))=TRUE," ",VLOOKUP($B101,CPY!$B:$G,4,FALSE))</f>
        <v> </v>
      </c>
      <c r="F101" s="62"/>
      <c r="G101" s="86"/>
      <c r="H101" s="86"/>
      <c r="I101" s="87"/>
      <c r="J101" s="88"/>
      <c r="K101" s="88"/>
      <c r="L101" s="95">
        <f t="shared" si="2"/>
        <v>0</v>
      </c>
      <c r="M101" s="96" t="b">
        <f>IF((ISNUMBER(L101)),IF(AND(F101="Workdays",(SUMIFS(O:O,F:F,F101,I:I,I101,B:B,B101)&lt;=24)),IF(AND((L101*24)&gt;0,(L101*24)&lt;=8),(L101*24)*MD!$M$5,IF(AND((L101*24)&gt;8,(L101*24)&lt;=16),(MD!$N$5),IF((L101*24)&gt;16,MD!$N$5))),IF(AND(F101="Non_workdays",(SUMIFS(O:O,F:F,F101,I:I,I101,B:B,B101)&lt;=24)),IF(AND((L101*24)&gt;0,(L101*24)&lt;=8),(L101*24)*MD!$M$6,IF(AND((L101*24)&gt;8,(L101*24)&lt;=16),(MD!$N$6),IF((L101*24)&gt;16,MD!$N$6))),IF(AND(F101="Call_out",(SUMIFS(O:O,F:F,F101,I:I,I101,B:B,B101)&lt;=24)),IF(AND((L101*24)&gt;0,(L101*24)&lt;=8),(L101*24)*MD!$P$4,IF(AND((L101*24)&gt;8,(L101*24)&lt;=16),(MD!$Q$4),IF((L101*24)&gt;16,MD!$Q$4)))))))</f>
        <v>0</v>
      </c>
      <c r="N101" s="62"/>
      <c r="O101" s="72">
        <f t="shared" si="3"/>
        <v>0</v>
      </c>
    </row>
    <row r="102" spans="1:15" x14ac:dyDescent="0.25">
      <c r="A102" s="62">
        <v>101</v>
      </c>
      <c r="B102" s="62"/>
      <c r="C102" s="68" t="str">
        <f>IF(ISNA(VLOOKUP($B102,CPY!$B:$G,2,FALSE))=TRUE," ",VLOOKUP($B102,CPY!$B:$G,2,FALSE))</f>
        <v> </v>
      </c>
      <c r="D102" s="50" t="str">
        <f>IF(ISNA(VLOOKUP($B102,CPY!$B:$G,3,FALSE))=TRUE," ",VLOOKUP($B102,CPY!$B:$G,3,FALSE))</f>
        <v> </v>
      </c>
      <c r="E102" s="65" t="str">
        <f>IF(ISNA(VLOOKUP($B102,CPY!$B:$G,4,FALSE))=TRUE," ",VLOOKUP($B102,CPY!$B:$G,4,FALSE))</f>
        <v> </v>
      </c>
      <c r="F102" s="62"/>
      <c r="G102" s="86"/>
      <c r="H102" s="86"/>
      <c r="I102" s="87"/>
      <c r="J102" s="88"/>
      <c r="K102" s="88"/>
      <c r="L102" s="95">
        <f t="shared" si="2"/>
        <v>0</v>
      </c>
      <c r="M102" s="96" t="b">
        <f>IF((ISNUMBER(L102)),IF(AND(F102="Workdays",(SUMIFS(O:O,F:F,F102,I:I,I102,B:B,B102)&lt;=24)),IF(AND((L102*24)&gt;0,(L102*24)&lt;=8),(L102*24)*MD!$M$5,IF(AND((L102*24)&gt;8,(L102*24)&lt;=16),(MD!$N$5),IF((L102*24)&gt;16,MD!$N$5))),IF(AND(F102="Non_workdays",(SUMIFS(O:O,F:F,F102,I:I,I102,B:B,B102)&lt;=24)),IF(AND((L102*24)&gt;0,(L102*24)&lt;=8),(L102*24)*MD!$M$6,IF(AND((L102*24)&gt;8,(L102*24)&lt;=16),(MD!$N$6),IF((L102*24)&gt;16,MD!$N$6))),IF(AND(F102="Call_out",(SUMIFS(O:O,F:F,F102,I:I,I102,B:B,B102)&lt;=24)),IF(AND((L102*24)&gt;0,(L102*24)&lt;=8),(L102*24)*MD!$P$4,IF(AND((L102*24)&gt;8,(L102*24)&lt;=16),(MD!$Q$4),IF((L102*24)&gt;16,MD!$Q$4)))))))</f>
        <v>0</v>
      </c>
      <c r="N102" s="62"/>
      <c r="O102" s="72">
        <f t="shared" si="3"/>
        <v>0</v>
      </c>
    </row>
    <row r="103" spans="1:15" x14ac:dyDescent="0.25">
      <c r="A103" s="62">
        <v>102</v>
      </c>
      <c r="B103" s="62"/>
      <c r="C103" s="68" t="str">
        <f>IF(ISNA(VLOOKUP($B103,CPY!$B:$G,2,FALSE))=TRUE," ",VLOOKUP($B103,CPY!$B:$G,2,FALSE))</f>
        <v> </v>
      </c>
      <c r="D103" s="50" t="str">
        <f>IF(ISNA(VLOOKUP($B103,CPY!$B:$G,3,FALSE))=TRUE," ",VLOOKUP($B103,CPY!$B:$G,3,FALSE))</f>
        <v> </v>
      </c>
      <c r="E103" s="65" t="str">
        <f>IF(ISNA(VLOOKUP($B103,CPY!$B:$G,4,FALSE))=TRUE," ",VLOOKUP($B103,CPY!$B:$G,4,FALSE))</f>
        <v> </v>
      </c>
      <c r="F103" s="62"/>
      <c r="G103" s="86"/>
      <c r="H103" s="86"/>
      <c r="I103" s="87"/>
      <c r="J103" s="88"/>
      <c r="K103" s="88"/>
      <c r="L103" s="95">
        <f t="shared" si="2"/>
        <v>0</v>
      </c>
      <c r="M103" s="96" t="b">
        <f>IF((ISNUMBER(L103)),IF(AND(F103="Workdays",(SUMIFS(O:O,F:F,F103,I:I,I103,B:B,B103)&lt;=24)),IF(AND((L103*24)&gt;0,(L103*24)&lt;=8),(L103*24)*MD!$M$5,IF(AND((L103*24)&gt;8,(L103*24)&lt;=16),(MD!$N$5),IF((L103*24)&gt;16,MD!$N$5))),IF(AND(F103="Non_workdays",(SUMIFS(O:O,F:F,F103,I:I,I103,B:B,B103)&lt;=24)),IF(AND((L103*24)&gt;0,(L103*24)&lt;=8),(L103*24)*MD!$M$6,IF(AND((L103*24)&gt;8,(L103*24)&lt;=16),(MD!$N$6),IF((L103*24)&gt;16,MD!$N$6))),IF(AND(F103="Call_out",(SUMIFS(O:O,F:F,F103,I:I,I103,B:B,B103)&lt;=24)),IF(AND((L103*24)&gt;0,(L103*24)&lt;=8),(L103*24)*MD!$P$4,IF(AND((L103*24)&gt;8,(L103*24)&lt;=16),(MD!$Q$4),IF((L103*24)&gt;16,MD!$Q$4)))))))</f>
        <v>0</v>
      </c>
      <c r="N103" s="62"/>
      <c r="O103" s="72">
        <f t="shared" si="3"/>
        <v>0</v>
      </c>
    </row>
    <row r="104" spans="1:15" x14ac:dyDescent="0.25">
      <c r="A104" s="62">
        <v>103</v>
      </c>
      <c r="B104" s="62"/>
      <c r="C104" s="68" t="str">
        <f>IF(ISNA(VLOOKUP($B104,CPY!$B:$G,2,FALSE))=TRUE," ",VLOOKUP($B104,CPY!$B:$G,2,FALSE))</f>
        <v> </v>
      </c>
      <c r="D104" s="50" t="str">
        <f>IF(ISNA(VLOOKUP($B104,CPY!$B:$G,3,FALSE))=TRUE," ",VLOOKUP($B104,CPY!$B:$G,3,FALSE))</f>
        <v> </v>
      </c>
      <c r="E104" s="65" t="str">
        <f>IF(ISNA(VLOOKUP($B104,CPY!$B:$G,4,FALSE))=TRUE," ",VLOOKUP($B104,CPY!$B:$G,4,FALSE))</f>
        <v> </v>
      </c>
      <c r="F104" s="62"/>
      <c r="G104" s="86"/>
      <c r="H104" s="86"/>
      <c r="I104" s="87"/>
      <c r="J104" s="88"/>
      <c r="K104" s="88"/>
      <c r="L104" s="95">
        <f t="shared" si="2"/>
        <v>0</v>
      </c>
      <c r="M104" s="96" t="b">
        <f>IF((ISNUMBER(L104)),IF(AND(F104="Workdays",(SUMIFS(O:O,F:F,F104,I:I,I104,B:B,B104)&lt;=24)),IF(AND((L104*24)&gt;0,(L104*24)&lt;=8),(L104*24)*MD!$M$5,IF(AND((L104*24)&gt;8,(L104*24)&lt;=16),(MD!$N$5),IF((L104*24)&gt;16,MD!$N$5))),IF(AND(F104="Non_workdays",(SUMIFS(O:O,F:F,F104,I:I,I104,B:B,B104)&lt;=24)),IF(AND((L104*24)&gt;0,(L104*24)&lt;=8),(L104*24)*MD!$M$6,IF(AND((L104*24)&gt;8,(L104*24)&lt;=16),(MD!$N$6),IF((L104*24)&gt;16,MD!$N$6))),IF(AND(F104="Call_out",(SUMIFS(O:O,F:F,F104,I:I,I104,B:B,B104)&lt;=24)),IF(AND((L104*24)&gt;0,(L104*24)&lt;=8),(L104*24)*MD!$P$4,IF(AND((L104*24)&gt;8,(L104*24)&lt;=16),(MD!$Q$4),IF((L104*24)&gt;16,MD!$Q$4)))))))</f>
        <v>0</v>
      </c>
      <c r="N104" s="62"/>
      <c r="O104" s="72">
        <f t="shared" si="3"/>
        <v>0</v>
      </c>
    </row>
    <row r="105" spans="1:15" x14ac:dyDescent="0.25">
      <c r="A105" s="62">
        <v>104</v>
      </c>
      <c r="B105" s="62"/>
      <c r="C105" s="68" t="str">
        <f>IF(ISNA(VLOOKUP($B105,CPY!$B:$G,2,FALSE))=TRUE," ",VLOOKUP($B105,CPY!$B:$G,2,FALSE))</f>
        <v> </v>
      </c>
      <c r="D105" s="50" t="str">
        <f>IF(ISNA(VLOOKUP($B105,CPY!$B:$G,3,FALSE))=TRUE," ",VLOOKUP($B105,CPY!$B:$G,3,FALSE))</f>
        <v> </v>
      </c>
      <c r="E105" s="65" t="str">
        <f>IF(ISNA(VLOOKUP($B105,CPY!$B:$G,4,FALSE))=TRUE," ",VLOOKUP($B105,CPY!$B:$G,4,FALSE))</f>
        <v> </v>
      </c>
      <c r="F105" s="62"/>
      <c r="G105" s="86"/>
      <c r="H105" s="86"/>
      <c r="I105" s="87"/>
      <c r="J105" s="88"/>
      <c r="K105" s="88"/>
      <c r="L105" s="95">
        <f t="shared" si="2"/>
        <v>0</v>
      </c>
      <c r="M105" s="96" t="b">
        <f>IF((ISNUMBER(L105)),IF(AND(F105="Workdays",(SUMIFS(O:O,F:F,F105,I:I,I105,B:B,B105)&lt;=24)),IF(AND((L105*24)&gt;0,(L105*24)&lt;=8),(L105*24)*MD!$M$5,IF(AND((L105*24)&gt;8,(L105*24)&lt;=16),(MD!$N$5),IF((L105*24)&gt;16,MD!$N$5))),IF(AND(F105="Non_workdays",(SUMIFS(O:O,F:F,F105,I:I,I105,B:B,B105)&lt;=24)),IF(AND((L105*24)&gt;0,(L105*24)&lt;=8),(L105*24)*MD!$M$6,IF(AND((L105*24)&gt;8,(L105*24)&lt;=16),(MD!$N$6),IF((L105*24)&gt;16,MD!$N$6))),IF(AND(F105="Call_out",(SUMIFS(O:O,F:F,F105,I:I,I105,B:B,B105)&lt;=24)),IF(AND((L105*24)&gt;0,(L105*24)&lt;=8),(L105*24)*MD!$P$4,IF(AND((L105*24)&gt;8,(L105*24)&lt;=16),(MD!$Q$4),IF((L105*24)&gt;16,MD!$Q$4)))))))</f>
        <v>0</v>
      </c>
      <c r="N105" s="62"/>
      <c r="O105" s="72">
        <f t="shared" si="3"/>
        <v>0</v>
      </c>
    </row>
    <row r="106" spans="1:15" x14ac:dyDescent="0.25">
      <c r="A106" s="62">
        <v>105</v>
      </c>
      <c r="B106" s="62"/>
      <c r="C106" s="68" t="str">
        <f>IF(ISNA(VLOOKUP($B106,CPY!$B:$G,2,FALSE))=TRUE," ",VLOOKUP($B106,CPY!$B:$G,2,FALSE))</f>
        <v> </v>
      </c>
      <c r="D106" s="50" t="str">
        <f>IF(ISNA(VLOOKUP($B106,CPY!$B:$G,3,FALSE))=TRUE," ",VLOOKUP($B106,CPY!$B:$G,3,FALSE))</f>
        <v> </v>
      </c>
      <c r="E106" s="65" t="str">
        <f>IF(ISNA(VLOOKUP($B106,CPY!$B:$G,4,FALSE))=TRUE," ",VLOOKUP($B106,CPY!$B:$G,4,FALSE))</f>
        <v> </v>
      </c>
      <c r="F106" s="62"/>
      <c r="G106" s="86"/>
      <c r="H106" s="86"/>
      <c r="I106" s="87"/>
      <c r="J106" s="88"/>
      <c r="K106" s="88"/>
      <c r="L106" s="95">
        <f t="shared" si="2"/>
        <v>0</v>
      </c>
      <c r="M106" s="96" t="b">
        <f>IF((ISNUMBER(L106)),IF(AND(F106="Workdays",(SUMIFS(O:O,F:F,F106,I:I,I106,B:B,B106)&lt;=24)),IF(AND((L106*24)&gt;0,(L106*24)&lt;=8),(L106*24)*MD!$M$5,IF(AND((L106*24)&gt;8,(L106*24)&lt;=16),(MD!$N$5),IF((L106*24)&gt;16,MD!$N$5))),IF(AND(F106="Non_workdays",(SUMIFS(O:O,F:F,F106,I:I,I106,B:B,B106)&lt;=24)),IF(AND((L106*24)&gt;0,(L106*24)&lt;=8),(L106*24)*MD!$M$6,IF(AND((L106*24)&gt;8,(L106*24)&lt;=16),(MD!$N$6),IF((L106*24)&gt;16,MD!$N$6))),IF(AND(F106="Call_out",(SUMIFS(O:O,F:F,F106,I:I,I106,B:B,B106)&lt;=24)),IF(AND((L106*24)&gt;0,(L106*24)&lt;=8),(L106*24)*MD!$P$4,IF(AND((L106*24)&gt;8,(L106*24)&lt;=16),(MD!$Q$4),IF((L106*24)&gt;16,MD!$Q$4)))))))</f>
        <v>0</v>
      </c>
      <c r="N106" s="62"/>
      <c r="O106" s="72">
        <f t="shared" si="3"/>
        <v>0</v>
      </c>
    </row>
    <row r="107" spans="1:15" x14ac:dyDescent="0.25">
      <c r="A107" s="62">
        <v>106</v>
      </c>
      <c r="B107" s="62"/>
      <c r="C107" s="68" t="str">
        <f>IF(ISNA(VLOOKUP($B107,CPY!$B:$G,2,FALSE))=TRUE," ",VLOOKUP($B107,CPY!$B:$G,2,FALSE))</f>
        <v> </v>
      </c>
      <c r="D107" s="50" t="str">
        <f>IF(ISNA(VLOOKUP($B107,CPY!$B:$G,3,FALSE))=TRUE," ",VLOOKUP($B107,CPY!$B:$G,3,FALSE))</f>
        <v> </v>
      </c>
      <c r="E107" s="65" t="str">
        <f>IF(ISNA(VLOOKUP($B107,CPY!$B:$G,4,FALSE))=TRUE," ",VLOOKUP($B107,CPY!$B:$G,4,FALSE))</f>
        <v> </v>
      </c>
      <c r="F107" s="62"/>
      <c r="G107" s="86"/>
      <c r="H107" s="86"/>
      <c r="I107" s="87"/>
      <c r="J107" s="88"/>
      <c r="K107" s="88"/>
      <c r="L107" s="95">
        <f t="shared" si="2"/>
        <v>0</v>
      </c>
      <c r="M107" s="96" t="b">
        <f>IF((ISNUMBER(L107)),IF(AND(F107="Workdays",(SUMIFS(O:O,F:F,F107,I:I,I107,B:B,B107)&lt;=24)),IF(AND((L107*24)&gt;0,(L107*24)&lt;=8),(L107*24)*MD!$M$5,IF(AND((L107*24)&gt;8,(L107*24)&lt;=16),(MD!$N$5),IF((L107*24)&gt;16,MD!$N$5))),IF(AND(F107="Non_workdays",(SUMIFS(O:O,F:F,F107,I:I,I107,B:B,B107)&lt;=24)),IF(AND((L107*24)&gt;0,(L107*24)&lt;=8),(L107*24)*MD!$M$6,IF(AND((L107*24)&gt;8,(L107*24)&lt;=16),(MD!$N$6),IF((L107*24)&gt;16,MD!$N$6))),IF(AND(F107="Call_out",(SUMIFS(O:O,F:F,F107,I:I,I107,B:B,B107)&lt;=24)),IF(AND((L107*24)&gt;0,(L107*24)&lt;=8),(L107*24)*MD!$P$4,IF(AND((L107*24)&gt;8,(L107*24)&lt;=16),(MD!$Q$4),IF((L107*24)&gt;16,MD!$Q$4)))))))</f>
        <v>0</v>
      </c>
      <c r="N107" s="62"/>
      <c r="O107" s="72">
        <f t="shared" si="3"/>
        <v>0</v>
      </c>
    </row>
    <row r="108" spans="1:15" x14ac:dyDescent="0.25">
      <c r="A108" s="62">
        <v>107</v>
      </c>
      <c r="B108" s="62"/>
      <c r="C108" s="68" t="str">
        <f>IF(ISNA(VLOOKUP($B108,CPY!$B:$G,2,FALSE))=TRUE," ",VLOOKUP($B108,CPY!$B:$G,2,FALSE))</f>
        <v> </v>
      </c>
      <c r="D108" s="50" t="str">
        <f>IF(ISNA(VLOOKUP($B108,CPY!$B:$G,3,FALSE))=TRUE," ",VLOOKUP($B108,CPY!$B:$G,3,FALSE))</f>
        <v> </v>
      </c>
      <c r="E108" s="65" t="str">
        <f>IF(ISNA(VLOOKUP($B108,CPY!$B:$G,4,FALSE))=TRUE," ",VLOOKUP($B108,CPY!$B:$G,4,FALSE))</f>
        <v> </v>
      </c>
      <c r="F108" s="62"/>
      <c r="G108" s="86"/>
      <c r="H108" s="86"/>
      <c r="I108" s="87"/>
      <c r="J108" s="88"/>
      <c r="K108" s="88"/>
      <c r="L108" s="95">
        <f t="shared" si="2"/>
        <v>0</v>
      </c>
      <c r="M108" s="96" t="b">
        <f>IF((ISNUMBER(L108)),IF(AND(F108="Workdays",(SUMIFS(O:O,F:F,F108,I:I,I108,B:B,B108)&lt;=24)),IF(AND((L108*24)&gt;0,(L108*24)&lt;=8),(L108*24)*MD!$M$5,IF(AND((L108*24)&gt;8,(L108*24)&lt;=16),(MD!$N$5),IF((L108*24)&gt;16,MD!$N$5))),IF(AND(F108="Non_workdays",(SUMIFS(O:O,F:F,F108,I:I,I108,B:B,B108)&lt;=24)),IF(AND((L108*24)&gt;0,(L108*24)&lt;=8),(L108*24)*MD!$M$6,IF(AND((L108*24)&gt;8,(L108*24)&lt;=16),(MD!$N$6),IF((L108*24)&gt;16,MD!$N$6))),IF(AND(F108="Call_out",(SUMIFS(O:O,F:F,F108,I:I,I108,B:B,B108)&lt;=24)),IF(AND((L108*24)&gt;0,(L108*24)&lt;=8),(L108*24)*MD!$P$4,IF(AND((L108*24)&gt;8,(L108*24)&lt;=16),(MD!$Q$4),IF((L108*24)&gt;16,MD!$Q$4)))))))</f>
        <v>0</v>
      </c>
      <c r="N108" s="62"/>
      <c r="O108" s="72">
        <f t="shared" si="3"/>
        <v>0</v>
      </c>
    </row>
    <row r="109" spans="1:15" x14ac:dyDescent="0.25">
      <c r="A109" s="62">
        <v>108</v>
      </c>
      <c r="B109" s="62"/>
      <c r="C109" s="68" t="str">
        <f>IF(ISNA(VLOOKUP($B109,CPY!$B:$G,2,FALSE))=TRUE," ",VLOOKUP($B109,CPY!$B:$G,2,FALSE))</f>
        <v> </v>
      </c>
      <c r="D109" s="50" t="str">
        <f>IF(ISNA(VLOOKUP($B109,CPY!$B:$G,3,FALSE))=TRUE," ",VLOOKUP($B109,CPY!$B:$G,3,FALSE))</f>
        <v> </v>
      </c>
      <c r="E109" s="65" t="str">
        <f>IF(ISNA(VLOOKUP($B109,CPY!$B:$G,4,FALSE))=TRUE," ",VLOOKUP($B109,CPY!$B:$G,4,FALSE))</f>
        <v> </v>
      </c>
      <c r="F109" s="62"/>
      <c r="G109" s="86"/>
      <c r="H109" s="86"/>
      <c r="I109" s="87"/>
      <c r="J109" s="88"/>
      <c r="K109" s="88"/>
      <c r="L109" s="95">
        <f t="shared" si="2"/>
        <v>0</v>
      </c>
      <c r="M109" s="96" t="b">
        <f>IF((ISNUMBER(L109)),IF(AND(F109="Workdays",(SUMIFS(O:O,F:F,F109,I:I,I109,B:B,B109)&lt;=24)),IF(AND((L109*24)&gt;0,(L109*24)&lt;=8),(L109*24)*MD!$M$5,IF(AND((L109*24)&gt;8,(L109*24)&lt;=16),(MD!$N$5),IF((L109*24)&gt;16,MD!$N$5))),IF(AND(F109="Non_workdays",(SUMIFS(O:O,F:F,F109,I:I,I109,B:B,B109)&lt;=24)),IF(AND((L109*24)&gt;0,(L109*24)&lt;=8),(L109*24)*MD!$M$6,IF(AND((L109*24)&gt;8,(L109*24)&lt;=16),(MD!$N$6),IF((L109*24)&gt;16,MD!$N$6))),IF(AND(F109="Call_out",(SUMIFS(O:O,F:F,F109,I:I,I109,B:B,B109)&lt;=24)),IF(AND((L109*24)&gt;0,(L109*24)&lt;=8),(L109*24)*MD!$P$4,IF(AND((L109*24)&gt;8,(L109*24)&lt;=16),(MD!$Q$4),IF((L109*24)&gt;16,MD!$Q$4)))))))</f>
        <v>0</v>
      </c>
      <c r="N109" s="62"/>
      <c r="O109" s="72">
        <f t="shared" si="3"/>
        <v>0</v>
      </c>
    </row>
    <row r="110" spans="1:15" x14ac:dyDescent="0.25">
      <c r="A110" s="62">
        <v>109</v>
      </c>
      <c r="B110" s="62"/>
      <c r="C110" s="68" t="str">
        <f>IF(ISNA(VLOOKUP($B110,CPY!$B:$G,2,FALSE))=TRUE," ",VLOOKUP($B110,CPY!$B:$G,2,FALSE))</f>
        <v> </v>
      </c>
      <c r="D110" s="50" t="str">
        <f>IF(ISNA(VLOOKUP($B110,CPY!$B:$G,3,FALSE))=TRUE," ",VLOOKUP($B110,CPY!$B:$G,3,FALSE))</f>
        <v> </v>
      </c>
      <c r="E110" s="65" t="str">
        <f>IF(ISNA(VLOOKUP($B110,CPY!$B:$G,4,FALSE))=TRUE," ",VLOOKUP($B110,CPY!$B:$G,4,FALSE))</f>
        <v> </v>
      </c>
      <c r="F110" s="62"/>
      <c r="G110" s="86"/>
      <c r="H110" s="86"/>
      <c r="I110" s="87"/>
      <c r="J110" s="88"/>
      <c r="K110" s="88"/>
      <c r="L110" s="95">
        <f t="shared" si="2"/>
        <v>0</v>
      </c>
      <c r="M110" s="96" t="b">
        <f>IF((ISNUMBER(L110)),IF(AND(F110="Workdays",(SUMIFS(O:O,F:F,F110,I:I,I110,B:B,B110)&lt;=24)),IF(AND((L110*24)&gt;0,(L110*24)&lt;=8),(L110*24)*MD!$M$5,IF(AND((L110*24)&gt;8,(L110*24)&lt;=16),(MD!$N$5),IF((L110*24)&gt;16,MD!$N$5))),IF(AND(F110="Non_workdays",(SUMIFS(O:O,F:F,F110,I:I,I110,B:B,B110)&lt;=24)),IF(AND((L110*24)&gt;0,(L110*24)&lt;=8),(L110*24)*MD!$M$6,IF(AND((L110*24)&gt;8,(L110*24)&lt;=16),(MD!$N$6),IF((L110*24)&gt;16,MD!$N$6))),IF(AND(F110="Call_out",(SUMIFS(O:O,F:F,F110,I:I,I110,B:B,B110)&lt;=24)),IF(AND((L110*24)&gt;0,(L110*24)&lt;=8),(L110*24)*MD!$P$4,IF(AND((L110*24)&gt;8,(L110*24)&lt;=16),(MD!$Q$4),IF((L110*24)&gt;16,MD!$Q$4)))))))</f>
        <v>0</v>
      </c>
      <c r="N110" s="62"/>
      <c r="O110" s="72">
        <f t="shared" si="3"/>
        <v>0</v>
      </c>
    </row>
    <row r="111" spans="1:15" x14ac:dyDescent="0.25">
      <c r="A111" s="62">
        <v>110</v>
      </c>
      <c r="B111" s="62"/>
      <c r="C111" s="68" t="str">
        <f>IF(ISNA(VLOOKUP($B111,CPY!$B:$G,2,FALSE))=TRUE," ",VLOOKUP($B111,CPY!$B:$G,2,FALSE))</f>
        <v> </v>
      </c>
      <c r="D111" s="50" t="str">
        <f>IF(ISNA(VLOOKUP($B111,CPY!$B:$G,3,FALSE))=TRUE," ",VLOOKUP($B111,CPY!$B:$G,3,FALSE))</f>
        <v> </v>
      </c>
      <c r="E111" s="65" t="str">
        <f>IF(ISNA(VLOOKUP($B111,CPY!$B:$G,4,FALSE))=TRUE," ",VLOOKUP($B111,CPY!$B:$G,4,FALSE))</f>
        <v> </v>
      </c>
      <c r="F111" s="62"/>
      <c r="G111" s="86"/>
      <c r="H111" s="86"/>
      <c r="I111" s="87"/>
      <c r="J111" s="88"/>
      <c r="K111" s="88"/>
      <c r="L111" s="95">
        <f t="shared" si="2"/>
        <v>0</v>
      </c>
      <c r="M111" s="96" t="b">
        <f>IF((ISNUMBER(L111)),IF(AND(F111="Workdays",(SUMIFS(O:O,F:F,F111,I:I,I111,B:B,B111)&lt;=24)),IF(AND((L111*24)&gt;0,(L111*24)&lt;=8),(L111*24)*MD!$M$5,IF(AND((L111*24)&gt;8,(L111*24)&lt;=16),(MD!$N$5),IF((L111*24)&gt;16,MD!$N$5))),IF(AND(F111="Non_workdays",(SUMIFS(O:O,F:F,F111,I:I,I111,B:B,B111)&lt;=24)),IF(AND((L111*24)&gt;0,(L111*24)&lt;=8),(L111*24)*MD!$M$6,IF(AND((L111*24)&gt;8,(L111*24)&lt;=16),(MD!$N$6),IF((L111*24)&gt;16,MD!$N$6))),IF(AND(F111="Call_out",(SUMIFS(O:O,F:F,F111,I:I,I111,B:B,B111)&lt;=24)),IF(AND((L111*24)&gt;0,(L111*24)&lt;=8),(L111*24)*MD!$P$4,IF(AND((L111*24)&gt;8,(L111*24)&lt;=16),(MD!$Q$4),IF((L111*24)&gt;16,MD!$Q$4)))))))</f>
        <v>0</v>
      </c>
      <c r="N111" s="62"/>
      <c r="O111" s="72">
        <f t="shared" si="3"/>
        <v>0</v>
      </c>
    </row>
    <row r="112" spans="1:15" x14ac:dyDescent="0.25">
      <c r="A112" s="62">
        <v>111</v>
      </c>
      <c r="B112" s="62"/>
      <c r="C112" s="68" t="str">
        <f>IF(ISNA(VLOOKUP($B112,CPY!$B:$G,2,FALSE))=TRUE," ",VLOOKUP($B112,CPY!$B:$G,2,FALSE))</f>
        <v> </v>
      </c>
      <c r="D112" s="50" t="str">
        <f>IF(ISNA(VLOOKUP($B112,CPY!$B:$G,3,FALSE))=TRUE," ",VLOOKUP($B112,CPY!$B:$G,3,FALSE))</f>
        <v> </v>
      </c>
      <c r="E112" s="65" t="str">
        <f>IF(ISNA(VLOOKUP($B112,CPY!$B:$G,4,FALSE))=TRUE," ",VLOOKUP($B112,CPY!$B:$G,4,FALSE))</f>
        <v> </v>
      </c>
      <c r="F112" s="62"/>
      <c r="G112" s="86"/>
      <c r="H112" s="86"/>
      <c r="I112" s="87"/>
      <c r="J112" s="88"/>
      <c r="K112" s="88"/>
      <c r="L112" s="95">
        <f t="shared" si="2"/>
        <v>0</v>
      </c>
      <c r="M112" s="96" t="b">
        <f>IF((ISNUMBER(L112)),IF(AND(F112="Workdays",(SUMIFS(O:O,F:F,F112,I:I,I112,B:B,B112)&lt;=24)),IF(AND((L112*24)&gt;0,(L112*24)&lt;=8),(L112*24)*MD!$M$5,IF(AND((L112*24)&gt;8,(L112*24)&lt;=16),(MD!$N$5),IF((L112*24)&gt;16,MD!$N$5))),IF(AND(F112="Non_workdays",(SUMIFS(O:O,F:F,F112,I:I,I112,B:B,B112)&lt;=24)),IF(AND((L112*24)&gt;0,(L112*24)&lt;=8),(L112*24)*MD!$M$6,IF(AND((L112*24)&gt;8,(L112*24)&lt;=16),(MD!$N$6),IF((L112*24)&gt;16,MD!$N$6))),IF(AND(F112="Call_out",(SUMIFS(O:O,F:F,F112,I:I,I112,B:B,B112)&lt;=24)),IF(AND((L112*24)&gt;0,(L112*24)&lt;=8),(L112*24)*MD!$P$4,IF(AND((L112*24)&gt;8,(L112*24)&lt;=16),(MD!$Q$4),IF((L112*24)&gt;16,MD!$Q$4)))))))</f>
        <v>0</v>
      </c>
      <c r="N112" s="62"/>
      <c r="O112" s="72">
        <f t="shared" si="3"/>
        <v>0</v>
      </c>
    </row>
    <row r="113" spans="1:15" x14ac:dyDescent="0.25">
      <c r="A113" s="62">
        <v>112</v>
      </c>
      <c r="B113" s="62"/>
      <c r="C113" s="68" t="str">
        <f>IF(ISNA(VLOOKUP($B113,CPY!$B:$G,2,FALSE))=TRUE," ",VLOOKUP($B113,CPY!$B:$G,2,FALSE))</f>
        <v> </v>
      </c>
      <c r="D113" s="50" t="str">
        <f>IF(ISNA(VLOOKUP($B113,CPY!$B:$G,3,FALSE))=TRUE," ",VLOOKUP($B113,CPY!$B:$G,3,FALSE))</f>
        <v> </v>
      </c>
      <c r="E113" s="65" t="str">
        <f>IF(ISNA(VLOOKUP($B113,CPY!$B:$G,4,FALSE))=TRUE," ",VLOOKUP($B113,CPY!$B:$G,4,FALSE))</f>
        <v> </v>
      </c>
      <c r="F113" s="62"/>
      <c r="G113" s="86"/>
      <c r="H113" s="86"/>
      <c r="I113" s="87"/>
      <c r="J113" s="88"/>
      <c r="K113" s="88"/>
      <c r="L113" s="95">
        <f t="shared" si="2"/>
        <v>0</v>
      </c>
      <c r="M113" s="96" t="b">
        <f>IF((ISNUMBER(L113)),IF(AND(F113="Workdays",(SUMIFS(O:O,F:F,F113,I:I,I113,B:B,B113)&lt;=24)),IF(AND((L113*24)&gt;0,(L113*24)&lt;=8),(L113*24)*MD!$M$5,IF(AND((L113*24)&gt;8,(L113*24)&lt;=16),(MD!$N$5),IF((L113*24)&gt;16,MD!$N$5))),IF(AND(F113="Non_workdays",(SUMIFS(O:O,F:F,F113,I:I,I113,B:B,B113)&lt;=24)),IF(AND((L113*24)&gt;0,(L113*24)&lt;=8),(L113*24)*MD!$M$6,IF(AND((L113*24)&gt;8,(L113*24)&lt;=16),(MD!$N$6),IF((L113*24)&gt;16,MD!$N$6))),IF(AND(F113="Call_out",(SUMIFS(O:O,F:F,F113,I:I,I113,B:B,B113)&lt;=24)),IF(AND((L113*24)&gt;0,(L113*24)&lt;=8),(L113*24)*MD!$P$4,IF(AND((L113*24)&gt;8,(L113*24)&lt;=16),(MD!$Q$4),IF((L113*24)&gt;16,MD!$Q$4)))))))</f>
        <v>0</v>
      </c>
      <c r="N113" s="62"/>
      <c r="O113" s="72">
        <f t="shared" si="3"/>
        <v>0</v>
      </c>
    </row>
    <row r="114" spans="1:15" x14ac:dyDescent="0.25">
      <c r="A114" s="62">
        <v>113</v>
      </c>
      <c r="B114" s="62"/>
      <c r="C114" s="68" t="str">
        <f>IF(ISNA(VLOOKUP($B114,CPY!$B:$G,2,FALSE))=TRUE," ",VLOOKUP($B114,CPY!$B:$G,2,FALSE))</f>
        <v> </v>
      </c>
      <c r="D114" s="50" t="str">
        <f>IF(ISNA(VLOOKUP($B114,CPY!$B:$G,3,FALSE))=TRUE," ",VLOOKUP($B114,CPY!$B:$G,3,FALSE))</f>
        <v> </v>
      </c>
      <c r="E114" s="65" t="str">
        <f>IF(ISNA(VLOOKUP($B114,CPY!$B:$G,4,FALSE))=TRUE," ",VLOOKUP($B114,CPY!$B:$G,4,FALSE))</f>
        <v> </v>
      </c>
      <c r="F114" s="62"/>
      <c r="G114" s="86"/>
      <c r="H114" s="86"/>
      <c r="I114" s="87"/>
      <c r="J114" s="88"/>
      <c r="K114" s="88"/>
      <c r="L114" s="95">
        <f t="shared" si="2"/>
        <v>0</v>
      </c>
      <c r="M114" s="96" t="b">
        <f>IF((ISNUMBER(L114)),IF(AND(F114="Workdays",(SUMIFS(O:O,F:F,F114,I:I,I114,B:B,B114)&lt;=24)),IF(AND((L114*24)&gt;0,(L114*24)&lt;=8),(L114*24)*MD!$M$5,IF(AND((L114*24)&gt;8,(L114*24)&lt;=16),(MD!$N$5),IF((L114*24)&gt;16,MD!$N$5))),IF(AND(F114="Non_workdays",(SUMIFS(O:O,F:F,F114,I:I,I114,B:B,B114)&lt;=24)),IF(AND((L114*24)&gt;0,(L114*24)&lt;=8),(L114*24)*MD!$M$6,IF(AND((L114*24)&gt;8,(L114*24)&lt;=16),(MD!$N$6),IF((L114*24)&gt;16,MD!$N$6))),IF(AND(F114="Call_out",(SUMIFS(O:O,F:F,F114,I:I,I114,B:B,B114)&lt;=24)),IF(AND((L114*24)&gt;0,(L114*24)&lt;=8),(L114*24)*MD!$P$4,IF(AND((L114*24)&gt;8,(L114*24)&lt;=16),(MD!$Q$4),IF((L114*24)&gt;16,MD!$Q$4)))))))</f>
        <v>0</v>
      </c>
      <c r="N114" s="62"/>
      <c r="O114" s="72">
        <f t="shared" si="3"/>
        <v>0</v>
      </c>
    </row>
    <row r="115" spans="1:15" x14ac:dyDescent="0.25">
      <c r="A115" s="62">
        <v>114</v>
      </c>
      <c r="B115" s="62"/>
      <c r="C115" s="68" t="str">
        <f>IF(ISNA(VLOOKUP($B115,CPY!$B:$G,2,FALSE))=TRUE," ",VLOOKUP($B115,CPY!$B:$G,2,FALSE))</f>
        <v> </v>
      </c>
      <c r="D115" s="50" t="str">
        <f>IF(ISNA(VLOOKUP($B115,CPY!$B:$G,3,FALSE))=TRUE," ",VLOOKUP($B115,CPY!$B:$G,3,FALSE))</f>
        <v> </v>
      </c>
      <c r="E115" s="65" t="str">
        <f>IF(ISNA(VLOOKUP($B115,CPY!$B:$G,4,FALSE))=TRUE," ",VLOOKUP($B115,CPY!$B:$G,4,FALSE))</f>
        <v> </v>
      </c>
      <c r="F115" s="62"/>
      <c r="G115" s="86"/>
      <c r="H115" s="86"/>
      <c r="I115" s="87"/>
      <c r="J115" s="88"/>
      <c r="K115" s="88"/>
      <c r="L115" s="95">
        <f t="shared" si="2"/>
        <v>0</v>
      </c>
      <c r="M115" s="96" t="b">
        <f>IF((ISNUMBER(L115)),IF(AND(F115="Workdays",(SUMIFS(O:O,F:F,F115,I:I,I115,B:B,B115)&lt;=24)),IF(AND((L115*24)&gt;0,(L115*24)&lt;=8),(L115*24)*MD!$M$5,IF(AND((L115*24)&gt;8,(L115*24)&lt;=16),(MD!$N$5),IF((L115*24)&gt;16,MD!$N$5))),IF(AND(F115="Non_workdays",(SUMIFS(O:O,F:F,F115,I:I,I115,B:B,B115)&lt;=24)),IF(AND((L115*24)&gt;0,(L115*24)&lt;=8),(L115*24)*MD!$M$6,IF(AND((L115*24)&gt;8,(L115*24)&lt;=16),(MD!$N$6),IF((L115*24)&gt;16,MD!$N$6))),IF(AND(F115="Call_out",(SUMIFS(O:O,F:F,F115,I:I,I115,B:B,B115)&lt;=24)),IF(AND((L115*24)&gt;0,(L115*24)&lt;=8),(L115*24)*MD!$P$4,IF(AND((L115*24)&gt;8,(L115*24)&lt;=16),(MD!$Q$4),IF((L115*24)&gt;16,MD!$Q$4)))))))</f>
        <v>0</v>
      </c>
      <c r="N115" s="62"/>
      <c r="O115" s="72">
        <f t="shared" si="3"/>
        <v>0</v>
      </c>
    </row>
    <row r="116" spans="1:15" x14ac:dyDescent="0.25">
      <c r="A116" s="62">
        <v>115</v>
      </c>
      <c r="B116" s="62"/>
      <c r="C116" s="68" t="str">
        <f>IF(ISNA(VLOOKUP($B116,CPY!$B:$G,2,FALSE))=TRUE," ",VLOOKUP($B116,CPY!$B:$G,2,FALSE))</f>
        <v> </v>
      </c>
      <c r="D116" s="50" t="str">
        <f>IF(ISNA(VLOOKUP($B116,CPY!$B:$G,3,FALSE))=TRUE," ",VLOOKUP($B116,CPY!$B:$G,3,FALSE))</f>
        <v> </v>
      </c>
      <c r="E116" s="65" t="str">
        <f>IF(ISNA(VLOOKUP($B116,CPY!$B:$G,4,FALSE))=TRUE," ",VLOOKUP($B116,CPY!$B:$G,4,FALSE))</f>
        <v> </v>
      </c>
      <c r="F116" s="62"/>
      <c r="G116" s="86"/>
      <c r="H116" s="86"/>
      <c r="I116" s="87"/>
      <c r="J116" s="88"/>
      <c r="K116" s="88"/>
      <c r="L116" s="95">
        <f t="shared" si="2"/>
        <v>0</v>
      </c>
      <c r="M116" s="96" t="b">
        <f>IF((ISNUMBER(L116)),IF(AND(F116="Workdays",(SUMIFS(O:O,F:F,F116,I:I,I116,B:B,B116)&lt;=24)),IF(AND((L116*24)&gt;0,(L116*24)&lt;=8),(L116*24)*MD!$M$5,IF(AND((L116*24)&gt;8,(L116*24)&lt;=16),(MD!$N$5),IF((L116*24)&gt;16,MD!$N$5))),IF(AND(F116="Non_workdays",(SUMIFS(O:O,F:F,F116,I:I,I116,B:B,B116)&lt;=24)),IF(AND((L116*24)&gt;0,(L116*24)&lt;=8),(L116*24)*MD!$M$6,IF(AND((L116*24)&gt;8,(L116*24)&lt;=16),(MD!$N$6),IF((L116*24)&gt;16,MD!$N$6))),IF(AND(F116="Call_out",(SUMIFS(O:O,F:F,F116,I:I,I116,B:B,B116)&lt;=24)),IF(AND((L116*24)&gt;0,(L116*24)&lt;=8),(L116*24)*MD!$P$4,IF(AND((L116*24)&gt;8,(L116*24)&lt;=16),(MD!$Q$4),IF((L116*24)&gt;16,MD!$Q$4)))))))</f>
        <v>0</v>
      </c>
      <c r="N116" s="62"/>
      <c r="O116" s="72">
        <f t="shared" si="3"/>
        <v>0</v>
      </c>
    </row>
    <row r="117" spans="1:15" x14ac:dyDescent="0.25">
      <c r="A117" s="62">
        <v>116</v>
      </c>
      <c r="B117" s="62"/>
      <c r="C117" s="68" t="str">
        <f>IF(ISNA(VLOOKUP($B117,CPY!$B:$G,2,FALSE))=TRUE," ",VLOOKUP($B117,CPY!$B:$G,2,FALSE))</f>
        <v> </v>
      </c>
      <c r="D117" s="50" t="str">
        <f>IF(ISNA(VLOOKUP($B117,CPY!$B:$G,3,FALSE))=TRUE," ",VLOOKUP($B117,CPY!$B:$G,3,FALSE))</f>
        <v> </v>
      </c>
      <c r="E117" s="65" t="str">
        <f>IF(ISNA(VLOOKUP($B117,CPY!$B:$G,4,FALSE))=TRUE," ",VLOOKUP($B117,CPY!$B:$G,4,FALSE))</f>
        <v> </v>
      </c>
      <c r="F117" s="62"/>
      <c r="G117" s="86"/>
      <c r="H117" s="86"/>
      <c r="I117" s="87"/>
      <c r="J117" s="88"/>
      <c r="K117" s="88"/>
      <c r="L117" s="95">
        <f t="shared" si="2"/>
        <v>0</v>
      </c>
      <c r="M117" s="96" t="b">
        <f>IF((ISNUMBER(L117)),IF(AND(F117="Workdays",(SUMIFS(O:O,F:F,F117,I:I,I117,B:B,B117)&lt;=24)),IF(AND((L117*24)&gt;0,(L117*24)&lt;=8),(L117*24)*MD!$M$5,IF(AND((L117*24)&gt;8,(L117*24)&lt;=16),(MD!$N$5),IF((L117*24)&gt;16,MD!$N$5))),IF(AND(F117="Non_workdays",(SUMIFS(O:O,F:F,F117,I:I,I117,B:B,B117)&lt;=24)),IF(AND((L117*24)&gt;0,(L117*24)&lt;=8),(L117*24)*MD!$M$6,IF(AND((L117*24)&gt;8,(L117*24)&lt;=16),(MD!$N$6),IF((L117*24)&gt;16,MD!$N$6))),IF(AND(F117="Call_out",(SUMIFS(O:O,F:F,F117,I:I,I117,B:B,B117)&lt;=24)),IF(AND((L117*24)&gt;0,(L117*24)&lt;=8),(L117*24)*MD!$P$4,IF(AND((L117*24)&gt;8,(L117*24)&lt;=16),(MD!$Q$4),IF((L117*24)&gt;16,MD!$Q$4)))))))</f>
        <v>0</v>
      </c>
      <c r="N117" s="62"/>
      <c r="O117" s="72">
        <f t="shared" si="3"/>
        <v>0</v>
      </c>
    </row>
    <row r="118" spans="1:15" x14ac:dyDescent="0.25">
      <c r="A118" s="62">
        <v>117</v>
      </c>
      <c r="B118" s="62"/>
      <c r="C118" s="68" t="str">
        <f>IF(ISNA(VLOOKUP($B118,CPY!$B:$G,2,FALSE))=TRUE," ",VLOOKUP($B118,CPY!$B:$G,2,FALSE))</f>
        <v> </v>
      </c>
      <c r="D118" s="50" t="str">
        <f>IF(ISNA(VLOOKUP($B118,CPY!$B:$G,3,FALSE))=TRUE," ",VLOOKUP($B118,CPY!$B:$G,3,FALSE))</f>
        <v> </v>
      </c>
      <c r="E118" s="65" t="str">
        <f>IF(ISNA(VLOOKUP($B118,CPY!$B:$G,4,FALSE))=TRUE," ",VLOOKUP($B118,CPY!$B:$G,4,FALSE))</f>
        <v> </v>
      </c>
      <c r="F118" s="62"/>
      <c r="G118" s="86"/>
      <c r="H118" s="86"/>
      <c r="I118" s="87"/>
      <c r="J118" s="88"/>
      <c r="K118" s="88"/>
      <c r="L118" s="95">
        <f t="shared" si="2"/>
        <v>0</v>
      </c>
      <c r="M118" s="96" t="b">
        <f>IF((ISNUMBER(L118)),IF(AND(F118="Workdays",(SUMIFS(O:O,F:F,F118,I:I,I118,B:B,B118)&lt;=24)),IF(AND((L118*24)&gt;0,(L118*24)&lt;=8),(L118*24)*MD!$M$5,IF(AND((L118*24)&gt;8,(L118*24)&lt;=16),(MD!$N$5),IF((L118*24)&gt;16,MD!$N$5))),IF(AND(F118="Non_workdays",(SUMIFS(O:O,F:F,F118,I:I,I118,B:B,B118)&lt;=24)),IF(AND((L118*24)&gt;0,(L118*24)&lt;=8),(L118*24)*MD!$M$6,IF(AND((L118*24)&gt;8,(L118*24)&lt;=16),(MD!$N$6),IF((L118*24)&gt;16,MD!$N$6))),IF(AND(F118="Call_out",(SUMIFS(O:O,F:F,F118,I:I,I118,B:B,B118)&lt;=24)),IF(AND((L118*24)&gt;0,(L118*24)&lt;=8),(L118*24)*MD!$P$4,IF(AND((L118*24)&gt;8,(L118*24)&lt;=16),(MD!$Q$4),IF((L118*24)&gt;16,MD!$Q$4)))))))</f>
        <v>0</v>
      </c>
      <c r="N118" s="62"/>
      <c r="O118" s="72">
        <f t="shared" si="3"/>
        <v>0</v>
      </c>
    </row>
    <row r="119" spans="1:15" x14ac:dyDescent="0.25">
      <c r="A119" s="62">
        <v>118</v>
      </c>
      <c r="B119" s="62"/>
      <c r="C119" s="68" t="str">
        <f>IF(ISNA(VLOOKUP($B119,CPY!$B:$G,2,FALSE))=TRUE," ",VLOOKUP($B119,CPY!$B:$G,2,FALSE))</f>
        <v> </v>
      </c>
      <c r="D119" s="50" t="str">
        <f>IF(ISNA(VLOOKUP($B119,CPY!$B:$G,3,FALSE))=TRUE," ",VLOOKUP($B119,CPY!$B:$G,3,FALSE))</f>
        <v> </v>
      </c>
      <c r="E119" s="65" t="str">
        <f>IF(ISNA(VLOOKUP($B119,CPY!$B:$G,4,FALSE))=TRUE," ",VLOOKUP($B119,CPY!$B:$G,4,FALSE))</f>
        <v> </v>
      </c>
      <c r="F119" s="62"/>
      <c r="G119" s="86"/>
      <c r="H119" s="86"/>
      <c r="I119" s="87"/>
      <c r="J119" s="88"/>
      <c r="K119" s="88"/>
      <c r="L119" s="95">
        <f t="shared" si="2"/>
        <v>0</v>
      </c>
      <c r="M119" s="96" t="b">
        <f>IF((ISNUMBER(L119)),IF(AND(F119="Workdays",(SUMIFS(O:O,F:F,F119,I:I,I119,B:B,B119)&lt;=24)),IF(AND((L119*24)&gt;0,(L119*24)&lt;=8),(L119*24)*MD!$M$5,IF(AND((L119*24)&gt;8,(L119*24)&lt;=16),(MD!$N$5),IF((L119*24)&gt;16,MD!$N$5))),IF(AND(F119="Non_workdays",(SUMIFS(O:O,F:F,F119,I:I,I119,B:B,B119)&lt;=24)),IF(AND((L119*24)&gt;0,(L119*24)&lt;=8),(L119*24)*MD!$M$6,IF(AND((L119*24)&gt;8,(L119*24)&lt;=16),(MD!$N$6),IF((L119*24)&gt;16,MD!$N$6))),IF(AND(F119="Call_out",(SUMIFS(O:O,F:F,F119,I:I,I119,B:B,B119)&lt;=24)),IF(AND((L119*24)&gt;0,(L119*24)&lt;=8),(L119*24)*MD!$P$4,IF(AND((L119*24)&gt;8,(L119*24)&lt;=16),(MD!$Q$4),IF((L119*24)&gt;16,MD!$Q$4)))))))</f>
        <v>0</v>
      </c>
      <c r="N119" s="62"/>
      <c r="O119" s="72">
        <f t="shared" si="3"/>
        <v>0</v>
      </c>
    </row>
    <row r="120" spans="1:15" x14ac:dyDescent="0.25">
      <c r="A120" s="62">
        <v>119</v>
      </c>
      <c r="B120" s="62"/>
      <c r="C120" s="68" t="str">
        <f>IF(ISNA(VLOOKUP($B120,CPY!$B:$G,2,FALSE))=TRUE," ",VLOOKUP($B120,CPY!$B:$G,2,FALSE))</f>
        <v> </v>
      </c>
      <c r="D120" s="50" t="str">
        <f>IF(ISNA(VLOOKUP($B120,CPY!$B:$G,3,FALSE))=TRUE," ",VLOOKUP($B120,CPY!$B:$G,3,FALSE))</f>
        <v> </v>
      </c>
      <c r="E120" s="65" t="str">
        <f>IF(ISNA(VLOOKUP($B120,CPY!$B:$G,4,FALSE))=TRUE," ",VLOOKUP($B120,CPY!$B:$G,4,FALSE))</f>
        <v> </v>
      </c>
      <c r="F120" s="62"/>
      <c r="G120" s="86"/>
      <c r="H120" s="86"/>
      <c r="I120" s="87"/>
      <c r="J120" s="88"/>
      <c r="K120" s="88"/>
      <c r="L120" s="95">
        <f t="shared" si="2"/>
        <v>0</v>
      </c>
      <c r="M120" s="96" t="b">
        <f>IF((ISNUMBER(L120)),IF(AND(F120="Workdays",(SUMIFS(O:O,F:F,F120,I:I,I120,B:B,B120)&lt;=24)),IF(AND((L120*24)&gt;0,(L120*24)&lt;=8),(L120*24)*MD!$M$5,IF(AND((L120*24)&gt;8,(L120*24)&lt;=16),(MD!$N$5),IF((L120*24)&gt;16,MD!$N$5))),IF(AND(F120="Non_workdays",(SUMIFS(O:O,F:F,F120,I:I,I120,B:B,B120)&lt;=24)),IF(AND((L120*24)&gt;0,(L120*24)&lt;=8),(L120*24)*MD!$M$6,IF(AND((L120*24)&gt;8,(L120*24)&lt;=16),(MD!$N$6),IF((L120*24)&gt;16,MD!$N$6))),IF(AND(F120="Call_out",(SUMIFS(O:O,F:F,F120,I:I,I120,B:B,B120)&lt;=24)),IF(AND((L120*24)&gt;0,(L120*24)&lt;=8),(L120*24)*MD!$P$4,IF(AND((L120*24)&gt;8,(L120*24)&lt;=16),(MD!$Q$4),IF((L120*24)&gt;16,MD!$Q$4)))))))</f>
        <v>0</v>
      </c>
      <c r="N120" s="62"/>
      <c r="O120" s="72">
        <f t="shared" si="3"/>
        <v>0</v>
      </c>
    </row>
    <row r="121" spans="1:15" x14ac:dyDescent="0.25">
      <c r="A121" s="62">
        <v>120</v>
      </c>
      <c r="B121" s="62"/>
      <c r="C121" s="68" t="str">
        <f>IF(ISNA(VLOOKUP($B121,CPY!$B:$G,2,FALSE))=TRUE," ",VLOOKUP($B121,CPY!$B:$G,2,FALSE))</f>
        <v> </v>
      </c>
      <c r="D121" s="50" t="str">
        <f>IF(ISNA(VLOOKUP($B121,CPY!$B:$G,3,FALSE))=TRUE," ",VLOOKUP($B121,CPY!$B:$G,3,FALSE))</f>
        <v> </v>
      </c>
      <c r="E121" s="65" t="str">
        <f>IF(ISNA(VLOOKUP($B121,CPY!$B:$G,4,FALSE))=TRUE," ",VLOOKUP($B121,CPY!$B:$G,4,FALSE))</f>
        <v> </v>
      </c>
      <c r="F121" s="62"/>
      <c r="G121" s="86"/>
      <c r="H121" s="86"/>
      <c r="I121" s="87"/>
      <c r="J121" s="88"/>
      <c r="K121" s="88"/>
      <c r="L121" s="95">
        <f t="shared" si="2"/>
        <v>0</v>
      </c>
      <c r="M121" s="96" t="b">
        <f>IF((ISNUMBER(L121)),IF(AND(F121="Workdays",(SUMIFS(O:O,F:F,F121,I:I,I121,B:B,B121)&lt;=24)),IF(AND((L121*24)&gt;0,(L121*24)&lt;=8),(L121*24)*MD!$M$5,IF(AND((L121*24)&gt;8,(L121*24)&lt;=16),(MD!$N$5),IF((L121*24)&gt;16,MD!$N$5))),IF(AND(F121="Non_workdays",(SUMIFS(O:O,F:F,F121,I:I,I121,B:B,B121)&lt;=24)),IF(AND((L121*24)&gt;0,(L121*24)&lt;=8),(L121*24)*MD!$M$6,IF(AND((L121*24)&gt;8,(L121*24)&lt;=16),(MD!$N$6),IF((L121*24)&gt;16,MD!$N$6))),IF(AND(F121="Call_out",(SUMIFS(O:O,F:F,F121,I:I,I121,B:B,B121)&lt;=24)),IF(AND((L121*24)&gt;0,(L121*24)&lt;=8),(L121*24)*MD!$P$4,IF(AND((L121*24)&gt;8,(L121*24)&lt;=16),(MD!$Q$4),IF((L121*24)&gt;16,MD!$Q$4)))))))</f>
        <v>0</v>
      </c>
      <c r="N121" s="62"/>
      <c r="O121" s="72">
        <f t="shared" si="3"/>
        <v>0</v>
      </c>
    </row>
    <row r="122" spans="1:15" x14ac:dyDescent="0.25">
      <c r="A122" s="62">
        <v>121</v>
      </c>
      <c r="B122" s="62"/>
      <c r="C122" s="68" t="str">
        <f>IF(ISNA(VLOOKUP($B122,CPY!$B:$G,2,FALSE))=TRUE," ",VLOOKUP($B122,CPY!$B:$G,2,FALSE))</f>
        <v> </v>
      </c>
      <c r="D122" s="50" t="str">
        <f>IF(ISNA(VLOOKUP($B122,CPY!$B:$G,3,FALSE))=TRUE," ",VLOOKUP($B122,CPY!$B:$G,3,FALSE))</f>
        <v> </v>
      </c>
      <c r="E122" s="65" t="str">
        <f>IF(ISNA(VLOOKUP($B122,CPY!$B:$G,4,FALSE))=TRUE," ",VLOOKUP($B122,CPY!$B:$G,4,FALSE))</f>
        <v> </v>
      </c>
      <c r="F122" s="62"/>
      <c r="G122" s="86"/>
      <c r="H122" s="86"/>
      <c r="I122" s="87"/>
      <c r="J122" s="88"/>
      <c r="K122" s="88"/>
      <c r="L122" s="95">
        <f t="shared" si="2"/>
        <v>0</v>
      </c>
      <c r="M122" s="96" t="b">
        <f>IF((ISNUMBER(L122)),IF(AND(F122="Workdays",(SUMIFS(O:O,F:F,F122,I:I,I122,B:B,B122)&lt;=24)),IF(AND((L122*24)&gt;0,(L122*24)&lt;=8),(L122*24)*MD!$M$5,IF(AND((L122*24)&gt;8,(L122*24)&lt;=16),(MD!$N$5),IF((L122*24)&gt;16,MD!$N$5))),IF(AND(F122="Non_workdays",(SUMIFS(O:O,F:F,F122,I:I,I122,B:B,B122)&lt;=24)),IF(AND((L122*24)&gt;0,(L122*24)&lt;=8),(L122*24)*MD!$M$6,IF(AND((L122*24)&gt;8,(L122*24)&lt;=16),(MD!$N$6),IF((L122*24)&gt;16,MD!$N$6))),IF(AND(F122="Call_out",(SUMIFS(O:O,F:F,F122,I:I,I122,B:B,B122)&lt;=24)),IF(AND((L122*24)&gt;0,(L122*24)&lt;=8),(L122*24)*MD!$P$4,IF(AND((L122*24)&gt;8,(L122*24)&lt;=16),(MD!$Q$4),IF((L122*24)&gt;16,MD!$Q$4)))))))</f>
        <v>0</v>
      </c>
      <c r="N122" s="62"/>
      <c r="O122" s="72">
        <f t="shared" si="3"/>
        <v>0</v>
      </c>
    </row>
    <row r="123" spans="1:15" x14ac:dyDescent="0.25">
      <c r="A123" s="62">
        <v>122</v>
      </c>
      <c r="B123" s="62"/>
      <c r="C123" s="68" t="str">
        <f>IF(ISNA(VLOOKUP($B123,CPY!$B:$G,2,FALSE))=TRUE," ",VLOOKUP($B123,CPY!$B:$G,2,FALSE))</f>
        <v> </v>
      </c>
      <c r="D123" s="50" t="str">
        <f>IF(ISNA(VLOOKUP($B123,CPY!$B:$G,3,FALSE))=TRUE," ",VLOOKUP($B123,CPY!$B:$G,3,FALSE))</f>
        <v> </v>
      </c>
      <c r="E123" s="65" t="str">
        <f>IF(ISNA(VLOOKUP($B123,CPY!$B:$G,4,FALSE))=TRUE," ",VLOOKUP($B123,CPY!$B:$G,4,FALSE))</f>
        <v> </v>
      </c>
      <c r="F123" s="62"/>
      <c r="G123" s="86"/>
      <c r="H123" s="86"/>
      <c r="I123" s="87"/>
      <c r="J123" s="88"/>
      <c r="K123" s="88"/>
      <c r="L123" s="95">
        <f t="shared" si="2"/>
        <v>0</v>
      </c>
      <c r="M123" s="96" t="b">
        <f>IF((ISNUMBER(L123)),IF(AND(F123="Workdays",(SUMIFS(O:O,F:F,F123,I:I,I123,B:B,B123)&lt;=24)),IF(AND((L123*24)&gt;0,(L123*24)&lt;=8),(L123*24)*MD!$M$5,IF(AND((L123*24)&gt;8,(L123*24)&lt;=16),(MD!$N$5),IF((L123*24)&gt;16,MD!$N$5))),IF(AND(F123="Non_workdays",(SUMIFS(O:O,F:F,F123,I:I,I123,B:B,B123)&lt;=24)),IF(AND((L123*24)&gt;0,(L123*24)&lt;=8),(L123*24)*MD!$M$6,IF(AND((L123*24)&gt;8,(L123*24)&lt;=16),(MD!$N$6),IF((L123*24)&gt;16,MD!$N$6))),IF(AND(F123="Call_out",(SUMIFS(O:O,F:F,F123,I:I,I123,B:B,B123)&lt;=24)),IF(AND((L123*24)&gt;0,(L123*24)&lt;=8),(L123*24)*MD!$P$4,IF(AND((L123*24)&gt;8,(L123*24)&lt;=16),(MD!$Q$4),IF((L123*24)&gt;16,MD!$Q$4)))))))</f>
        <v>0</v>
      </c>
      <c r="N123" s="62"/>
      <c r="O123" s="72">
        <f t="shared" si="3"/>
        <v>0</v>
      </c>
    </row>
    <row r="124" spans="1:15" x14ac:dyDescent="0.25">
      <c r="A124" s="62">
        <v>123</v>
      </c>
      <c r="B124" s="62"/>
      <c r="C124" s="68" t="str">
        <f>IF(ISNA(VLOOKUP($B124,CPY!$B:$G,2,FALSE))=TRUE," ",VLOOKUP($B124,CPY!$B:$G,2,FALSE))</f>
        <v> </v>
      </c>
      <c r="D124" s="50" t="str">
        <f>IF(ISNA(VLOOKUP($B124,CPY!$B:$G,3,FALSE))=TRUE," ",VLOOKUP($B124,CPY!$B:$G,3,FALSE))</f>
        <v> </v>
      </c>
      <c r="E124" s="65" t="str">
        <f>IF(ISNA(VLOOKUP($B124,CPY!$B:$G,4,FALSE))=TRUE," ",VLOOKUP($B124,CPY!$B:$G,4,FALSE))</f>
        <v> </v>
      </c>
      <c r="F124" s="62"/>
      <c r="G124" s="86"/>
      <c r="H124" s="86"/>
      <c r="I124" s="87"/>
      <c r="J124" s="88"/>
      <c r="K124" s="88"/>
      <c r="L124" s="95">
        <f t="shared" si="2"/>
        <v>0</v>
      </c>
      <c r="M124" s="96" t="b">
        <f>IF((ISNUMBER(L124)),IF(AND(F124="Workdays",(SUMIFS(O:O,F:F,F124,I:I,I124,B:B,B124)&lt;=24)),IF(AND((L124*24)&gt;0,(L124*24)&lt;=8),(L124*24)*MD!$M$5,IF(AND((L124*24)&gt;8,(L124*24)&lt;=16),(MD!$N$5),IF((L124*24)&gt;16,MD!$N$5))),IF(AND(F124="Non_workdays",(SUMIFS(O:O,F:F,F124,I:I,I124,B:B,B124)&lt;=24)),IF(AND((L124*24)&gt;0,(L124*24)&lt;=8),(L124*24)*MD!$M$6,IF(AND((L124*24)&gt;8,(L124*24)&lt;=16),(MD!$N$6),IF((L124*24)&gt;16,MD!$N$6))),IF(AND(F124="Call_out",(SUMIFS(O:O,F:F,F124,I:I,I124,B:B,B124)&lt;=24)),IF(AND((L124*24)&gt;0,(L124*24)&lt;=8),(L124*24)*MD!$P$4,IF(AND((L124*24)&gt;8,(L124*24)&lt;=16),(MD!$Q$4),IF((L124*24)&gt;16,MD!$Q$4)))))))</f>
        <v>0</v>
      </c>
      <c r="N124" s="62"/>
      <c r="O124" s="72">
        <f t="shared" si="3"/>
        <v>0</v>
      </c>
    </row>
    <row r="125" spans="1:15" x14ac:dyDescent="0.25">
      <c r="A125" s="62">
        <v>124</v>
      </c>
      <c r="B125" s="62"/>
      <c r="C125" s="68" t="str">
        <f>IF(ISNA(VLOOKUP($B125,CPY!$B:$G,2,FALSE))=TRUE," ",VLOOKUP($B125,CPY!$B:$G,2,FALSE))</f>
        <v> </v>
      </c>
      <c r="D125" s="50" t="str">
        <f>IF(ISNA(VLOOKUP($B125,CPY!$B:$G,3,FALSE))=TRUE," ",VLOOKUP($B125,CPY!$B:$G,3,FALSE))</f>
        <v> </v>
      </c>
      <c r="E125" s="65" t="str">
        <f>IF(ISNA(VLOOKUP($B125,CPY!$B:$G,4,FALSE))=TRUE," ",VLOOKUP($B125,CPY!$B:$G,4,FALSE))</f>
        <v> </v>
      </c>
      <c r="F125" s="62"/>
      <c r="G125" s="86"/>
      <c r="H125" s="86"/>
      <c r="I125" s="87"/>
      <c r="J125" s="88"/>
      <c r="K125" s="88"/>
      <c r="L125" s="95">
        <f t="shared" si="2"/>
        <v>0</v>
      </c>
      <c r="M125" s="96" t="b">
        <f>IF((ISNUMBER(L125)),IF(AND(F125="Workdays",(SUMIFS(O:O,F:F,F125,I:I,I125,B:B,B125)&lt;=24)),IF(AND((L125*24)&gt;0,(L125*24)&lt;=8),(L125*24)*MD!$M$5,IF(AND((L125*24)&gt;8,(L125*24)&lt;=16),(MD!$N$5),IF((L125*24)&gt;16,MD!$N$5))),IF(AND(F125="Non_workdays",(SUMIFS(O:O,F:F,F125,I:I,I125,B:B,B125)&lt;=24)),IF(AND((L125*24)&gt;0,(L125*24)&lt;=8),(L125*24)*MD!$M$6,IF(AND((L125*24)&gt;8,(L125*24)&lt;=16),(MD!$N$6),IF((L125*24)&gt;16,MD!$N$6))),IF(AND(F125="Call_out",(SUMIFS(O:O,F:F,F125,I:I,I125,B:B,B125)&lt;=24)),IF(AND((L125*24)&gt;0,(L125*24)&lt;=8),(L125*24)*MD!$P$4,IF(AND((L125*24)&gt;8,(L125*24)&lt;=16),(MD!$Q$4),IF((L125*24)&gt;16,MD!$Q$4)))))))</f>
        <v>0</v>
      </c>
      <c r="N125" s="62"/>
      <c r="O125" s="72">
        <f t="shared" si="3"/>
        <v>0</v>
      </c>
    </row>
    <row r="126" spans="1:15" x14ac:dyDescent="0.25">
      <c r="A126" s="62">
        <v>125</v>
      </c>
      <c r="B126" s="62"/>
      <c r="C126" s="68" t="str">
        <f>IF(ISNA(VLOOKUP($B126,CPY!$B:$G,2,FALSE))=TRUE," ",VLOOKUP($B126,CPY!$B:$G,2,FALSE))</f>
        <v> </v>
      </c>
      <c r="D126" s="50" t="str">
        <f>IF(ISNA(VLOOKUP($B126,CPY!$B:$G,3,FALSE))=TRUE," ",VLOOKUP($B126,CPY!$B:$G,3,FALSE))</f>
        <v> </v>
      </c>
      <c r="E126" s="65" t="str">
        <f>IF(ISNA(VLOOKUP($B126,CPY!$B:$G,4,FALSE))=TRUE," ",VLOOKUP($B126,CPY!$B:$G,4,FALSE))</f>
        <v> </v>
      </c>
      <c r="F126" s="62"/>
      <c r="G126" s="86"/>
      <c r="H126" s="86"/>
      <c r="I126" s="87"/>
      <c r="J126" s="88"/>
      <c r="K126" s="88"/>
      <c r="L126" s="95">
        <f t="shared" si="2"/>
        <v>0</v>
      </c>
      <c r="M126" s="96" t="b">
        <f>IF((ISNUMBER(L126)),IF(AND(F126="Workdays",(SUMIFS(O:O,F:F,F126,I:I,I126,B:B,B126)&lt;=24)),IF(AND((L126*24)&gt;0,(L126*24)&lt;=8),(L126*24)*MD!$M$5,IF(AND((L126*24)&gt;8,(L126*24)&lt;=16),(MD!$N$5),IF((L126*24)&gt;16,MD!$N$5))),IF(AND(F126="Non_workdays",(SUMIFS(O:O,F:F,F126,I:I,I126,B:B,B126)&lt;=24)),IF(AND((L126*24)&gt;0,(L126*24)&lt;=8),(L126*24)*MD!$M$6,IF(AND((L126*24)&gt;8,(L126*24)&lt;=16),(MD!$N$6),IF((L126*24)&gt;16,MD!$N$6))),IF(AND(F126="Call_out",(SUMIFS(O:O,F:F,F126,I:I,I126,B:B,B126)&lt;=24)),IF(AND((L126*24)&gt;0,(L126*24)&lt;=8),(L126*24)*MD!$P$4,IF(AND((L126*24)&gt;8,(L126*24)&lt;=16),(MD!$Q$4),IF((L126*24)&gt;16,MD!$Q$4)))))))</f>
        <v>0</v>
      </c>
      <c r="N126" s="62"/>
      <c r="O126" s="72">
        <f t="shared" si="3"/>
        <v>0</v>
      </c>
    </row>
    <row r="127" spans="1:15" x14ac:dyDescent="0.25">
      <c r="A127" s="62">
        <v>126</v>
      </c>
      <c r="B127" s="62"/>
      <c r="C127" s="68" t="str">
        <f>IF(ISNA(VLOOKUP($B127,CPY!$B:$G,2,FALSE))=TRUE," ",VLOOKUP($B127,CPY!$B:$G,2,FALSE))</f>
        <v> </v>
      </c>
      <c r="D127" s="50" t="str">
        <f>IF(ISNA(VLOOKUP($B127,CPY!$B:$G,3,FALSE))=TRUE," ",VLOOKUP($B127,CPY!$B:$G,3,FALSE))</f>
        <v> </v>
      </c>
      <c r="E127" s="65" t="str">
        <f>IF(ISNA(VLOOKUP($B127,CPY!$B:$G,4,FALSE))=TRUE," ",VLOOKUP($B127,CPY!$B:$G,4,FALSE))</f>
        <v> </v>
      </c>
      <c r="F127" s="62"/>
      <c r="G127" s="86"/>
      <c r="H127" s="86"/>
      <c r="I127" s="87"/>
      <c r="J127" s="88"/>
      <c r="K127" s="88"/>
      <c r="L127" s="95">
        <f t="shared" si="2"/>
        <v>0</v>
      </c>
      <c r="M127" s="96" t="b">
        <f>IF((ISNUMBER(L127)),IF(AND(F127="Workdays",(SUMIFS(O:O,F:F,F127,I:I,I127,B:B,B127)&lt;=24)),IF(AND((L127*24)&gt;0,(L127*24)&lt;=8),(L127*24)*MD!$M$5,IF(AND((L127*24)&gt;8,(L127*24)&lt;=16),(MD!$N$5),IF((L127*24)&gt;16,MD!$N$5))),IF(AND(F127="Non_workdays",(SUMIFS(O:O,F:F,F127,I:I,I127,B:B,B127)&lt;=24)),IF(AND((L127*24)&gt;0,(L127*24)&lt;=8),(L127*24)*MD!$M$6,IF(AND((L127*24)&gt;8,(L127*24)&lt;=16),(MD!$N$6),IF((L127*24)&gt;16,MD!$N$6))),IF(AND(F127="Call_out",(SUMIFS(O:O,F:F,F127,I:I,I127,B:B,B127)&lt;=24)),IF(AND((L127*24)&gt;0,(L127*24)&lt;=8),(L127*24)*MD!$P$4,IF(AND((L127*24)&gt;8,(L127*24)&lt;=16),(MD!$Q$4),IF((L127*24)&gt;16,MD!$Q$4)))))))</f>
        <v>0</v>
      </c>
      <c r="N127" s="62"/>
      <c r="O127" s="72">
        <f t="shared" si="3"/>
        <v>0</v>
      </c>
    </row>
    <row r="128" spans="1:15" x14ac:dyDescent="0.25">
      <c r="A128" s="62">
        <v>127</v>
      </c>
      <c r="B128" s="62"/>
      <c r="C128" s="68" t="str">
        <f>IF(ISNA(VLOOKUP($B128,CPY!$B:$G,2,FALSE))=TRUE," ",VLOOKUP($B128,CPY!$B:$G,2,FALSE))</f>
        <v> </v>
      </c>
      <c r="D128" s="50" t="str">
        <f>IF(ISNA(VLOOKUP($B128,CPY!$B:$G,3,FALSE))=TRUE," ",VLOOKUP($B128,CPY!$B:$G,3,FALSE))</f>
        <v> </v>
      </c>
      <c r="E128" s="65" t="str">
        <f>IF(ISNA(VLOOKUP($B128,CPY!$B:$G,4,FALSE))=TRUE," ",VLOOKUP($B128,CPY!$B:$G,4,FALSE))</f>
        <v> </v>
      </c>
      <c r="F128" s="62"/>
      <c r="G128" s="86"/>
      <c r="H128" s="86"/>
      <c r="I128" s="87"/>
      <c r="J128" s="88"/>
      <c r="K128" s="88"/>
      <c r="L128" s="95">
        <f t="shared" si="2"/>
        <v>0</v>
      </c>
      <c r="M128" s="96" t="b">
        <f>IF((ISNUMBER(L128)),IF(AND(F128="Workdays",(SUMIFS(O:O,F:F,F128,I:I,I128,B:B,B128)&lt;=24)),IF(AND((L128*24)&gt;0,(L128*24)&lt;=8),(L128*24)*MD!$M$5,IF(AND((L128*24)&gt;8,(L128*24)&lt;=16),(MD!$N$5),IF((L128*24)&gt;16,MD!$N$5))),IF(AND(F128="Non_workdays",(SUMIFS(O:O,F:F,F128,I:I,I128,B:B,B128)&lt;=24)),IF(AND((L128*24)&gt;0,(L128*24)&lt;=8),(L128*24)*MD!$M$6,IF(AND((L128*24)&gt;8,(L128*24)&lt;=16),(MD!$N$6),IF((L128*24)&gt;16,MD!$N$6))),IF(AND(F128="Call_out",(SUMIFS(O:O,F:F,F128,I:I,I128,B:B,B128)&lt;=24)),IF(AND((L128*24)&gt;0,(L128*24)&lt;=8),(L128*24)*MD!$P$4,IF(AND((L128*24)&gt;8,(L128*24)&lt;=16),(MD!$Q$4),IF((L128*24)&gt;16,MD!$Q$4)))))))</f>
        <v>0</v>
      </c>
      <c r="N128" s="62"/>
      <c r="O128" s="72">
        <f t="shared" si="3"/>
        <v>0</v>
      </c>
    </row>
    <row r="129" spans="1:15" x14ac:dyDescent="0.25">
      <c r="A129" s="62">
        <v>128</v>
      </c>
      <c r="B129" s="62"/>
      <c r="C129" s="68" t="str">
        <f>IF(ISNA(VLOOKUP($B129,CPY!$B:$G,2,FALSE))=TRUE," ",VLOOKUP($B129,CPY!$B:$G,2,FALSE))</f>
        <v> </v>
      </c>
      <c r="D129" s="50" t="str">
        <f>IF(ISNA(VLOOKUP($B129,CPY!$B:$G,3,FALSE))=TRUE," ",VLOOKUP($B129,CPY!$B:$G,3,FALSE))</f>
        <v> </v>
      </c>
      <c r="E129" s="65" t="str">
        <f>IF(ISNA(VLOOKUP($B129,CPY!$B:$G,4,FALSE))=TRUE," ",VLOOKUP($B129,CPY!$B:$G,4,FALSE))</f>
        <v> </v>
      </c>
      <c r="F129" s="62"/>
      <c r="G129" s="86"/>
      <c r="H129" s="86"/>
      <c r="I129" s="87"/>
      <c r="J129" s="88"/>
      <c r="K129" s="88"/>
      <c r="L129" s="95">
        <f t="shared" si="2"/>
        <v>0</v>
      </c>
      <c r="M129" s="96" t="b">
        <f>IF((ISNUMBER(L129)),IF(AND(F129="Workdays",(SUMIFS(O:O,F:F,F129,I:I,I129,B:B,B129)&lt;=24)),IF(AND((L129*24)&gt;0,(L129*24)&lt;=8),(L129*24)*MD!$M$5,IF(AND((L129*24)&gt;8,(L129*24)&lt;=16),(MD!$N$5),IF((L129*24)&gt;16,MD!$N$5))),IF(AND(F129="Non_workdays",(SUMIFS(O:O,F:F,F129,I:I,I129,B:B,B129)&lt;=24)),IF(AND((L129*24)&gt;0,(L129*24)&lt;=8),(L129*24)*MD!$M$6,IF(AND((L129*24)&gt;8,(L129*24)&lt;=16),(MD!$N$6),IF((L129*24)&gt;16,MD!$N$6))),IF(AND(F129="Call_out",(SUMIFS(O:O,F:F,F129,I:I,I129,B:B,B129)&lt;=24)),IF(AND((L129*24)&gt;0,(L129*24)&lt;=8),(L129*24)*MD!$P$4,IF(AND((L129*24)&gt;8,(L129*24)&lt;=16),(MD!$Q$4),IF((L129*24)&gt;16,MD!$Q$4)))))))</f>
        <v>0</v>
      </c>
      <c r="N129" s="62"/>
      <c r="O129" s="72">
        <f t="shared" si="3"/>
        <v>0</v>
      </c>
    </row>
    <row r="130" spans="1:15" x14ac:dyDescent="0.25">
      <c r="A130" s="62">
        <v>129</v>
      </c>
      <c r="B130" s="62"/>
      <c r="C130" s="68" t="str">
        <f>IF(ISNA(VLOOKUP($B130,CPY!$B:$G,2,FALSE))=TRUE," ",VLOOKUP($B130,CPY!$B:$G,2,FALSE))</f>
        <v> </v>
      </c>
      <c r="D130" s="50" t="str">
        <f>IF(ISNA(VLOOKUP($B130,CPY!$B:$G,3,FALSE))=TRUE," ",VLOOKUP($B130,CPY!$B:$G,3,FALSE))</f>
        <v> </v>
      </c>
      <c r="E130" s="65" t="str">
        <f>IF(ISNA(VLOOKUP($B130,CPY!$B:$G,4,FALSE))=TRUE," ",VLOOKUP($B130,CPY!$B:$G,4,FALSE))</f>
        <v> </v>
      </c>
      <c r="F130" s="62"/>
      <c r="G130" s="86"/>
      <c r="H130" s="86"/>
      <c r="I130" s="87"/>
      <c r="J130" s="88"/>
      <c r="K130" s="88"/>
      <c r="L130" s="95">
        <f t="shared" si="2"/>
        <v>0</v>
      </c>
      <c r="M130" s="96" t="b">
        <f>IF((ISNUMBER(L130)),IF(AND(F130="Workdays",(SUMIFS(O:O,F:F,F130,I:I,I130,B:B,B130)&lt;=24)),IF(AND((L130*24)&gt;0,(L130*24)&lt;=8),(L130*24)*MD!$M$5,IF(AND((L130*24)&gt;8,(L130*24)&lt;=16),(MD!$N$5),IF((L130*24)&gt;16,MD!$N$5))),IF(AND(F130="Non_workdays",(SUMIFS(O:O,F:F,F130,I:I,I130,B:B,B130)&lt;=24)),IF(AND((L130*24)&gt;0,(L130*24)&lt;=8),(L130*24)*MD!$M$6,IF(AND((L130*24)&gt;8,(L130*24)&lt;=16),(MD!$N$6),IF((L130*24)&gt;16,MD!$N$6))),IF(AND(F130="Call_out",(SUMIFS(O:O,F:F,F130,I:I,I130,B:B,B130)&lt;=24)),IF(AND((L130*24)&gt;0,(L130*24)&lt;=8),(L130*24)*MD!$P$4,IF(AND((L130*24)&gt;8,(L130*24)&lt;=16),(MD!$Q$4),IF((L130*24)&gt;16,MD!$Q$4)))))))</f>
        <v>0</v>
      </c>
      <c r="N130" s="62"/>
      <c r="O130" s="72">
        <f t="shared" si="3"/>
        <v>0</v>
      </c>
    </row>
    <row r="131" spans="1:15" x14ac:dyDescent="0.25">
      <c r="A131" s="62">
        <v>130</v>
      </c>
      <c r="B131" s="62"/>
      <c r="C131" s="68" t="str">
        <f>IF(ISNA(VLOOKUP($B131,CPY!$B:$G,2,FALSE))=TRUE," ",VLOOKUP($B131,CPY!$B:$G,2,FALSE))</f>
        <v> </v>
      </c>
      <c r="D131" s="50" t="str">
        <f>IF(ISNA(VLOOKUP($B131,CPY!$B:$G,3,FALSE))=TRUE," ",VLOOKUP($B131,CPY!$B:$G,3,FALSE))</f>
        <v> </v>
      </c>
      <c r="E131" s="65" t="str">
        <f>IF(ISNA(VLOOKUP($B131,CPY!$B:$G,4,FALSE))=TRUE," ",VLOOKUP($B131,CPY!$B:$G,4,FALSE))</f>
        <v> </v>
      </c>
      <c r="F131" s="62"/>
      <c r="G131" s="86"/>
      <c r="H131" s="86"/>
      <c r="I131" s="87"/>
      <c r="J131" s="88"/>
      <c r="K131" s="88"/>
      <c r="L131" s="95">
        <f t="shared" ref="L131:L194" si="4">IF($F131="Workdays",IF(NOT(ISBLANK($K131)),(IF($K131&lt;$J131,$K131+1,$K131)-$J131)),IF(OR($F131="Non_workdays",$F131="Call_out"),IF(NOT(ISBLANK($K131)),(IF($K131&lt;$J131,$K131+1,$K131)-$J131)),IF(AND(NOT(ISBLANK($F131)),NOT(ISBLANK($I131))),"Correct the On call slab")))</f>
        <v>0</v>
      </c>
      <c r="M131" s="96" t="b">
        <f>IF((ISNUMBER(L131)),IF(AND(F131="Workdays",(SUMIFS(O:O,F:F,F131,I:I,I131,B:B,B131)&lt;=24)),IF(AND((L131*24)&gt;0,(L131*24)&lt;=8),(L131*24)*MD!$M$5,IF(AND((L131*24)&gt;8,(L131*24)&lt;=16),(MD!$N$5),IF((L131*24)&gt;16,MD!$N$5))),IF(AND(F131="Non_workdays",(SUMIFS(O:O,F:F,F131,I:I,I131,B:B,B131)&lt;=24)),IF(AND((L131*24)&gt;0,(L131*24)&lt;=8),(L131*24)*MD!$M$6,IF(AND((L131*24)&gt;8,(L131*24)&lt;=16),(MD!$N$6),IF((L131*24)&gt;16,MD!$N$6))),IF(AND(F131="Call_out",(SUMIFS(O:O,F:F,F131,I:I,I131,B:B,B131)&lt;=24)),IF(AND((L131*24)&gt;0,(L131*24)&lt;=8),(L131*24)*MD!$P$4,IF(AND((L131*24)&gt;8,(L131*24)&lt;=16),(MD!$Q$4),IF((L131*24)&gt;16,MD!$Q$4)))))))</f>
        <v>0</v>
      </c>
      <c r="N131" s="62"/>
      <c r="O131" s="72">
        <f t="shared" ref="O131:O194" si="5">L131*24</f>
        <v>0</v>
      </c>
    </row>
    <row r="132" spans="1:15" x14ac:dyDescent="0.25">
      <c r="A132" s="62">
        <v>131</v>
      </c>
      <c r="B132" s="62"/>
      <c r="C132" s="68" t="str">
        <f>IF(ISNA(VLOOKUP($B132,CPY!$B:$G,2,FALSE))=TRUE," ",VLOOKUP($B132,CPY!$B:$G,2,FALSE))</f>
        <v> </v>
      </c>
      <c r="D132" s="50" t="str">
        <f>IF(ISNA(VLOOKUP($B132,CPY!$B:$G,3,FALSE))=TRUE," ",VLOOKUP($B132,CPY!$B:$G,3,FALSE))</f>
        <v> </v>
      </c>
      <c r="E132" s="65" t="str">
        <f>IF(ISNA(VLOOKUP($B132,CPY!$B:$G,4,FALSE))=TRUE," ",VLOOKUP($B132,CPY!$B:$G,4,FALSE))</f>
        <v> </v>
      </c>
      <c r="F132" s="62"/>
      <c r="G132" s="86"/>
      <c r="H132" s="86"/>
      <c r="I132" s="87"/>
      <c r="J132" s="88"/>
      <c r="K132" s="88"/>
      <c r="L132" s="95">
        <f t="shared" si="4"/>
        <v>0</v>
      </c>
      <c r="M132" s="96" t="b">
        <f>IF((ISNUMBER(L132)),IF(AND(F132="Workdays",(SUMIFS(O:O,F:F,F132,I:I,I132,B:B,B132)&lt;=24)),IF(AND((L132*24)&gt;0,(L132*24)&lt;=8),(L132*24)*MD!$M$5,IF(AND((L132*24)&gt;8,(L132*24)&lt;=16),(MD!$N$5),IF((L132*24)&gt;16,MD!$N$5))),IF(AND(F132="Non_workdays",(SUMIFS(O:O,F:F,F132,I:I,I132,B:B,B132)&lt;=24)),IF(AND((L132*24)&gt;0,(L132*24)&lt;=8),(L132*24)*MD!$M$6,IF(AND((L132*24)&gt;8,(L132*24)&lt;=16),(MD!$N$6),IF((L132*24)&gt;16,MD!$N$6))),IF(AND(F132="Call_out",(SUMIFS(O:O,F:F,F132,I:I,I132,B:B,B132)&lt;=24)),IF(AND((L132*24)&gt;0,(L132*24)&lt;=8),(L132*24)*MD!$P$4,IF(AND((L132*24)&gt;8,(L132*24)&lt;=16),(MD!$Q$4),IF((L132*24)&gt;16,MD!$Q$4)))))))</f>
        <v>0</v>
      </c>
      <c r="N132" s="62"/>
      <c r="O132" s="72">
        <f t="shared" si="5"/>
        <v>0</v>
      </c>
    </row>
    <row r="133" spans="1:15" x14ac:dyDescent="0.25">
      <c r="A133" s="62">
        <v>132</v>
      </c>
      <c r="B133" s="62"/>
      <c r="C133" s="68" t="str">
        <f>IF(ISNA(VLOOKUP($B133,CPY!$B:$G,2,FALSE))=TRUE," ",VLOOKUP($B133,CPY!$B:$G,2,FALSE))</f>
        <v> </v>
      </c>
      <c r="D133" s="50" t="str">
        <f>IF(ISNA(VLOOKUP($B133,CPY!$B:$G,3,FALSE))=TRUE," ",VLOOKUP($B133,CPY!$B:$G,3,FALSE))</f>
        <v> </v>
      </c>
      <c r="E133" s="65" t="str">
        <f>IF(ISNA(VLOOKUP($B133,CPY!$B:$G,4,FALSE))=TRUE," ",VLOOKUP($B133,CPY!$B:$G,4,FALSE))</f>
        <v> </v>
      </c>
      <c r="F133" s="62"/>
      <c r="G133" s="86"/>
      <c r="H133" s="86"/>
      <c r="I133" s="87"/>
      <c r="J133" s="88"/>
      <c r="K133" s="88"/>
      <c r="L133" s="95">
        <f t="shared" si="4"/>
        <v>0</v>
      </c>
      <c r="M133" s="96" t="b">
        <f>IF((ISNUMBER(L133)),IF(AND(F133="Workdays",(SUMIFS(O:O,F:F,F133,I:I,I133,B:B,B133)&lt;=24)),IF(AND((L133*24)&gt;0,(L133*24)&lt;=8),(L133*24)*MD!$M$5,IF(AND((L133*24)&gt;8,(L133*24)&lt;=16),(MD!$N$5),IF((L133*24)&gt;16,MD!$N$5))),IF(AND(F133="Non_workdays",(SUMIFS(O:O,F:F,F133,I:I,I133,B:B,B133)&lt;=24)),IF(AND((L133*24)&gt;0,(L133*24)&lt;=8),(L133*24)*MD!$M$6,IF(AND((L133*24)&gt;8,(L133*24)&lt;=16),(MD!$N$6),IF((L133*24)&gt;16,MD!$N$6))),IF(AND(F133="Call_out",(SUMIFS(O:O,F:F,F133,I:I,I133,B:B,B133)&lt;=24)),IF(AND((L133*24)&gt;0,(L133*24)&lt;=8),(L133*24)*MD!$P$4,IF(AND((L133*24)&gt;8,(L133*24)&lt;=16),(MD!$Q$4),IF((L133*24)&gt;16,MD!$Q$4)))))))</f>
        <v>0</v>
      </c>
      <c r="N133" s="62"/>
      <c r="O133" s="72">
        <f t="shared" si="5"/>
        <v>0</v>
      </c>
    </row>
    <row r="134" spans="1:15" x14ac:dyDescent="0.25">
      <c r="A134" s="62">
        <v>133</v>
      </c>
      <c r="B134" s="62"/>
      <c r="C134" s="68" t="str">
        <f>IF(ISNA(VLOOKUP($B134,CPY!$B:$G,2,FALSE))=TRUE," ",VLOOKUP($B134,CPY!$B:$G,2,FALSE))</f>
        <v> </v>
      </c>
      <c r="D134" s="50" t="str">
        <f>IF(ISNA(VLOOKUP($B134,CPY!$B:$G,3,FALSE))=TRUE," ",VLOOKUP($B134,CPY!$B:$G,3,FALSE))</f>
        <v> </v>
      </c>
      <c r="E134" s="65" t="str">
        <f>IF(ISNA(VLOOKUP($B134,CPY!$B:$G,4,FALSE))=TRUE," ",VLOOKUP($B134,CPY!$B:$G,4,FALSE))</f>
        <v> </v>
      </c>
      <c r="F134" s="62"/>
      <c r="G134" s="86"/>
      <c r="H134" s="86"/>
      <c r="I134" s="87"/>
      <c r="J134" s="88"/>
      <c r="K134" s="88"/>
      <c r="L134" s="95">
        <f t="shared" si="4"/>
        <v>0</v>
      </c>
      <c r="M134" s="96" t="b">
        <f>IF((ISNUMBER(L134)),IF(AND(F134="Workdays",(SUMIFS(O:O,F:F,F134,I:I,I134,B:B,B134)&lt;=24)),IF(AND((L134*24)&gt;0,(L134*24)&lt;=8),(L134*24)*MD!$M$5,IF(AND((L134*24)&gt;8,(L134*24)&lt;=16),(MD!$N$5),IF((L134*24)&gt;16,MD!$N$5))),IF(AND(F134="Non_workdays",(SUMIFS(O:O,F:F,F134,I:I,I134,B:B,B134)&lt;=24)),IF(AND((L134*24)&gt;0,(L134*24)&lt;=8),(L134*24)*MD!$M$6,IF(AND((L134*24)&gt;8,(L134*24)&lt;=16),(MD!$N$6),IF((L134*24)&gt;16,MD!$N$6))),IF(AND(F134="Call_out",(SUMIFS(O:O,F:F,F134,I:I,I134,B:B,B134)&lt;=24)),IF(AND((L134*24)&gt;0,(L134*24)&lt;=8),(L134*24)*MD!$P$4,IF(AND((L134*24)&gt;8,(L134*24)&lt;=16),(MD!$Q$4),IF((L134*24)&gt;16,MD!$Q$4)))))))</f>
        <v>0</v>
      </c>
      <c r="N134" s="62"/>
      <c r="O134" s="72">
        <f t="shared" si="5"/>
        <v>0</v>
      </c>
    </row>
    <row r="135" spans="1:15" x14ac:dyDescent="0.25">
      <c r="A135" s="62">
        <v>134</v>
      </c>
      <c r="B135" s="62"/>
      <c r="C135" s="68" t="str">
        <f>IF(ISNA(VLOOKUP($B135,CPY!$B:$G,2,FALSE))=TRUE," ",VLOOKUP($B135,CPY!$B:$G,2,FALSE))</f>
        <v> </v>
      </c>
      <c r="D135" s="50" t="str">
        <f>IF(ISNA(VLOOKUP($B135,CPY!$B:$G,3,FALSE))=TRUE," ",VLOOKUP($B135,CPY!$B:$G,3,FALSE))</f>
        <v> </v>
      </c>
      <c r="E135" s="65" t="str">
        <f>IF(ISNA(VLOOKUP($B135,CPY!$B:$G,4,FALSE))=TRUE," ",VLOOKUP($B135,CPY!$B:$G,4,FALSE))</f>
        <v> </v>
      </c>
      <c r="F135" s="62"/>
      <c r="G135" s="86"/>
      <c r="H135" s="86"/>
      <c r="I135" s="87"/>
      <c r="J135" s="88"/>
      <c r="K135" s="88"/>
      <c r="L135" s="95">
        <f t="shared" si="4"/>
        <v>0</v>
      </c>
      <c r="M135" s="96" t="b">
        <f>IF((ISNUMBER(L135)),IF(AND(F135="Workdays",(SUMIFS(O:O,F:F,F135,I:I,I135,B:B,B135)&lt;=24)),IF(AND((L135*24)&gt;0,(L135*24)&lt;=8),(L135*24)*MD!$M$5,IF(AND((L135*24)&gt;8,(L135*24)&lt;=16),(MD!$N$5),IF((L135*24)&gt;16,MD!$N$5))),IF(AND(F135="Non_workdays",(SUMIFS(O:O,F:F,F135,I:I,I135,B:B,B135)&lt;=24)),IF(AND((L135*24)&gt;0,(L135*24)&lt;=8),(L135*24)*MD!$M$6,IF(AND((L135*24)&gt;8,(L135*24)&lt;=16),(MD!$N$6),IF((L135*24)&gt;16,MD!$N$6))),IF(AND(F135="Call_out",(SUMIFS(O:O,F:F,F135,I:I,I135,B:B,B135)&lt;=24)),IF(AND((L135*24)&gt;0,(L135*24)&lt;=8),(L135*24)*MD!$P$4,IF(AND((L135*24)&gt;8,(L135*24)&lt;=16),(MD!$Q$4),IF((L135*24)&gt;16,MD!$Q$4)))))))</f>
        <v>0</v>
      </c>
      <c r="N135" s="62"/>
      <c r="O135" s="72">
        <f t="shared" si="5"/>
        <v>0</v>
      </c>
    </row>
    <row r="136" spans="1:15" x14ac:dyDescent="0.25">
      <c r="A136" s="62">
        <v>135</v>
      </c>
      <c r="B136" s="62"/>
      <c r="C136" s="68" t="str">
        <f>IF(ISNA(VLOOKUP($B136,CPY!$B:$G,2,FALSE))=TRUE," ",VLOOKUP($B136,CPY!$B:$G,2,FALSE))</f>
        <v> </v>
      </c>
      <c r="D136" s="50" t="str">
        <f>IF(ISNA(VLOOKUP($B136,CPY!$B:$G,3,FALSE))=TRUE," ",VLOOKUP($B136,CPY!$B:$G,3,FALSE))</f>
        <v> </v>
      </c>
      <c r="E136" s="65" t="str">
        <f>IF(ISNA(VLOOKUP($B136,CPY!$B:$G,4,FALSE))=TRUE," ",VLOOKUP($B136,CPY!$B:$G,4,FALSE))</f>
        <v> </v>
      </c>
      <c r="F136" s="62"/>
      <c r="G136" s="86"/>
      <c r="H136" s="86"/>
      <c r="I136" s="87"/>
      <c r="J136" s="88"/>
      <c r="K136" s="88"/>
      <c r="L136" s="95">
        <f t="shared" si="4"/>
        <v>0</v>
      </c>
      <c r="M136" s="96" t="b">
        <f>IF((ISNUMBER(L136)),IF(AND(F136="Workdays",(SUMIFS(O:O,F:F,F136,I:I,I136,B:B,B136)&lt;=24)),IF(AND((L136*24)&gt;0,(L136*24)&lt;=8),(L136*24)*MD!$M$5,IF(AND((L136*24)&gt;8,(L136*24)&lt;=16),(MD!$N$5),IF((L136*24)&gt;16,MD!$N$5))),IF(AND(F136="Non_workdays",(SUMIFS(O:O,F:F,F136,I:I,I136,B:B,B136)&lt;=24)),IF(AND((L136*24)&gt;0,(L136*24)&lt;=8),(L136*24)*MD!$M$6,IF(AND((L136*24)&gt;8,(L136*24)&lt;=16),(MD!$N$6),IF((L136*24)&gt;16,MD!$N$6))),IF(AND(F136="Call_out",(SUMIFS(O:O,F:F,F136,I:I,I136,B:B,B136)&lt;=24)),IF(AND((L136*24)&gt;0,(L136*24)&lt;=8),(L136*24)*MD!$P$4,IF(AND((L136*24)&gt;8,(L136*24)&lt;=16),(MD!$Q$4),IF((L136*24)&gt;16,MD!$Q$4)))))))</f>
        <v>0</v>
      </c>
      <c r="N136" s="62"/>
      <c r="O136" s="72">
        <f t="shared" si="5"/>
        <v>0</v>
      </c>
    </row>
    <row r="137" spans="1:15" x14ac:dyDescent="0.25">
      <c r="A137" s="62">
        <v>136</v>
      </c>
      <c r="B137" s="62"/>
      <c r="C137" s="68" t="str">
        <f>IF(ISNA(VLOOKUP($B137,CPY!$B:$G,2,FALSE))=TRUE," ",VLOOKUP($B137,CPY!$B:$G,2,FALSE))</f>
        <v> </v>
      </c>
      <c r="D137" s="50" t="str">
        <f>IF(ISNA(VLOOKUP($B137,CPY!$B:$G,3,FALSE))=TRUE," ",VLOOKUP($B137,CPY!$B:$G,3,FALSE))</f>
        <v> </v>
      </c>
      <c r="E137" s="65" t="str">
        <f>IF(ISNA(VLOOKUP($B137,CPY!$B:$G,4,FALSE))=TRUE," ",VLOOKUP($B137,CPY!$B:$G,4,FALSE))</f>
        <v> </v>
      </c>
      <c r="F137" s="62"/>
      <c r="G137" s="86"/>
      <c r="H137" s="86"/>
      <c r="I137" s="87"/>
      <c r="J137" s="88"/>
      <c r="K137" s="88"/>
      <c r="L137" s="95">
        <f t="shared" si="4"/>
        <v>0</v>
      </c>
      <c r="M137" s="96" t="b">
        <f>IF((ISNUMBER(L137)),IF(AND(F137="Workdays",(SUMIFS(O:O,F:F,F137,I:I,I137,B:B,B137)&lt;=24)),IF(AND((L137*24)&gt;0,(L137*24)&lt;=8),(L137*24)*MD!$M$5,IF(AND((L137*24)&gt;8,(L137*24)&lt;=16),(MD!$N$5),IF((L137*24)&gt;16,MD!$N$5))),IF(AND(F137="Non_workdays",(SUMIFS(O:O,F:F,F137,I:I,I137,B:B,B137)&lt;=24)),IF(AND((L137*24)&gt;0,(L137*24)&lt;=8),(L137*24)*MD!$M$6,IF(AND((L137*24)&gt;8,(L137*24)&lt;=16),(MD!$N$6),IF((L137*24)&gt;16,MD!$N$6))),IF(AND(F137="Call_out",(SUMIFS(O:O,F:F,F137,I:I,I137,B:B,B137)&lt;=24)),IF(AND((L137*24)&gt;0,(L137*24)&lt;=8),(L137*24)*MD!$P$4,IF(AND((L137*24)&gt;8,(L137*24)&lt;=16),(MD!$Q$4),IF((L137*24)&gt;16,MD!$Q$4)))))))</f>
        <v>0</v>
      </c>
      <c r="N137" s="62"/>
      <c r="O137" s="72">
        <f t="shared" si="5"/>
        <v>0</v>
      </c>
    </row>
    <row r="138" spans="1:15" x14ac:dyDescent="0.25">
      <c r="A138" s="62">
        <v>137</v>
      </c>
      <c r="B138" s="62"/>
      <c r="C138" s="68" t="str">
        <f>IF(ISNA(VLOOKUP($B138,CPY!$B:$G,2,FALSE))=TRUE," ",VLOOKUP($B138,CPY!$B:$G,2,FALSE))</f>
        <v> </v>
      </c>
      <c r="D138" s="50" t="str">
        <f>IF(ISNA(VLOOKUP($B138,CPY!$B:$G,3,FALSE))=TRUE," ",VLOOKUP($B138,CPY!$B:$G,3,FALSE))</f>
        <v> </v>
      </c>
      <c r="E138" s="65" t="str">
        <f>IF(ISNA(VLOOKUP($B138,CPY!$B:$G,4,FALSE))=TRUE," ",VLOOKUP($B138,CPY!$B:$G,4,FALSE))</f>
        <v> </v>
      </c>
      <c r="F138" s="62"/>
      <c r="G138" s="86"/>
      <c r="H138" s="86"/>
      <c r="I138" s="87"/>
      <c r="J138" s="88"/>
      <c r="K138" s="88"/>
      <c r="L138" s="95">
        <f t="shared" si="4"/>
        <v>0</v>
      </c>
      <c r="M138" s="96" t="b">
        <f>IF((ISNUMBER(L138)),IF(AND(F138="Workdays",(SUMIFS(O:O,F:F,F138,I:I,I138,B:B,B138)&lt;=24)),IF(AND((L138*24)&gt;0,(L138*24)&lt;=8),(L138*24)*MD!$M$5,IF(AND((L138*24)&gt;8,(L138*24)&lt;=16),(MD!$N$5),IF((L138*24)&gt;16,MD!$N$5))),IF(AND(F138="Non_workdays",(SUMIFS(O:O,F:F,F138,I:I,I138,B:B,B138)&lt;=24)),IF(AND((L138*24)&gt;0,(L138*24)&lt;=8),(L138*24)*MD!$M$6,IF(AND((L138*24)&gt;8,(L138*24)&lt;=16),(MD!$N$6),IF((L138*24)&gt;16,MD!$N$6))),IF(AND(F138="Call_out",(SUMIFS(O:O,F:F,F138,I:I,I138,B:B,B138)&lt;=24)),IF(AND((L138*24)&gt;0,(L138*24)&lt;=8),(L138*24)*MD!$P$4,IF(AND((L138*24)&gt;8,(L138*24)&lt;=16),(MD!$Q$4),IF((L138*24)&gt;16,MD!$Q$4)))))))</f>
        <v>0</v>
      </c>
      <c r="N138" s="62"/>
      <c r="O138" s="72">
        <f t="shared" si="5"/>
        <v>0</v>
      </c>
    </row>
    <row r="139" spans="1:15" x14ac:dyDescent="0.25">
      <c r="A139" s="62">
        <v>138</v>
      </c>
      <c r="B139" s="62"/>
      <c r="C139" s="68" t="str">
        <f>IF(ISNA(VLOOKUP($B139,CPY!$B:$G,2,FALSE))=TRUE," ",VLOOKUP($B139,CPY!$B:$G,2,FALSE))</f>
        <v> </v>
      </c>
      <c r="D139" s="50" t="str">
        <f>IF(ISNA(VLOOKUP($B139,CPY!$B:$G,3,FALSE))=TRUE," ",VLOOKUP($B139,CPY!$B:$G,3,FALSE))</f>
        <v> </v>
      </c>
      <c r="E139" s="65" t="str">
        <f>IF(ISNA(VLOOKUP($B139,CPY!$B:$G,4,FALSE))=TRUE," ",VLOOKUP($B139,CPY!$B:$G,4,FALSE))</f>
        <v> </v>
      </c>
      <c r="F139" s="62"/>
      <c r="G139" s="86"/>
      <c r="H139" s="86"/>
      <c r="I139" s="87"/>
      <c r="J139" s="88"/>
      <c r="K139" s="88"/>
      <c r="L139" s="95">
        <f t="shared" si="4"/>
        <v>0</v>
      </c>
      <c r="M139" s="96" t="b">
        <f>IF((ISNUMBER(L139)),IF(AND(F139="Workdays",(SUMIFS(O:O,F:F,F139,I:I,I139,B:B,B139)&lt;=24)),IF(AND((L139*24)&gt;0,(L139*24)&lt;=8),(L139*24)*MD!$M$5,IF(AND((L139*24)&gt;8,(L139*24)&lt;=16),(MD!$N$5),IF((L139*24)&gt;16,MD!$N$5))),IF(AND(F139="Non_workdays",(SUMIFS(O:O,F:F,F139,I:I,I139,B:B,B139)&lt;=24)),IF(AND((L139*24)&gt;0,(L139*24)&lt;=8),(L139*24)*MD!$M$6,IF(AND((L139*24)&gt;8,(L139*24)&lt;=16),(MD!$N$6),IF((L139*24)&gt;16,MD!$N$6))),IF(AND(F139="Call_out",(SUMIFS(O:O,F:F,F139,I:I,I139,B:B,B139)&lt;=24)),IF(AND((L139*24)&gt;0,(L139*24)&lt;=8),(L139*24)*MD!$P$4,IF(AND((L139*24)&gt;8,(L139*24)&lt;=16),(MD!$Q$4),IF((L139*24)&gt;16,MD!$Q$4)))))))</f>
        <v>0</v>
      </c>
      <c r="N139" s="62"/>
      <c r="O139" s="72">
        <f t="shared" si="5"/>
        <v>0</v>
      </c>
    </row>
    <row r="140" spans="1:15" x14ac:dyDescent="0.25">
      <c r="A140" s="62">
        <v>139</v>
      </c>
      <c r="B140" s="62"/>
      <c r="C140" s="68" t="str">
        <f>IF(ISNA(VLOOKUP($B140,CPY!$B:$G,2,FALSE))=TRUE," ",VLOOKUP($B140,CPY!$B:$G,2,FALSE))</f>
        <v> </v>
      </c>
      <c r="D140" s="50" t="str">
        <f>IF(ISNA(VLOOKUP($B140,CPY!$B:$G,3,FALSE))=TRUE," ",VLOOKUP($B140,CPY!$B:$G,3,FALSE))</f>
        <v> </v>
      </c>
      <c r="E140" s="65" t="str">
        <f>IF(ISNA(VLOOKUP($B140,CPY!$B:$G,4,FALSE))=TRUE," ",VLOOKUP($B140,CPY!$B:$G,4,FALSE))</f>
        <v> </v>
      </c>
      <c r="F140" s="62"/>
      <c r="G140" s="86"/>
      <c r="H140" s="86"/>
      <c r="I140" s="87"/>
      <c r="J140" s="88"/>
      <c r="K140" s="88"/>
      <c r="L140" s="95">
        <f t="shared" si="4"/>
        <v>0</v>
      </c>
      <c r="M140" s="96" t="b">
        <f>IF((ISNUMBER(L140)),IF(AND(F140="Workdays",(SUMIFS(O:O,F:F,F140,I:I,I140,B:B,B140)&lt;=24)),IF(AND((L140*24)&gt;0,(L140*24)&lt;=8),(L140*24)*MD!$M$5,IF(AND((L140*24)&gt;8,(L140*24)&lt;=16),(MD!$N$5),IF((L140*24)&gt;16,MD!$N$5))),IF(AND(F140="Non_workdays",(SUMIFS(O:O,F:F,F140,I:I,I140,B:B,B140)&lt;=24)),IF(AND((L140*24)&gt;0,(L140*24)&lt;=8),(L140*24)*MD!$M$6,IF(AND((L140*24)&gt;8,(L140*24)&lt;=16),(MD!$N$6),IF((L140*24)&gt;16,MD!$N$6))),IF(AND(F140="Call_out",(SUMIFS(O:O,F:F,F140,I:I,I140,B:B,B140)&lt;=24)),IF(AND((L140*24)&gt;0,(L140*24)&lt;=8),(L140*24)*MD!$P$4,IF(AND((L140*24)&gt;8,(L140*24)&lt;=16),(MD!$Q$4),IF((L140*24)&gt;16,MD!$Q$4)))))))</f>
        <v>0</v>
      </c>
      <c r="N140" s="62"/>
      <c r="O140" s="72">
        <f t="shared" si="5"/>
        <v>0</v>
      </c>
    </row>
    <row r="141" spans="1:15" x14ac:dyDescent="0.25">
      <c r="A141" s="62">
        <v>140</v>
      </c>
      <c r="B141" s="62"/>
      <c r="C141" s="68" t="str">
        <f>IF(ISNA(VLOOKUP($B141,CPY!$B:$G,2,FALSE))=TRUE," ",VLOOKUP($B141,CPY!$B:$G,2,FALSE))</f>
        <v> </v>
      </c>
      <c r="D141" s="50" t="str">
        <f>IF(ISNA(VLOOKUP($B141,CPY!$B:$G,3,FALSE))=TRUE," ",VLOOKUP($B141,CPY!$B:$G,3,FALSE))</f>
        <v> </v>
      </c>
      <c r="E141" s="65" t="str">
        <f>IF(ISNA(VLOOKUP($B141,CPY!$B:$G,4,FALSE))=TRUE," ",VLOOKUP($B141,CPY!$B:$G,4,FALSE))</f>
        <v> </v>
      </c>
      <c r="F141" s="62"/>
      <c r="G141" s="86"/>
      <c r="H141" s="86"/>
      <c r="I141" s="87"/>
      <c r="J141" s="88"/>
      <c r="K141" s="88"/>
      <c r="L141" s="95">
        <f t="shared" si="4"/>
        <v>0</v>
      </c>
      <c r="M141" s="96" t="b">
        <f>IF((ISNUMBER(L141)),IF(AND(F141="Workdays",(SUMIFS(O:O,F:F,F141,I:I,I141,B:B,B141)&lt;=24)),IF(AND((L141*24)&gt;0,(L141*24)&lt;=8),(L141*24)*MD!$M$5,IF(AND((L141*24)&gt;8,(L141*24)&lt;=16),(MD!$N$5),IF((L141*24)&gt;16,MD!$N$5))),IF(AND(F141="Non_workdays",(SUMIFS(O:O,F:F,F141,I:I,I141,B:B,B141)&lt;=24)),IF(AND((L141*24)&gt;0,(L141*24)&lt;=8),(L141*24)*MD!$M$6,IF(AND((L141*24)&gt;8,(L141*24)&lt;=16),(MD!$N$6),IF((L141*24)&gt;16,MD!$N$6))),IF(AND(F141="Call_out",(SUMIFS(O:O,F:F,F141,I:I,I141,B:B,B141)&lt;=24)),IF(AND((L141*24)&gt;0,(L141*24)&lt;=8),(L141*24)*MD!$P$4,IF(AND((L141*24)&gt;8,(L141*24)&lt;=16),(MD!$Q$4),IF((L141*24)&gt;16,MD!$Q$4)))))))</f>
        <v>0</v>
      </c>
      <c r="N141" s="62"/>
      <c r="O141" s="72">
        <f t="shared" si="5"/>
        <v>0</v>
      </c>
    </row>
    <row r="142" spans="1:15" x14ac:dyDescent="0.25">
      <c r="A142" s="62">
        <v>141</v>
      </c>
      <c r="B142" s="62"/>
      <c r="C142" s="68" t="str">
        <f>IF(ISNA(VLOOKUP($B142,CPY!$B:$G,2,FALSE))=TRUE," ",VLOOKUP($B142,CPY!$B:$G,2,FALSE))</f>
        <v> </v>
      </c>
      <c r="D142" s="50" t="str">
        <f>IF(ISNA(VLOOKUP($B142,CPY!$B:$G,3,FALSE))=TRUE," ",VLOOKUP($B142,CPY!$B:$G,3,FALSE))</f>
        <v> </v>
      </c>
      <c r="E142" s="65" t="str">
        <f>IF(ISNA(VLOOKUP($B142,CPY!$B:$G,4,FALSE))=TRUE," ",VLOOKUP($B142,CPY!$B:$G,4,FALSE))</f>
        <v> </v>
      </c>
      <c r="F142" s="62"/>
      <c r="G142" s="86"/>
      <c r="H142" s="86"/>
      <c r="I142" s="87"/>
      <c r="J142" s="88"/>
      <c r="K142" s="88"/>
      <c r="L142" s="95">
        <f t="shared" si="4"/>
        <v>0</v>
      </c>
      <c r="M142" s="96" t="b">
        <f>IF((ISNUMBER(L142)),IF(AND(F142="Workdays",(SUMIFS(O:O,F:F,F142,I:I,I142,B:B,B142)&lt;=24)),IF(AND((L142*24)&gt;0,(L142*24)&lt;=8),(L142*24)*MD!$M$5,IF(AND((L142*24)&gt;8,(L142*24)&lt;=16),(MD!$N$5),IF((L142*24)&gt;16,MD!$N$5))),IF(AND(F142="Non_workdays",(SUMIFS(O:O,F:F,F142,I:I,I142,B:B,B142)&lt;=24)),IF(AND((L142*24)&gt;0,(L142*24)&lt;=8),(L142*24)*MD!$M$6,IF(AND((L142*24)&gt;8,(L142*24)&lt;=16),(MD!$N$6),IF((L142*24)&gt;16,MD!$N$6))),IF(AND(F142="Call_out",(SUMIFS(O:O,F:F,F142,I:I,I142,B:B,B142)&lt;=24)),IF(AND((L142*24)&gt;0,(L142*24)&lt;=8),(L142*24)*MD!$P$4,IF(AND((L142*24)&gt;8,(L142*24)&lt;=16),(MD!$Q$4),IF((L142*24)&gt;16,MD!$Q$4)))))))</f>
        <v>0</v>
      </c>
      <c r="N142" s="62"/>
      <c r="O142" s="72">
        <f t="shared" si="5"/>
        <v>0</v>
      </c>
    </row>
    <row r="143" spans="1:15" x14ac:dyDescent="0.25">
      <c r="A143" s="62">
        <v>142</v>
      </c>
      <c r="B143" s="62"/>
      <c r="C143" s="68" t="str">
        <f>IF(ISNA(VLOOKUP($B143,CPY!$B:$G,2,FALSE))=TRUE," ",VLOOKUP($B143,CPY!$B:$G,2,FALSE))</f>
        <v> </v>
      </c>
      <c r="D143" s="50" t="str">
        <f>IF(ISNA(VLOOKUP($B143,CPY!$B:$G,3,FALSE))=TRUE," ",VLOOKUP($B143,CPY!$B:$G,3,FALSE))</f>
        <v> </v>
      </c>
      <c r="E143" s="65" t="str">
        <f>IF(ISNA(VLOOKUP($B143,CPY!$B:$G,4,FALSE))=TRUE," ",VLOOKUP($B143,CPY!$B:$G,4,FALSE))</f>
        <v> </v>
      </c>
      <c r="F143" s="62"/>
      <c r="G143" s="86"/>
      <c r="H143" s="86"/>
      <c r="I143" s="87"/>
      <c r="J143" s="88"/>
      <c r="K143" s="88"/>
      <c r="L143" s="95">
        <f t="shared" si="4"/>
        <v>0</v>
      </c>
      <c r="M143" s="96" t="b">
        <f>IF((ISNUMBER(L143)),IF(AND(F143="Workdays",(SUMIFS(O:O,F:F,F143,I:I,I143,B:B,B143)&lt;=24)),IF(AND((L143*24)&gt;0,(L143*24)&lt;=8),(L143*24)*MD!$M$5,IF(AND((L143*24)&gt;8,(L143*24)&lt;=16),(MD!$N$5),IF((L143*24)&gt;16,MD!$N$5))),IF(AND(F143="Non_workdays",(SUMIFS(O:O,F:F,F143,I:I,I143,B:B,B143)&lt;=24)),IF(AND((L143*24)&gt;0,(L143*24)&lt;=8),(L143*24)*MD!$M$6,IF(AND((L143*24)&gt;8,(L143*24)&lt;=16),(MD!$N$6),IF((L143*24)&gt;16,MD!$N$6))),IF(AND(F143="Call_out",(SUMIFS(O:O,F:F,F143,I:I,I143,B:B,B143)&lt;=24)),IF(AND((L143*24)&gt;0,(L143*24)&lt;=8),(L143*24)*MD!$P$4,IF(AND((L143*24)&gt;8,(L143*24)&lt;=16),(MD!$Q$4),IF((L143*24)&gt;16,MD!$Q$4)))))))</f>
        <v>0</v>
      </c>
      <c r="N143" s="62"/>
      <c r="O143" s="72">
        <f t="shared" si="5"/>
        <v>0</v>
      </c>
    </row>
    <row r="144" spans="1:15" x14ac:dyDescent="0.25">
      <c r="A144" s="62">
        <v>143</v>
      </c>
      <c r="B144" s="62"/>
      <c r="C144" s="68" t="str">
        <f>IF(ISNA(VLOOKUP($B144,CPY!$B:$G,2,FALSE))=TRUE," ",VLOOKUP($B144,CPY!$B:$G,2,FALSE))</f>
        <v> </v>
      </c>
      <c r="D144" s="50" t="str">
        <f>IF(ISNA(VLOOKUP($B144,CPY!$B:$G,3,FALSE))=TRUE," ",VLOOKUP($B144,CPY!$B:$G,3,FALSE))</f>
        <v> </v>
      </c>
      <c r="E144" s="65" t="str">
        <f>IF(ISNA(VLOOKUP($B144,CPY!$B:$G,4,FALSE))=TRUE," ",VLOOKUP($B144,CPY!$B:$G,4,FALSE))</f>
        <v> </v>
      </c>
      <c r="F144" s="62"/>
      <c r="G144" s="86"/>
      <c r="H144" s="86"/>
      <c r="I144" s="87"/>
      <c r="J144" s="88"/>
      <c r="K144" s="88"/>
      <c r="L144" s="95">
        <f t="shared" si="4"/>
        <v>0</v>
      </c>
      <c r="M144" s="96" t="b">
        <f>IF((ISNUMBER(L144)),IF(AND(F144="Workdays",(SUMIFS(O:O,F:F,F144,I:I,I144,B:B,B144)&lt;=24)),IF(AND((L144*24)&gt;0,(L144*24)&lt;=8),(L144*24)*MD!$M$5,IF(AND((L144*24)&gt;8,(L144*24)&lt;=16),(MD!$N$5),IF((L144*24)&gt;16,MD!$N$5))),IF(AND(F144="Non_workdays",(SUMIFS(O:O,F:F,F144,I:I,I144,B:B,B144)&lt;=24)),IF(AND((L144*24)&gt;0,(L144*24)&lt;=8),(L144*24)*MD!$M$6,IF(AND((L144*24)&gt;8,(L144*24)&lt;=16),(MD!$N$6),IF((L144*24)&gt;16,MD!$N$6))),IF(AND(F144="Call_out",(SUMIFS(O:O,F:F,F144,I:I,I144,B:B,B144)&lt;=24)),IF(AND((L144*24)&gt;0,(L144*24)&lt;=8),(L144*24)*MD!$P$4,IF(AND((L144*24)&gt;8,(L144*24)&lt;=16),(MD!$Q$4),IF((L144*24)&gt;16,MD!$Q$4)))))))</f>
        <v>0</v>
      </c>
      <c r="N144" s="62"/>
      <c r="O144" s="72">
        <f t="shared" si="5"/>
        <v>0</v>
      </c>
    </row>
    <row r="145" spans="1:15" x14ac:dyDescent="0.25">
      <c r="A145" s="62">
        <v>144</v>
      </c>
      <c r="B145" s="62"/>
      <c r="C145" s="68" t="str">
        <f>IF(ISNA(VLOOKUP($B145,CPY!$B:$G,2,FALSE))=TRUE," ",VLOOKUP($B145,CPY!$B:$G,2,FALSE))</f>
        <v> </v>
      </c>
      <c r="D145" s="50" t="str">
        <f>IF(ISNA(VLOOKUP($B145,CPY!$B:$G,3,FALSE))=TRUE," ",VLOOKUP($B145,CPY!$B:$G,3,FALSE))</f>
        <v> </v>
      </c>
      <c r="E145" s="65" t="str">
        <f>IF(ISNA(VLOOKUP($B145,CPY!$B:$G,4,FALSE))=TRUE," ",VLOOKUP($B145,CPY!$B:$G,4,FALSE))</f>
        <v> </v>
      </c>
      <c r="F145" s="62"/>
      <c r="G145" s="86"/>
      <c r="H145" s="86"/>
      <c r="I145" s="87"/>
      <c r="J145" s="88"/>
      <c r="K145" s="88"/>
      <c r="L145" s="95">
        <f t="shared" si="4"/>
        <v>0</v>
      </c>
      <c r="M145" s="96" t="b">
        <f>IF((ISNUMBER(L145)),IF(AND(F145="Workdays",(SUMIFS(O:O,F:F,F145,I:I,I145,B:B,B145)&lt;=24)),IF(AND((L145*24)&gt;0,(L145*24)&lt;=8),(L145*24)*MD!$M$5,IF(AND((L145*24)&gt;8,(L145*24)&lt;=16),(MD!$N$5),IF((L145*24)&gt;16,MD!$N$5))),IF(AND(F145="Non_workdays",(SUMIFS(O:O,F:F,F145,I:I,I145,B:B,B145)&lt;=24)),IF(AND((L145*24)&gt;0,(L145*24)&lt;=8),(L145*24)*MD!$M$6,IF(AND((L145*24)&gt;8,(L145*24)&lt;=16),(MD!$N$6),IF((L145*24)&gt;16,MD!$N$6))),IF(AND(F145="Call_out",(SUMIFS(O:O,F:F,F145,I:I,I145,B:B,B145)&lt;=24)),IF(AND((L145*24)&gt;0,(L145*24)&lt;=8),(L145*24)*MD!$P$4,IF(AND((L145*24)&gt;8,(L145*24)&lt;=16),(MD!$Q$4),IF((L145*24)&gt;16,MD!$Q$4)))))))</f>
        <v>0</v>
      </c>
      <c r="N145" s="62"/>
      <c r="O145" s="72">
        <f t="shared" si="5"/>
        <v>0</v>
      </c>
    </row>
    <row r="146" spans="1:15" x14ac:dyDescent="0.25">
      <c r="A146" s="62">
        <v>145</v>
      </c>
      <c r="B146" s="62"/>
      <c r="C146" s="68" t="str">
        <f>IF(ISNA(VLOOKUP($B146,CPY!$B:$G,2,FALSE))=TRUE," ",VLOOKUP($B146,CPY!$B:$G,2,FALSE))</f>
        <v> </v>
      </c>
      <c r="D146" s="50" t="str">
        <f>IF(ISNA(VLOOKUP($B146,CPY!$B:$G,3,FALSE))=TRUE," ",VLOOKUP($B146,CPY!$B:$G,3,FALSE))</f>
        <v> </v>
      </c>
      <c r="E146" s="65" t="str">
        <f>IF(ISNA(VLOOKUP($B146,CPY!$B:$G,4,FALSE))=TRUE," ",VLOOKUP($B146,CPY!$B:$G,4,FALSE))</f>
        <v> </v>
      </c>
      <c r="F146" s="62"/>
      <c r="G146" s="86"/>
      <c r="H146" s="86"/>
      <c r="I146" s="87"/>
      <c r="J146" s="88"/>
      <c r="K146" s="88"/>
      <c r="L146" s="95">
        <f t="shared" si="4"/>
        <v>0</v>
      </c>
      <c r="M146" s="96" t="b">
        <f>IF((ISNUMBER(L146)),IF(AND(F146="Workdays",(SUMIFS(O:O,F:F,F146,I:I,I146,B:B,B146)&lt;=24)),IF(AND((L146*24)&gt;0,(L146*24)&lt;=8),(L146*24)*MD!$M$5,IF(AND((L146*24)&gt;8,(L146*24)&lt;=16),(MD!$N$5),IF((L146*24)&gt;16,MD!$N$5))),IF(AND(F146="Non_workdays",(SUMIFS(O:O,F:F,F146,I:I,I146,B:B,B146)&lt;=24)),IF(AND((L146*24)&gt;0,(L146*24)&lt;=8),(L146*24)*MD!$M$6,IF(AND((L146*24)&gt;8,(L146*24)&lt;=16),(MD!$N$6),IF((L146*24)&gt;16,MD!$N$6))),IF(AND(F146="Call_out",(SUMIFS(O:O,F:F,F146,I:I,I146,B:B,B146)&lt;=24)),IF(AND((L146*24)&gt;0,(L146*24)&lt;=8),(L146*24)*MD!$P$4,IF(AND((L146*24)&gt;8,(L146*24)&lt;=16),(MD!$Q$4),IF((L146*24)&gt;16,MD!$Q$4)))))))</f>
        <v>0</v>
      </c>
      <c r="N146" s="62"/>
      <c r="O146" s="72">
        <f t="shared" si="5"/>
        <v>0</v>
      </c>
    </row>
    <row r="147" spans="1:15" x14ac:dyDescent="0.25">
      <c r="A147" s="62">
        <v>146</v>
      </c>
      <c r="B147" s="62"/>
      <c r="C147" s="68" t="str">
        <f>IF(ISNA(VLOOKUP($B147,CPY!$B:$G,2,FALSE))=TRUE," ",VLOOKUP($B147,CPY!$B:$G,2,FALSE))</f>
        <v> </v>
      </c>
      <c r="D147" s="50" t="str">
        <f>IF(ISNA(VLOOKUP($B147,CPY!$B:$G,3,FALSE))=TRUE," ",VLOOKUP($B147,CPY!$B:$G,3,FALSE))</f>
        <v> </v>
      </c>
      <c r="E147" s="65" t="str">
        <f>IF(ISNA(VLOOKUP($B147,CPY!$B:$G,4,FALSE))=TRUE," ",VLOOKUP($B147,CPY!$B:$G,4,FALSE))</f>
        <v> </v>
      </c>
      <c r="F147" s="62"/>
      <c r="G147" s="86"/>
      <c r="H147" s="86"/>
      <c r="I147" s="87"/>
      <c r="J147" s="88"/>
      <c r="K147" s="88"/>
      <c r="L147" s="95">
        <f t="shared" si="4"/>
        <v>0</v>
      </c>
      <c r="M147" s="96" t="b">
        <f>IF((ISNUMBER(L147)),IF(AND(F147="Workdays",(SUMIFS(O:O,F:F,F147,I:I,I147,B:B,B147)&lt;=24)),IF(AND((L147*24)&gt;0,(L147*24)&lt;=8),(L147*24)*MD!$M$5,IF(AND((L147*24)&gt;8,(L147*24)&lt;=16),(MD!$N$5),IF((L147*24)&gt;16,MD!$N$5))),IF(AND(F147="Non_workdays",(SUMIFS(O:O,F:F,F147,I:I,I147,B:B,B147)&lt;=24)),IF(AND((L147*24)&gt;0,(L147*24)&lt;=8),(L147*24)*MD!$M$6,IF(AND((L147*24)&gt;8,(L147*24)&lt;=16),(MD!$N$6),IF((L147*24)&gt;16,MD!$N$6))),IF(AND(F147="Call_out",(SUMIFS(O:O,F:F,F147,I:I,I147,B:B,B147)&lt;=24)),IF(AND((L147*24)&gt;0,(L147*24)&lt;=8),(L147*24)*MD!$P$4,IF(AND((L147*24)&gt;8,(L147*24)&lt;=16),(MD!$Q$4),IF((L147*24)&gt;16,MD!$Q$4)))))))</f>
        <v>0</v>
      </c>
      <c r="N147" s="62"/>
      <c r="O147" s="72">
        <f t="shared" si="5"/>
        <v>0</v>
      </c>
    </row>
    <row r="148" spans="1:15" x14ac:dyDescent="0.25">
      <c r="A148" s="62">
        <v>147</v>
      </c>
      <c r="B148" s="62"/>
      <c r="C148" s="68" t="str">
        <f>IF(ISNA(VLOOKUP($B148,CPY!$B:$G,2,FALSE))=TRUE," ",VLOOKUP($B148,CPY!$B:$G,2,FALSE))</f>
        <v> </v>
      </c>
      <c r="D148" s="50" t="str">
        <f>IF(ISNA(VLOOKUP($B148,CPY!$B:$G,3,FALSE))=TRUE," ",VLOOKUP($B148,CPY!$B:$G,3,FALSE))</f>
        <v> </v>
      </c>
      <c r="E148" s="65" t="str">
        <f>IF(ISNA(VLOOKUP($B148,CPY!$B:$G,4,FALSE))=TRUE," ",VLOOKUP($B148,CPY!$B:$G,4,FALSE))</f>
        <v> </v>
      </c>
      <c r="F148" s="62"/>
      <c r="G148" s="86"/>
      <c r="H148" s="86"/>
      <c r="I148" s="87"/>
      <c r="J148" s="88"/>
      <c r="K148" s="88"/>
      <c r="L148" s="95">
        <f t="shared" si="4"/>
        <v>0</v>
      </c>
      <c r="M148" s="96" t="b">
        <f>IF((ISNUMBER(L148)),IF(AND(F148="Workdays",(SUMIFS(O:O,F:F,F148,I:I,I148,B:B,B148)&lt;=24)),IF(AND((L148*24)&gt;0,(L148*24)&lt;=8),(L148*24)*MD!$M$5,IF(AND((L148*24)&gt;8,(L148*24)&lt;=16),(MD!$N$5),IF((L148*24)&gt;16,MD!$N$5))),IF(AND(F148="Non_workdays",(SUMIFS(O:O,F:F,F148,I:I,I148,B:B,B148)&lt;=24)),IF(AND((L148*24)&gt;0,(L148*24)&lt;=8),(L148*24)*MD!$M$6,IF(AND((L148*24)&gt;8,(L148*24)&lt;=16),(MD!$N$6),IF((L148*24)&gt;16,MD!$N$6))),IF(AND(F148="Call_out",(SUMIFS(O:O,F:F,F148,I:I,I148,B:B,B148)&lt;=24)),IF(AND((L148*24)&gt;0,(L148*24)&lt;=8),(L148*24)*MD!$P$4,IF(AND((L148*24)&gt;8,(L148*24)&lt;=16),(MD!$Q$4),IF((L148*24)&gt;16,MD!$Q$4)))))))</f>
        <v>0</v>
      </c>
      <c r="N148" s="62"/>
      <c r="O148" s="72">
        <f t="shared" si="5"/>
        <v>0</v>
      </c>
    </row>
    <row r="149" spans="1:15" x14ac:dyDescent="0.25">
      <c r="A149" s="62">
        <v>148</v>
      </c>
      <c r="B149" s="62"/>
      <c r="C149" s="68" t="str">
        <f>IF(ISNA(VLOOKUP($B149,CPY!$B:$G,2,FALSE))=TRUE," ",VLOOKUP($B149,CPY!$B:$G,2,FALSE))</f>
        <v> </v>
      </c>
      <c r="D149" s="50" t="str">
        <f>IF(ISNA(VLOOKUP($B149,CPY!$B:$G,3,FALSE))=TRUE," ",VLOOKUP($B149,CPY!$B:$G,3,FALSE))</f>
        <v> </v>
      </c>
      <c r="E149" s="65" t="str">
        <f>IF(ISNA(VLOOKUP($B149,CPY!$B:$G,4,FALSE))=TRUE," ",VLOOKUP($B149,CPY!$B:$G,4,FALSE))</f>
        <v> </v>
      </c>
      <c r="F149" s="62"/>
      <c r="G149" s="86"/>
      <c r="H149" s="86"/>
      <c r="I149" s="87"/>
      <c r="J149" s="88"/>
      <c r="K149" s="88"/>
      <c r="L149" s="95">
        <f t="shared" si="4"/>
        <v>0</v>
      </c>
      <c r="M149" s="96" t="b">
        <f>IF((ISNUMBER(L149)),IF(AND(F149="Workdays",(SUMIFS(O:O,F:F,F149,I:I,I149,B:B,B149)&lt;=24)),IF(AND((L149*24)&gt;0,(L149*24)&lt;=8),(L149*24)*MD!$M$5,IF(AND((L149*24)&gt;8,(L149*24)&lt;=16),(MD!$N$5),IF((L149*24)&gt;16,MD!$N$5))),IF(AND(F149="Non_workdays",(SUMIFS(O:O,F:F,F149,I:I,I149,B:B,B149)&lt;=24)),IF(AND((L149*24)&gt;0,(L149*24)&lt;=8),(L149*24)*MD!$M$6,IF(AND((L149*24)&gt;8,(L149*24)&lt;=16),(MD!$N$6),IF((L149*24)&gt;16,MD!$N$6))),IF(AND(F149="Call_out",(SUMIFS(O:O,F:F,F149,I:I,I149,B:B,B149)&lt;=24)),IF(AND((L149*24)&gt;0,(L149*24)&lt;=8),(L149*24)*MD!$P$4,IF(AND((L149*24)&gt;8,(L149*24)&lt;=16),(MD!$Q$4),IF((L149*24)&gt;16,MD!$Q$4)))))))</f>
        <v>0</v>
      </c>
      <c r="N149" s="62"/>
      <c r="O149" s="72">
        <f t="shared" si="5"/>
        <v>0</v>
      </c>
    </row>
    <row r="150" spans="1:15" x14ac:dyDescent="0.25">
      <c r="A150" s="62">
        <v>149</v>
      </c>
      <c r="B150" s="62"/>
      <c r="C150" s="68" t="str">
        <f>IF(ISNA(VLOOKUP($B150,CPY!$B:$G,2,FALSE))=TRUE," ",VLOOKUP($B150,CPY!$B:$G,2,FALSE))</f>
        <v> </v>
      </c>
      <c r="D150" s="50" t="str">
        <f>IF(ISNA(VLOOKUP($B150,CPY!$B:$G,3,FALSE))=TRUE," ",VLOOKUP($B150,CPY!$B:$G,3,FALSE))</f>
        <v> </v>
      </c>
      <c r="E150" s="65" t="str">
        <f>IF(ISNA(VLOOKUP($B150,CPY!$B:$G,4,FALSE))=TRUE," ",VLOOKUP($B150,CPY!$B:$G,4,FALSE))</f>
        <v> </v>
      </c>
      <c r="F150" s="62"/>
      <c r="G150" s="86"/>
      <c r="H150" s="86"/>
      <c r="I150" s="87"/>
      <c r="J150" s="88"/>
      <c r="K150" s="88"/>
      <c r="L150" s="95">
        <f t="shared" si="4"/>
        <v>0</v>
      </c>
      <c r="M150" s="96" t="b">
        <f>IF((ISNUMBER(L150)),IF(AND(F150="Workdays",(SUMIFS(O:O,F:F,F150,I:I,I150,B:B,B150)&lt;=24)),IF(AND((L150*24)&gt;0,(L150*24)&lt;=8),(L150*24)*MD!$M$5,IF(AND((L150*24)&gt;8,(L150*24)&lt;=16),(MD!$N$5),IF((L150*24)&gt;16,MD!$N$5))),IF(AND(F150="Non_workdays",(SUMIFS(O:O,F:F,F150,I:I,I150,B:B,B150)&lt;=24)),IF(AND((L150*24)&gt;0,(L150*24)&lt;=8),(L150*24)*MD!$M$6,IF(AND((L150*24)&gt;8,(L150*24)&lt;=16),(MD!$N$6),IF((L150*24)&gt;16,MD!$N$6))),IF(AND(F150="Call_out",(SUMIFS(O:O,F:F,F150,I:I,I150,B:B,B150)&lt;=24)),IF(AND((L150*24)&gt;0,(L150*24)&lt;=8),(L150*24)*MD!$P$4,IF(AND((L150*24)&gt;8,(L150*24)&lt;=16),(MD!$Q$4),IF((L150*24)&gt;16,MD!$Q$4)))))))</f>
        <v>0</v>
      </c>
      <c r="N150" s="62"/>
      <c r="O150" s="72">
        <f t="shared" si="5"/>
        <v>0</v>
      </c>
    </row>
    <row r="151" spans="1:15" x14ac:dyDescent="0.25">
      <c r="A151" s="62">
        <v>150</v>
      </c>
      <c r="B151" s="62"/>
      <c r="C151" s="68" t="str">
        <f>IF(ISNA(VLOOKUP($B151,CPY!$B:$G,2,FALSE))=TRUE," ",VLOOKUP($B151,CPY!$B:$G,2,FALSE))</f>
        <v> </v>
      </c>
      <c r="D151" s="50" t="str">
        <f>IF(ISNA(VLOOKUP($B151,CPY!$B:$G,3,FALSE))=TRUE," ",VLOOKUP($B151,CPY!$B:$G,3,FALSE))</f>
        <v> </v>
      </c>
      <c r="E151" s="65" t="str">
        <f>IF(ISNA(VLOOKUP($B151,CPY!$B:$G,4,FALSE))=TRUE," ",VLOOKUP($B151,CPY!$B:$G,4,FALSE))</f>
        <v> </v>
      </c>
      <c r="F151" s="62"/>
      <c r="G151" s="86"/>
      <c r="H151" s="86"/>
      <c r="I151" s="87"/>
      <c r="J151" s="88"/>
      <c r="K151" s="88"/>
      <c r="L151" s="95">
        <f t="shared" si="4"/>
        <v>0</v>
      </c>
      <c r="M151" s="96" t="b">
        <f>IF((ISNUMBER(L151)),IF(AND(F151="Workdays",(SUMIFS(O:O,F:F,F151,I:I,I151,B:B,B151)&lt;=24)),IF(AND((L151*24)&gt;0,(L151*24)&lt;=8),(L151*24)*MD!$M$5,IF(AND((L151*24)&gt;8,(L151*24)&lt;=16),(MD!$N$5),IF((L151*24)&gt;16,MD!$N$5))),IF(AND(F151="Non_workdays",(SUMIFS(O:O,F:F,F151,I:I,I151,B:B,B151)&lt;=24)),IF(AND((L151*24)&gt;0,(L151*24)&lt;=8),(L151*24)*MD!$M$6,IF(AND((L151*24)&gt;8,(L151*24)&lt;=16),(MD!$N$6),IF((L151*24)&gt;16,MD!$N$6))),IF(AND(F151="Call_out",(SUMIFS(O:O,F:F,F151,I:I,I151,B:B,B151)&lt;=24)),IF(AND((L151*24)&gt;0,(L151*24)&lt;=8),(L151*24)*MD!$P$4,IF(AND((L151*24)&gt;8,(L151*24)&lt;=16),(MD!$Q$4),IF((L151*24)&gt;16,MD!$Q$4)))))))</f>
        <v>0</v>
      </c>
      <c r="N151" s="62"/>
      <c r="O151" s="72">
        <f t="shared" si="5"/>
        <v>0</v>
      </c>
    </row>
    <row r="152" spans="1:15" x14ac:dyDescent="0.25">
      <c r="A152" s="62">
        <v>151</v>
      </c>
      <c r="B152" s="62"/>
      <c r="C152" s="68" t="str">
        <f>IF(ISNA(VLOOKUP($B152,CPY!$B:$G,2,FALSE))=TRUE," ",VLOOKUP($B152,CPY!$B:$G,2,FALSE))</f>
        <v> </v>
      </c>
      <c r="D152" s="50" t="str">
        <f>IF(ISNA(VLOOKUP($B152,CPY!$B:$G,3,FALSE))=TRUE," ",VLOOKUP($B152,CPY!$B:$G,3,FALSE))</f>
        <v> </v>
      </c>
      <c r="E152" s="65" t="str">
        <f>IF(ISNA(VLOOKUP($B152,CPY!$B:$G,4,FALSE))=TRUE," ",VLOOKUP($B152,CPY!$B:$G,4,FALSE))</f>
        <v> </v>
      </c>
      <c r="F152" s="62"/>
      <c r="G152" s="86"/>
      <c r="H152" s="86"/>
      <c r="I152" s="87"/>
      <c r="J152" s="88"/>
      <c r="K152" s="88"/>
      <c r="L152" s="95">
        <f t="shared" si="4"/>
        <v>0</v>
      </c>
      <c r="M152" s="96" t="b">
        <f>IF((ISNUMBER(L152)),IF(AND(F152="Workdays",(SUMIFS(O:O,F:F,F152,I:I,I152,B:B,B152)&lt;=24)),IF(AND((L152*24)&gt;0,(L152*24)&lt;=8),(L152*24)*MD!$M$5,IF(AND((L152*24)&gt;8,(L152*24)&lt;=16),(MD!$N$5),IF((L152*24)&gt;16,MD!$N$5))),IF(AND(F152="Non_workdays",(SUMIFS(O:O,F:F,F152,I:I,I152,B:B,B152)&lt;=24)),IF(AND((L152*24)&gt;0,(L152*24)&lt;=8),(L152*24)*MD!$M$6,IF(AND((L152*24)&gt;8,(L152*24)&lt;=16),(MD!$N$6),IF((L152*24)&gt;16,MD!$N$6))),IF(AND(F152="Call_out",(SUMIFS(O:O,F:F,F152,I:I,I152,B:B,B152)&lt;=24)),IF(AND((L152*24)&gt;0,(L152*24)&lt;=8),(L152*24)*MD!$P$4,IF(AND((L152*24)&gt;8,(L152*24)&lt;=16),(MD!$Q$4),IF((L152*24)&gt;16,MD!$Q$4)))))))</f>
        <v>0</v>
      </c>
      <c r="N152" s="62"/>
      <c r="O152" s="72">
        <f t="shared" si="5"/>
        <v>0</v>
      </c>
    </row>
    <row r="153" spans="1:15" x14ac:dyDescent="0.25">
      <c r="A153" s="62">
        <v>152</v>
      </c>
      <c r="B153" s="62"/>
      <c r="C153" s="68" t="str">
        <f>IF(ISNA(VLOOKUP($B153,CPY!$B:$G,2,FALSE))=TRUE," ",VLOOKUP($B153,CPY!$B:$G,2,FALSE))</f>
        <v> </v>
      </c>
      <c r="D153" s="50" t="str">
        <f>IF(ISNA(VLOOKUP($B153,CPY!$B:$G,3,FALSE))=TRUE," ",VLOOKUP($B153,CPY!$B:$G,3,FALSE))</f>
        <v> </v>
      </c>
      <c r="E153" s="65" t="str">
        <f>IF(ISNA(VLOOKUP($B153,CPY!$B:$G,4,FALSE))=TRUE," ",VLOOKUP($B153,CPY!$B:$G,4,FALSE))</f>
        <v> </v>
      </c>
      <c r="F153" s="62"/>
      <c r="G153" s="86"/>
      <c r="H153" s="86"/>
      <c r="I153" s="87"/>
      <c r="J153" s="88"/>
      <c r="K153" s="88"/>
      <c r="L153" s="95">
        <f t="shared" si="4"/>
        <v>0</v>
      </c>
      <c r="M153" s="96" t="b">
        <f>IF((ISNUMBER(L153)),IF(AND(F153="Workdays",(SUMIFS(O:O,F:F,F153,I:I,I153,B:B,B153)&lt;=24)),IF(AND((L153*24)&gt;0,(L153*24)&lt;=8),(L153*24)*MD!$M$5,IF(AND((L153*24)&gt;8,(L153*24)&lt;=16),(MD!$N$5),IF((L153*24)&gt;16,MD!$N$5))),IF(AND(F153="Non_workdays",(SUMIFS(O:O,F:F,F153,I:I,I153,B:B,B153)&lt;=24)),IF(AND((L153*24)&gt;0,(L153*24)&lt;=8),(L153*24)*MD!$M$6,IF(AND((L153*24)&gt;8,(L153*24)&lt;=16),(MD!$N$6),IF((L153*24)&gt;16,MD!$N$6))),IF(AND(F153="Call_out",(SUMIFS(O:O,F:F,F153,I:I,I153,B:B,B153)&lt;=24)),IF(AND((L153*24)&gt;0,(L153*24)&lt;=8),(L153*24)*MD!$P$4,IF(AND((L153*24)&gt;8,(L153*24)&lt;=16),(MD!$Q$4),IF((L153*24)&gt;16,MD!$Q$4)))))))</f>
        <v>0</v>
      </c>
      <c r="N153" s="62"/>
      <c r="O153" s="72">
        <f t="shared" si="5"/>
        <v>0</v>
      </c>
    </row>
    <row r="154" spans="1:15" x14ac:dyDescent="0.25">
      <c r="A154" s="62">
        <v>153</v>
      </c>
      <c r="B154" s="62"/>
      <c r="C154" s="68" t="str">
        <f>IF(ISNA(VLOOKUP($B154,CPY!$B:$G,2,FALSE))=TRUE," ",VLOOKUP($B154,CPY!$B:$G,2,FALSE))</f>
        <v> </v>
      </c>
      <c r="D154" s="50" t="str">
        <f>IF(ISNA(VLOOKUP($B154,CPY!$B:$G,3,FALSE))=TRUE," ",VLOOKUP($B154,CPY!$B:$G,3,FALSE))</f>
        <v> </v>
      </c>
      <c r="E154" s="65" t="str">
        <f>IF(ISNA(VLOOKUP($B154,CPY!$B:$G,4,FALSE))=TRUE," ",VLOOKUP($B154,CPY!$B:$G,4,FALSE))</f>
        <v> </v>
      </c>
      <c r="F154" s="62"/>
      <c r="G154" s="86"/>
      <c r="H154" s="86"/>
      <c r="I154" s="87"/>
      <c r="J154" s="88"/>
      <c r="K154" s="88"/>
      <c r="L154" s="95">
        <f t="shared" si="4"/>
        <v>0</v>
      </c>
      <c r="M154" s="96" t="b">
        <f>IF((ISNUMBER(L154)),IF(AND(F154="Workdays",(SUMIFS(O:O,F:F,F154,I:I,I154,B:B,B154)&lt;=24)),IF(AND((L154*24)&gt;0,(L154*24)&lt;=8),(L154*24)*MD!$M$5,IF(AND((L154*24)&gt;8,(L154*24)&lt;=16),(MD!$N$5),IF((L154*24)&gt;16,MD!$N$5))),IF(AND(F154="Non_workdays",(SUMIFS(O:O,F:F,F154,I:I,I154,B:B,B154)&lt;=24)),IF(AND((L154*24)&gt;0,(L154*24)&lt;=8),(L154*24)*MD!$M$6,IF(AND((L154*24)&gt;8,(L154*24)&lt;=16),(MD!$N$6),IF((L154*24)&gt;16,MD!$N$6))),IF(AND(F154="Call_out",(SUMIFS(O:O,F:F,F154,I:I,I154,B:B,B154)&lt;=24)),IF(AND((L154*24)&gt;0,(L154*24)&lt;=8),(L154*24)*MD!$P$4,IF(AND((L154*24)&gt;8,(L154*24)&lt;=16),(MD!$Q$4),IF((L154*24)&gt;16,MD!$Q$4)))))))</f>
        <v>0</v>
      </c>
      <c r="N154" s="62"/>
      <c r="O154" s="72">
        <f t="shared" si="5"/>
        <v>0</v>
      </c>
    </row>
    <row r="155" spans="1:15" x14ac:dyDescent="0.25">
      <c r="A155" s="62">
        <v>154</v>
      </c>
      <c r="B155" s="62"/>
      <c r="C155" s="68" t="str">
        <f>IF(ISNA(VLOOKUP($B155,CPY!$B:$G,2,FALSE))=TRUE," ",VLOOKUP($B155,CPY!$B:$G,2,FALSE))</f>
        <v> </v>
      </c>
      <c r="D155" s="50" t="str">
        <f>IF(ISNA(VLOOKUP($B155,CPY!$B:$G,3,FALSE))=TRUE," ",VLOOKUP($B155,CPY!$B:$G,3,FALSE))</f>
        <v> </v>
      </c>
      <c r="E155" s="65" t="str">
        <f>IF(ISNA(VLOOKUP($B155,CPY!$B:$G,4,FALSE))=TRUE," ",VLOOKUP($B155,CPY!$B:$G,4,FALSE))</f>
        <v> </v>
      </c>
      <c r="F155" s="62"/>
      <c r="G155" s="86"/>
      <c r="H155" s="86"/>
      <c r="I155" s="87"/>
      <c r="J155" s="88"/>
      <c r="K155" s="88"/>
      <c r="L155" s="95">
        <f t="shared" si="4"/>
        <v>0</v>
      </c>
      <c r="M155" s="96" t="b">
        <f>IF((ISNUMBER(L155)),IF(AND(F155="Workdays",(SUMIFS(O:O,F:F,F155,I:I,I155,B:B,B155)&lt;=24)),IF(AND((L155*24)&gt;0,(L155*24)&lt;=8),(L155*24)*MD!$M$5,IF(AND((L155*24)&gt;8,(L155*24)&lt;=16),(MD!$N$5),IF((L155*24)&gt;16,MD!$N$5))),IF(AND(F155="Non_workdays",(SUMIFS(O:O,F:F,F155,I:I,I155,B:B,B155)&lt;=24)),IF(AND((L155*24)&gt;0,(L155*24)&lt;=8),(L155*24)*MD!$M$6,IF(AND((L155*24)&gt;8,(L155*24)&lt;=16),(MD!$N$6),IF((L155*24)&gt;16,MD!$N$6))),IF(AND(F155="Call_out",(SUMIFS(O:O,F:F,F155,I:I,I155,B:B,B155)&lt;=24)),IF(AND((L155*24)&gt;0,(L155*24)&lt;=8),(L155*24)*MD!$P$4,IF(AND((L155*24)&gt;8,(L155*24)&lt;=16),(MD!$Q$4),IF((L155*24)&gt;16,MD!$Q$4)))))))</f>
        <v>0</v>
      </c>
      <c r="N155" s="62"/>
      <c r="O155" s="72">
        <f t="shared" si="5"/>
        <v>0</v>
      </c>
    </row>
    <row r="156" spans="1:15" x14ac:dyDescent="0.25">
      <c r="A156" s="62">
        <v>155</v>
      </c>
      <c r="B156" s="62"/>
      <c r="C156" s="68" t="str">
        <f>IF(ISNA(VLOOKUP($B156,CPY!$B:$G,2,FALSE))=TRUE," ",VLOOKUP($B156,CPY!$B:$G,2,FALSE))</f>
        <v> </v>
      </c>
      <c r="D156" s="50" t="str">
        <f>IF(ISNA(VLOOKUP($B156,CPY!$B:$G,3,FALSE))=TRUE," ",VLOOKUP($B156,CPY!$B:$G,3,FALSE))</f>
        <v> </v>
      </c>
      <c r="E156" s="65" t="str">
        <f>IF(ISNA(VLOOKUP($B156,CPY!$B:$G,4,FALSE))=TRUE," ",VLOOKUP($B156,CPY!$B:$G,4,FALSE))</f>
        <v> </v>
      </c>
      <c r="F156" s="62"/>
      <c r="G156" s="86"/>
      <c r="H156" s="86"/>
      <c r="I156" s="87"/>
      <c r="J156" s="88"/>
      <c r="K156" s="88"/>
      <c r="L156" s="95">
        <f t="shared" si="4"/>
        <v>0</v>
      </c>
      <c r="M156" s="96" t="b">
        <f>IF((ISNUMBER(L156)),IF(AND(F156="Workdays",(SUMIFS(O:O,F:F,F156,I:I,I156,B:B,B156)&lt;=24)),IF(AND((L156*24)&gt;0,(L156*24)&lt;=8),(L156*24)*MD!$M$5,IF(AND((L156*24)&gt;8,(L156*24)&lt;=16),(MD!$N$5),IF((L156*24)&gt;16,MD!$N$5))),IF(AND(F156="Non_workdays",(SUMIFS(O:O,F:F,F156,I:I,I156,B:B,B156)&lt;=24)),IF(AND((L156*24)&gt;0,(L156*24)&lt;=8),(L156*24)*MD!$M$6,IF(AND((L156*24)&gt;8,(L156*24)&lt;=16),(MD!$N$6),IF((L156*24)&gt;16,MD!$N$6))),IF(AND(F156="Call_out",(SUMIFS(O:O,F:F,F156,I:I,I156,B:B,B156)&lt;=24)),IF(AND((L156*24)&gt;0,(L156*24)&lt;=8),(L156*24)*MD!$P$4,IF(AND((L156*24)&gt;8,(L156*24)&lt;=16),(MD!$Q$4),IF((L156*24)&gt;16,MD!$Q$4)))))))</f>
        <v>0</v>
      </c>
      <c r="N156" s="62"/>
      <c r="O156" s="72">
        <f t="shared" si="5"/>
        <v>0</v>
      </c>
    </row>
    <row r="157" spans="1:15" x14ac:dyDescent="0.25">
      <c r="A157" s="62">
        <v>156</v>
      </c>
      <c r="B157" s="62"/>
      <c r="C157" s="68" t="str">
        <f>IF(ISNA(VLOOKUP($B157,CPY!$B:$G,2,FALSE))=TRUE," ",VLOOKUP($B157,CPY!$B:$G,2,FALSE))</f>
        <v> </v>
      </c>
      <c r="D157" s="50" t="str">
        <f>IF(ISNA(VLOOKUP($B157,CPY!$B:$G,3,FALSE))=TRUE," ",VLOOKUP($B157,CPY!$B:$G,3,FALSE))</f>
        <v> </v>
      </c>
      <c r="E157" s="65" t="str">
        <f>IF(ISNA(VLOOKUP($B157,CPY!$B:$G,4,FALSE))=TRUE," ",VLOOKUP($B157,CPY!$B:$G,4,FALSE))</f>
        <v> </v>
      </c>
      <c r="F157" s="62"/>
      <c r="G157" s="86"/>
      <c r="H157" s="86"/>
      <c r="I157" s="87"/>
      <c r="J157" s="88"/>
      <c r="K157" s="88"/>
      <c r="L157" s="95">
        <f t="shared" si="4"/>
        <v>0</v>
      </c>
      <c r="M157" s="96" t="b">
        <f>IF((ISNUMBER(L157)),IF(AND(F157="Workdays",(SUMIFS(O:O,F:F,F157,I:I,I157,B:B,B157)&lt;=24)),IF(AND((L157*24)&gt;0,(L157*24)&lt;=8),(L157*24)*MD!$M$5,IF(AND((L157*24)&gt;8,(L157*24)&lt;=16),(MD!$N$5),IF((L157*24)&gt;16,MD!$N$5))),IF(AND(F157="Non_workdays",(SUMIFS(O:O,F:F,F157,I:I,I157,B:B,B157)&lt;=24)),IF(AND((L157*24)&gt;0,(L157*24)&lt;=8),(L157*24)*MD!$M$6,IF(AND((L157*24)&gt;8,(L157*24)&lt;=16),(MD!$N$6),IF((L157*24)&gt;16,MD!$N$6))),IF(AND(F157="Call_out",(SUMIFS(O:O,F:F,F157,I:I,I157,B:B,B157)&lt;=24)),IF(AND((L157*24)&gt;0,(L157*24)&lt;=8),(L157*24)*MD!$P$4,IF(AND((L157*24)&gt;8,(L157*24)&lt;=16),(MD!$Q$4),IF((L157*24)&gt;16,MD!$Q$4)))))))</f>
        <v>0</v>
      </c>
      <c r="N157" s="62"/>
      <c r="O157" s="72">
        <f t="shared" si="5"/>
        <v>0</v>
      </c>
    </row>
    <row r="158" spans="1:15" x14ac:dyDescent="0.25">
      <c r="A158" s="62">
        <v>157</v>
      </c>
      <c r="B158" s="62"/>
      <c r="C158" s="68" t="str">
        <f>IF(ISNA(VLOOKUP($B158,CPY!$B:$G,2,FALSE))=TRUE," ",VLOOKUP($B158,CPY!$B:$G,2,FALSE))</f>
        <v> </v>
      </c>
      <c r="D158" s="50" t="str">
        <f>IF(ISNA(VLOOKUP($B158,CPY!$B:$G,3,FALSE))=TRUE," ",VLOOKUP($B158,CPY!$B:$G,3,FALSE))</f>
        <v> </v>
      </c>
      <c r="E158" s="65" t="str">
        <f>IF(ISNA(VLOOKUP($B158,CPY!$B:$G,4,FALSE))=TRUE," ",VLOOKUP($B158,CPY!$B:$G,4,FALSE))</f>
        <v> </v>
      </c>
      <c r="F158" s="62"/>
      <c r="G158" s="86"/>
      <c r="H158" s="86"/>
      <c r="I158" s="87"/>
      <c r="J158" s="88"/>
      <c r="K158" s="88"/>
      <c r="L158" s="95">
        <f t="shared" si="4"/>
        <v>0</v>
      </c>
      <c r="M158" s="96" t="b">
        <f>IF((ISNUMBER(L158)),IF(AND(F158="Workdays",(SUMIFS(O:O,F:F,F158,I:I,I158,B:B,B158)&lt;=24)),IF(AND((L158*24)&gt;0,(L158*24)&lt;=8),(L158*24)*MD!$M$5,IF(AND((L158*24)&gt;8,(L158*24)&lt;=16),(MD!$N$5),IF((L158*24)&gt;16,MD!$N$5))),IF(AND(F158="Non_workdays",(SUMIFS(O:O,F:F,F158,I:I,I158,B:B,B158)&lt;=24)),IF(AND((L158*24)&gt;0,(L158*24)&lt;=8),(L158*24)*MD!$M$6,IF(AND((L158*24)&gt;8,(L158*24)&lt;=16),(MD!$N$6),IF((L158*24)&gt;16,MD!$N$6))),IF(AND(F158="Call_out",(SUMIFS(O:O,F:F,F158,I:I,I158,B:B,B158)&lt;=24)),IF(AND((L158*24)&gt;0,(L158*24)&lt;=8),(L158*24)*MD!$P$4,IF(AND((L158*24)&gt;8,(L158*24)&lt;=16),(MD!$Q$4),IF((L158*24)&gt;16,MD!$Q$4)))))))</f>
        <v>0</v>
      </c>
      <c r="N158" s="62"/>
      <c r="O158" s="72">
        <f t="shared" si="5"/>
        <v>0</v>
      </c>
    </row>
    <row r="159" spans="1:15" x14ac:dyDescent="0.25">
      <c r="A159" s="62">
        <v>158</v>
      </c>
      <c r="B159" s="62"/>
      <c r="C159" s="68" t="str">
        <f>IF(ISNA(VLOOKUP($B159,CPY!$B:$G,2,FALSE))=TRUE," ",VLOOKUP($B159,CPY!$B:$G,2,FALSE))</f>
        <v> </v>
      </c>
      <c r="D159" s="50" t="str">
        <f>IF(ISNA(VLOOKUP($B159,CPY!$B:$G,3,FALSE))=TRUE," ",VLOOKUP($B159,CPY!$B:$G,3,FALSE))</f>
        <v> </v>
      </c>
      <c r="E159" s="65" t="str">
        <f>IF(ISNA(VLOOKUP($B159,CPY!$B:$G,4,FALSE))=TRUE," ",VLOOKUP($B159,CPY!$B:$G,4,FALSE))</f>
        <v> </v>
      </c>
      <c r="F159" s="62"/>
      <c r="G159" s="86"/>
      <c r="H159" s="86"/>
      <c r="I159" s="87"/>
      <c r="J159" s="88"/>
      <c r="K159" s="88"/>
      <c r="L159" s="95">
        <f t="shared" si="4"/>
        <v>0</v>
      </c>
      <c r="M159" s="96" t="b">
        <f>IF((ISNUMBER(L159)),IF(AND(F159="Workdays",(SUMIFS(O:O,F:F,F159,I:I,I159,B:B,B159)&lt;=24)),IF(AND((L159*24)&gt;0,(L159*24)&lt;=8),(L159*24)*MD!$M$5,IF(AND((L159*24)&gt;8,(L159*24)&lt;=16),(MD!$N$5),IF((L159*24)&gt;16,MD!$N$5))),IF(AND(F159="Non_workdays",(SUMIFS(O:O,F:F,F159,I:I,I159,B:B,B159)&lt;=24)),IF(AND((L159*24)&gt;0,(L159*24)&lt;=8),(L159*24)*MD!$M$6,IF(AND((L159*24)&gt;8,(L159*24)&lt;=16),(MD!$N$6),IF((L159*24)&gt;16,MD!$N$6))),IF(AND(F159="Call_out",(SUMIFS(O:O,F:F,F159,I:I,I159,B:B,B159)&lt;=24)),IF(AND((L159*24)&gt;0,(L159*24)&lt;=8),(L159*24)*MD!$P$4,IF(AND((L159*24)&gt;8,(L159*24)&lt;=16),(MD!$Q$4),IF((L159*24)&gt;16,MD!$Q$4)))))))</f>
        <v>0</v>
      </c>
      <c r="N159" s="62"/>
      <c r="O159" s="72">
        <f t="shared" si="5"/>
        <v>0</v>
      </c>
    </row>
    <row r="160" spans="1:15" x14ac:dyDescent="0.25">
      <c r="A160" s="62">
        <v>159</v>
      </c>
      <c r="B160" s="62"/>
      <c r="C160" s="68" t="str">
        <f>IF(ISNA(VLOOKUP($B160,CPY!$B:$G,2,FALSE))=TRUE," ",VLOOKUP($B160,CPY!$B:$G,2,FALSE))</f>
        <v> </v>
      </c>
      <c r="D160" s="50" t="str">
        <f>IF(ISNA(VLOOKUP($B160,CPY!$B:$G,3,FALSE))=TRUE," ",VLOOKUP($B160,CPY!$B:$G,3,FALSE))</f>
        <v> </v>
      </c>
      <c r="E160" s="65" t="str">
        <f>IF(ISNA(VLOOKUP($B160,CPY!$B:$G,4,FALSE))=TRUE," ",VLOOKUP($B160,CPY!$B:$G,4,FALSE))</f>
        <v> </v>
      </c>
      <c r="F160" s="62"/>
      <c r="G160" s="86"/>
      <c r="H160" s="86"/>
      <c r="I160" s="87"/>
      <c r="J160" s="88"/>
      <c r="K160" s="88"/>
      <c r="L160" s="95">
        <f t="shared" si="4"/>
        <v>0</v>
      </c>
      <c r="M160" s="96" t="b">
        <f>IF((ISNUMBER(L160)),IF(AND(F160="Workdays",(SUMIFS(O:O,F:F,F160,I:I,I160,B:B,B160)&lt;=24)),IF(AND((L160*24)&gt;0,(L160*24)&lt;=8),(L160*24)*MD!$M$5,IF(AND((L160*24)&gt;8,(L160*24)&lt;=16),(MD!$N$5),IF((L160*24)&gt;16,MD!$N$5))),IF(AND(F160="Non_workdays",(SUMIFS(O:O,F:F,F160,I:I,I160,B:B,B160)&lt;=24)),IF(AND((L160*24)&gt;0,(L160*24)&lt;=8),(L160*24)*MD!$M$6,IF(AND((L160*24)&gt;8,(L160*24)&lt;=16),(MD!$N$6),IF((L160*24)&gt;16,MD!$N$6))),IF(AND(F160="Call_out",(SUMIFS(O:O,F:F,F160,I:I,I160,B:B,B160)&lt;=24)),IF(AND((L160*24)&gt;0,(L160*24)&lt;=8),(L160*24)*MD!$P$4,IF(AND((L160*24)&gt;8,(L160*24)&lt;=16),(MD!$Q$4),IF((L160*24)&gt;16,MD!$Q$4)))))))</f>
        <v>0</v>
      </c>
      <c r="N160" s="62"/>
      <c r="O160" s="72">
        <f t="shared" si="5"/>
        <v>0</v>
      </c>
    </row>
    <row r="161" spans="1:15" x14ac:dyDescent="0.25">
      <c r="A161" s="62">
        <v>160</v>
      </c>
      <c r="B161" s="62"/>
      <c r="C161" s="68" t="str">
        <f>IF(ISNA(VLOOKUP($B161,CPY!$B:$G,2,FALSE))=TRUE," ",VLOOKUP($B161,CPY!$B:$G,2,FALSE))</f>
        <v> </v>
      </c>
      <c r="D161" s="50" t="str">
        <f>IF(ISNA(VLOOKUP($B161,CPY!$B:$G,3,FALSE))=TRUE," ",VLOOKUP($B161,CPY!$B:$G,3,FALSE))</f>
        <v> </v>
      </c>
      <c r="E161" s="65" t="str">
        <f>IF(ISNA(VLOOKUP($B161,CPY!$B:$G,4,FALSE))=TRUE," ",VLOOKUP($B161,CPY!$B:$G,4,FALSE))</f>
        <v> </v>
      </c>
      <c r="F161" s="62"/>
      <c r="G161" s="86"/>
      <c r="H161" s="86"/>
      <c r="I161" s="87"/>
      <c r="J161" s="88"/>
      <c r="K161" s="88"/>
      <c r="L161" s="95">
        <f t="shared" si="4"/>
        <v>0</v>
      </c>
      <c r="M161" s="96" t="b">
        <f>IF((ISNUMBER(L161)),IF(AND(F161="Workdays",(SUMIFS(O:O,F:F,F161,I:I,I161,B:B,B161)&lt;=24)),IF(AND((L161*24)&gt;0,(L161*24)&lt;=8),(L161*24)*MD!$M$5,IF(AND((L161*24)&gt;8,(L161*24)&lt;=16),(MD!$N$5),IF((L161*24)&gt;16,MD!$N$5))),IF(AND(F161="Non_workdays",(SUMIFS(O:O,F:F,F161,I:I,I161,B:B,B161)&lt;=24)),IF(AND((L161*24)&gt;0,(L161*24)&lt;=8),(L161*24)*MD!$M$6,IF(AND((L161*24)&gt;8,(L161*24)&lt;=16),(MD!$N$6),IF((L161*24)&gt;16,MD!$N$6))),IF(AND(F161="Call_out",(SUMIFS(O:O,F:F,F161,I:I,I161,B:B,B161)&lt;=24)),IF(AND((L161*24)&gt;0,(L161*24)&lt;=8),(L161*24)*MD!$P$4,IF(AND((L161*24)&gt;8,(L161*24)&lt;=16),(MD!$Q$4),IF((L161*24)&gt;16,MD!$Q$4)))))))</f>
        <v>0</v>
      </c>
      <c r="N161" s="62"/>
      <c r="O161" s="72">
        <f t="shared" si="5"/>
        <v>0</v>
      </c>
    </row>
    <row r="162" spans="1:15" x14ac:dyDescent="0.25">
      <c r="A162" s="62">
        <v>161</v>
      </c>
      <c r="B162" s="62"/>
      <c r="C162" s="68" t="str">
        <f>IF(ISNA(VLOOKUP($B162,CPY!$B:$G,2,FALSE))=TRUE," ",VLOOKUP($B162,CPY!$B:$G,2,FALSE))</f>
        <v> </v>
      </c>
      <c r="D162" s="50" t="str">
        <f>IF(ISNA(VLOOKUP($B162,CPY!$B:$G,3,FALSE))=TRUE," ",VLOOKUP($B162,CPY!$B:$G,3,FALSE))</f>
        <v> </v>
      </c>
      <c r="E162" s="65" t="str">
        <f>IF(ISNA(VLOOKUP($B162,CPY!$B:$G,4,FALSE))=TRUE," ",VLOOKUP($B162,CPY!$B:$G,4,FALSE))</f>
        <v> </v>
      </c>
      <c r="F162" s="62"/>
      <c r="G162" s="86"/>
      <c r="H162" s="86"/>
      <c r="I162" s="87"/>
      <c r="J162" s="88"/>
      <c r="K162" s="88"/>
      <c r="L162" s="95">
        <f t="shared" si="4"/>
        <v>0</v>
      </c>
      <c r="M162" s="96" t="b">
        <f>IF((ISNUMBER(L162)),IF(AND(F162="Workdays",(SUMIFS(O:O,F:F,F162,I:I,I162,B:B,B162)&lt;=24)),IF(AND((L162*24)&gt;0,(L162*24)&lt;=8),(L162*24)*MD!$M$5,IF(AND((L162*24)&gt;8,(L162*24)&lt;=16),(MD!$N$5),IF((L162*24)&gt;16,MD!$N$5))),IF(AND(F162="Non_workdays",(SUMIFS(O:O,F:F,F162,I:I,I162,B:B,B162)&lt;=24)),IF(AND((L162*24)&gt;0,(L162*24)&lt;=8),(L162*24)*MD!$M$6,IF(AND((L162*24)&gt;8,(L162*24)&lt;=16),(MD!$N$6),IF((L162*24)&gt;16,MD!$N$6))),IF(AND(F162="Call_out",(SUMIFS(O:O,F:F,F162,I:I,I162,B:B,B162)&lt;=24)),IF(AND((L162*24)&gt;0,(L162*24)&lt;=8),(L162*24)*MD!$P$4,IF(AND((L162*24)&gt;8,(L162*24)&lt;=16),(MD!$Q$4),IF((L162*24)&gt;16,MD!$Q$4)))))))</f>
        <v>0</v>
      </c>
      <c r="N162" s="62"/>
      <c r="O162" s="72">
        <f t="shared" si="5"/>
        <v>0</v>
      </c>
    </row>
    <row r="163" spans="1:15" x14ac:dyDescent="0.25">
      <c r="A163" s="62">
        <v>162</v>
      </c>
      <c r="B163" s="62"/>
      <c r="C163" s="68" t="str">
        <f>IF(ISNA(VLOOKUP($B163,CPY!$B:$G,2,FALSE))=TRUE," ",VLOOKUP($B163,CPY!$B:$G,2,FALSE))</f>
        <v> </v>
      </c>
      <c r="D163" s="50" t="str">
        <f>IF(ISNA(VLOOKUP($B163,CPY!$B:$G,3,FALSE))=TRUE," ",VLOOKUP($B163,CPY!$B:$G,3,FALSE))</f>
        <v> </v>
      </c>
      <c r="E163" s="65" t="str">
        <f>IF(ISNA(VLOOKUP($B163,CPY!$B:$G,4,FALSE))=TRUE," ",VLOOKUP($B163,CPY!$B:$G,4,FALSE))</f>
        <v> </v>
      </c>
      <c r="F163" s="62"/>
      <c r="G163" s="86"/>
      <c r="H163" s="86"/>
      <c r="I163" s="87"/>
      <c r="J163" s="88"/>
      <c r="K163" s="88"/>
      <c r="L163" s="95">
        <f t="shared" si="4"/>
        <v>0</v>
      </c>
      <c r="M163" s="96" t="b">
        <f>IF((ISNUMBER(L163)),IF(AND(F163="Workdays",(SUMIFS(O:O,F:F,F163,I:I,I163,B:B,B163)&lt;=24)),IF(AND((L163*24)&gt;0,(L163*24)&lt;=8),(L163*24)*MD!$M$5,IF(AND((L163*24)&gt;8,(L163*24)&lt;=16),(MD!$N$5),IF((L163*24)&gt;16,MD!$N$5))),IF(AND(F163="Non_workdays",(SUMIFS(O:O,F:F,F163,I:I,I163,B:B,B163)&lt;=24)),IF(AND((L163*24)&gt;0,(L163*24)&lt;=8),(L163*24)*MD!$M$6,IF(AND((L163*24)&gt;8,(L163*24)&lt;=16),(MD!$N$6),IF((L163*24)&gt;16,MD!$N$6))),IF(AND(F163="Call_out",(SUMIFS(O:O,F:F,F163,I:I,I163,B:B,B163)&lt;=24)),IF(AND((L163*24)&gt;0,(L163*24)&lt;=8),(L163*24)*MD!$P$4,IF(AND((L163*24)&gt;8,(L163*24)&lt;=16),(MD!$Q$4),IF((L163*24)&gt;16,MD!$Q$4)))))))</f>
        <v>0</v>
      </c>
      <c r="N163" s="62"/>
      <c r="O163" s="72">
        <f t="shared" si="5"/>
        <v>0</v>
      </c>
    </row>
    <row r="164" spans="1:15" x14ac:dyDescent="0.25">
      <c r="A164" s="62">
        <v>163</v>
      </c>
      <c r="B164" s="62"/>
      <c r="C164" s="68" t="str">
        <f>IF(ISNA(VLOOKUP($B164,CPY!$B:$G,2,FALSE))=TRUE," ",VLOOKUP($B164,CPY!$B:$G,2,FALSE))</f>
        <v> </v>
      </c>
      <c r="D164" s="50" t="str">
        <f>IF(ISNA(VLOOKUP($B164,CPY!$B:$G,3,FALSE))=TRUE," ",VLOOKUP($B164,CPY!$B:$G,3,FALSE))</f>
        <v> </v>
      </c>
      <c r="E164" s="65" t="str">
        <f>IF(ISNA(VLOOKUP($B164,CPY!$B:$G,4,FALSE))=TRUE," ",VLOOKUP($B164,CPY!$B:$G,4,FALSE))</f>
        <v> </v>
      </c>
      <c r="F164" s="62"/>
      <c r="G164" s="86"/>
      <c r="H164" s="86"/>
      <c r="I164" s="87"/>
      <c r="J164" s="88"/>
      <c r="K164" s="88"/>
      <c r="L164" s="95">
        <f t="shared" si="4"/>
        <v>0</v>
      </c>
      <c r="M164" s="96" t="b">
        <f>IF((ISNUMBER(L164)),IF(AND(F164="Workdays",(SUMIFS(O:O,F:F,F164,I:I,I164,B:B,B164)&lt;=24)),IF(AND((L164*24)&gt;0,(L164*24)&lt;=8),(L164*24)*MD!$M$5,IF(AND((L164*24)&gt;8,(L164*24)&lt;=16),(MD!$N$5),IF((L164*24)&gt;16,MD!$N$5))),IF(AND(F164="Non_workdays",(SUMIFS(O:O,F:F,F164,I:I,I164,B:B,B164)&lt;=24)),IF(AND((L164*24)&gt;0,(L164*24)&lt;=8),(L164*24)*MD!$M$6,IF(AND((L164*24)&gt;8,(L164*24)&lt;=16),(MD!$N$6),IF((L164*24)&gt;16,MD!$N$6))),IF(AND(F164="Call_out",(SUMIFS(O:O,F:F,F164,I:I,I164,B:B,B164)&lt;=24)),IF(AND((L164*24)&gt;0,(L164*24)&lt;=8),(L164*24)*MD!$P$4,IF(AND((L164*24)&gt;8,(L164*24)&lt;=16),(MD!$Q$4),IF((L164*24)&gt;16,MD!$Q$4)))))))</f>
        <v>0</v>
      </c>
      <c r="N164" s="62"/>
      <c r="O164" s="72">
        <f t="shared" si="5"/>
        <v>0</v>
      </c>
    </row>
    <row r="165" spans="1:15" x14ac:dyDescent="0.25">
      <c r="A165" s="62">
        <v>164</v>
      </c>
      <c r="B165" s="62"/>
      <c r="C165" s="68" t="str">
        <f>IF(ISNA(VLOOKUP($B165,CPY!$B:$G,2,FALSE))=TRUE," ",VLOOKUP($B165,CPY!$B:$G,2,FALSE))</f>
        <v> </v>
      </c>
      <c r="D165" s="50" t="str">
        <f>IF(ISNA(VLOOKUP($B165,CPY!$B:$G,3,FALSE))=TRUE," ",VLOOKUP($B165,CPY!$B:$G,3,FALSE))</f>
        <v> </v>
      </c>
      <c r="E165" s="65" t="str">
        <f>IF(ISNA(VLOOKUP($B165,CPY!$B:$G,4,FALSE))=TRUE," ",VLOOKUP($B165,CPY!$B:$G,4,FALSE))</f>
        <v> </v>
      </c>
      <c r="F165" s="62"/>
      <c r="G165" s="86"/>
      <c r="H165" s="86"/>
      <c r="I165" s="87"/>
      <c r="J165" s="88"/>
      <c r="K165" s="88"/>
      <c r="L165" s="95">
        <f t="shared" si="4"/>
        <v>0</v>
      </c>
      <c r="M165" s="96" t="b">
        <f>IF((ISNUMBER(L165)),IF(AND(F165="Workdays",(SUMIFS(O:O,F:F,F165,I:I,I165,B:B,B165)&lt;=24)),IF(AND((L165*24)&gt;0,(L165*24)&lt;=8),(L165*24)*MD!$M$5,IF(AND((L165*24)&gt;8,(L165*24)&lt;=16),(MD!$N$5),IF((L165*24)&gt;16,MD!$N$5))),IF(AND(F165="Non_workdays",(SUMIFS(O:O,F:F,F165,I:I,I165,B:B,B165)&lt;=24)),IF(AND((L165*24)&gt;0,(L165*24)&lt;=8),(L165*24)*MD!$M$6,IF(AND((L165*24)&gt;8,(L165*24)&lt;=16),(MD!$N$6),IF((L165*24)&gt;16,MD!$N$6))),IF(AND(F165="Call_out",(SUMIFS(O:O,F:F,F165,I:I,I165,B:B,B165)&lt;=24)),IF(AND((L165*24)&gt;0,(L165*24)&lt;=8),(L165*24)*MD!$P$4,IF(AND((L165*24)&gt;8,(L165*24)&lt;=16),(MD!$Q$4),IF((L165*24)&gt;16,MD!$Q$4)))))))</f>
        <v>0</v>
      </c>
      <c r="N165" s="62"/>
      <c r="O165" s="72">
        <f t="shared" si="5"/>
        <v>0</v>
      </c>
    </row>
    <row r="166" spans="1:15" x14ac:dyDescent="0.25">
      <c r="A166" s="62">
        <v>165</v>
      </c>
      <c r="B166" s="62"/>
      <c r="C166" s="68" t="str">
        <f>IF(ISNA(VLOOKUP($B166,CPY!$B:$G,2,FALSE))=TRUE," ",VLOOKUP($B166,CPY!$B:$G,2,FALSE))</f>
        <v> </v>
      </c>
      <c r="D166" s="50" t="str">
        <f>IF(ISNA(VLOOKUP($B166,CPY!$B:$G,3,FALSE))=TRUE," ",VLOOKUP($B166,CPY!$B:$G,3,FALSE))</f>
        <v> </v>
      </c>
      <c r="E166" s="65" t="str">
        <f>IF(ISNA(VLOOKUP($B166,CPY!$B:$G,4,FALSE))=TRUE," ",VLOOKUP($B166,CPY!$B:$G,4,FALSE))</f>
        <v> </v>
      </c>
      <c r="F166" s="62"/>
      <c r="G166" s="86"/>
      <c r="H166" s="86"/>
      <c r="I166" s="87"/>
      <c r="J166" s="88"/>
      <c r="K166" s="88"/>
      <c r="L166" s="95">
        <f t="shared" si="4"/>
        <v>0</v>
      </c>
      <c r="M166" s="96" t="b">
        <f>IF((ISNUMBER(L166)),IF(AND(F166="Workdays",(SUMIFS(O:O,F:F,F166,I:I,I166,B:B,B166)&lt;=24)),IF(AND((L166*24)&gt;0,(L166*24)&lt;=8),(L166*24)*MD!$M$5,IF(AND((L166*24)&gt;8,(L166*24)&lt;=16),(MD!$N$5),IF((L166*24)&gt;16,MD!$N$5))),IF(AND(F166="Non_workdays",(SUMIFS(O:O,F:F,F166,I:I,I166,B:B,B166)&lt;=24)),IF(AND((L166*24)&gt;0,(L166*24)&lt;=8),(L166*24)*MD!$M$6,IF(AND((L166*24)&gt;8,(L166*24)&lt;=16),(MD!$N$6),IF((L166*24)&gt;16,MD!$N$6))),IF(AND(F166="Call_out",(SUMIFS(O:O,F:F,F166,I:I,I166,B:B,B166)&lt;=24)),IF(AND((L166*24)&gt;0,(L166*24)&lt;=8),(L166*24)*MD!$P$4,IF(AND((L166*24)&gt;8,(L166*24)&lt;=16),(MD!$Q$4),IF((L166*24)&gt;16,MD!$Q$4)))))))</f>
        <v>0</v>
      </c>
      <c r="N166" s="62"/>
      <c r="O166" s="72">
        <f t="shared" si="5"/>
        <v>0</v>
      </c>
    </row>
    <row r="167" spans="1:15" x14ac:dyDescent="0.25">
      <c r="A167" s="62">
        <v>166</v>
      </c>
      <c r="B167" s="62"/>
      <c r="C167" s="68" t="str">
        <f>IF(ISNA(VLOOKUP($B167,CPY!$B:$G,2,FALSE))=TRUE," ",VLOOKUP($B167,CPY!$B:$G,2,FALSE))</f>
        <v> </v>
      </c>
      <c r="D167" s="50" t="str">
        <f>IF(ISNA(VLOOKUP($B167,CPY!$B:$G,3,FALSE))=TRUE," ",VLOOKUP($B167,CPY!$B:$G,3,FALSE))</f>
        <v> </v>
      </c>
      <c r="E167" s="65" t="str">
        <f>IF(ISNA(VLOOKUP($B167,CPY!$B:$G,4,FALSE))=TRUE," ",VLOOKUP($B167,CPY!$B:$G,4,FALSE))</f>
        <v> </v>
      </c>
      <c r="F167" s="62"/>
      <c r="G167" s="86"/>
      <c r="H167" s="86"/>
      <c r="I167" s="87"/>
      <c r="J167" s="88"/>
      <c r="K167" s="88"/>
      <c r="L167" s="95">
        <f t="shared" si="4"/>
        <v>0</v>
      </c>
      <c r="M167" s="96" t="b">
        <f>IF((ISNUMBER(L167)),IF(AND(F167="Workdays",(SUMIFS(O:O,F:F,F167,I:I,I167,B:B,B167)&lt;=24)),IF(AND((L167*24)&gt;0,(L167*24)&lt;=8),(L167*24)*MD!$M$5,IF(AND((L167*24)&gt;8,(L167*24)&lt;=16),(MD!$N$5),IF((L167*24)&gt;16,MD!$N$5))),IF(AND(F167="Non_workdays",(SUMIFS(O:O,F:F,F167,I:I,I167,B:B,B167)&lt;=24)),IF(AND((L167*24)&gt;0,(L167*24)&lt;=8),(L167*24)*MD!$M$6,IF(AND((L167*24)&gt;8,(L167*24)&lt;=16),(MD!$N$6),IF((L167*24)&gt;16,MD!$N$6))),IF(AND(F167="Call_out",(SUMIFS(O:O,F:F,F167,I:I,I167,B:B,B167)&lt;=24)),IF(AND((L167*24)&gt;0,(L167*24)&lt;=8),(L167*24)*MD!$P$4,IF(AND((L167*24)&gt;8,(L167*24)&lt;=16),(MD!$Q$4),IF((L167*24)&gt;16,MD!$Q$4)))))))</f>
        <v>0</v>
      </c>
      <c r="N167" s="62"/>
      <c r="O167" s="72">
        <f t="shared" si="5"/>
        <v>0</v>
      </c>
    </row>
    <row r="168" spans="1:15" x14ac:dyDescent="0.25">
      <c r="A168" s="62">
        <v>167</v>
      </c>
      <c r="B168" s="62"/>
      <c r="C168" s="68" t="str">
        <f>IF(ISNA(VLOOKUP($B168,CPY!$B:$G,2,FALSE))=TRUE," ",VLOOKUP($B168,CPY!$B:$G,2,FALSE))</f>
        <v> </v>
      </c>
      <c r="D168" s="50" t="str">
        <f>IF(ISNA(VLOOKUP($B168,CPY!$B:$G,3,FALSE))=TRUE," ",VLOOKUP($B168,CPY!$B:$G,3,FALSE))</f>
        <v> </v>
      </c>
      <c r="E168" s="65" t="str">
        <f>IF(ISNA(VLOOKUP($B168,CPY!$B:$G,4,FALSE))=TRUE," ",VLOOKUP($B168,CPY!$B:$G,4,FALSE))</f>
        <v> </v>
      </c>
      <c r="F168" s="62"/>
      <c r="G168" s="86"/>
      <c r="H168" s="86"/>
      <c r="I168" s="87"/>
      <c r="J168" s="88"/>
      <c r="K168" s="88"/>
      <c r="L168" s="95">
        <f t="shared" si="4"/>
        <v>0</v>
      </c>
      <c r="M168" s="96" t="b">
        <f>IF((ISNUMBER(L168)),IF(AND(F168="Workdays",(SUMIFS(O:O,F:F,F168,I:I,I168,B:B,B168)&lt;=24)),IF(AND((L168*24)&gt;0,(L168*24)&lt;=8),(L168*24)*MD!$M$5,IF(AND((L168*24)&gt;8,(L168*24)&lt;=16),(MD!$N$5),IF((L168*24)&gt;16,MD!$N$5))),IF(AND(F168="Non_workdays",(SUMIFS(O:O,F:F,F168,I:I,I168,B:B,B168)&lt;=24)),IF(AND((L168*24)&gt;0,(L168*24)&lt;=8),(L168*24)*MD!$M$6,IF(AND((L168*24)&gt;8,(L168*24)&lt;=16),(MD!$N$6),IF((L168*24)&gt;16,MD!$N$6))),IF(AND(F168="Call_out",(SUMIFS(O:O,F:F,F168,I:I,I168,B:B,B168)&lt;=24)),IF(AND((L168*24)&gt;0,(L168*24)&lt;=8),(L168*24)*MD!$P$4,IF(AND((L168*24)&gt;8,(L168*24)&lt;=16),(MD!$Q$4),IF((L168*24)&gt;16,MD!$Q$4)))))))</f>
        <v>0</v>
      </c>
      <c r="N168" s="62"/>
      <c r="O168" s="72">
        <f t="shared" si="5"/>
        <v>0</v>
      </c>
    </row>
    <row r="169" spans="1:15" x14ac:dyDescent="0.25">
      <c r="A169" s="62">
        <v>168</v>
      </c>
      <c r="B169" s="62"/>
      <c r="C169" s="68" t="str">
        <f>IF(ISNA(VLOOKUP($B169,CPY!$B:$G,2,FALSE))=TRUE," ",VLOOKUP($B169,CPY!$B:$G,2,FALSE))</f>
        <v> </v>
      </c>
      <c r="D169" s="50" t="str">
        <f>IF(ISNA(VLOOKUP($B169,CPY!$B:$G,3,FALSE))=TRUE," ",VLOOKUP($B169,CPY!$B:$G,3,FALSE))</f>
        <v> </v>
      </c>
      <c r="E169" s="65" t="str">
        <f>IF(ISNA(VLOOKUP($B169,CPY!$B:$G,4,FALSE))=TRUE," ",VLOOKUP($B169,CPY!$B:$G,4,FALSE))</f>
        <v> </v>
      </c>
      <c r="F169" s="62"/>
      <c r="G169" s="86"/>
      <c r="H169" s="86"/>
      <c r="I169" s="87"/>
      <c r="J169" s="88"/>
      <c r="K169" s="88"/>
      <c r="L169" s="95">
        <f t="shared" si="4"/>
        <v>0</v>
      </c>
      <c r="M169" s="96" t="b">
        <f>IF((ISNUMBER(L169)),IF(AND(F169="Workdays",(SUMIFS(O:O,F:F,F169,I:I,I169,B:B,B169)&lt;=24)),IF(AND((L169*24)&gt;0,(L169*24)&lt;=8),(L169*24)*MD!$M$5,IF(AND((L169*24)&gt;8,(L169*24)&lt;=16),(MD!$N$5),IF((L169*24)&gt;16,MD!$N$5))),IF(AND(F169="Non_workdays",(SUMIFS(O:O,F:F,F169,I:I,I169,B:B,B169)&lt;=24)),IF(AND((L169*24)&gt;0,(L169*24)&lt;=8),(L169*24)*MD!$M$6,IF(AND((L169*24)&gt;8,(L169*24)&lt;=16),(MD!$N$6),IF((L169*24)&gt;16,MD!$N$6))),IF(AND(F169="Call_out",(SUMIFS(O:O,F:F,F169,I:I,I169,B:B,B169)&lt;=24)),IF(AND((L169*24)&gt;0,(L169*24)&lt;=8),(L169*24)*MD!$P$4,IF(AND((L169*24)&gt;8,(L169*24)&lt;=16),(MD!$Q$4),IF((L169*24)&gt;16,MD!$Q$4)))))))</f>
        <v>0</v>
      </c>
      <c r="N169" s="62"/>
      <c r="O169" s="72">
        <f t="shared" si="5"/>
        <v>0</v>
      </c>
    </row>
    <row r="170" spans="1:15" x14ac:dyDescent="0.25">
      <c r="A170" s="62">
        <v>169</v>
      </c>
      <c r="B170" s="62"/>
      <c r="C170" s="68" t="str">
        <f>IF(ISNA(VLOOKUP($B170,CPY!$B:$G,2,FALSE))=TRUE," ",VLOOKUP($B170,CPY!$B:$G,2,FALSE))</f>
        <v> </v>
      </c>
      <c r="D170" s="50" t="str">
        <f>IF(ISNA(VLOOKUP($B170,CPY!$B:$G,3,FALSE))=TRUE," ",VLOOKUP($B170,CPY!$B:$G,3,FALSE))</f>
        <v> </v>
      </c>
      <c r="E170" s="65" t="str">
        <f>IF(ISNA(VLOOKUP($B170,CPY!$B:$G,4,FALSE))=TRUE," ",VLOOKUP($B170,CPY!$B:$G,4,FALSE))</f>
        <v> </v>
      </c>
      <c r="F170" s="62"/>
      <c r="G170" s="86"/>
      <c r="H170" s="86"/>
      <c r="I170" s="87"/>
      <c r="J170" s="88"/>
      <c r="K170" s="88"/>
      <c r="L170" s="95">
        <f t="shared" si="4"/>
        <v>0</v>
      </c>
      <c r="M170" s="96" t="b">
        <f>IF((ISNUMBER(L170)),IF(AND(F170="Workdays",(SUMIFS(O:O,F:F,F170,I:I,I170,B:B,B170)&lt;=24)),IF(AND((L170*24)&gt;0,(L170*24)&lt;=8),(L170*24)*MD!$M$5,IF(AND((L170*24)&gt;8,(L170*24)&lt;=16),(MD!$N$5),IF((L170*24)&gt;16,MD!$N$5))),IF(AND(F170="Non_workdays",(SUMIFS(O:O,F:F,F170,I:I,I170,B:B,B170)&lt;=24)),IF(AND((L170*24)&gt;0,(L170*24)&lt;=8),(L170*24)*MD!$M$6,IF(AND((L170*24)&gt;8,(L170*24)&lt;=16),(MD!$N$6),IF((L170*24)&gt;16,MD!$N$6))),IF(AND(F170="Call_out",(SUMIFS(O:O,F:F,F170,I:I,I170,B:B,B170)&lt;=24)),IF(AND((L170*24)&gt;0,(L170*24)&lt;=8),(L170*24)*MD!$P$4,IF(AND((L170*24)&gt;8,(L170*24)&lt;=16),(MD!$Q$4),IF((L170*24)&gt;16,MD!$Q$4)))))))</f>
        <v>0</v>
      </c>
      <c r="N170" s="62"/>
      <c r="O170" s="72">
        <f t="shared" si="5"/>
        <v>0</v>
      </c>
    </row>
    <row r="171" spans="1:15" x14ac:dyDescent="0.25">
      <c r="A171" s="62">
        <v>170</v>
      </c>
      <c r="B171" s="62"/>
      <c r="C171" s="68" t="str">
        <f>IF(ISNA(VLOOKUP($B171,CPY!$B:$G,2,FALSE))=TRUE," ",VLOOKUP($B171,CPY!$B:$G,2,FALSE))</f>
        <v> </v>
      </c>
      <c r="D171" s="50" t="str">
        <f>IF(ISNA(VLOOKUP($B171,CPY!$B:$G,3,FALSE))=TRUE," ",VLOOKUP($B171,CPY!$B:$G,3,FALSE))</f>
        <v> </v>
      </c>
      <c r="E171" s="65" t="str">
        <f>IF(ISNA(VLOOKUP($B171,CPY!$B:$G,4,FALSE))=TRUE," ",VLOOKUP($B171,CPY!$B:$G,4,FALSE))</f>
        <v> </v>
      </c>
      <c r="F171" s="62"/>
      <c r="G171" s="86"/>
      <c r="H171" s="86"/>
      <c r="I171" s="87"/>
      <c r="J171" s="88"/>
      <c r="K171" s="88"/>
      <c r="L171" s="95">
        <f t="shared" si="4"/>
        <v>0</v>
      </c>
      <c r="M171" s="96" t="b">
        <f>IF((ISNUMBER(L171)),IF(AND(F171="Workdays",(SUMIFS(O:O,F:F,F171,I:I,I171,B:B,B171)&lt;=24)),IF(AND((L171*24)&gt;0,(L171*24)&lt;=8),(L171*24)*MD!$M$5,IF(AND((L171*24)&gt;8,(L171*24)&lt;=16),(MD!$N$5),IF((L171*24)&gt;16,MD!$N$5))),IF(AND(F171="Non_workdays",(SUMIFS(O:O,F:F,F171,I:I,I171,B:B,B171)&lt;=24)),IF(AND((L171*24)&gt;0,(L171*24)&lt;=8),(L171*24)*MD!$M$6,IF(AND((L171*24)&gt;8,(L171*24)&lt;=16),(MD!$N$6),IF((L171*24)&gt;16,MD!$N$6))),IF(AND(F171="Call_out",(SUMIFS(O:O,F:F,F171,I:I,I171,B:B,B171)&lt;=24)),IF(AND((L171*24)&gt;0,(L171*24)&lt;=8),(L171*24)*MD!$P$4,IF(AND((L171*24)&gt;8,(L171*24)&lt;=16),(MD!$Q$4),IF((L171*24)&gt;16,MD!$Q$4)))))))</f>
        <v>0</v>
      </c>
      <c r="N171" s="62"/>
      <c r="O171" s="72">
        <f t="shared" si="5"/>
        <v>0</v>
      </c>
    </row>
    <row r="172" spans="1:15" x14ac:dyDescent="0.25">
      <c r="A172" s="62">
        <v>171</v>
      </c>
      <c r="B172" s="62"/>
      <c r="C172" s="68" t="str">
        <f>IF(ISNA(VLOOKUP($B172,CPY!$B:$G,2,FALSE))=TRUE," ",VLOOKUP($B172,CPY!$B:$G,2,FALSE))</f>
        <v> </v>
      </c>
      <c r="D172" s="50" t="str">
        <f>IF(ISNA(VLOOKUP($B172,CPY!$B:$G,3,FALSE))=TRUE," ",VLOOKUP($B172,CPY!$B:$G,3,FALSE))</f>
        <v> </v>
      </c>
      <c r="E172" s="65" t="str">
        <f>IF(ISNA(VLOOKUP($B172,CPY!$B:$G,4,FALSE))=TRUE," ",VLOOKUP($B172,CPY!$B:$G,4,FALSE))</f>
        <v> </v>
      </c>
      <c r="F172" s="62"/>
      <c r="G172" s="86"/>
      <c r="H172" s="86"/>
      <c r="I172" s="87"/>
      <c r="J172" s="88"/>
      <c r="K172" s="88"/>
      <c r="L172" s="95">
        <f t="shared" si="4"/>
        <v>0</v>
      </c>
      <c r="M172" s="96" t="b">
        <f>IF((ISNUMBER(L172)),IF(AND(F172="Workdays",(SUMIFS(O:O,F:F,F172,I:I,I172,B:B,B172)&lt;=24)),IF(AND((L172*24)&gt;0,(L172*24)&lt;=8),(L172*24)*MD!$M$5,IF(AND((L172*24)&gt;8,(L172*24)&lt;=16),(MD!$N$5),IF((L172*24)&gt;16,MD!$N$5))),IF(AND(F172="Non_workdays",(SUMIFS(O:O,F:F,F172,I:I,I172,B:B,B172)&lt;=24)),IF(AND((L172*24)&gt;0,(L172*24)&lt;=8),(L172*24)*MD!$M$6,IF(AND((L172*24)&gt;8,(L172*24)&lt;=16),(MD!$N$6),IF((L172*24)&gt;16,MD!$N$6))),IF(AND(F172="Call_out",(SUMIFS(O:O,F:F,F172,I:I,I172,B:B,B172)&lt;=24)),IF(AND((L172*24)&gt;0,(L172*24)&lt;=8),(L172*24)*MD!$P$4,IF(AND((L172*24)&gt;8,(L172*24)&lt;=16),(MD!$Q$4),IF((L172*24)&gt;16,MD!$Q$4)))))))</f>
        <v>0</v>
      </c>
      <c r="N172" s="62"/>
      <c r="O172" s="72">
        <f t="shared" si="5"/>
        <v>0</v>
      </c>
    </row>
    <row r="173" spans="1:15" x14ac:dyDescent="0.25">
      <c r="A173" s="62">
        <v>172</v>
      </c>
      <c r="B173" s="62"/>
      <c r="C173" s="68" t="str">
        <f>IF(ISNA(VLOOKUP($B173,CPY!$B:$G,2,FALSE))=TRUE," ",VLOOKUP($B173,CPY!$B:$G,2,FALSE))</f>
        <v> </v>
      </c>
      <c r="D173" s="50" t="str">
        <f>IF(ISNA(VLOOKUP($B173,CPY!$B:$G,3,FALSE))=TRUE," ",VLOOKUP($B173,CPY!$B:$G,3,FALSE))</f>
        <v> </v>
      </c>
      <c r="E173" s="65" t="str">
        <f>IF(ISNA(VLOOKUP($B173,CPY!$B:$G,4,FALSE))=TRUE," ",VLOOKUP($B173,CPY!$B:$G,4,FALSE))</f>
        <v> </v>
      </c>
      <c r="F173" s="62"/>
      <c r="G173" s="86"/>
      <c r="H173" s="86"/>
      <c r="I173" s="87"/>
      <c r="J173" s="88"/>
      <c r="K173" s="88"/>
      <c r="L173" s="95">
        <f t="shared" si="4"/>
        <v>0</v>
      </c>
      <c r="M173" s="96" t="b">
        <f>IF((ISNUMBER(L173)),IF(AND(F173="Workdays",(SUMIFS(O:O,F:F,F173,I:I,I173,B:B,B173)&lt;=24)),IF(AND((L173*24)&gt;0,(L173*24)&lt;=8),(L173*24)*MD!$M$5,IF(AND((L173*24)&gt;8,(L173*24)&lt;=16),(MD!$N$5),IF((L173*24)&gt;16,MD!$N$5))),IF(AND(F173="Non_workdays",(SUMIFS(O:O,F:F,F173,I:I,I173,B:B,B173)&lt;=24)),IF(AND((L173*24)&gt;0,(L173*24)&lt;=8),(L173*24)*MD!$M$6,IF(AND((L173*24)&gt;8,(L173*24)&lt;=16),(MD!$N$6),IF((L173*24)&gt;16,MD!$N$6))),IF(AND(F173="Call_out",(SUMIFS(O:O,F:F,F173,I:I,I173,B:B,B173)&lt;=24)),IF(AND((L173*24)&gt;0,(L173*24)&lt;=8),(L173*24)*MD!$P$4,IF(AND((L173*24)&gt;8,(L173*24)&lt;=16),(MD!$Q$4),IF((L173*24)&gt;16,MD!$Q$4)))))))</f>
        <v>0</v>
      </c>
      <c r="N173" s="62"/>
      <c r="O173" s="72">
        <f t="shared" si="5"/>
        <v>0</v>
      </c>
    </row>
    <row r="174" spans="1:15" x14ac:dyDescent="0.25">
      <c r="A174" s="62">
        <v>173</v>
      </c>
      <c r="B174" s="62"/>
      <c r="C174" s="68" t="str">
        <f>IF(ISNA(VLOOKUP($B174,CPY!$B:$G,2,FALSE))=TRUE," ",VLOOKUP($B174,CPY!$B:$G,2,FALSE))</f>
        <v> </v>
      </c>
      <c r="D174" s="50" t="str">
        <f>IF(ISNA(VLOOKUP($B174,CPY!$B:$G,3,FALSE))=TRUE," ",VLOOKUP($B174,CPY!$B:$G,3,FALSE))</f>
        <v> </v>
      </c>
      <c r="E174" s="65" t="str">
        <f>IF(ISNA(VLOOKUP($B174,CPY!$B:$G,4,FALSE))=TRUE," ",VLOOKUP($B174,CPY!$B:$G,4,FALSE))</f>
        <v> </v>
      </c>
      <c r="F174" s="62"/>
      <c r="G174" s="86"/>
      <c r="H174" s="86"/>
      <c r="I174" s="87"/>
      <c r="J174" s="88"/>
      <c r="K174" s="88"/>
      <c r="L174" s="95">
        <f t="shared" si="4"/>
        <v>0</v>
      </c>
      <c r="M174" s="96" t="b">
        <f>IF((ISNUMBER(L174)),IF(AND(F174="Workdays",(SUMIFS(O:O,F:F,F174,I:I,I174,B:B,B174)&lt;=24)),IF(AND((L174*24)&gt;0,(L174*24)&lt;=8),(L174*24)*MD!$M$5,IF(AND((L174*24)&gt;8,(L174*24)&lt;=16),(MD!$N$5),IF((L174*24)&gt;16,MD!$N$5))),IF(AND(F174="Non_workdays",(SUMIFS(O:O,F:F,F174,I:I,I174,B:B,B174)&lt;=24)),IF(AND((L174*24)&gt;0,(L174*24)&lt;=8),(L174*24)*MD!$M$6,IF(AND((L174*24)&gt;8,(L174*24)&lt;=16),(MD!$N$6),IF((L174*24)&gt;16,MD!$N$6))),IF(AND(F174="Call_out",(SUMIFS(O:O,F:F,F174,I:I,I174,B:B,B174)&lt;=24)),IF(AND((L174*24)&gt;0,(L174*24)&lt;=8),(L174*24)*MD!$P$4,IF(AND((L174*24)&gt;8,(L174*24)&lt;=16),(MD!$Q$4),IF((L174*24)&gt;16,MD!$Q$4)))))))</f>
        <v>0</v>
      </c>
      <c r="N174" s="62"/>
      <c r="O174" s="72">
        <f t="shared" si="5"/>
        <v>0</v>
      </c>
    </row>
    <row r="175" spans="1:15" x14ac:dyDescent="0.25">
      <c r="A175" s="62">
        <v>174</v>
      </c>
      <c r="B175" s="62"/>
      <c r="C175" s="68" t="str">
        <f>IF(ISNA(VLOOKUP($B175,CPY!$B:$G,2,FALSE))=TRUE," ",VLOOKUP($B175,CPY!$B:$G,2,FALSE))</f>
        <v> </v>
      </c>
      <c r="D175" s="50" t="str">
        <f>IF(ISNA(VLOOKUP($B175,CPY!$B:$G,3,FALSE))=TRUE," ",VLOOKUP($B175,CPY!$B:$G,3,FALSE))</f>
        <v> </v>
      </c>
      <c r="E175" s="65" t="str">
        <f>IF(ISNA(VLOOKUP($B175,CPY!$B:$G,4,FALSE))=TRUE," ",VLOOKUP($B175,CPY!$B:$G,4,FALSE))</f>
        <v> </v>
      </c>
      <c r="F175" s="62"/>
      <c r="G175" s="86"/>
      <c r="H175" s="86"/>
      <c r="I175" s="87"/>
      <c r="J175" s="88"/>
      <c r="K175" s="88"/>
      <c r="L175" s="95">
        <f t="shared" si="4"/>
        <v>0</v>
      </c>
      <c r="M175" s="96" t="b">
        <f>IF((ISNUMBER(L175)),IF(AND(F175="Workdays",(SUMIFS(O:O,F:F,F175,I:I,I175,B:B,B175)&lt;=24)),IF(AND((L175*24)&gt;0,(L175*24)&lt;=8),(L175*24)*MD!$M$5,IF(AND((L175*24)&gt;8,(L175*24)&lt;=16),(MD!$N$5),IF((L175*24)&gt;16,MD!$N$5))),IF(AND(F175="Non_workdays",(SUMIFS(O:O,F:F,F175,I:I,I175,B:B,B175)&lt;=24)),IF(AND((L175*24)&gt;0,(L175*24)&lt;=8),(L175*24)*MD!$M$6,IF(AND((L175*24)&gt;8,(L175*24)&lt;=16),(MD!$N$6),IF((L175*24)&gt;16,MD!$N$6))),IF(AND(F175="Call_out",(SUMIFS(O:O,F:F,F175,I:I,I175,B:B,B175)&lt;=24)),IF(AND((L175*24)&gt;0,(L175*24)&lt;=8),(L175*24)*MD!$P$4,IF(AND((L175*24)&gt;8,(L175*24)&lt;=16),(MD!$Q$4),IF((L175*24)&gt;16,MD!$Q$4)))))))</f>
        <v>0</v>
      </c>
      <c r="N175" s="62"/>
      <c r="O175" s="72">
        <f t="shared" si="5"/>
        <v>0</v>
      </c>
    </row>
    <row r="176" spans="1:15" x14ac:dyDescent="0.25">
      <c r="A176" s="62">
        <v>175</v>
      </c>
      <c r="B176" s="62"/>
      <c r="C176" s="68" t="str">
        <f>IF(ISNA(VLOOKUP($B176,CPY!$B:$G,2,FALSE))=TRUE," ",VLOOKUP($B176,CPY!$B:$G,2,FALSE))</f>
        <v> </v>
      </c>
      <c r="D176" s="50" t="str">
        <f>IF(ISNA(VLOOKUP($B176,CPY!$B:$G,3,FALSE))=TRUE," ",VLOOKUP($B176,CPY!$B:$G,3,FALSE))</f>
        <v> </v>
      </c>
      <c r="E176" s="65" t="str">
        <f>IF(ISNA(VLOOKUP($B176,CPY!$B:$G,4,FALSE))=TRUE," ",VLOOKUP($B176,CPY!$B:$G,4,FALSE))</f>
        <v> </v>
      </c>
      <c r="F176" s="62"/>
      <c r="G176" s="86"/>
      <c r="H176" s="86"/>
      <c r="I176" s="87"/>
      <c r="J176" s="88"/>
      <c r="K176" s="88"/>
      <c r="L176" s="95">
        <f t="shared" si="4"/>
        <v>0</v>
      </c>
      <c r="M176" s="96" t="b">
        <f>IF((ISNUMBER(L176)),IF(AND(F176="Workdays",(SUMIFS(O:O,F:F,F176,I:I,I176,B:B,B176)&lt;=24)),IF(AND((L176*24)&gt;0,(L176*24)&lt;=8),(L176*24)*MD!$M$5,IF(AND((L176*24)&gt;8,(L176*24)&lt;=16),(MD!$N$5),IF((L176*24)&gt;16,MD!$N$5))),IF(AND(F176="Non_workdays",(SUMIFS(O:O,F:F,F176,I:I,I176,B:B,B176)&lt;=24)),IF(AND((L176*24)&gt;0,(L176*24)&lt;=8),(L176*24)*MD!$M$6,IF(AND((L176*24)&gt;8,(L176*24)&lt;=16),(MD!$N$6),IF((L176*24)&gt;16,MD!$N$6))),IF(AND(F176="Call_out",(SUMIFS(O:O,F:F,F176,I:I,I176,B:B,B176)&lt;=24)),IF(AND((L176*24)&gt;0,(L176*24)&lt;=8),(L176*24)*MD!$P$4,IF(AND((L176*24)&gt;8,(L176*24)&lt;=16),(MD!$Q$4),IF((L176*24)&gt;16,MD!$Q$4)))))))</f>
        <v>0</v>
      </c>
      <c r="N176" s="62"/>
      <c r="O176" s="72">
        <f t="shared" si="5"/>
        <v>0</v>
      </c>
    </row>
    <row r="177" spans="1:15" x14ac:dyDescent="0.25">
      <c r="A177" s="62">
        <v>176</v>
      </c>
      <c r="B177" s="62"/>
      <c r="C177" s="68" t="str">
        <f>IF(ISNA(VLOOKUP($B177,CPY!$B:$G,2,FALSE))=TRUE," ",VLOOKUP($B177,CPY!$B:$G,2,FALSE))</f>
        <v> </v>
      </c>
      <c r="D177" s="50" t="str">
        <f>IF(ISNA(VLOOKUP($B177,CPY!$B:$G,3,FALSE))=TRUE," ",VLOOKUP($B177,CPY!$B:$G,3,FALSE))</f>
        <v> </v>
      </c>
      <c r="E177" s="65" t="str">
        <f>IF(ISNA(VLOOKUP($B177,CPY!$B:$G,4,FALSE))=TRUE," ",VLOOKUP($B177,CPY!$B:$G,4,FALSE))</f>
        <v> </v>
      </c>
      <c r="F177" s="62"/>
      <c r="G177" s="86"/>
      <c r="H177" s="86"/>
      <c r="I177" s="87"/>
      <c r="J177" s="88"/>
      <c r="K177" s="88"/>
      <c r="L177" s="95">
        <f t="shared" si="4"/>
        <v>0</v>
      </c>
      <c r="M177" s="96" t="b">
        <f>IF((ISNUMBER(L177)),IF(AND(F177="Workdays",(SUMIFS(O:O,F:F,F177,I:I,I177,B:B,B177)&lt;=24)),IF(AND((L177*24)&gt;0,(L177*24)&lt;=8),(L177*24)*MD!$M$5,IF(AND((L177*24)&gt;8,(L177*24)&lt;=16),(MD!$N$5),IF((L177*24)&gt;16,MD!$N$5))),IF(AND(F177="Non_workdays",(SUMIFS(O:O,F:F,F177,I:I,I177,B:B,B177)&lt;=24)),IF(AND((L177*24)&gt;0,(L177*24)&lt;=8),(L177*24)*MD!$M$6,IF(AND((L177*24)&gt;8,(L177*24)&lt;=16),(MD!$N$6),IF((L177*24)&gt;16,MD!$N$6))),IF(AND(F177="Call_out",(SUMIFS(O:O,F:F,F177,I:I,I177,B:B,B177)&lt;=24)),IF(AND((L177*24)&gt;0,(L177*24)&lt;=8),(L177*24)*MD!$P$4,IF(AND((L177*24)&gt;8,(L177*24)&lt;=16),(MD!$Q$4),IF((L177*24)&gt;16,MD!$Q$4)))))))</f>
        <v>0</v>
      </c>
      <c r="N177" s="62"/>
      <c r="O177" s="72">
        <f t="shared" si="5"/>
        <v>0</v>
      </c>
    </row>
    <row r="178" spans="1:15" x14ac:dyDescent="0.25">
      <c r="A178" s="62">
        <v>177</v>
      </c>
      <c r="B178" s="62"/>
      <c r="C178" s="68" t="str">
        <f>IF(ISNA(VLOOKUP($B178,CPY!$B:$G,2,FALSE))=TRUE," ",VLOOKUP($B178,CPY!$B:$G,2,FALSE))</f>
        <v> </v>
      </c>
      <c r="D178" s="50" t="str">
        <f>IF(ISNA(VLOOKUP($B178,CPY!$B:$G,3,FALSE))=TRUE," ",VLOOKUP($B178,CPY!$B:$G,3,FALSE))</f>
        <v> </v>
      </c>
      <c r="E178" s="65" t="str">
        <f>IF(ISNA(VLOOKUP($B178,CPY!$B:$G,4,FALSE))=TRUE," ",VLOOKUP($B178,CPY!$B:$G,4,FALSE))</f>
        <v> </v>
      </c>
      <c r="F178" s="62"/>
      <c r="G178" s="86"/>
      <c r="H178" s="86"/>
      <c r="I178" s="87"/>
      <c r="J178" s="88"/>
      <c r="K178" s="88"/>
      <c r="L178" s="95">
        <f t="shared" si="4"/>
        <v>0</v>
      </c>
      <c r="M178" s="96" t="b">
        <f>IF((ISNUMBER(L178)),IF(AND(F178="Workdays",(SUMIFS(O:O,F:F,F178,I:I,I178,B:B,B178)&lt;=24)),IF(AND((L178*24)&gt;0,(L178*24)&lt;=8),(L178*24)*MD!$M$5,IF(AND((L178*24)&gt;8,(L178*24)&lt;=16),(MD!$N$5),IF((L178*24)&gt;16,MD!$N$5))),IF(AND(F178="Non_workdays",(SUMIFS(O:O,F:F,F178,I:I,I178,B:B,B178)&lt;=24)),IF(AND((L178*24)&gt;0,(L178*24)&lt;=8),(L178*24)*MD!$M$6,IF(AND((L178*24)&gt;8,(L178*24)&lt;=16),(MD!$N$6),IF((L178*24)&gt;16,MD!$N$6))),IF(AND(F178="Call_out",(SUMIFS(O:O,F:F,F178,I:I,I178,B:B,B178)&lt;=24)),IF(AND((L178*24)&gt;0,(L178*24)&lt;=8),(L178*24)*MD!$P$4,IF(AND((L178*24)&gt;8,(L178*24)&lt;=16),(MD!$Q$4),IF((L178*24)&gt;16,MD!$Q$4)))))))</f>
        <v>0</v>
      </c>
      <c r="N178" s="62"/>
      <c r="O178" s="72">
        <f t="shared" si="5"/>
        <v>0</v>
      </c>
    </row>
    <row r="179" spans="1:15" x14ac:dyDescent="0.25">
      <c r="A179" s="62">
        <v>178</v>
      </c>
      <c r="B179" s="62"/>
      <c r="C179" s="68" t="str">
        <f>IF(ISNA(VLOOKUP($B179,CPY!$B:$G,2,FALSE))=TRUE," ",VLOOKUP($B179,CPY!$B:$G,2,FALSE))</f>
        <v> </v>
      </c>
      <c r="D179" s="50" t="str">
        <f>IF(ISNA(VLOOKUP($B179,CPY!$B:$G,3,FALSE))=TRUE," ",VLOOKUP($B179,CPY!$B:$G,3,FALSE))</f>
        <v> </v>
      </c>
      <c r="E179" s="65" t="str">
        <f>IF(ISNA(VLOOKUP($B179,CPY!$B:$G,4,FALSE))=TRUE," ",VLOOKUP($B179,CPY!$B:$G,4,FALSE))</f>
        <v> </v>
      </c>
      <c r="F179" s="62"/>
      <c r="G179" s="86"/>
      <c r="H179" s="86"/>
      <c r="I179" s="87"/>
      <c r="J179" s="88"/>
      <c r="K179" s="88"/>
      <c r="L179" s="95">
        <f t="shared" si="4"/>
        <v>0</v>
      </c>
      <c r="M179" s="96" t="b">
        <f>IF((ISNUMBER(L179)),IF(AND(F179="Workdays",(SUMIFS(O:O,F:F,F179,I:I,I179,B:B,B179)&lt;=24)),IF(AND((L179*24)&gt;0,(L179*24)&lt;=8),(L179*24)*MD!$M$5,IF(AND((L179*24)&gt;8,(L179*24)&lt;=16),(MD!$N$5),IF((L179*24)&gt;16,MD!$N$5))),IF(AND(F179="Non_workdays",(SUMIFS(O:O,F:F,F179,I:I,I179,B:B,B179)&lt;=24)),IF(AND((L179*24)&gt;0,(L179*24)&lt;=8),(L179*24)*MD!$M$6,IF(AND((L179*24)&gt;8,(L179*24)&lt;=16),(MD!$N$6),IF((L179*24)&gt;16,MD!$N$6))),IF(AND(F179="Call_out",(SUMIFS(O:O,F:F,F179,I:I,I179,B:B,B179)&lt;=24)),IF(AND((L179*24)&gt;0,(L179*24)&lt;=8),(L179*24)*MD!$P$4,IF(AND((L179*24)&gt;8,(L179*24)&lt;=16),(MD!$Q$4),IF((L179*24)&gt;16,MD!$Q$4)))))))</f>
        <v>0</v>
      </c>
      <c r="N179" s="62"/>
      <c r="O179" s="72">
        <f t="shared" si="5"/>
        <v>0</v>
      </c>
    </row>
    <row r="180" spans="1:15" x14ac:dyDescent="0.25">
      <c r="A180" s="62">
        <v>179</v>
      </c>
      <c r="B180" s="62"/>
      <c r="C180" s="68" t="str">
        <f>IF(ISNA(VLOOKUP($B180,CPY!$B:$G,2,FALSE))=TRUE," ",VLOOKUP($B180,CPY!$B:$G,2,FALSE))</f>
        <v> </v>
      </c>
      <c r="D180" s="50" t="str">
        <f>IF(ISNA(VLOOKUP($B180,CPY!$B:$G,3,FALSE))=TRUE," ",VLOOKUP($B180,CPY!$B:$G,3,FALSE))</f>
        <v> </v>
      </c>
      <c r="E180" s="65" t="str">
        <f>IF(ISNA(VLOOKUP($B180,CPY!$B:$G,4,FALSE))=TRUE," ",VLOOKUP($B180,CPY!$B:$G,4,FALSE))</f>
        <v> </v>
      </c>
      <c r="F180" s="62"/>
      <c r="G180" s="86"/>
      <c r="H180" s="86"/>
      <c r="I180" s="87"/>
      <c r="J180" s="88"/>
      <c r="K180" s="88"/>
      <c r="L180" s="95">
        <f t="shared" si="4"/>
        <v>0</v>
      </c>
      <c r="M180" s="96" t="b">
        <f>IF((ISNUMBER(L180)),IF(AND(F180="Workdays",(SUMIFS(O:O,F:F,F180,I:I,I180,B:B,B180)&lt;=24)),IF(AND((L180*24)&gt;0,(L180*24)&lt;=8),(L180*24)*MD!$M$5,IF(AND((L180*24)&gt;8,(L180*24)&lt;=16),(MD!$N$5),IF((L180*24)&gt;16,MD!$N$5))),IF(AND(F180="Non_workdays",(SUMIFS(O:O,F:F,F180,I:I,I180,B:B,B180)&lt;=24)),IF(AND((L180*24)&gt;0,(L180*24)&lt;=8),(L180*24)*MD!$M$6,IF(AND((L180*24)&gt;8,(L180*24)&lt;=16),(MD!$N$6),IF((L180*24)&gt;16,MD!$N$6))),IF(AND(F180="Call_out",(SUMIFS(O:O,F:F,F180,I:I,I180,B:B,B180)&lt;=24)),IF(AND((L180*24)&gt;0,(L180*24)&lt;=8),(L180*24)*MD!$P$4,IF(AND((L180*24)&gt;8,(L180*24)&lt;=16),(MD!$Q$4),IF((L180*24)&gt;16,MD!$Q$4)))))))</f>
        <v>0</v>
      </c>
      <c r="N180" s="62"/>
      <c r="O180" s="72">
        <f t="shared" si="5"/>
        <v>0</v>
      </c>
    </row>
    <row r="181" spans="1:15" x14ac:dyDescent="0.25">
      <c r="A181" s="62">
        <v>180</v>
      </c>
      <c r="B181" s="62"/>
      <c r="C181" s="68" t="str">
        <f>IF(ISNA(VLOOKUP($B181,CPY!$B:$G,2,FALSE))=TRUE," ",VLOOKUP($B181,CPY!$B:$G,2,FALSE))</f>
        <v> </v>
      </c>
      <c r="D181" s="50" t="str">
        <f>IF(ISNA(VLOOKUP($B181,CPY!$B:$G,3,FALSE))=TRUE," ",VLOOKUP($B181,CPY!$B:$G,3,FALSE))</f>
        <v> </v>
      </c>
      <c r="E181" s="65" t="str">
        <f>IF(ISNA(VLOOKUP($B181,CPY!$B:$G,4,FALSE))=TRUE," ",VLOOKUP($B181,CPY!$B:$G,4,FALSE))</f>
        <v> </v>
      </c>
      <c r="F181" s="62"/>
      <c r="G181" s="86"/>
      <c r="H181" s="86"/>
      <c r="I181" s="87"/>
      <c r="J181" s="88"/>
      <c r="K181" s="88"/>
      <c r="L181" s="95">
        <f t="shared" si="4"/>
        <v>0</v>
      </c>
      <c r="M181" s="96" t="b">
        <f>IF((ISNUMBER(L181)),IF(AND(F181="Workdays",(SUMIFS(O:O,F:F,F181,I:I,I181,B:B,B181)&lt;=24)),IF(AND((L181*24)&gt;0,(L181*24)&lt;=8),(L181*24)*MD!$M$5,IF(AND((L181*24)&gt;8,(L181*24)&lt;=16),(MD!$N$5),IF((L181*24)&gt;16,MD!$N$5))),IF(AND(F181="Non_workdays",(SUMIFS(O:O,F:F,F181,I:I,I181,B:B,B181)&lt;=24)),IF(AND((L181*24)&gt;0,(L181*24)&lt;=8),(L181*24)*MD!$M$6,IF(AND((L181*24)&gt;8,(L181*24)&lt;=16),(MD!$N$6),IF((L181*24)&gt;16,MD!$N$6))),IF(AND(F181="Call_out",(SUMIFS(O:O,F:F,F181,I:I,I181,B:B,B181)&lt;=24)),IF(AND((L181*24)&gt;0,(L181*24)&lt;=8),(L181*24)*MD!$P$4,IF(AND((L181*24)&gt;8,(L181*24)&lt;=16),(MD!$Q$4),IF((L181*24)&gt;16,MD!$Q$4)))))))</f>
        <v>0</v>
      </c>
      <c r="N181" s="62"/>
      <c r="O181" s="72">
        <f t="shared" si="5"/>
        <v>0</v>
      </c>
    </row>
    <row r="182" spans="1:15" x14ac:dyDescent="0.25">
      <c r="A182" s="62">
        <v>181</v>
      </c>
      <c r="B182" s="62"/>
      <c r="C182" s="68" t="str">
        <f>IF(ISNA(VLOOKUP($B182,CPY!$B:$G,2,FALSE))=TRUE," ",VLOOKUP($B182,CPY!$B:$G,2,FALSE))</f>
        <v> </v>
      </c>
      <c r="D182" s="50" t="str">
        <f>IF(ISNA(VLOOKUP($B182,CPY!$B:$G,3,FALSE))=TRUE," ",VLOOKUP($B182,CPY!$B:$G,3,FALSE))</f>
        <v> </v>
      </c>
      <c r="E182" s="65" t="str">
        <f>IF(ISNA(VLOOKUP($B182,CPY!$B:$G,4,FALSE))=TRUE," ",VLOOKUP($B182,CPY!$B:$G,4,FALSE))</f>
        <v> </v>
      </c>
      <c r="F182" s="62"/>
      <c r="G182" s="86"/>
      <c r="H182" s="86"/>
      <c r="I182" s="87"/>
      <c r="J182" s="88"/>
      <c r="K182" s="88"/>
      <c r="L182" s="95">
        <f t="shared" si="4"/>
        <v>0</v>
      </c>
      <c r="M182" s="96" t="b">
        <f>IF((ISNUMBER(L182)),IF(AND(F182="Workdays",(SUMIFS(O:O,F:F,F182,I:I,I182,B:B,B182)&lt;=24)),IF(AND((L182*24)&gt;0,(L182*24)&lt;=8),(L182*24)*MD!$M$5,IF(AND((L182*24)&gt;8,(L182*24)&lt;=16),(MD!$N$5),IF((L182*24)&gt;16,MD!$N$5))),IF(AND(F182="Non_workdays",(SUMIFS(O:O,F:F,F182,I:I,I182,B:B,B182)&lt;=24)),IF(AND((L182*24)&gt;0,(L182*24)&lt;=8),(L182*24)*MD!$M$6,IF(AND((L182*24)&gt;8,(L182*24)&lt;=16),(MD!$N$6),IF((L182*24)&gt;16,MD!$N$6))),IF(AND(F182="Call_out",(SUMIFS(O:O,F:F,F182,I:I,I182,B:B,B182)&lt;=24)),IF(AND((L182*24)&gt;0,(L182*24)&lt;=8),(L182*24)*MD!$P$4,IF(AND((L182*24)&gt;8,(L182*24)&lt;=16),(MD!$Q$4),IF((L182*24)&gt;16,MD!$Q$4)))))))</f>
        <v>0</v>
      </c>
      <c r="N182" s="62"/>
      <c r="O182" s="72">
        <f t="shared" si="5"/>
        <v>0</v>
      </c>
    </row>
    <row r="183" spans="1:15" x14ac:dyDescent="0.25">
      <c r="A183" s="62">
        <v>182</v>
      </c>
      <c r="B183" s="62"/>
      <c r="C183" s="68" t="str">
        <f>IF(ISNA(VLOOKUP($B183,CPY!$B:$G,2,FALSE))=TRUE," ",VLOOKUP($B183,CPY!$B:$G,2,FALSE))</f>
        <v> </v>
      </c>
      <c r="D183" s="50" t="str">
        <f>IF(ISNA(VLOOKUP($B183,CPY!$B:$G,3,FALSE))=TRUE," ",VLOOKUP($B183,CPY!$B:$G,3,FALSE))</f>
        <v> </v>
      </c>
      <c r="E183" s="65" t="str">
        <f>IF(ISNA(VLOOKUP($B183,CPY!$B:$G,4,FALSE))=TRUE," ",VLOOKUP($B183,CPY!$B:$G,4,FALSE))</f>
        <v> </v>
      </c>
      <c r="F183" s="62"/>
      <c r="G183" s="86"/>
      <c r="H183" s="86"/>
      <c r="I183" s="87"/>
      <c r="J183" s="88"/>
      <c r="K183" s="88"/>
      <c r="L183" s="95">
        <f t="shared" si="4"/>
        <v>0</v>
      </c>
      <c r="M183" s="96" t="b">
        <f>IF((ISNUMBER(L183)),IF(AND(F183="Workdays",(SUMIFS(O:O,F:F,F183,I:I,I183,B:B,B183)&lt;=24)),IF(AND((L183*24)&gt;0,(L183*24)&lt;=8),(L183*24)*MD!$M$5,IF(AND((L183*24)&gt;8,(L183*24)&lt;=16),(MD!$N$5),IF((L183*24)&gt;16,MD!$N$5))),IF(AND(F183="Non_workdays",(SUMIFS(O:O,F:F,F183,I:I,I183,B:B,B183)&lt;=24)),IF(AND((L183*24)&gt;0,(L183*24)&lt;=8),(L183*24)*MD!$M$6,IF(AND((L183*24)&gt;8,(L183*24)&lt;=16),(MD!$N$6),IF((L183*24)&gt;16,MD!$N$6))),IF(AND(F183="Call_out",(SUMIFS(O:O,F:F,F183,I:I,I183,B:B,B183)&lt;=24)),IF(AND((L183*24)&gt;0,(L183*24)&lt;=8),(L183*24)*MD!$P$4,IF(AND((L183*24)&gt;8,(L183*24)&lt;=16),(MD!$Q$4),IF((L183*24)&gt;16,MD!$Q$4)))))))</f>
        <v>0</v>
      </c>
      <c r="N183" s="62"/>
      <c r="O183" s="72">
        <f t="shared" si="5"/>
        <v>0</v>
      </c>
    </row>
    <row r="184" spans="1:15" x14ac:dyDescent="0.25">
      <c r="A184" s="62">
        <v>183</v>
      </c>
      <c r="B184" s="62"/>
      <c r="C184" s="68" t="str">
        <f>IF(ISNA(VLOOKUP($B184,CPY!$B:$G,2,FALSE))=TRUE," ",VLOOKUP($B184,CPY!$B:$G,2,FALSE))</f>
        <v> </v>
      </c>
      <c r="D184" s="50" t="str">
        <f>IF(ISNA(VLOOKUP($B184,CPY!$B:$G,3,FALSE))=TRUE," ",VLOOKUP($B184,CPY!$B:$G,3,FALSE))</f>
        <v> </v>
      </c>
      <c r="E184" s="65" t="str">
        <f>IF(ISNA(VLOOKUP($B184,CPY!$B:$G,4,FALSE))=TRUE," ",VLOOKUP($B184,CPY!$B:$G,4,FALSE))</f>
        <v> </v>
      </c>
      <c r="F184" s="62"/>
      <c r="G184" s="86"/>
      <c r="H184" s="86"/>
      <c r="I184" s="87"/>
      <c r="J184" s="88"/>
      <c r="K184" s="88"/>
      <c r="L184" s="95">
        <f t="shared" si="4"/>
        <v>0</v>
      </c>
      <c r="M184" s="96" t="b">
        <f>IF((ISNUMBER(L184)),IF(AND(F184="Workdays",(SUMIFS(O:O,F:F,F184,I:I,I184,B:B,B184)&lt;=24)),IF(AND((L184*24)&gt;0,(L184*24)&lt;=8),(L184*24)*MD!$M$5,IF(AND((L184*24)&gt;8,(L184*24)&lt;=16),(MD!$N$5),IF((L184*24)&gt;16,MD!$N$5))),IF(AND(F184="Non_workdays",(SUMIFS(O:O,F:F,F184,I:I,I184,B:B,B184)&lt;=24)),IF(AND((L184*24)&gt;0,(L184*24)&lt;=8),(L184*24)*MD!$M$6,IF(AND((L184*24)&gt;8,(L184*24)&lt;=16),(MD!$N$6),IF((L184*24)&gt;16,MD!$N$6))),IF(AND(F184="Call_out",(SUMIFS(O:O,F:F,F184,I:I,I184,B:B,B184)&lt;=24)),IF(AND((L184*24)&gt;0,(L184*24)&lt;=8),(L184*24)*MD!$P$4,IF(AND((L184*24)&gt;8,(L184*24)&lt;=16),(MD!$Q$4),IF((L184*24)&gt;16,MD!$Q$4)))))))</f>
        <v>0</v>
      </c>
      <c r="N184" s="62"/>
      <c r="O184" s="72">
        <f t="shared" si="5"/>
        <v>0</v>
      </c>
    </row>
    <row r="185" spans="1:15" x14ac:dyDescent="0.25">
      <c r="A185" s="62">
        <v>184</v>
      </c>
      <c r="B185" s="62"/>
      <c r="C185" s="68" t="str">
        <f>IF(ISNA(VLOOKUP($B185,CPY!$B:$G,2,FALSE))=TRUE," ",VLOOKUP($B185,CPY!$B:$G,2,FALSE))</f>
        <v> </v>
      </c>
      <c r="D185" s="50" t="str">
        <f>IF(ISNA(VLOOKUP($B185,CPY!$B:$G,3,FALSE))=TRUE," ",VLOOKUP($B185,CPY!$B:$G,3,FALSE))</f>
        <v> </v>
      </c>
      <c r="E185" s="65" t="str">
        <f>IF(ISNA(VLOOKUP($B185,CPY!$B:$G,4,FALSE))=TRUE," ",VLOOKUP($B185,CPY!$B:$G,4,FALSE))</f>
        <v> </v>
      </c>
      <c r="F185" s="62"/>
      <c r="G185" s="86"/>
      <c r="H185" s="86"/>
      <c r="I185" s="87"/>
      <c r="J185" s="88"/>
      <c r="K185" s="88"/>
      <c r="L185" s="95">
        <f t="shared" si="4"/>
        <v>0</v>
      </c>
      <c r="M185" s="96" t="b">
        <f>IF((ISNUMBER(L185)),IF(AND(F185="Workdays",(SUMIFS(O:O,F:F,F185,I:I,I185,B:B,B185)&lt;=24)),IF(AND((L185*24)&gt;0,(L185*24)&lt;=8),(L185*24)*MD!$M$5,IF(AND((L185*24)&gt;8,(L185*24)&lt;=16),(MD!$N$5),IF((L185*24)&gt;16,MD!$N$5))),IF(AND(F185="Non_workdays",(SUMIFS(O:O,F:F,F185,I:I,I185,B:B,B185)&lt;=24)),IF(AND((L185*24)&gt;0,(L185*24)&lt;=8),(L185*24)*MD!$M$6,IF(AND((L185*24)&gt;8,(L185*24)&lt;=16),(MD!$N$6),IF((L185*24)&gt;16,MD!$N$6))),IF(AND(F185="Call_out",(SUMIFS(O:O,F:F,F185,I:I,I185,B:B,B185)&lt;=24)),IF(AND((L185*24)&gt;0,(L185*24)&lt;=8),(L185*24)*MD!$P$4,IF(AND((L185*24)&gt;8,(L185*24)&lt;=16),(MD!$Q$4),IF((L185*24)&gt;16,MD!$Q$4)))))))</f>
        <v>0</v>
      </c>
      <c r="N185" s="62"/>
      <c r="O185" s="72">
        <f t="shared" si="5"/>
        <v>0</v>
      </c>
    </row>
    <row r="186" spans="1:15" x14ac:dyDescent="0.25">
      <c r="A186" s="62">
        <v>185</v>
      </c>
      <c r="B186" s="62"/>
      <c r="C186" s="68" t="str">
        <f>IF(ISNA(VLOOKUP($B186,CPY!$B:$G,2,FALSE))=TRUE," ",VLOOKUP($B186,CPY!$B:$G,2,FALSE))</f>
        <v> </v>
      </c>
      <c r="D186" s="50" t="str">
        <f>IF(ISNA(VLOOKUP($B186,CPY!$B:$G,3,FALSE))=TRUE," ",VLOOKUP($B186,CPY!$B:$G,3,FALSE))</f>
        <v> </v>
      </c>
      <c r="E186" s="65" t="str">
        <f>IF(ISNA(VLOOKUP($B186,CPY!$B:$G,4,FALSE))=TRUE," ",VLOOKUP($B186,CPY!$B:$G,4,FALSE))</f>
        <v> </v>
      </c>
      <c r="F186" s="62"/>
      <c r="G186" s="86"/>
      <c r="H186" s="86"/>
      <c r="I186" s="87"/>
      <c r="J186" s="88"/>
      <c r="K186" s="88"/>
      <c r="L186" s="95">
        <f t="shared" si="4"/>
        <v>0</v>
      </c>
      <c r="M186" s="96" t="b">
        <f>IF((ISNUMBER(L186)),IF(AND(F186="Workdays",(SUMIFS(O:O,F:F,F186,I:I,I186,B:B,B186)&lt;=24)),IF(AND((L186*24)&gt;0,(L186*24)&lt;=8),(L186*24)*MD!$M$5,IF(AND((L186*24)&gt;8,(L186*24)&lt;=16),(MD!$N$5),IF((L186*24)&gt;16,MD!$N$5))),IF(AND(F186="Non_workdays",(SUMIFS(O:O,F:F,F186,I:I,I186,B:B,B186)&lt;=24)),IF(AND((L186*24)&gt;0,(L186*24)&lt;=8),(L186*24)*MD!$M$6,IF(AND((L186*24)&gt;8,(L186*24)&lt;=16),(MD!$N$6),IF((L186*24)&gt;16,MD!$N$6))),IF(AND(F186="Call_out",(SUMIFS(O:O,F:F,F186,I:I,I186,B:B,B186)&lt;=24)),IF(AND((L186*24)&gt;0,(L186*24)&lt;=8),(L186*24)*MD!$P$4,IF(AND((L186*24)&gt;8,(L186*24)&lt;=16),(MD!$Q$4),IF((L186*24)&gt;16,MD!$Q$4)))))))</f>
        <v>0</v>
      </c>
      <c r="N186" s="62"/>
      <c r="O186" s="72">
        <f t="shared" si="5"/>
        <v>0</v>
      </c>
    </row>
    <row r="187" spans="1:15" x14ac:dyDescent="0.25">
      <c r="A187" s="62">
        <v>186</v>
      </c>
      <c r="B187" s="62"/>
      <c r="C187" s="68" t="str">
        <f>IF(ISNA(VLOOKUP($B187,CPY!$B:$G,2,FALSE))=TRUE," ",VLOOKUP($B187,CPY!$B:$G,2,FALSE))</f>
        <v> </v>
      </c>
      <c r="D187" s="50" t="str">
        <f>IF(ISNA(VLOOKUP($B187,CPY!$B:$G,3,FALSE))=TRUE," ",VLOOKUP($B187,CPY!$B:$G,3,FALSE))</f>
        <v> </v>
      </c>
      <c r="E187" s="65" t="str">
        <f>IF(ISNA(VLOOKUP($B187,CPY!$B:$G,4,FALSE))=TRUE," ",VLOOKUP($B187,CPY!$B:$G,4,FALSE))</f>
        <v> </v>
      </c>
      <c r="F187" s="62"/>
      <c r="G187" s="86"/>
      <c r="H187" s="86"/>
      <c r="I187" s="87"/>
      <c r="J187" s="88"/>
      <c r="K187" s="88"/>
      <c r="L187" s="95">
        <f t="shared" si="4"/>
        <v>0</v>
      </c>
      <c r="M187" s="96" t="b">
        <f>IF((ISNUMBER(L187)),IF(AND(F187="Workdays",(SUMIFS(O:O,F:F,F187,I:I,I187,B:B,B187)&lt;=24)),IF(AND((L187*24)&gt;0,(L187*24)&lt;=8),(L187*24)*MD!$M$5,IF(AND((L187*24)&gt;8,(L187*24)&lt;=16),(MD!$N$5),IF((L187*24)&gt;16,MD!$N$5))),IF(AND(F187="Non_workdays",(SUMIFS(O:O,F:F,F187,I:I,I187,B:B,B187)&lt;=24)),IF(AND((L187*24)&gt;0,(L187*24)&lt;=8),(L187*24)*MD!$M$6,IF(AND((L187*24)&gt;8,(L187*24)&lt;=16),(MD!$N$6),IF((L187*24)&gt;16,MD!$N$6))),IF(AND(F187="Call_out",(SUMIFS(O:O,F:F,F187,I:I,I187,B:B,B187)&lt;=24)),IF(AND((L187*24)&gt;0,(L187*24)&lt;=8),(L187*24)*MD!$P$4,IF(AND((L187*24)&gt;8,(L187*24)&lt;=16),(MD!$Q$4),IF((L187*24)&gt;16,MD!$Q$4)))))))</f>
        <v>0</v>
      </c>
      <c r="N187" s="62"/>
      <c r="O187" s="72">
        <f t="shared" si="5"/>
        <v>0</v>
      </c>
    </row>
    <row r="188" spans="1:15" x14ac:dyDescent="0.25">
      <c r="A188" s="62">
        <v>187</v>
      </c>
      <c r="B188" s="62"/>
      <c r="C188" s="68" t="str">
        <f>IF(ISNA(VLOOKUP($B188,CPY!$B:$G,2,FALSE))=TRUE," ",VLOOKUP($B188,CPY!$B:$G,2,FALSE))</f>
        <v> </v>
      </c>
      <c r="D188" s="50" t="str">
        <f>IF(ISNA(VLOOKUP($B188,CPY!$B:$G,3,FALSE))=TRUE," ",VLOOKUP($B188,CPY!$B:$G,3,FALSE))</f>
        <v> </v>
      </c>
      <c r="E188" s="65" t="str">
        <f>IF(ISNA(VLOOKUP($B188,CPY!$B:$G,4,FALSE))=TRUE," ",VLOOKUP($B188,CPY!$B:$G,4,FALSE))</f>
        <v> </v>
      </c>
      <c r="F188" s="62"/>
      <c r="G188" s="86"/>
      <c r="H188" s="86"/>
      <c r="I188" s="87"/>
      <c r="J188" s="88"/>
      <c r="K188" s="88"/>
      <c r="L188" s="95">
        <f t="shared" si="4"/>
        <v>0</v>
      </c>
      <c r="M188" s="96" t="b">
        <f>IF((ISNUMBER(L188)),IF(AND(F188="Workdays",(SUMIFS(O:O,F:F,F188,I:I,I188,B:B,B188)&lt;=24)),IF(AND((L188*24)&gt;0,(L188*24)&lt;=8),(L188*24)*MD!$M$5,IF(AND((L188*24)&gt;8,(L188*24)&lt;=16),(MD!$N$5),IF((L188*24)&gt;16,MD!$N$5))),IF(AND(F188="Non_workdays",(SUMIFS(O:O,F:F,F188,I:I,I188,B:B,B188)&lt;=24)),IF(AND((L188*24)&gt;0,(L188*24)&lt;=8),(L188*24)*MD!$M$6,IF(AND((L188*24)&gt;8,(L188*24)&lt;=16),(MD!$N$6),IF((L188*24)&gt;16,MD!$N$6))),IF(AND(F188="Call_out",(SUMIFS(O:O,F:F,F188,I:I,I188,B:B,B188)&lt;=24)),IF(AND((L188*24)&gt;0,(L188*24)&lt;=8),(L188*24)*MD!$P$4,IF(AND((L188*24)&gt;8,(L188*24)&lt;=16),(MD!$Q$4),IF((L188*24)&gt;16,MD!$Q$4)))))))</f>
        <v>0</v>
      </c>
      <c r="N188" s="62"/>
      <c r="O188" s="72">
        <f t="shared" si="5"/>
        <v>0</v>
      </c>
    </row>
    <row r="189" spans="1:15" x14ac:dyDescent="0.25">
      <c r="A189" s="62">
        <v>188</v>
      </c>
      <c r="B189" s="62"/>
      <c r="C189" s="68" t="str">
        <f>IF(ISNA(VLOOKUP($B189,CPY!$B:$G,2,FALSE))=TRUE," ",VLOOKUP($B189,CPY!$B:$G,2,FALSE))</f>
        <v> </v>
      </c>
      <c r="D189" s="50" t="str">
        <f>IF(ISNA(VLOOKUP($B189,CPY!$B:$G,3,FALSE))=TRUE," ",VLOOKUP($B189,CPY!$B:$G,3,FALSE))</f>
        <v> </v>
      </c>
      <c r="E189" s="65" t="str">
        <f>IF(ISNA(VLOOKUP($B189,CPY!$B:$G,4,FALSE))=TRUE," ",VLOOKUP($B189,CPY!$B:$G,4,FALSE))</f>
        <v> </v>
      </c>
      <c r="F189" s="62"/>
      <c r="G189" s="86"/>
      <c r="H189" s="86"/>
      <c r="I189" s="87"/>
      <c r="J189" s="88"/>
      <c r="K189" s="88"/>
      <c r="L189" s="95">
        <f t="shared" si="4"/>
        <v>0</v>
      </c>
      <c r="M189" s="96" t="b">
        <f>IF((ISNUMBER(L189)),IF(AND(F189="Workdays",(SUMIFS(O:O,F:F,F189,I:I,I189,B:B,B189)&lt;=24)),IF(AND((L189*24)&gt;0,(L189*24)&lt;=8),(L189*24)*MD!$M$5,IF(AND((L189*24)&gt;8,(L189*24)&lt;=16),(MD!$N$5),IF((L189*24)&gt;16,MD!$N$5))),IF(AND(F189="Non_workdays",(SUMIFS(O:O,F:F,F189,I:I,I189,B:B,B189)&lt;=24)),IF(AND((L189*24)&gt;0,(L189*24)&lt;=8),(L189*24)*MD!$M$6,IF(AND((L189*24)&gt;8,(L189*24)&lt;=16),(MD!$N$6),IF((L189*24)&gt;16,MD!$N$6))),IF(AND(F189="Call_out",(SUMIFS(O:O,F:F,F189,I:I,I189,B:B,B189)&lt;=24)),IF(AND((L189*24)&gt;0,(L189*24)&lt;=8),(L189*24)*MD!$P$4,IF(AND((L189*24)&gt;8,(L189*24)&lt;=16),(MD!$Q$4),IF((L189*24)&gt;16,MD!$Q$4)))))))</f>
        <v>0</v>
      </c>
      <c r="N189" s="62"/>
      <c r="O189" s="72">
        <f t="shared" si="5"/>
        <v>0</v>
      </c>
    </row>
    <row r="190" spans="1:15" x14ac:dyDescent="0.25">
      <c r="A190" s="62">
        <v>189</v>
      </c>
      <c r="B190" s="62"/>
      <c r="C190" s="68" t="str">
        <f>IF(ISNA(VLOOKUP($B190,CPY!$B:$G,2,FALSE))=TRUE," ",VLOOKUP($B190,CPY!$B:$G,2,FALSE))</f>
        <v> </v>
      </c>
      <c r="D190" s="50" t="str">
        <f>IF(ISNA(VLOOKUP($B190,CPY!$B:$G,3,FALSE))=TRUE," ",VLOOKUP($B190,CPY!$B:$G,3,FALSE))</f>
        <v> </v>
      </c>
      <c r="E190" s="65" t="str">
        <f>IF(ISNA(VLOOKUP($B190,CPY!$B:$G,4,FALSE))=TRUE," ",VLOOKUP($B190,CPY!$B:$G,4,FALSE))</f>
        <v> </v>
      </c>
      <c r="F190" s="62"/>
      <c r="G190" s="86"/>
      <c r="H190" s="86"/>
      <c r="I190" s="87"/>
      <c r="J190" s="88"/>
      <c r="K190" s="88"/>
      <c r="L190" s="95">
        <f t="shared" si="4"/>
        <v>0</v>
      </c>
      <c r="M190" s="96" t="b">
        <f>IF((ISNUMBER(L190)),IF(AND(F190="Workdays",(SUMIFS(O:O,F:F,F190,I:I,I190,B:B,B190)&lt;=24)),IF(AND((L190*24)&gt;0,(L190*24)&lt;=8),(L190*24)*MD!$M$5,IF(AND((L190*24)&gt;8,(L190*24)&lt;=16),(MD!$N$5),IF((L190*24)&gt;16,MD!$N$5))),IF(AND(F190="Non_workdays",(SUMIFS(O:O,F:F,F190,I:I,I190,B:B,B190)&lt;=24)),IF(AND((L190*24)&gt;0,(L190*24)&lt;=8),(L190*24)*MD!$M$6,IF(AND((L190*24)&gt;8,(L190*24)&lt;=16),(MD!$N$6),IF((L190*24)&gt;16,MD!$N$6))),IF(AND(F190="Call_out",(SUMIFS(O:O,F:F,F190,I:I,I190,B:B,B190)&lt;=24)),IF(AND((L190*24)&gt;0,(L190*24)&lt;=8),(L190*24)*MD!$P$4,IF(AND((L190*24)&gt;8,(L190*24)&lt;=16),(MD!$Q$4),IF((L190*24)&gt;16,MD!$Q$4)))))))</f>
        <v>0</v>
      </c>
      <c r="N190" s="62"/>
      <c r="O190" s="72">
        <f t="shared" si="5"/>
        <v>0</v>
      </c>
    </row>
    <row r="191" spans="1:15" x14ac:dyDescent="0.25">
      <c r="A191" s="62">
        <v>190</v>
      </c>
      <c r="B191" s="62"/>
      <c r="C191" s="68" t="str">
        <f>IF(ISNA(VLOOKUP($B191,CPY!$B:$G,2,FALSE))=TRUE," ",VLOOKUP($B191,CPY!$B:$G,2,FALSE))</f>
        <v> </v>
      </c>
      <c r="D191" s="50" t="str">
        <f>IF(ISNA(VLOOKUP($B191,CPY!$B:$G,3,FALSE))=TRUE," ",VLOOKUP($B191,CPY!$B:$G,3,FALSE))</f>
        <v> </v>
      </c>
      <c r="E191" s="65" t="str">
        <f>IF(ISNA(VLOOKUP($B191,CPY!$B:$G,4,FALSE))=TRUE," ",VLOOKUP($B191,CPY!$B:$G,4,FALSE))</f>
        <v> </v>
      </c>
      <c r="F191" s="62"/>
      <c r="G191" s="86"/>
      <c r="H191" s="86"/>
      <c r="I191" s="87"/>
      <c r="J191" s="88"/>
      <c r="K191" s="88"/>
      <c r="L191" s="95">
        <f t="shared" si="4"/>
        <v>0</v>
      </c>
      <c r="M191" s="96" t="b">
        <f>IF((ISNUMBER(L191)),IF(AND(F191="Workdays",(SUMIFS(O:O,F:F,F191,I:I,I191,B:B,B191)&lt;=24)),IF(AND((L191*24)&gt;0,(L191*24)&lt;=8),(L191*24)*MD!$M$5,IF(AND((L191*24)&gt;8,(L191*24)&lt;=16),(MD!$N$5),IF((L191*24)&gt;16,MD!$N$5))),IF(AND(F191="Non_workdays",(SUMIFS(O:O,F:F,F191,I:I,I191,B:B,B191)&lt;=24)),IF(AND((L191*24)&gt;0,(L191*24)&lt;=8),(L191*24)*MD!$M$6,IF(AND((L191*24)&gt;8,(L191*24)&lt;=16),(MD!$N$6),IF((L191*24)&gt;16,MD!$N$6))),IF(AND(F191="Call_out",(SUMIFS(O:O,F:F,F191,I:I,I191,B:B,B191)&lt;=24)),IF(AND((L191*24)&gt;0,(L191*24)&lt;=8),(L191*24)*MD!$P$4,IF(AND((L191*24)&gt;8,(L191*24)&lt;=16),(MD!$Q$4),IF((L191*24)&gt;16,MD!$Q$4)))))))</f>
        <v>0</v>
      </c>
      <c r="N191" s="62"/>
      <c r="O191" s="72">
        <f t="shared" si="5"/>
        <v>0</v>
      </c>
    </row>
    <row r="192" spans="1:15" x14ac:dyDescent="0.25">
      <c r="A192" s="62">
        <v>191</v>
      </c>
      <c r="B192" s="62"/>
      <c r="C192" s="68" t="str">
        <f>IF(ISNA(VLOOKUP($B192,CPY!$B:$G,2,FALSE))=TRUE," ",VLOOKUP($B192,CPY!$B:$G,2,FALSE))</f>
        <v> </v>
      </c>
      <c r="D192" s="50" t="str">
        <f>IF(ISNA(VLOOKUP($B192,CPY!$B:$G,3,FALSE))=TRUE," ",VLOOKUP($B192,CPY!$B:$G,3,FALSE))</f>
        <v> </v>
      </c>
      <c r="E192" s="65" t="str">
        <f>IF(ISNA(VLOOKUP($B192,CPY!$B:$G,4,FALSE))=TRUE," ",VLOOKUP($B192,CPY!$B:$G,4,FALSE))</f>
        <v> </v>
      </c>
      <c r="F192" s="62"/>
      <c r="G192" s="86"/>
      <c r="H192" s="86"/>
      <c r="I192" s="87"/>
      <c r="J192" s="88"/>
      <c r="K192" s="88"/>
      <c r="L192" s="95">
        <f t="shared" si="4"/>
        <v>0</v>
      </c>
      <c r="M192" s="96" t="b">
        <f>IF((ISNUMBER(L192)),IF(AND(F192="Workdays",(SUMIFS(O:O,F:F,F192,I:I,I192,B:B,B192)&lt;=24)),IF(AND((L192*24)&gt;0,(L192*24)&lt;=8),(L192*24)*MD!$M$5,IF(AND((L192*24)&gt;8,(L192*24)&lt;=16),(MD!$N$5),IF((L192*24)&gt;16,MD!$N$5))),IF(AND(F192="Non_workdays",(SUMIFS(O:O,F:F,F192,I:I,I192,B:B,B192)&lt;=24)),IF(AND((L192*24)&gt;0,(L192*24)&lt;=8),(L192*24)*MD!$M$6,IF(AND((L192*24)&gt;8,(L192*24)&lt;=16),(MD!$N$6),IF((L192*24)&gt;16,MD!$N$6))),IF(AND(F192="Call_out",(SUMIFS(O:O,F:F,F192,I:I,I192,B:B,B192)&lt;=24)),IF(AND((L192*24)&gt;0,(L192*24)&lt;=8),(L192*24)*MD!$P$4,IF(AND((L192*24)&gt;8,(L192*24)&lt;=16),(MD!$Q$4),IF((L192*24)&gt;16,MD!$Q$4)))))))</f>
        <v>0</v>
      </c>
      <c r="N192" s="62"/>
      <c r="O192" s="72">
        <f t="shared" si="5"/>
        <v>0</v>
      </c>
    </row>
    <row r="193" spans="1:15" x14ac:dyDescent="0.25">
      <c r="A193" s="62">
        <v>192</v>
      </c>
      <c r="B193" s="62"/>
      <c r="C193" s="68" t="str">
        <f>IF(ISNA(VLOOKUP($B193,CPY!$B:$G,2,FALSE))=TRUE," ",VLOOKUP($B193,CPY!$B:$G,2,FALSE))</f>
        <v> </v>
      </c>
      <c r="D193" s="50" t="str">
        <f>IF(ISNA(VLOOKUP($B193,CPY!$B:$G,3,FALSE))=TRUE," ",VLOOKUP($B193,CPY!$B:$G,3,FALSE))</f>
        <v> </v>
      </c>
      <c r="E193" s="65" t="str">
        <f>IF(ISNA(VLOOKUP($B193,CPY!$B:$G,4,FALSE))=TRUE," ",VLOOKUP($B193,CPY!$B:$G,4,FALSE))</f>
        <v> </v>
      </c>
      <c r="F193" s="62"/>
      <c r="G193" s="86"/>
      <c r="H193" s="86"/>
      <c r="I193" s="87"/>
      <c r="J193" s="88"/>
      <c r="K193" s="88"/>
      <c r="L193" s="95">
        <f t="shared" si="4"/>
        <v>0</v>
      </c>
      <c r="M193" s="96" t="b">
        <f>IF((ISNUMBER(L193)),IF(AND(F193="Workdays",(SUMIFS(O:O,F:F,F193,I:I,I193,B:B,B193)&lt;=24)),IF(AND((L193*24)&gt;0,(L193*24)&lt;=8),(L193*24)*MD!$M$5,IF(AND((L193*24)&gt;8,(L193*24)&lt;=16),(MD!$N$5),IF((L193*24)&gt;16,MD!$N$5))),IF(AND(F193="Non_workdays",(SUMIFS(O:O,F:F,F193,I:I,I193,B:B,B193)&lt;=24)),IF(AND((L193*24)&gt;0,(L193*24)&lt;=8),(L193*24)*MD!$M$6,IF(AND((L193*24)&gt;8,(L193*24)&lt;=16),(MD!$N$6),IF((L193*24)&gt;16,MD!$N$6))),IF(AND(F193="Call_out",(SUMIFS(O:O,F:F,F193,I:I,I193,B:B,B193)&lt;=24)),IF(AND((L193*24)&gt;0,(L193*24)&lt;=8),(L193*24)*MD!$P$4,IF(AND((L193*24)&gt;8,(L193*24)&lt;=16),(MD!$Q$4),IF((L193*24)&gt;16,MD!$Q$4)))))))</f>
        <v>0</v>
      </c>
      <c r="N193" s="62"/>
      <c r="O193" s="72">
        <f t="shared" si="5"/>
        <v>0</v>
      </c>
    </row>
    <row r="194" spans="1:15" x14ac:dyDescent="0.25">
      <c r="A194" s="62">
        <v>193</v>
      </c>
      <c r="B194" s="62"/>
      <c r="C194" s="68" t="str">
        <f>IF(ISNA(VLOOKUP($B194,CPY!$B:$G,2,FALSE))=TRUE," ",VLOOKUP($B194,CPY!$B:$G,2,FALSE))</f>
        <v> </v>
      </c>
      <c r="D194" s="50" t="str">
        <f>IF(ISNA(VLOOKUP($B194,CPY!$B:$G,3,FALSE))=TRUE," ",VLOOKUP($B194,CPY!$B:$G,3,FALSE))</f>
        <v> </v>
      </c>
      <c r="E194" s="65" t="str">
        <f>IF(ISNA(VLOOKUP($B194,CPY!$B:$G,4,FALSE))=TRUE," ",VLOOKUP($B194,CPY!$B:$G,4,FALSE))</f>
        <v> </v>
      </c>
      <c r="F194" s="62"/>
      <c r="G194" s="86"/>
      <c r="H194" s="86"/>
      <c r="I194" s="87"/>
      <c r="J194" s="88"/>
      <c r="K194" s="88"/>
      <c r="L194" s="95">
        <f t="shared" si="4"/>
        <v>0</v>
      </c>
      <c r="M194" s="96" t="b">
        <f>IF((ISNUMBER(L194)),IF(AND(F194="Workdays",(SUMIFS(O:O,F:F,F194,I:I,I194,B:B,B194)&lt;=24)),IF(AND((L194*24)&gt;0,(L194*24)&lt;=8),(L194*24)*MD!$M$5,IF(AND((L194*24)&gt;8,(L194*24)&lt;=16),(MD!$N$5),IF((L194*24)&gt;16,MD!$N$5))),IF(AND(F194="Non_workdays",(SUMIFS(O:O,F:F,F194,I:I,I194,B:B,B194)&lt;=24)),IF(AND((L194*24)&gt;0,(L194*24)&lt;=8),(L194*24)*MD!$M$6,IF(AND((L194*24)&gt;8,(L194*24)&lt;=16),(MD!$N$6),IF((L194*24)&gt;16,MD!$N$6))),IF(AND(F194="Call_out",(SUMIFS(O:O,F:F,F194,I:I,I194,B:B,B194)&lt;=24)),IF(AND((L194*24)&gt;0,(L194*24)&lt;=8),(L194*24)*MD!$P$4,IF(AND((L194*24)&gt;8,(L194*24)&lt;=16),(MD!$Q$4),IF((L194*24)&gt;16,MD!$Q$4)))))))</f>
        <v>0</v>
      </c>
      <c r="N194" s="62"/>
      <c r="O194" s="72">
        <f t="shared" si="5"/>
        <v>0</v>
      </c>
    </row>
    <row r="195" spans="1:15" x14ac:dyDescent="0.25">
      <c r="A195" s="62">
        <v>194</v>
      </c>
      <c r="B195" s="62"/>
      <c r="C195" s="68" t="str">
        <f>IF(ISNA(VLOOKUP($B195,CPY!$B:$G,2,FALSE))=TRUE," ",VLOOKUP($B195,CPY!$B:$G,2,FALSE))</f>
        <v> </v>
      </c>
      <c r="D195" s="50" t="str">
        <f>IF(ISNA(VLOOKUP($B195,CPY!$B:$G,3,FALSE))=TRUE," ",VLOOKUP($B195,CPY!$B:$G,3,FALSE))</f>
        <v> </v>
      </c>
      <c r="E195" s="65" t="str">
        <f>IF(ISNA(VLOOKUP($B195,CPY!$B:$G,4,FALSE))=TRUE," ",VLOOKUP($B195,CPY!$B:$G,4,FALSE))</f>
        <v> </v>
      </c>
      <c r="F195" s="62"/>
      <c r="G195" s="86"/>
      <c r="H195" s="86"/>
      <c r="I195" s="87"/>
      <c r="J195" s="88"/>
      <c r="K195" s="88"/>
      <c r="L195" s="95">
        <f t="shared" ref="L195:L258" si="6">IF($F195="Workdays",IF(NOT(ISBLANK($K195)),(IF($K195&lt;$J195,$K195+1,$K195)-$J195)),IF(OR($F195="Non_workdays",$F195="Call_out"),IF(NOT(ISBLANK($K195)),(IF($K195&lt;$J195,$K195+1,$K195)-$J195)),IF(AND(NOT(ISBLANK($F195)),NOT(ISBLANK($I195))),"Correct the On call slab")))</f>
        <v>0</v>
      </c>
      <c r="M195" s="96" t="b">
        <f>IF((ISNUMBER(L195)),IF(AND(F195="Workdays",(SUMIFS(O:O,F:F,F195,I:I,I195,B:B,B195)&lt;=24)),IF(AND((L195*24)&gt;0,(L195*24)&lt;=8),(L195*24)*MD!$M$5,IF(AND((L195*24)&gt;8,(L195*24)&lt;=16),(MD!$N$5),IF((L195*24)&gt;16,MD!$N$5))),IF(AND(F195="Non_workdays",(SUMIFS(O:O,F:F,F195,I:I,I195,B:B,B195)&lt;=24)),IF(AND((L195*24)&gt;0,(L195*24)&lt;=8),(L195*24)*MD!$M$6,IF(AND((L195*24)&gt;8,(L195*24)&lt;=16),(MD!$N$6),IF((L195*24)&gt;16,MD!$N$6))),IF(AND(F195="Call_out",(SUMIFS(O:O,F:F,F195,I:I,I195,B:B,B195)&lt;=24)),IF(AND((L195*24)&gt;0,(L195*24)&lt;=8),(L195*24)*MD!$P$4,IF(AND((L195*24)&gt;8,(L195*24)&lt;=16),(MD!$Q$4),IF((L195*24)&gt;16,MD!$Q$4)))))))</f>
        <v>0</v>
      </c>
      <c r="N195" s="62"/>
      <c r="O195" s="72">
        <f t="shared" ref="O195:O258" si="7">L195*24</f>
        <v>0</v>
      </c>
    </row>
    <row r="196" spans="1:15" x14ac:dyDescent="0.25">
      <c r="A196" s="62">
        <v>195</v>
      </c>
      <c r="B196" s="62"/>
      <c r="C196" s="68" t="str">
        <f>IF(ISNA(VLOOKUP($B196,CPY!$B:$G,2,FALSE))=TRUE," ",VLOOKUP($B196,CPY!$B:$G,2,FALSE))</f>
        <v> </v>
      </c>
      <c r="D196" s="50" t="str">
        <f>IF(ISNA(VLOOKUP($B196,CPY!$B:$G,3,FALSE))=TRUE," ",VLOOKUP($B196,CPY!$B:$G,3,FALSE))</f>
        <v> </v>
      </c>
      <c r="E196" s="65" t="str">
        <f>IF(ISNA(VLOOKUP($B196,CPY!$B:$G,4,FALSE))=TRUE," ",VLOOKUP($B196,CPY!$B:$G,4,FALSE))</f>
        <v> </v>
      </c>
      <c r="F196" s="62"/>
      <c r="G196" s="86"/>
      <c r="H196" s="86"/>
      <c r="I196" s="87"/>
      <c r="J196" s="88"/>
      <c r="K196" s="88"/>
      <c r="L196" s="95">
        <f t="shared" si="6"/>
        <v>0</v>
      </c>
      <c r="M196" s="96" t="b">
        <f>IF((ISNUMBER(L196)),IF(AND(F196="Workdays",(SUMIFS(O:O,F:F,F196,I:I,I196,B:B,B196)&lt;=24)),IF(AND((L196*24)&gt;0,(L196*24)&lt;=8),(L196*24)*MD!$M$5,IF(AND((L196*24)&gt;8,(L196*24)&lt;=16),(MD!$N$5),IF((L196*24)&gt;16,MD!$N$5))),IF(AND(F196="Non_workdays",(SUMIFS(O:O,F:F,F196,I:I,I196,B:B,B196)&lt;=24)),IF(AND((L196*24)&gt;0,(L196*24)&lt;=8),(L196*24)*MD!$M$6,IF(AND((L196*24)&gt;8,(L196*24)&lt;=16),(MD!$N$6),IF((L196*24)&gt;16,MD!$N$6))),IF(AND(F196="Call_out",(SUMIFS(O:O,F:F,F196,I:I,I196,B:B,B196)&lt;=24)),IF(AND((L196*24)&gt;0,(L196*24)&lt;=8),(L196*24)*MD!$P$4,IF(AND((L196*24)&gt;8,(L196*24)&lt;=16),(MD!$Q$4),IF((L196*24)&gt;16,MD!$Q$4)))))))</f>
        <v>0</v>
      </c>
      <c r="N196" s="62"/>
      <c r="O196" s="72">
        <f t="shared" si="7"/>
        <v>0</v>
      </c>
    </row>
    <row r="197" spans="1:15" x14ac:dyDescent="0.25">
      <c r="A197" s="62">
        <v>196</v>
      </c>
      <c r="B197" s="62"/>
      <c r="C197" s="68" t="str">
        <f>IF(ISNA(VLOOKUP($B197,CPY!$B:$G,2,FALSE))=TRUE," ",VLOOKUP($B197,CPY!$B:$G,2,FALSE))</f>
        <v> </v>
      </c>
      <c r="D197" s="50" t="str">
        <f>IF(ISNA(VLOOKUP($B197,CPY!$B:$G,3,FALSE))=TRUE," ",VLOOKUP($B197,CPY!$B:$G,3,FALSE))</f>
        <v> </v>
      </c>
      <c r="E197" s="65" t="str">
        <f>IF(ISNA(VLOOKUP($B197,CPY!$B:$G,4,FALSE))=TRUE," ",VLOOKUP($B197,CPY!$B:$G,4,FALSE))</f>
        <v> </v>
      </c>
      <c r="F197" s="62"/>
      <c r="G197" s="86"/>
      <c r="H197" s="86"/>
      <c r="I197" s="87"/>
      <c r="J197" s="88"/>
      <c r="K197" s="88"/>
      <c r="L197" s="95">
        <f t="shared" si="6"/>
        <v>0</v>
      </c>
      <c r="M197" s="96" t="b">
        <f>IF((ISNUMBER(L197)),IF(AND(F197="Workdays",(SUMIFS(O:O,F:F,F197,I:I,I197,B:B,B197)&lt;=24)),IF(AND((L197*24)&gt;0,(L197*24)&lt;=8),(L197*24)*MD!$M$5,IF(AND((L197*24)&gt;8,(L197*24)&lt;=16),(MD!$N$5),IF((L197*24)&gt;16,MD!$N$5))),IF(AND(F197="Non_workdays",(SUMIFS(O:O,F:F,F197,I:I,I197,B:B,B197)&lt;=24)),IF(AND((L197*24)&gt;0,(L197*24)&lt;=8),(L197*24)*MD!$M$6,IF(AND((L197*24)&gt;8,(L197*24)&lt;=16),(MD!$N$6),IF((L197*24)&gt;16,MD!$N$6))),IF(AND(F197="Call_out",(SUMIFS(O:O,F:F,F197,I:I,I197,B:B,B197)&lt;=24)),IF(AND((L197*24)&gt;0,(L197*24)&lt;=8),(L197*24)*MD!$P$4,IF(AND((L197*24)&gt;8,(L197*24)&lt;=16),(MD!$Q$4),IF((L197*24)&gt;16,MD!$Q$4)))))))</f>
        <v>0</v>
      </c>
      <c r="N197" s="62"/>
      <c r="O197" s="72">
        <f t="shared" si="7"/>
        <v>0</v>
      </c>
    </row>
    <row r="198" spans="1:15" x14ac:dyDescent="0.25">
      <c r="A198" s="62">
        <v>197</v>
      </c>
      <c r="B198" s="62"/>
      <c r="C198" s="68" t="str">
        <f>IF(ISNA(VLOOKUP($B198,CPY!$B:$G,2,FALSE))=TRUE," ",VLOOKUP($B198,CPY!$B:$G,2,FALSE))</f>
        <v> </v>
      </c>
      <c r="D198" s="50" t="str">
        <f>IF(ISNA(VLOOKUP($B198,CPY!$B:$G,3,FALSE))=TRUE," ",VLOOKUP($B198,CPY!$B:$G,3,FALSE))</f>
        <v> </v>
      </c>
      <c r="E198" s="65" t="str">
        <f>IF(ISNA(VLOOKUP($B198,CPY!$B:$G,4,FALSE))=TRUE," ",VLOOKUP($B198,CPY!$B:$G,4,FALSE))</f>
        <v> </v>
      </c>
      <c r="F198" s="62"/>
      <c r="G198" s="86"/>
      <c r="H198" s="86"/>
      <c r="I198" s="87"/>
      <c r="J198" s="88"/>
      <c r="K198" s="88"/>
      <c r="L198" s="95">
        <f t="shared" si="6"/>
        <v>0</v>
      </c>
      <c r="M198" s="96" t="b">
        <f>IF((ISNUMBER(L198)),IF(AND(F198="Workdays",(SUMIFS(O:O,F:F,F198,I:I,I198,B:B,B198)&lt;=24)),IF(AND((L198*24)&gt;0,(L198*24)&lt;=8),(L198*24)*MD!$M$5,IF(AND((L198*24)&gt;8,(L198*24)&lt;=16),(MD!$N$5),IF((L198*24)&gt;16,MD!$N$5))),IF(AND(F198="Non_workdays",(SUMIFS(O:O,F:F,F198,I:I,I198,B:B,B198)&lt;=24)),IF(AND((L198*24)&gt;0,(L198*24)&lt;=8),(L198*24)*MD!$M$6,IF(AND((L198*24)&gt;8,(L198*24)&lt;=16),(MD!$N$6),IF((L198*24)&gt;16,MD!$N$6))),IF(AND(F198="Call_out",(SUMIFS(O:O,F:F,F198,I:I,I198,B:B,B198)&lt;=24)),IF(AND((L198*24)&gt;0,(L198*24)&lt;=8),(L198*24)*MD!$P$4,IF(AND((L198*24)&gt;8,(L198*24)&lt;=16),(MD!$Q$4),IF((L198*24)&gt;16,MD!$Q$4)))))))</f>
        <v>0</v>
      </c>
      <c r="N198" s="62"/>
      <c r="O198" s="72">
        <f t="shared" si="7"/>
        <v>0</v>
      </c>
    </row>
    <row r="199" spans="1:15" x14ac:dyDescent="0.25">
      <c r="A199" s="62">
        <v>198</v>
      </c>
      <c r="B199" s="62"/>
      <c r="C199" s="68" t="str">
        <f>IF(ISNA(VLOOKUP($B199,CPY!$B:$G,2,FALSE))=TRUE," ",VLOOKUP($B199,CPY!$B:$G,2,FALSE))</f>
        <v> </v>
      </c>
      <c r="D199" s="50" t="str">
        <f>IF(ISNA(VLOOKUP($B199,CPY!$B:$G,3,FALSE))=TRUE," ",VLOOKUP($B199,CPY!$B:$G,3,FALSE))</f>
        <v> </v>
      </c>
      <c r="E199" s="65" t="str">
        <f>IF(ISNA(VLOOKUP($B199,CPY!$B:$G,4,FALSE))=TRUE," ",VLOOKUP($B199,CPY!$B:$G,4,FALSE))</f>
        <v> </v>
      </c>
      <c r="F199" s="62"/>
      <c r="G199" s="86"/>
      <c r="H199" s="86"/>
      <c r="I199" s="87"/>
      <c r="J199" s="88"/>
      <c r="K199" s="88"/>
      <c r="L199" s="95">
        <f t="shared" si="6"/>
        <v>0</v>
      </c>
      <c r="M199" s="96" t="b">
        <f>IF((ISNUMBER(L199)),IF(AND(F199="Workdays",(SUMIFS(O:O,F:F,F199,I:I,I199,B:B,B199)&lt;=24)),IF(AND((L199*24)&gt;0,(L199*24)&lt;=8),(L199*24)*MD!$M$5,IF(AND((L199*24)&gt;8,(L199*24)&lt;=16),(MD!$N$5),IF((L199*24)&gt;16,MD!$N$5))),IF(AND(F199="Non_workdays",(SUMIFS(O:O,F:F,F199,I:I,I199,B:B,B199)&lt;=24)),IF(AND((L199*24)&gt;0,(L199*24)&lt;=8),(L199*24)*MD!$M$6,IF(AND((L199*24)&gt;8,(L199*24)&lt;=16),(MD!$N$6),IF((L199*24)&gt;16,MD!$N$6))),IF(AND(F199="Call_out",(SUMIFS(O:O,F:F,F199,I:I,I199,B:B,B199)&lt;=24)),IF(AND((L199*24)&gt;0,(L199*24)&lt;=8),(L199*24)*MD!$P$4,IF(AND((L199*24)&gt;8,(L199*24)&lt;=16),(MD!$Q$4),IF((L199*24)&gt;16,MD!$Q$4)))))))</f>
        <v>0</v>
      </c>
      <c r="N199" s="62"/>
      <c r="O199" s="72">
        <f t="shared" si="7"/>
        <v>0</v>
      </c>
    </row>
    <row r="200" spans="1:15" x14ac:dyDescent="0.25">
      <c r="A200" s="62">
        <v>199</v>
      </c>
      <c r="B200" s="62"/>
      <c r="C200" s="68" t="str">
        <f>IF(ISNA(VLOOKUP($B200,CPY!$B:$G,2,FALSE))=TRUE," ",VLOOKUP($B200,CPY!$B:$G,2,FALSE))</f>
        <v> </v>
      </c>
      <c r="D200" s="50" t="str">
        <f>IF(ISNA(VLOOKUP($B200,CPY!$B:$G,3,FALSE))=TRUE," ",VLOOKUP($B200,CPY!$B:$G,3,FALSE))</f>
        <v> </v>
      </c>
      <c r="E200" s="65" t="str">
        <f>IF(ISNA(VLOOKUP($B200,CPY!$B:$G,4,FALSE))=TRUE," ",VLOOKUP($B200,CPY!$B:$G,4,FALSE))</f>
        <v> </v>
      </c>
      <c r="F200" s="62"/>
      <c r="G200" s="86"/>
      <c r="H200" s="86"/>
      <c r="I200" s="87"/>
      <c r="J200" s="88"/>
      <c r="K200" s="88"/>
      <c r="L200" s="95">
        <f t="shared" si="6"/>
        <v>0</v>
      </c>
      <c r="M200" s="96" t="b">
        <f>IF((ISNUMBER(L200)),IF(AND(F200="Workdays",(SUMIFS(O:O,F:F,F200,I:I,I200,B:B,B200)&lt;=24)),IF(AND((L200*24)&gt;0,(L200*24)&lt;=8),(L200*24)*MD!$M$5,IF(AND((L200*24)&gt;8,(L200*24)&lt;=16),(MD!$N$5),IF((L200*24)&gt;16,MD!$N$5))),IF(AND(F200="Non_workdays",(SUMIFS(O:O,F:F,F200,I:I,I200,B:B,B200)&lt;=24)),IF(AND((L200*24)&gt;0,(L200*24)&lt;=8),(L200*24)*MD!$M$6,IF(AND((L200*24)&gt;8,(L200*24)&lt;=16),(MD!$N$6),IF((L200*24)&gt;16,MD!$N$6))),IF(AND(F200="Call_out",(SUMIFS(O:O,F:F,F200,I:I,I200,B:B,B200)&lt;=24)),IF(AND((L200*24)&gt;0,(L200*24)&lt;=8),(L200*24)*MD!$P$4,IF(AND((L200*24)&gt;8,(L200*24)&lt;=16),(MD!$Q$4),IF((L200*24)&gt;16,MD!$Q$4)))))))</f>
        <v>0</v>
      </c>
      <c r="N200" s="62"/>
      <c r="O200" s="72">
        <f t="shared" si="7"/>
        <v>0</v>
      </c>
    </row>
    <row r="201" spans="1:15" x14ac:dyDescent="0.25">
      <c r="A201" s="62">
        <v>200</v>
      </c>
      <c r="B201" s="62"/>
      <c r="C201" s="68" t="str">
        <f>IF(ISNA(VLOOKUP($B201,CPY!$B:$G,2,FALSE))=TRUE," ",VLOOKUP($B201,CPY!$B:$G,2,FALSE))</f>
        <v> </v>
      </c>
      <c r="D201" s="50" t="str">
        <f>IF(ISNA(VLOOKUP($B201,CPY!$B:$G,3,FALSE))=TRUE," ",VLOOKUP($B201,CPY!$B:$G,3,FALSE))</f>
        <v> </v>
      </c>
      <c r="E201" s="65" t="str">
        <f>IF(ISNA(VLOOKUP($B201,CPY!$B:$G,4,FALSE))=TRUE," ",VLOOKUP($B201,CPY!$B:$G,4,FALSE))</f>
        <v> </v>
      </c>
      <c r="F201" s="62"/>
      <c r="G201" s="86"/>
      <c r="H201" s="86"/>
      <c r="I201" s="87"/>
      <c r="J201" s="88"/>
      <c r="K201" s="88"/>
      <c r="L201" s="95">
        <f t="shared" si="6"/>
        <v>0</v>
      </c>
      <c r="M201" s="96" t="b">
        <f>IF((ISNUMBER(L201)),IF(AND(F201="Workdays",(SUMIFS(O:O,F:F,F201,I:I,I201,B:B,B201)&lt;=24)),IF(AND((L201*24)&gt;0,(L201*24)&lt;=8),(L201*24)*MD!$M$5,IF(AND((L201*24)&gt;8,(L201*24)&lt;=16),(MD!$N$5),IF((L201*24)&gt;16,MD!$N$5))),IF(AND(F201="Non_workdays",(SUMIFS(O:O,F:F,F201,I:I,I201,B:B,B201)&lt;=24)),IF(AND((L201*24)&gt;0,(L201*24)&lt;=8),(L201*24)*MD!$M$6,IF(AND((L201*24)&gt;8,(L201*24)&lt;=16),(MD!$N$6),IF((L201*24)&gt;16,MD!$N$6))),IF(AND(F201="Call_out",(SUMIFS(O:O,F:F,F201,I:I,I201,B:B,B201)&lt;=24)),IF(AND((L201*24)&gt;0,(L201*24)&lt;=8),(L201*24)*MD!$P$4,IF(AND((L201*24)&gt;8,(L201*24)&lt;=16),(MD!$Q$4),IF((L201*24)&gt;16,MD!$Q$4)))))))</f>
        <v>0</v>
      </c>
      <c r="N201" s="62"/>
      <c r="O201" s="72">
        <f t="shared" si="7"/>
        <v>0</v>
      </c>
    </row>
    <row r="202" spans="1:15" x14ac:dyDescent="0.25">
      <c r="A202" s="62">
        <v>201</v>
      </c>
      <c r="B202" s="62"/>
      <c r="C202" s="68" t="str">
        <f>IF(ISNA(VLOOKUP($B202,CPY!$B:$G,2,FALSE))=TRUE," ",VLOOKUP($B202,CPY!$B:$G,2,FALSE))</f>
        <v> </v>
      </c>
      <c r="D202" s="50" t="str">
        <f>IF(ISNA(VLOOKUP($B202,CPY!$B:$G,3,FALSE))=TRUE," ",VLOOKUP($B202,CPY!$B:$G,3,FALSE))</f>
        <v> </v>
      </c>
      <c r="E202" s="65" t="str">
        <f>IF(ISNA(VLOOKUP($B202,CPY!$B:$G,4,FALSE))=TRUE," ",VLOOKUP($B202,CPY!$B:$G,4,FALSE))</f>
        <v> </v>
      </c>
      <c r="F202" s="62"/>
      <c r="G202" s="86"/>
      <c r="H202" s="86"/>
      <c r="I202" s="87"/>
      <c r="J202" s="88"/>
      <c r="K202" s="88"/>
      <c r="L202" s="95">
        <f t="shared" si="6"/>
        <v>0</v>
      </c>
      <c r="M202" s="96" t="b">
        <f>IF((ISNUMBER(L202)),IF(AND(F202="Workdays",(SUMIFS(O:O,F:F,F202,I:I,I202,B:B,B202)&lt;=24)),IF(AND((L202*24)&gt;0,(L202*24)&lt;=8),(L202*24)*MD!$M$5,IF(AND((L202*24)&gt;8,(L202*24)&lt;=16),(MD!$N$5),IF((L202*24)&gt;16,MD!$N$5))),IF(AND(F202="Non_workdays",(SUMIFS(O:O,F:F,F202,I:I,I202,B:B,B202)&lt;=24)),IF(AND((L202*24)&gt;0,(L202*24)&lt;=8),(L202*24)*MD!$M$6,IF(AND((L202*24)&gt;8,(L202*24)&lt;=16),(MD!$N$6),IF((L202*24)&gt;16,MD!$N$6))),IF(AND(F202="Call_out",(SUMIFS(O:O,F:F,F202,I:I,I202,B:B,B202)&lt;=24)),IF(AND((L202*24)&gt;0,(L202*24)&lt;=8),(L202*24)*MD!$P$4,IF(AND((L202*24)&gt;8,(L202*24)&lt;=16),(MD!$Q$4),IF((L202*24)&gt;16,MD!$Q$4)))))))</f>
        <v>0</v>
      </c>
      <c r="N202" s="62"/>
      <c r="O202" s="72">
        <f t="shared" si="7"/>
        <v>0</v>
      </c>
    </row>
    <row r="203" spans="1:15" x14ac:dyDescent="0.25">
      <c r="A203" s="62">
        <v>202</v>
      </c>
      <c r="B203" s="62"/>
      <c r="C203" s="68" t="str">
        <f>IF(ISNA(VLOOKUP($B203,CPY!$B:$G,2,FALSE))=TRUE," ",VLOOKUP($B203,CPY!$B:$G,2,FALSE))</f>
        <v> </v>
      </c>
      <c r="D203" s="50" t="str">
        <f>IF(ISNA(VLOOKUP($B203,CPY!$B:$G,3,FALSE))=TRUE," ",VLOOKUP($B203,CPY!$B:$G,3,FALSE))</f>
        <v> </v>
      </c>
      <c r="E203" s="65" t="str">
        <f>IF(ISNA(VLOOKUP($B203,CPY!$B:$G,4,FALSE))=TRUE," ",VLOOKUP($B203,CPY!$B:$G,4,FALSE))</f>
        <v> </v>
      </c>
      <c r="F203" s="62"/>
      <c r="G203" s="86"/>
      <c r="H203" s="86"/>
      <c r="I203" s="87"/>
      <c r="J203" s="88"/>
      <c r="K203" s="88"/>
      <c r="L203" s="95">
        <f t="shared" si="6"/>
        <v>0</v>
      </c>
      <c r="M203" s="96" t="b">
        <f>IF((ISNUMBER(L203)),IF(AND(F203="Workdays",(SUMIFS(O:O,F:F,F203,I:I,I203,B:B,B203)&lt;=24)),IF(AND((L203*24)&gt;0,(L203*24)&lt;=8),(L203*24)*MD!$M$5,IF(AND((L203*24)&gt;8,(L203*24)&lt;=16),(MD!$N$5),IF((L203*24)&gt;16,MD!$N$5))),IF(AND(F203="Non_workdays",(SUMIFS(O:O,F:F,F203,I:I,I203,B:B,B203)&lt;=24)),IF(AND((L203*24)&gt;0,(L203*24)&lt;=8),(L203*24)*MD!$M$6,IF(AND((L203*24)&gt;8,(L203*24)&lt;=16),(MD!$N$6),IF((L203*24)&gt;16,MD!$N$6))),IF(AND(F203="Call_out",(SUMIFS(O:O,F:F,F203,I:I,I203,B:B,B203)&lt;=24)),IF(AND((L203*24)&gt;0,(L203*24)&lt;=8),(L203*24)*MD!$P$4,IF(AND((L203*24)&gt;8,(L203*24)&lt;=16),(MD!$Q$4),IF((L203*24)&gt;16,MD!$Q$4)))))))</f>
        <v>0</v>
      </c>
      <c r="N203" s="62"/>
      <c r="O203" s="72">
        <f t="shared" si="7"/>
        <v>0</v>
      </c>
    </row>
    <row r="204" spans="1:15" x14ac:dyDescent="0.25">
      <c r="A204" s="62">
        <v>203</v>
      </c>
      <c r="B204" s="62"/>
      <c r="C204" s="68" t="str">
        <f>IF(ISNA(VLOOKUP($B204,CPY!$B:$G,2,FALSE))=TRUE," ",VLOOKUP($B204,CPY!$B:$G,2,FALSE))</f>
        <v> </v>
      </c>
      <c r="D204" s="50" t="str">
        <f>IF(ISNA(VLOOKUP($B204,CPY!$B:$G,3,FALSE))=TRUE," ",VLOOKUP($B204,CPY!$B:$G,3,FALSE))</f>
        <v> </v>
      </c>
      <c r="E204" s="65" t="str">
        <f>IF(ISNA(VLOOKUP($B204,CPY!$B:$G,4,FALSE))=TRUE," ",VLOOKUP($B204,CPY!$B:$G,4,FALSE))</f>
        <v> </v>
      </c>
      <c r="F204" s="62"/>
      <c r="G204" s="86"/>
      <c r="H204" s="86"/>
      <c r="I204" s="87"/>
      <c r="J204" s="88"/>
      <c r="K204" s="88"/>
      <c r="L204" s="95">
        <f t="shared" si="6"/>
        <v>0</v>
      </c>
      <c r="M204" s="96" t="b">
        <f>IF((ISNUMBER(L204)),IF(AND(F204="Workdays",(SUMIFS(O:O,F:F,F204,I:I,I204,B:B,B204)&lt;=24)),IF(AND((L204*24)&gt;0,(L204*24)&lt;=8),(L204*24)*MD!$M$5,IF(AND((L204*24)&gt;8,(L204*24)&lt;=16),(MD!$N$5),IF((L204*24)&gt;16,MD!$N$5))),IF(AND(F204="Non_workdays",(SUMIFS(O:O,F:F,F204,I:I,I204,B:B,B204)&lt;=24)),IF(AND((L204*24)&gt;0,(L204*24)&lt;=8),(L204*24)*MD!$M$6,IF(AND((L204*24)&gt;8,(L204*24)&lt;=16),(MD!$N$6),IF((L204*24)&gt;16,MD!$N$6))),IF(AND(F204="Call_out",(SUMIFS(O:O,F:F,F204,I:I,I204,B:B,B204)&lt;=24)),IF(AND((L204*24)&gt;0,(L204*24)&lt;=8),(L204*24)*MD!$P$4,IF(AND((L204*24)&gt;8,(L204*24)&lt;=16),(MD!$Q$4),IF((L204*24)&gt;16,MD!$Q$4)))))))</f>
        <v>0</v>
      </c>
      <c r="N204" s="62"/>
      <c r="O204" s="72">
        <f t="shared" si="7"/>
        <v>0</v>
      </c>
    </row>
    <row r="205" spans="1:15" x14ac:dyDescent="0.25">
      <c r="A205" s="62">
        <v>204</v>
      </c>
      <c r="B205" s="62"/>
      <c r="C205" s="68" t="str">
        <f>IF(ISNA(VLOOKUP($B205,CPY!$B:$G,2,FALSE))=TRUE," ",VLOOKUP($B205,CPY!$B:$G,2,FALSE))</f>
        <v> </v>
      </c>
      <c r="D205" s="50" t="str">
        <f>IF(ISNA(VLOOKUP($B205,CPY!$B:$G,3,FALSE))=TRUE," ",VLOOKUP($B205,CPY!$B:$G,3,FALSE))</f>
        <v> </v>
      </c>
      <c r="E205" s="65" t="str">
        <f>IF(ISNA(VLOOKUP($B205,CPY!$B:$G,4,FALSE))=TRUE," ",VLOOKUP($B205,CPY!$B:$G,4,FALSE))</f>
        <v> </v>
      </c>
      <c r="F205" s="62"/>
      <c r="G205" s="86"/>
      <c r="H205" s="86"/>
      <c r="I205" s="87"/>
      <c r="J205" s="88"/>
      <c r="K205" s="88"/>
      <c r="L205" s="95">
        <f t="shared" si="6"/>
        <v>0</v>
      </c>
      <c r="M205" s="96" t="b">
        <f>IF((ISNUMBER(L205)),IF(AND(F205="Workdays",(SUMIFS(O:O,F:F,F205,I:I,I205,B:B,B205)&lt;=24)),IF(AND((L205*24)&gt;0,(L205*24)&lt;=8),(L205*24)*MD!$M$5,IF(AND((L205*24)&gt;8,(L205*24)&lt;=16),(MD!$N$5),IF((L205*24)&gt;16,MD!$N$5))),IF(AND(F205="Non_workdays",(SUMIFS(O:O,F:F,F205,I:I,I205,B:B,B205)&lt;=24)),IF(AND((L205*24)&gt;0,(L205*24)&lt;=8),(L205*24)*MD!$M$6,IF(AND((L205*24)&gt;8,(L205*24)&lt;=16),(MD!$N$6),IF((L205*24)&gt;16,MD!$N$6))),IF(AND(F205="Call_out",(SUMIFS(O:O,F:F,F205,I:I,I205,B:B,B205)&lt;=24)),IF(AND((L205*24)&gt;0,(L205*24)&lt;=8),(L205*24)*MD!$P$4,IF(AND((L205*24)&gt;8,(L205*24)&lt;=16),(MD!$Q$4),IF((L205*24)&gt;16,MD!$Q$4)))))))</f>
        <v>0</v>
      </c>
      <c r="N205" s="62"/>
      <c r="O205" s="72">
        <f t="shared" si="7"/>
        <v>0</v>
      </c>
    </row>
    <row r="206" spans="1:15" x14ac:dyDescent="0.25">
      <c r="A206" s="62">
        <v>205</v>
      </c>
      <c r="B206" s="62"/>
      <c r="C206" s="68" t="str">
        <f>IF(ISNA(VLOOKUP($B206,CPY!$B:$G,2,FALSE))=TRUE," ",VLOOKUP($B206,CPY!$B:$G,2,FALSE))</f>
        <v> </v>
      </c>
      <c r="D206" s="50" t="str">
        <f>IF(ISNA(VLOOKUP($B206,CPY!$B:$G,3,FALSE))=TRUE," ",VLOOKUP($B206,CPY!$B:$G,3,FALSE))</f>
        <v> </v>
      </c>
      <c r="E206" s="65" t="str">
        <f>IF(ISNA(VLOOKUP($B206,CPY!$B:$G,4,FALSE))=TRUE," ",VLOOKUP($B206,CPY!$B:$G,4,FALSE))</f>
        <v> </v>
      </c>
      <c r="F206" s="62"/>
      <c r="G206" s="86"/>
      <c r="H206" s="86"/>
      <c r="I206" s="87"/>
      <c r="J206" s="88"/>
      <c r="K206" s="88"/>
      <c r="L206" s="95">
        <f t="shared" si="6"/>
        <v>0</v>
      </c>
      <c r="M206" s="96" t="b">
        <f>IF((ISNUMBER(L206)),IF(AND(F206="Workdays",(SUMIFS(O:O,F:F,F206,I:I,I206,B:B,B206)&lt;=24)),IF(AND((L206*24)&gt;0,(L206*24)&lt;=8),(L206*24)*MD!$M$5,IF(AND((L206*24)&gt;8,(L206*24)&lt;=16),(MD!$N$5),IF((L206*24)&gt;16,MD!$N$5))),IF(AND(F206="Non_workdays",(SUMIFS(O:O,F:F,F206,I:I,I206,B:B,B206)&lt;=24)),IF(AND((L206*24)&gt;0,(L206*24)&lt;=8),(L206*24)*MD!$M$6,IF(AND((L206*24)&gt;8,(L206*24)&lt;=16),(MD!$N$6),IF((L206*24)&gt;16,MD!$N$6))),IF(AND(F206="Call_out",(SUMIFS(O:O,F:F,F206,I:I,I206,B:B,B206)&lt;=24)),IF(AND((L206*24)&gt;0,(L206*24)&lt;=8),(L206*24)*MD!$P$4,IF(AND((L206*24)&gt;8,(L206*24)&lt;=16),(MD!$Q$4),IF((L206*24)&gt;16,MD!$Q$4)))))))</f>
        <v>0</v>
      </c>
      <c r="N206" s="62"/>
      <c r="O206" s="72">
        <f t="shared" si="7"/>
        <v>0</v>
      </c>
    </row>
    <row r="207" spans="1:15" x14ac:dyDescent="0.25">
      <c r="A207" s="62">
        <v>206</v>
      </c>
      <c r="B207" s="62"/>
      <c r="C207" s="68" t="str">
        <f>IF(ISNA(VLOOKUP($B207,CPY!$B:$G,2,FALSE))=TRUE," ",VLOOKUP($B207,CPY!$B:$G,2,FALSE))</f>
        <v> </v>
      </c>
      <c r="D207" s="50" t="str">
        <f>IF(ISNA(VLOOKUP($B207,CPY!$B:$G,3,FALSE))=TRUE," ",VLOOKUP($B207,CPY!$B:$G,3,FALSE))</f>
        <v> </v>
      </c>
      <c r="E207" s="65" t="str">
        <f>IF(ISNA(VLOOKUP($B207,CPY!$B:$G,4,FALSE))=TRUE," ",VLOOKUP($B207,CPY!$B:$G,4,FALSE))</f>
        <v> </v>
      </c>
      <c r="F207" s="62"/>
      <c r="G207" s="86"/>
      <c r="H207" s="86"/>
      <c r="I207" s="87"/>
      <c r="J207" s="88"/>
      <c r="K207" s="88"/>
      <c r="L207" s="95">
        <f t="shared" si="6"/>
        <v>0</v>
      </c>
      <c r="M207" s="96" t="b">
        <f>IF((ISNUMBER(L207)),IF(AND(F207="Workdays",(SUMIFS(O:O,F:F,F207,I:I,I207,B:B,B207)&lt;=24)),IF(AND((L207*24)&gt;0,(L207*24)&lt;=8),(L207*24)*MD!$M$5,IF(AND((L207*24)&gt;8,(L207*24)&lt;=16),(MD!$N$5),IF((L207*24)&gt;16,MD!$N$5))),IF(AND(F207="Non_workdays",(SUMIFS(O:O,F:F,F207,I:I,I207,B:B,B207)&lt;=24)),IF(AND((L207*24)&gt;0,(L207*24)&lt;=8),(L207*24)*MD!$M$6,IF(AND((L207*24)&gt;8,(L207*24)&lt;=16),(MD!$N$6),IF((L207*24)&gt;16,MD!$N$6))),IF(AND(F207="Call_out",(SUMIFS(O:O,F:F,F207,I:I,I207,B:B,B207)&lt;=24)),IF(AND((L207*24)&gt;0,(L207*24)&lt;=8),(L207*24)*MD!$P$4,IF(AND((L207*24)&gt;8,(L207*24)&lt;=16),(MD!$Q$4),IF((L207*24)&gt;16,MD!$Q$4)))))))</f>
        <v>0</v>
      </c>
      <c r="N207" s="62"/>
      <c r="O207" s="72">
        <f t="shared" si="7"/>
        <v>0</v>
      </c>
    </row>
    <row r="208" spans="1:15" x14ac:dyDescent="0.25">
      <c r="A208" s="62">
        <v>207</v>
      </c>
      <c r="B208" s="62"/>
      <c r="C208" s="68" t="str">
        <f>IF(ISNA(VLOOKUP($B208,CPY!$B:$G,2,FALSE))=TRUE," ",VLOOKUP($B208,CPY!$B:$G,2,FALSE))</f>
        <v> </v>
      </c>
      <c r="D208" s="50" t="str">
        <f>IF(ISNA(VLOOKUP($B208,CPY!$B:$G,3,FALSE))=TRUE," ",VLOOKUP($B208,CPY!$B:$G,3,FALSE))</f>
        <v> </v>
      </c>
      <c r="E208" s="65" t="str">
        <f>IF(ISNA(VLOOKUP($B208,CPY!$B:$G,4,FALSE))=TRUE," ",VLOOKUP($B208,CPY!$B:$G,4,FALSE))</f>
        <v> </v>
      </c>
      <c r="F208" s="62"/>
      <c r="G208" s="86"/>
      <c r="H208" s="86"/>
      <c r="I208" s="87"/>
      <c r="J208" s="88"/>
      <c r="K208" s="88"/>
      <c r="L208" s="95">
        <f t="shared" si="6"/>
        <v>0</v>
      </c>
      <c r="M208" s="96" t="b">
        <f>IF((ISNUMBER(L208)),IF(AND(F208="Workdays",(SUMIFS(O:O,F:F,F208,I:I,I208,B:B,B208)&lt;=24)),IF(AND((L208*24)&gt;0,(L208*24)&lt;=8),(L208*24)*MD!$M$5,IF(AND((L208*24)&gt;8,(L208*24)&lt;=16),(MD!$N$5),IF((L208*24)&gt;16,MD!$N$5))),IF(AND(F208="Non_workdays",(SUMIFS(O:O,F:F,F208,I:I,I208,B:B,B208)&lt;=24)),IF(AND((L208*24)&gt;0,(L208*24)&lt;=8),(L208*24)*MD!$M$6,IF(AND((L208*24)&gt;8,(L208*24)&lt;=16),(MD!$N$6),IF((L208*24)&gt;16,MD!$N$6))),IF(AND(F208="Call_out",(SUMIFS(O:O,F:F,F208,I:I,I208,B:B,B208)&lt;=24)),IF(AND((L208*24)&gt;0,(L208*24)&lt;=8),(L208*24)*MD!$P$4,IF(AND((L208*24)&gt;8,(L208*24)&lt;=16),(MD!$Q$4),IF((L208*24)&gt;16,MD!$Q$4)))))))</f>
        <v>0</v>
      </c>
      <c r="N208" s="62"/>
      <c r="O208" s="72">
        <f t="shared" si="7"/>
        <v>0</v>
      </c>
    </row>
    <row r="209" spans="1:15" x14ac:dyDescent="0.25">
      <c r="A209" s="62">
        <v>208</v>
      </c>
      <c r="B209" s="62"/>
      <c r="C209" s="68" t="str">
        <f>IF(ISNA(VLOOKUP($B209,CPY!$B:$G,2,FALSE))=TRUE," ",VLOOKUP($B209,CPY!$B:$G,2,FALSE))</f>
        <v> </v>
      </c>
      <c r="D209" s="50" t="str">
        <f>IF(ISNA(VLOOKUP($B209,CPY!$B:$G,3,FALSE))=TRUE," ",VLOOKUP($B209,CPY!$B:$G,3,FALSE))</f>
        <v> </v>
      </c>
      <c r="E209" s="65" t="str">
        <f>IF(ISNA(VLOOKUP($B209,CPY!$B:$G,4,FALSE))=TRUE," ",VLOOKUP($B209,CPY!$B:$G,4,FALSE))</f>
        <v> </v>
      </c>
      <c r="F209" s="62"/>
      <c r="G209" s="86"/>
      <c r="H209" s="86"/>
      <c r="I209" s="87"/>
      <c r="J209" s="88"/>
      <c r="K209" s="88"/>
      <c r="L209" s="95">
        <f t="shared" si="6"/>
        <v>0</v>
      </c>
      <c r="M209" s="96" t="b">
        <f>IF((ISNUMBER(L209)),IF(AND(F209="Workdays",(SUMIFS(O:O,F:F,F209,I:I,I209,B:B,B209)&lt;=24)),IF(AND((L209*24)&gt;0,(L209*24)&lt;=8),(L209*24)*MD!$M$5,IF(AND((L209*24)&gt;8,(L209*24)&lt;=16),(MD!$N$5),IF((L209*24)&gt;16,MD!$N$5))),IF(AND(F209="Non_workdays",(SUMIFS(O:O,F:F,F209,I:I,I209,B:B,B209)&lt;=24)),IF(AND((L209*24)&gt;0,(L209*24)&lt;=8),(L209*24)*MD!$M$6,IF(AND((L209*24)&gt;8,(L209*24)&lt;=16),(MD!$N$6),IF((L209*24)&gt;16,MD!$N$6))),IF(AND(F209="Call_out",(SUMIFS(O:O,F:F,F209,I:I,I209,B:B,B209)&lt;=24)),IF(AND((L209*24)&gt;0,(L209*24)&lt;=8),(L209*24)*MD!$P$4,IF(AND((L209*24)&gt;8,(L209*24)&lt;=16),(MD!$Q$4),IF((L209*24)&gt;16,MD!$Q$4)))))))</f>
        <v>0</v>
      </c>
      <c r="N209" s="62"/>
      <c r="O209" s="72">
        <f t="shared" si="7"/>
        <v>0</v>
      </c>
    </row>
    <row r="210" spans="1:15" x14ac:dyDescent="0.25">
      <c r="A210" s="62">
        <v>209</v>
      </c>
      <c r="B210" s="62"/>
      <c r="C210" s="68" t="str">
        <f>IF(ISNA(VLOOKUP($B210,CPY!$B:$G,2,FALSE))=TRUE," ",VLOOKUP($B210,CPY!$B:$G,2,FALSE))</f>
        <v> </v>
      </c>
      <c r="D210" s="50" t="str">
        <f>IF(ISNA(VLOOKUP($B210,CPY!$B:$G,3,FALSE))=TRUE," ",VLOOKUP($B210,CPY!$B:$G,3,FALSE))</f>
        <v> </v>
      </c>
      <c r="E210" s="65" t="str">
        <f>IF(ISNA(VLOOKUP($B210,CPY!$B:$G,4,FALSE))=TRUE," ",VLOOKUP($B210,CPY!$B:$G,4,FALSE))</f>
        <v> </v>
      </c>
      <c r="F210" s="62"/>
      <c r="G210" s="86"/>
      <c r="H210" s="86"/>
      <c r="I210" s="87"/>
      <c r="J210" s="88"/>
      <c r="K210" s="88"/>
      <c r="L210" s="95">
        <f t="shared" si="6"/>
        <v>0</v>
      </c>
      <c r="M210" s="96" t="b">
        <f>IF((ISNUMBER(L210)),IF(AND(F210="Workdays",(SUMIFS(O:O,F:F,F210,I:I,I210,B:B,B210)&lt;=24)),IF(AND((L210*24)&gt;0,(L210*24)&lt;=8),(L210*24)*MD!$M$5,IF(AND((L210*24)&gt;8,(L210*24)&lt;=16),(MD!$N$5),IF((L210*24)&gt;16,MD!$N$5))),IF(AND(F210="Non_workdays",(SUMIFS(O:O,F:F,F210,I:I,I210,B:B,B210)&lt;=24)),IF(AND((L210*24)&gt;0,(L210*24)&lt;=8),(L210*24)*MD!$M$6,IF(AND((L210*24)&gt;8,(L210*24)&lt;=16),(MD!$N$6),IF((L210*24)&gt;16,MD!$N$6))),IF(AND(F210="Call_out",(SUMIFS(O:O,F:F,F210,I:I,I210,B:B,B210)&lt;=24)),IF(AND((L210*24)&gt;0,(L210*24)&lt;=8),(L210*24)*MD!$P$4,IF(AND((L210*24)&gt;8,(L210*24)&lt;=16),(MD!$Q$4),IF((L210*24)&gt;16,MD!$Q$4)))))))</f>
        <v>0</v>
      </c>
      <c r="N210" s="62"/>
      <c r="O210" s="72">
        <f t="shared" si="7"/>
        <v>0</v>
      </c>
    </row>
    <row r="211" spans="1:15" x14ac:dyDescent="0.25">
      <c r="A211" s="62">
        <v>210</v>
      </c>
      <c r="B211" s="62"/>
      <c r="C211" s="68" t="str">
        <f>IF(ISNA(VLOOKUP($B211,CPY!$B:$G,2,FALSE))=TRUE," ",VLOOKUP($B211,CPY!$B:$G,2,FALSE))</f>
        <v> </v>
      </c>
      <c r="D211" s="50" t="str">
        <f>IF(ISNA(VLOOKUP($B211,CPY!$B:$G,3,FALSE))=TRUE," ",VLOOKUP($B211,CPY!$B:$G,3,FALSE))</f>
        <v> </v>
      </c>
      <c r="E211" s="65" t="str">
        <f>IF(ISNA(VLOOKUP($B211,CPY!$B:$G,4,FALSE))=TRUE," ",VLOOKUP($B211,CPY!$B:$G,4,FALSE))</f>
        <v> </v>
      </c>
      <c r="F211" s="62"/>
      <c r="G211" s="86"/>
      <c r="H211" s="86"/>
      <c r="I211" s="87"/>
      <c r="J211" s="88"/>
      <c r="K211" s="88"/>
      <c r="L211" s="95">
        <f t="shared" si="6"/>
        <v>0</v>
      </c>
      <c r="M211" s="96" t="b">
        <f>IF((ISNUMBER(L211)),IF(AND(F211="Workdays",(SUMIFS(O:O,F:F,F211,I:I,I211,B:B,B211)&lt;=24)),IF(AND((L211*24)&gt;0,(L211*24)&lt;=8),(L211*24)*MD!$M$5,IF(AND((L211*24)&gt;8,(L211*24)&lt;=16),(MD!$N$5),IF((L211*24)&gt;16,MD!$N$5))),IF(AND(F211="Non_workdays",(SUMIFS(O:O,F:F,F211,I:I,I211,B:B,B211)&lt;=24)),IF(AND((L211*24)&gt;0,(L211*24)&lt;=8),(L211*24)*MD!$M$6,IF(AND((L211*24)&gt;8,(L211*24)&lt;=16),(MD!$N$6),IF((L211*24)&gt;16,MD!$N$6))),IF(AND(F211="Call_out",(SUMIFS(O:O,F:F,F211,I:I,I211,B:B,B211)&lt;=24)),IF(AND((L211*24)&gt;0,(L211*24)&lt;=8),(L211*24)*MD!$P$4,IF(AND((L211*24)&gt;8,(L211*24)&lt;=16),(MD!$Q$4),IF((L211*24)&gt;16,MD!$Q$4)))))))</f>
        <v>0</v>
      </c>
      <c r="N211" s="62"/>
      <c r="O211" s="72">
        <f t="shared" si="7"/>
        <v>0</v>
      </c>
    </row>
    <row r="212" spans="1:15" x14ac:dyDescent="0.25">
      <c r="A212" s="62">
        <v>211</v>
      </c>
      <c r="B212" s="62"/>
      <c r="C212" s="68" t="str">
        <f>IF(ISNA(VLOOKUP($B212,CPY!$B:$G,2,FALSE))=TRUE," ",VLOOKUP($B212,CPY!$B:$G,2,FALSE))</f>
        <v> </v>
      </c>
      <c r="D212" s="50" t="str">
        <f>IF(ISNA(VLOOKUP($B212,CPY!$B:$G,3,FALSE))=TRUE," ",VLOOKUP($B212,CPY!$B:$G,3,FALSE))</f>
        <v> </v>
      </c>
      <c r="E212" s="65" t="str">
        <f>IF(ISNA(VLOOKUP($B212,CPY!$B:$G,4,FALSE))=TRUE," ",VLOOKUP($B212,CPY!$B:$G,4,FALSE))</f>
        <v> </v>
      </c>
      <c r="F212" s="62"/>
      <c r="G212" s="86"/>
      <c r="H212" s="86"/>
      <c r="I212" s="87"/>
      <c r="J212" s="88"/>
      <c r="K212" s="88"/>
      <c r="L212" s="95">
        <f t="shared" si="6"/>
        <v>0</v>
      </c>
      <c r="M212" s="96" t="b">
        <f>IF((ISNUMBER(L212)),IF(AND(F212="Workdays",(SUMIFS(O:O,F:F,F212,I:I,I212,B:B,B212)&lt;=24)),IF(AND((L212*24)&gt;0,(L212*24)&lt;=8),(L212*24)*MD!$M$5,IF(AND((L212*24)&gt;8,(L212*24)&lt;=16),(MD!$N$5),IF((L212*24)&gt;16,MD!$N$5))),IF(AND(F212="Non_workdays",(SUMIFS(O:O,F:F,F212,I:I,I212,B:B,B212)&lt;=24)),IF(AND((L212*24)&gt;0,(L212*24)&lt;=8),(L212*24)*MD!$M$6,IF(AND((L212*24)&gt;8,(L212*24)&lt;=16),(MD!$N$6),IF((L212*24)&gt;16,MD!$N$6))),IF(AND(F212="Call_out",(SUMIFS(O:O,F:F,F212,I:I,I212,B:B,B212)&lt;=24)),IF(AND((L212*24)&gt;0,(L212*24)&lt;=8),(L212*24)*MD!$P$4,IF(AND((L212*24)&gt;8,(L212*24)&lt;=16),(MD!$Q$4),IF((L212*24)&gt;16,MD!$Q$4)))))))</f>
        <v>0</v>
      </c>
      <c r="N212" s="62"/>
      <c r="O212" s="72">
        <f t="shared" si="7"/>
        <v>0</v>
      </c>
    </row>
    <row r="213" spans="1:15" x14ac:dyDescent="0.25">
      <c r="A213" s="62">
        <v>212</v>
      </c>
      <c r="B213" s="62"/>
      <c r="C213" s="68" t="str">
        <f>IF(ISNA(VLOOKUP($B213,CPY!$B:$G,2,FALSE))=TRUE," ",VLOOKUP($B213,CPY!$B:$G,2,FALSE))</f>
        <v> </v>
      </c>
      <c r="D213" s="50" t="str">
        <f>IF(ISNA(VLOOKUP($B213,CPY!$B:$G,3,FALSE))=TRUE," ",VLOOKUP($B213,CPY!$B:$G,3,FALSE))</f>
        <v> </v>
      </c>
      <c r="E213" s="65" t="str">
        <f>IF(ISNA(VLOOKUP($B213,CPY!$B:$G,4,FALSE))=TRUE," ",VLOOKUP($B213,CPY!$B:$G,4,FALSE))</f>
        <v> </v>
      </c>
      <c r="F213" s="62"/>
      <c r="G213" s="86"/>
      <c r="H213" s="86"/>
      <c r="I213" s="87"/>
      <c r="J213" s="88"/>
      <c r="K213" s="88"/>
      <c r="L213" s="95">
        <f t="shared" si="6"/>
        <v>0</v>
      </c>
      <c r="M213" s="96" t="b">
        <f>IF((ISNUMBER(L213)),IF(AND(F213="Workdays",(SUMIFS(O:O,F:F,F213,I:I,I213,B:B,B213)&lt;=24)),IF(AND((L213*24)&gt;0,(L213*24)&lt;=8),(L213*24)*MD!$M$5,IF(AND((L213*24)&gt;8,(L213*24)&lt;=16),(MD!$N$5),IF((L213*24)&gt;16,MD!$N$5))),IF(AND(F213="Non_workdays",(SUMIFS(O:O,F:F,F213,I:I,I213,B:B,B213)&lt;=24)),IF(AND((L213*24)&gt;0,(L213*24)&lt;=8),(L213*24)*MD!$M$6,IF(AND((L213*24)&gt;8,(L213*24)&lt;=16),(MD!$N$6),IF((L213*24)&gt;16,MD!$N$6))),IF(AND(F213="Call_out",(SUMIFS(O:O,F:F,F213,I:I,I213,B:B,B213)&lt;=24)),IF(AND((L213*24)&gt;0,(L213*24)&lt;=8),(L213*24)*MD!$P$4,IF(AND((L213*24)&gt;8,(L213*24)&lt;=16),(MD!$Q$4),IF((L213*24)&gt;16,MD!$Q$4)))))))</f>
        <v>0</v>
      </c>
      <c r="N213" s="62"/>
      <c r="O213" s="72">
        <f t="shared" si="7"/>
        <v>0</v>
      </c>
    </row>
    <row r="214" spans="1:15" x14ac:dyDescent="0.25">
      <c r="A214" s="62">
        <v>213</v>
      </c>
      <c r="B214" s="62"/>
      <c r="C214" s="68" t="str">
        <f>IF(ISNA(VLOOKUP($B214,CPY!$B:$G,2,FALSE))=TRUE," ",VLOOKUP($B214,CPY!$B:$G,2,FALSE))</f>
        <v> </v>
      </c>
      <c r="D214" s="50" t="str">
        <f>IF(ISNA(VLOOKUP($B214,CPY!$B:$G,3,FALSE))=TRUE," ",VLOOKUP($B214,CPY!$B:$G,3,FALSE))</f>
        <v> </v>
      </c>
      <c r="E214" s="65" t="str">
        <f>IF(ISNA(VLOOKUP($B214,CPY!$B:$G,4,FALSE))=TRUE," ",VLOOKUP($B214,CPY!$B:$G,4,FALSE))</f>
        <v> </v>
      </c>
      <c r="F214" s="62"/>
      <c r="G214" s="86"/>
      <c r="H214" s="86"/>
      <c r="I214" s="87"/>
      <c r="J214" s="88"/>
      <c r="K214" s="88"/>
      <c r="L214" s="95">
        <f t="shared" si="6"/>
        <v>0</v>
      </c>
      <c r="M214" s="96" t="b">
        <f>IF((ISNUMBER(L214)),IF(AND(F214="Workdays",(SUMIFS(O:O,F:F,F214,I:I,I214,B:B,B214)&lt;=24)),IF(AND((L214*24)&gt;0,(L214*24)&lt;=8),(L214*24)*MD!$M$5,IF(AND((L214*24)&gt;8,(L214*24)&lt;=16),(MD!$N$5),IF((L214*24)&gt;16,MD!$N$5))),IF(AND(F214="Non_workdays",(SUMIFS(O:O,F:F,F214,I:I,I214,B:B,B214)&lt;=24)),IF(AND((L214*24)&gt;0,(L214*24)&lt;=8),(L214*24)*MD!$M$6,IF(AND((L214*24)&gt;8,(L214*24)&lt;=16),(MD!$N$6),IF((L214*24)&gt;16,MD!$N$6))),IF(AND(F214="Call_out",(SUMIFS(O:O,F:F,F214,I:I,I214,B:B,B214)&lt;=24)),IF(AND((L214*24)&gt;0,(L214*24)&lt;=8),(L214*24)*MD!$P$4,IF(AND((L214*24)&gt;8,(L214*24)&lt;=16),(MD!$Q$4),IF((L214*24)&gt;16,MD!$Q$4)))))))</f>
        <v>0</v>
      </c>
      <c r="N214" s="62"/>
      <c r="O214" s="72">
        <f t="shared" si="7"/>
        <v>0</v>
      </c>
    </row>
    <row r="215" spans="1:15" x14ac:dyDescent="0.25">
      <c r="A215" s="62">
        <v>214</v>
      </c>
      <c r="B215" s="62"/>
      <c r="C215" s="68" t="str">
        <f>IF(ISNA(VLOOKUP($B215,CPY!$B:$G,2,FALSE))=TRUE," ",VLOOKUP($B215,CPY!$B:$G,2,FALSE))</f>
        <v> </v>
      </c>
      <c r="D215" s="50" t="str">
        <f>IF(ISNA(VLOOKUP($B215,CPY!$B:$G,3,FALSE))=TRUE," ",VLOOKUP($B215,CPY!$B:$G,3,FALSE))</f>
        <v> </v>
      </c>
      <c r="E215" s="65" t="str">
        <f>IF(ISNA(VLOOKUP($B215,CPY!$B:$G,4,FALSE))=TRUE," ",VLOOKUP($B215,CPY!$B:$G,4,FALSE))</f>
        <v> </v>
      </c>
      <c r="F215" s="62"/>
      <c r="G215" s="86"/>
      <c r="H215" s="86"/>
      <c r="I215" s="87"/>
      <c r="J215" s="88"/>
      <c r="K215" s="88"/>
      <c r="L215" s="95">
        <f t="shared" si="6"/>
        <v>0</v>
      </c>
      <c r="M215" s="96" t="b">
        <f>IF((ISNUMBER(L215)),IF(AND(F215="Workdays",(SUMIFS(O:O,F:F,F215,I:I,I215,B:B,B215)&lt;=24)),IF(AND((L215*24)&gt;0,(L215*24)&lt;=8),(L215*24)*MD!$M$5,IF(AND((L215*24)&gt;8,(L215*24)&lt;=16),(MD!$N$5),IF((L215*24)&gt;16,MD!$N$5))),IF(AND(F215="Non_workdays",(SUMIFS(O:O,F:F,F215,I:I,I215,B:B,B215)&lt;=24)),IF(AND((L215*24)&gt;0,(L215*24)&lt;=8),(L215*24)*MD!$M$6,IF(AND((L215*24)&gt;8,(L215*24)&lt;=16),(MD!$N$6),IF((L215*24)&gt;16,MD!$N$6))),IF(AND(F215="Call_out",(SUMIFS(O:O,F:F,F215,I:I,I215,B:B,B215)&lt;=24)),IF(AND((L215*24)&gt;0,(L215*24)&lt;=8),(L215*24)*MD!$P$4,IF(AND((L215*24)&gt;8,(L215*24)&lt;=16),(MD!$Q$4),IF((L215*24)&gt;16,MD!$Q$4)))))))</f>
        <v>0</v>
      </c>
      <c r="N215" s="62"/>
      <c r="O215" s="72">
        <f t="shared" si="7"/>
        <v>0</v>
      </c>
    </row>
    <row r="216" spans="1:15" x14ac:dyDescent="0.25">
      <c r="A216" s="62">
        <v>215</v>
      </c>
      <c r="B216" s="62"/>
      <c r="C216" s="68" t="str">
        <f>IF(ISNA(VLOOKUP($B216,CPY!$B:$G,2,FALSE))=TRUE," ",VLOOKUP($B216,CPY!$B:$G,2,FALSE))</f>
        <v> </v>
      </c>
      <c r="D216" s="50" t="str">
        <f>IF(ISNA(VLOOKUP($B216,CPY!$B:$G,3,FALSE))=TRUE," ",VLOOKUP($B216,CPY!$B:$G,3,FALSE))</f>
        <v> </v>
      </c>
      <c r="E216" s="65" t="str">
        <f>IF(ISNA(VLOOKUP($B216,CPY!$B:$G,4,FALSE))=TRUE," ",VLOOKUP($B216,CPY!$B:$G,4,FALSE))</f>
        <v> </v>
      </c>
      <c r="F216" s="62"/>
      <c r="G216" s="86"/>
      <c r="H216" s="86"/>
      <c r="I216" s="87"/>
      <c r="J216" s="88"/>
      <c r="K216" s="88"/>
      <c r="L216" s="95">
        <f t="shared" si="6"/>
        <v>0</v>
      </c>
      <c r="M216" s="96" t="b">
        <f>IF((ISNUMBER(L216)),IF(AND(F216="Workdays",(SUMIFS(O:O,F:F,F216,I:I,I216,B:B,B216)&lt;=24)),IF(AND((L216*24)&gt;0,(L216*24)&lt;=8),(L216*24)*MD!$M$5,IF(AND((L216*24)&gt;8,(L216*24)&lt;=16),(MD!$N$5),IF((L216*24)&gt;16,MD!$N$5))),IF(AND(F216="Non_workdays",(SUMIFS(O:O,F:F,F216,I:I,I216,B:B,B216)&lt;=24)),IF(AND((L216*24)&gt;0,(L216*24)&lt;=8),(L216*24)*MD!$M$6,IF(AND((L216*24)&gt;8,(L216*24)&lt;=16),(MD!$N$6),IF((L216*24)&gt;16,MD!$N$6))),IF(AND(F216="Call_out",(SUMIFS(O:O,F:F,F216,I:I,I216,B:B,B216)&lt;=24)),IF(AND((L216*24)&gt;0,(L216*24)&lt;=8),(L216*24)*MD!$P$4,IF(AND((L216*24)&gt;8,(L216*24)&lt;=16),(MD!$Q$4),IF((L216*24)&gt;16,MD!$Q$4)))))))</f>
        <v>0</v>
      </c>
      <c r="N216" s="62"/>
      <c r="O216" s="72">
        <f t="shared" si="7"/>
        <v>0</v>
      </c>
    </row>
    <row r="217" spans="1:15" x14ac:dyDescent="0.25">
      <c r="A217" s="62">
        <v>216</v>
      </c>
      <c r="B217" s="62"/>
      <c r="C217" s="68" t="str">
        <f>IF(ISNA(VLOOKUP($B217,CPY!$B:$G,2,FALSE))=TRUE," ",VLOOKUP($B217,CPY!$B:$G,2,FALSE))</f>
        <v> </v>
      </c>
      <c r="D217" s="50" t="str">
        <f>IF(ISNA(VLOOKUP($B217,CPY!$B:$G,3,FALSE))=TRUE," ",VLOOKUP($B217,CPY!$B:$G,3,FALSE))</f>
        <v> </v>
      </c>
      <c r="E217" s="65" t="str">
        <f>IF(ISNA(VLOOKUP($B217,CPY!$B:$G,4,FALSE))=TRUE," ",VLOOKUP($B217,CPY!$B:$G,4,FALSE))</f>
        <v> </v>
      </c>
      <c r="F217" s="62"/>
      <c r="G217" s="86"/>
      <c r="H217" s="86"/>
      <c r="I217" s="87"/>
      <c r="J217" s="88"/>
      <c r="K217" s="88"/>
      <c r="L217" s="95">
        <f t="shared" si="6"/>
        <v>0</v>
      </c>
      <c r="M217" s="96" t="b">
        <f>IF((ISNUMBER(L217)),IF(AND(F217="Workdays",(SUMIFS(O:O,F:F,F217,I:I,I217,B:B,B217)&lt;=24)),IF(AND((L217*24)&gt;0,(L217*24)&lt;=8),(L217*24)*MD!$M$5,IF(AND((L217*24)&gt;8,(L217*24)&lt;=16),(MD!$N$5),IF((L217*24)&gt;16,MD!$N$5))),IF(AND(F217="Non_workdays",(SUMIFS(O:O,F:F,F217,I:I,I217,B:B,B217)&lt;=24)),IF(AND((L217*24)&gt;0,(L217*24)&lt;=8),(L217*24)*MD!$M$6,IF(AND((L217*24)&gt;8,(L217*24)&lt;=16),(MD!$N$6),IF((L217*24)&gt;16,MD!$N$6))),IF(AND(F217="Call_out",(SUMIFS(O:O,F:F,F217,I:I,I217,B:B,B217)&lt;=24)),IF(AND((L217*24)&gt;0,(L217*24)&lt;=8),(L217*24)*MD!$P$4,IF(AND((L217*24)&gt;8,(L217*24)&lt;=16),(MD!$Q$4),IF((L217*24)&gt;16,MD!$Q$4)))))))</f>
        <v>0</v>
      </c>
      <c r="N217" s="62"/>
      <c r="O217" s="72">
        <f t="shared" si="7"/>
        <v>0</v>
      </c>
    </row>
    <row r="218" spans="1:15" x14ac:dyDescent="0.25">
      <c r="A218" s="62">
        <v>217</v>
      </c>
      <c r="B218" s="62"/>
      <c r="C218" s="68" t="str">
        <f>IF(ISNA(VLOOKUP($B218,CPY!$B:$G,2,FALSE))=TRUE," ",VLOOKUP($B218,CPY!$B:$G,2,FALSE))</f>
        <v> </v>
      </c>
      <c r="D218" s="50" t="str">
        <f>IF(ISNA(VLOOKUP($B218,CPY!$B:$G,3,FALSE))=TRUE," ",VLOOKUP($B218,CPY!$B:$G,3,FALSE))</f>
        <v> </v>
      </c>
      <c r="E218" s="65" t="str">
        <f>IF(ISNA(VLOOKUP($B218,CPY!$B:$G,4,FALSE))=TRUE," ",VLOOKUP($B218,CPY!$B:$G,4,FALSE))</f>
        <v> </v>
      </c>
      <c r="F218" s="62"/>
      <c r="G218" s="86"/>
      <c r="H218" s="86"/>
      <c r="I218" s="87"/>
      <c r="J218" s="88"/>
      <c r="K218" s="88"/>
      <c r="L218" s="95">
        <f t="shared" si="6"/>
        <v>0</v>
      </c>
      <c r="M218" s="96" t="b">
        <f>IF((ISNUMBER(L218)),IF(AND(F218="Workdays",(SUMIFS(O:O,F:F,F218,I:I,I218,B:B,B218)&lt;=24)),IF(AND((L218*24)&gt;0,(L218*24)&lt;=8),(L218*24)*MD!$M$5,IF(AND((L218*24)&gt;8,(L218*24)&lt;=16),(MD!$N$5),IF((L218*24)&gt;16,MD!$N$5))),IF(AND(F218="Non_workdays",(SUMIFS(O:O,F:F,F218,I:I,I218,B:B,B218)&lt;=24)),IF(AND((L218*24)&gt;0,(L218*24)&lt;=8),(L218*24)*MD!$M$6,IF(AND((L218*24)&gt;8,(L218*24)&lt;=16),(MD!$N$6),IF((L218*24)&gt;16,MD!$N$6))),IF(AND(F218="Call_out",(SUMIFS(O:O,F:F,F218,I:I,I218,B:B,B218)&lt;=24)),IF(AND((L218*24)&gt;0,(L218*24)&lt;=8),(L218*24)*MD!$P$4,IF(AND((L218*24)&gt;8,(L218*24)&lt;=16),(MD!$Q$4),IF((L218*24)&gt;16,MD!$Q$4)))))))</f>
        <v>0</v>
      </c>
      <c r="N218" s="62"/>
      <c r="O218" s="72">
        <f t="shared" si="7"/>
        <v>0</v>
      </c>
    </row>
    <row r="219" spans="1:15" x14ac:dyDescent="0.25">
      <c r="A219" s="62">
        <v>218</v>
      </c>
      <c r="B219" s="62"/>
      <c r="C219" s="68" t="str">
        <f>IF(ISNA(VLOOKUP($B219,CPY!$B:$G,2,FALSE))=TRUE," ",VLOOKUP($B219,CPY!$B:$G,2,FALSE))</f>
        <v> </v>
      </c>
      <c r="D219" s="50" t="str">
        <f>IF(ISNA(VLOOKUP($B219,CPY!$B:$G,3,FALSE))=TRUE," ",VLOOKUP($B219,CPY!$B:$G,3,FALSE))</f>
        <v> </v>
      </c>
      <c r="E219" s="65" t="str">
        <f>IF(ISNA(VLOOKUP($B219,CPY!$B:$G,4,FALSE))=TRUE," ",VLOOKUP($B219,CPY!$B:$G,4,FALSE))</f>
        <v> </v>
      </c>
      <c r="F219" s="62"/>
      <c r="G219" s="86"/>
      <c r="H219" s="86"/>
      <c r="I219" s="87"/>
      <c r="J219" s="88"/>
      <c r="K219" s="88"/>
      <c r="L219" s="95">
        <f t="shared" si="6"/>
        <v>0</v>
      </c>
      <c r="M219" s="96" t="b">
        <f>IF((ISNUMBER(L219)),IF(AND(F219="Workdays",(SUMIFS(O:O,F:F,F219,I:I,I219,B:B,B219)&lt;=24)),IF(AND((L219*24)&gt;0,(L219*24)&lt;=8),(L219*24)*MD!$M$5,IF(AND((L219*24)&gt;8,(L219*24)&lt;=16),(MD!$N$5),IF((L219*24)&gt;16,MD!$N$5))),IF(AND(F219="Non_workdays",(SUMIFS(O:O,F:F,F219,I:I,I219,B:B,B219)&lt;=24)),IF(AND((L219*24)&gt;0,(L219*24)&lt;=8),(L219*24)*MD!$M$6,IF(AND((L219*24)&gt;8,(L219*24)&lt;=16),(MD!$N$6),IF((L219*24)&gt;16,MD!$N$6))),IF(AND(F219="Call_out",(SUMIFS(O:O,F:F,F219,I:I,I219,B:B,B219)&lt;=24)),IF(AND((L219*24)&gt;0,(L219*24)&lt;=8),(L219*24)*MD!$P$4,IF(AND((L219*24)&gt;8,(L219*24)&lt;=16),(MD!$Q$4),IF((L219*24)&gt;16,MD!$Q$4)))))))</f>
        <v>0</v>
      </c>
      <c r="N219" s="62"/>
      <c r="O219" s="72">
        <f t="shared" si="7"/>
        <v>0</v>
      </c>
    </row>
    <row r="220" spans="1:15" x14ac:dyDescent="0.25">
      <c r="A220" s="62">
        <v>219</v>
      </c>
      <c r="B220" s="62"/>
      <c r="C220" s="68" t="str">
        <f>IF(ISNA(VLOOKUP($B220,CPY!$B:$G,2,FALSE))=TRUE," ",VLOOKUP($B220,CPY!$B:$G,2,FALSE))</f>
        <v> </v>
      </c>
      <c r="D220" s="50" t="str">
        <f>IF(ISNA(VLOOKUP($B220,CPY!$B:$G,3,FALSE))=TRUE," ",VLOOKUP($B220,CPY!$B:$G,3,FALSE))</f>
        <v> </v>
      </c>
      <c r="E220" s="65" t="str">
        <f>IF(ISNA(VLOOKUP($B220,CPY!$B:$G,4,FALSE))=TRUE," ",VLOOKUP($B220,CPY!$B:$G,4,FALSE))</f>
        <v> </v>
      </c>
      <c r="F220" s="62"/>
      <c r="G220" s="86"/>
      <c r="H220" s="86"/>
      <c r="I220" s="87"/>
      <c r="J220" s="88"/>
      <c r="K220" s="88"/>
      <c r="L220" s="95">
        <f t="shared" si="6"/>
        <v>0</v>
      </c>
      <c r="M220" s="96" t="b">
        <f>IF((ISNUMBER(L220)),IF(AND(F220="Workdays",(SUMIFS(O:O,F:F,F220,I:I,I220,B:B,B220)&lt;=24)),IF(AND((L220*24)&gt;0,(L220*24)&lt;=8),(L220*24)*MD!$M$5,IF(AND((L220*24)&gt;8,(L220*24)&lt;=16),(MD!$N$5),IF((L220*24)&gt;16,MD!$N$5))),IF(AND(F220="Non_workdays",(SUMIFS(O:O,F:F,F220,I:I,I220,B:B,B220)&lt;=24)),IF(AND((L220*24)&gt;0,(L220*24)&lt;=8),(L220*24)*MD!$M$6,IF(AND((L220*24)&gt;8,(L220*24)&lt;=16),(MD!$N$6),IF((L220*24)&gt;16,MD!$N$6))),IF(AND(F220="Call_out",(SUMIFS(O:O,F:F,F220,I:I,I220,B:B,B220)&lt;=24)),IF(AND((L220*24)&gt;0,(L220*24)&lt;=8),(L220*24)*MD!$P$4,IF(AND((L220*24)&gt;8,(L220*24)&lt;=16),(MD!$Q$4),IF((L220*24)&gt;16,MD!$Q$4)))))))</f>
        <v>0</v>
      </c>
      <c r="N220" s="62"/>
      <c r="O220" s="72">
        <f t="shared" si="7"/>
        <v>0</v>
      </c>
    </row>
    <row r="221" spans="1:15" x14ac:dyDescent="0.25">
      <c r="A221" s="62">
        <v>220</v>
      </c>
      <c r="B221" s="62"/>
      <c r="C221" s="68" t="str">
        <f>IF(ISNA(VLOOKUP($B221,CPY!$B:$G,2,FALSE))=TRUE," ",VLOOKUP($B221,CPY!$B:$G,2,FALSE))</f>
        <v> </v>
      </c>
      <c r="D221" s="50" t="str">
        <f>IF(ISNA(VLOOKUP($B221,CPY!$B:$G,3,FALSE))=TRUE," ",VLOOKUP($B221,CPY!$B:$G,3,FALSE))</f>
        <v> </v>
      </c>
      <c r="E221" s="65" t="str">
        <f>IF(ISNA(VLOOKUP($B221,CPY!$B:$G,4,FALSE))=TRUE," ",VLOOKUP($B221,CPY!$B:$G,4,FALSE))</f>
        <v> </v>
      </c>
      <c r="F221" s="62"/>
      <c r="G221" s="86"/>
      <c r="H221" s="86"/>
      <c r="I221" s="87"/>
      <c r="J221" s="88"/>
      <c r="K221" s="88"/>
      <c r="L221" s="95">
        <f t="shared" si="6"/>
        <v>0</v>
      </c>
      <c r="M221" s="96" t="b">
        <f>IF((ISNUMBER(L221)),IF(AND(F221="Workdays",(SUMIFS(O:O,F:F,F221,I:I,I221,B:B,B221)&lt;=24)),IF(AND((L221*24)&gt;0,(L221*24)&lt;=8),(L221*24)*MD!$M$5,IF(AND((L221*24)&gt;8,(L221*24)&lt;=16),(MD!$N$5),IF((L221*24)&gt;16,MD!$N$5))),IF(AND(F221="Non_workdays",(SUMIFS(O:O,F:F,F221,I:I,I221,B:B,B221)&lt;=24)),IF(AND((L221*24)&gt;0,(L221*24)&lt;=8),(L221*24)*MD!$M$6,IF(AND((L221*24)&gt;8,(L221*24)&lt;=16),(MD!$N$6),IF((L221*24)&gt;16,MD!$N$6))),IF(AND(F221="Call_out",(SUMIFS(O:O,F:F,F221,I:I,I221,B:B,B221)&lt;=24)),IF(AND((L221*24)&gt;0,(L221*24)&lt;=8),(L221*24)*MD!$P$4,IF(AND((L221*24)&gt;8,(L221*24)&lt;=16),(MD!$Q$4),IF((L221*24)&gt;16,MD!$Q$4)))))))</f>
        <v>0</v>
      </c>
      <c r="N221" s="62"/>
      <c r="O221" s="72">
        <f t="shared" si="7"/>
        <v>0</v>
      </c>
    </row>
    <row r="222" spans="1:15" x14ac:dyDescent="0.25">
      <c r="A222" s="62">
        <v>221</v>
      </c>
      <c r="B222" s="62"/>
      <c r="C222" s="68" t="str">
        <f>IF(ISNA(VLOOKUP($B222,CPY!$B:$G,2,FALSE))=TRUE," ",VLOOKUP($B222,CPY!$B:$G,2,FALSE))</f>
        <v> </v>
      </c>
      <c r="D222" s="50" t="str">
        <f>IF(ISNA(VLOOKUP($B222,CPY!$B:$G,3,FALSE))=TRUE," ",VLOOKUP($B222,CPY!$B:$G,3,FALSE))</f>
        <v> </v>
      </c>
      <c r="E222" s="65" t="str">
        <f>IF(ISNA(VLOOKUP($B222,CPY!$B:$G,4,FALSE))=TRUE," ",VLOOKUP($B222,CPY!$B:$G,4,FALSE))</f>
        <v> </v>
      </c>
      <c r="F222" s="62"/>
      <c r="G222" s="86"/>
      <c r="H222" s="86"/>
      <c r="I222" s="87"/>
      <c r="J222" s="88"/>
      <c r="K222" s="88"/>
      <c r="L222" s="95">
        <f t="shared" si="6"/>
        <v>0</v>
      </c>
      <c r="M222" s="96" t="b">
        <f>IF((ISNUMBER(L222)),IF(AND(F222="Workdays",(SUMIFS(O:O,F:F,F222,I:I,I222,B:B,B222)&lt;=24)),IF(AND((L222*24)&gt;0,(L222*24)&lt;=8),(L222*24)*MD!$M$5,IF(AND((L222*24)&gt;8,(L222*24)&lt;=16),(MD!$N$5),IF((L222*24)&gt;16,MD!$N$5))),IF(AND(F222="Non_workdays",(SUMIFS(O:O,F:F,F222,I:I,I222,B:B,B222)&lt;=24)),IF(AND((L222*24)&gt;0,(L222*24)&lt;=8),(L222*24)*MD!$M$6,IF(AND((L222*24)&gt;8,(L222*24)&lt;=16),(MD!$N$6),IF((L222*24)&gt;16,MD!$N$6))),IF(AND(F222="Call_out",(SUMIFS(O:O,F:F,F222,I:I,I222,B:B,B222)&lt;=24)),IF(AND((L222*24)&gt;0,(L222*24)&lt;=8),(L222*24)*MD!$P$4,IF(AND((L222*24)&gt;8,(L222*24)&lt;=16),(MD!$Q$4),IF((L222*24)&gt;16,MD!$Q$4)))))))</f>
        <v>0</v>
      </c>
      <c r="N222" s="62"/>
      <c r="O222" s="72">
        <f t="shared" si="7"/>
        <v>0</v>
      </c>
    </row>
    <row r="223" spans="1:15" x14ac:dyDescent="0.25">
      <c r="A223" s="62">
        <v>222</v>
      </c>
      <c r="B223" s="62"/>
      <c r="C223" s="68" t="str">
        <f>IF(ISNA(VLOOKUP($B223,CPY!$B:$G,2,FALSE))=TRUE," ",VLOOKUP($B223,CPY!$B:$G,2,FALSE))</f>
        <v> </v>
      </c>
      <c r="D223" s="50" t="str">
        <f>IF(ISNA(VLOOKUP($B223,CPY!$B:$G,3,FALSE))=TRUE," ",VLOOKUP($B223,CPY!$B:$G,3,FALSE))</f>
        <v> </v>
      </c>
      <c r="E223" s="65" t="str">
        <f>IF(ISNA(VLOOKUP($B223,CPY!$B:$G,4,FALSE))=TRUE," ",VLOOKUP($B223,CPY!$B:$G,4,FALSE))</f>
        <v> </v>
      </c>
      <c r="F223" s="62"/>
      <c r="G223" s="86"/>
      <c r="H223" s="86"/>
      <c r="I223" s="87"/>
      <c r="J223" s="88"/>
      <c r="K223" s="88"/>
      <c r="L223" s="95">
        <f t="shared" si="6"/>
        <v>0</v>
      </c>
      <c r="M223" s="96" t="b">
        <f>IF((ISNUMBER(L223)),IF(AND(F223="Workdays",(SUMIFS(O:O,F:F,F223,I:I,I223,B:B,B223)&lt;=24)),IF(AND((L223*24)&gt;0,(L223*24)&lt;=8),(L223*24)*MD!$M$5,IF(AND((L223*24)&gt;8,(L223*24)&lt;=16),(MD!$N$5),IF((L223*24)&gt;16,MD!$N$5))),IF(AND(F223="Non_workdays",(SUMIFS(O:O,F:F,F223,I:I,I223,B:B,B223)&lt;=24)),IF(AND((L223*24)&gt;0,(L223*24)&lt;=8),(L223*24)*MD!$M$6,IF(AND((L223*24)&gt;8,(L223*24)&lt;=16),(MD!$N$6),IF((L223*24)&gt;16,MD!$N$6))),IF(AND(F223="Call_out",(SUMIFS(O:O,F:F,F223,I:I,I223,B:B,B223)&lt;=24)),IF(AND((L223*24)&gt;0,(L223*24)&lt;=8),(L223*24)*MD!$P$4,IF(AND((L223*24)&gt;8,(L223*24)&lt;=16),(MD!$Q$4),IF((L223*24)&gt;16,MD!$Q$4)))))))</f>
        <v>0</v>
      </c>
      <c r="N223" s="62"/>
      <c r="O223" s="72">
        <f t="shared" si="7"/>
        <v>0</v>
      </c>
    </row>
    <row r="224" spans="1:15" x14ac:dyDescent="0.25">
      <c r="A224" s="62">
        <v>223</v>
      </c>
      <c r="B224" s="62"/>
      <c r="C224" s="68" t="str">
        <f>IF(ISNA(VLOOKUP($B224,CPY!$B:$G,2,FALSE))=TRUE," ",VLOOKUP($B224,CPY!$B:$G,2,FALSE))</f>
        <v> </v>
      </c>
      <c r="D224" s="50" t="str">
        <f>IF(ISNA(VLOOKUP($B224,CPY!$B:$G,3,FALSE))=TRUE," ",VLOOKUP($B224,CPY!$B:$G,3,FALSE))</f>
        <v> </v>
      </c>
      <c r="E224" s="65" t="str">
        <f>IF(ISNA(VLOOKUP($B224,CPY!$B:$G,4,FALSE))=TRUE," ",VLOOKUP($B224,CPY!$B:$G,4,FALSE))</f>
        <v> </v>
      </c>
      <c r="F224" s="62"/>
      <c r="G224" s="86"/>
      <c r="H224" s="86"/>
      <c r="I224" s="87"/>
      <c r="J224" s="88"/>
      <c r="K224" s="88"/>
      <c r="L224" s="95">
        <f t="shared" si="6"/>
        <v>0</v>
      </c>
      <c r="M224" s="96" t="b">
        <f>IF((ISNUMBER(L224)),IF(AND(F224="Workdays",(SUMIFS(O:O,F:F,F224,I:I,I224,B:B,B224)&lt;=24)),IF(AND((L224*24)&gt;0,(L224*24)&lt;=8),(L224*24)*MD!$M$5,IF(AND((L224*24)&gt;8,(L224*24)&lt;=16),(MD!$N$5),IF((L224*24)&gt;16,MD!$N$5))),IF(AND(F224="Non_workdays",(SUMIFS(O:O,F:F,F224,I:I,I224,B:B,B224)&lt;=24)),IF(AND((L224*24)&gt;0,(L224*24)&lt;=8),(L224*24)*MD!$M$6,IF(AND((L224*24)&gt;8,(L224*24)&lt;=16),(MD!$N$6),IF((L224*24)&gt;16,MD!$N$6))),IF(AND(F224="Call_out",(SUMIFS(O:O,F:F,F224,I:I,I224,B:B,B224)&lt;=24)),IF(AND((L224*24)&gt;0,(L224*24)&lt;=8),(L224*24)*MD!$P$4,IF(AND((L224*24)&gt;8,(L224*24)&lt;=16),(MD!$Q$4),IF((L224*24)&gt;16,MD!$Q$4)))))))</f>
        <v>0</v>
      </c>
      <c r="N224" s="62"/>
      <c r="O224" s="72">
        <f t="shared" si="7"/>
        <v>0</v>
      </c>
    </row>
    <row r="225" spans="1:15" x14ac:dyDescent="0.25">
      <c r="A225" s="62">
        <v>224</v>
      </c>
      <c r="B225" s="62"/>
      <c r="C225" s="68" t="str">
        <f>IF(ISNA(VLOOKUP($B225,CPY!$B:$G,2,FALSE))=TRUE," ",VLOOKUP($B225,CPY!$B:$G,2,FALSE))</f>
        <v> </v>
      </c>
      <c r="D225" s="50" t="str">
        <f>IF(ISNA(VLOOKUP($B225,CPY!$B:$G,3,FALSE))=TRUE," ",VLOOKUP($B225,CPY!$B:$G,3,FALSE))</f>
        <v> </v>
      </c>
      <c r="E225" s="65" t="str">
        <f>IF(ISNA(VLOOKUP($B225,CPY!$B:$G,4,FALSE))=TRUE," ",VLOOKUP($B225,CPY!$B:$G,4,FALSE))</f>
        <v> </v>
      </c>
      <c r="F225" s="62"/>
      <c r="G225" s="86"/>
      <c r="H225" s="86"/>
      <c r="I225" s="87"/>
      <c r="J225" s="88"/>
      <c r="K225" s="88"/>
      <c r="L225" s="95">
        <f t="shared" si="6"/>
        <v>0</v>
      </c>
      <c r="M225" s="96" t="b">
        <f>IF((ISNUMBER(L225)),IF(AND(F225="Workdays",(SUMIFS(O:O,F:F,F225,I:I,I225,B:B,B225)&lt;=24)),IF(AND((L225*24)&gt;0,(L225*24)&lt;=8),(L225*24)*MD!$M$5,IF(AND((L225*24)&gt;8,(L225*24)&lt;=16),(MD!$N$5),IF((L225*24)&gt;16,MD!$N$5))),IF(AND(F225="Non_workdays",(SUMIFS(O:O,F:F,F225,I:I,I225,B:B,B225)&lt;=24)),IF(AND((L225*24)&gt;0,(L225*24)&lt;=8),(L225*24)*MD!$M$6,IF(AND((L225*24)&gt;8,(L225*24)&lt;=16),(MD!$N$6),IF((L225*24)&gt;16,MD!$N$6))),IF(AND(F225="Call_out",(SUMIFS(O:O,F:F,F225,I:I,I225,B:B,B225)&lt;=24)),IF(AND((L225*24)&gt;0,(L225*24)&lt;=8),(L225*24)*MD!$P$4,IF(AND((L225*24)&gt;8,(L225*24)&lt;=16),(MD!$Q$4),IF((L225*24)&gt;16,MD!$Q$4)))))))</f>
        <v>0</v>
      </c>
      <c r="N225" s="62"/>
      <c r="O225" s="72">
        <f t="shared" si="7"/>
        <v>0</v>
      </c>
    </row>
    <row r="226" spans="1:15" x14ac:dyDescent="0.25">
      <c r="A226" s="62">
        <v>225</v>
      </c>
      <c r="B226" s="62"/>
      <c r="C226" s="68" t="str">
        <f>IF(ISNA(VLOOKUP($B226,CPY!$B:$G,2,FALSE))=TRUE," ",VLOOKUP($B226,CPY!$B:$G,2,FALSE))</f>
        <v> </v>
      </c>
      <c r="D226" s="50" t="str">
        <f>IF(ISNA(VLOOKUP($B226,CPY!$B:$G,3,FALSE))=TRUE," ",VLOOKUP($B226,CPY!$B:$G,3,FALSE))</f>
        <v> </v>
      </c>
      <c r="E226" s="65" t="str">
        <f>IF(ISNA(VLOOKUP($B226,CPY!$B:$G,4,FALSE))=TRUE," ",VLOOKUP($B226,CPY!$B:$G,4,FALSE))</f>
        <v> </v>
      </c>
      <c r="F226" s="62"/>
      <c r="G226" s="86"/>
      <c r="H226" s="86"/>
      <c r="I226" s="87"/>
      <c r="J226" s="88"/>
      <c r="K226" s="88"/>
      <c r="L226" s="95">
        <f t="shared" si="6"/>
        <v>0</v>
      </c>
      <c r="M226" s="96" t="b">
        <f>IF((ISNUMBER(L226)),IF(AND(F226="Workdays",(SUMIFS(O:O,F:F,F226,I:I,I226,B:B,B226)&lt;=24)),IF(AND((L226*24)&gt;0,(L226*24)&lt;=8),(L226*24)*MD!$M$5,IF(AND((L226*24)&gt;8,(L226*24)&lt;=16),(MD!$N$5),IF((L226*24)&gt;16,MD!$N$5))),IF(AND(F226="Non_workdays",(SUMIFS(O:O,F:F,F226,I:I,I226,B:B,B226)&lt;=24)),IF(AND((L226*24)&gt;0,(L226*24)&lt;=8),(L226*24)*MD!$M$6,IF(AND((L226*24)&gt;8,(L226*24)&lt;=16),(MD!$N$6),IF((L226*24)&gt;16,MD!$N$6))),IF(AND(F226="Call_out",(SUMIFS(O:O,F:F,F226,I:I,I226,B:B,B226)&lt;=24)),IF(AND((L226*24)&gt;0,(L226*24)&lt;=8),(L226*24)*MD!$P$4,IF(AND((L226*24)&gt;8,(L226*24)&lt;=16),(MD!$Q$4),IF((L226*24)&gt;16,MD!$Q$4)))))))</f>
        <v>0</v>
      </c>
      <c r="N226" s="62"/>
      <c r="O226" s="72">
        <f t="shared" si="7"/>
        <v>0</v>
      </c>
    </row>
    <row r="227" spans="1:15" x14ac:dyDescent="0.25">
      <c r="A227" s="62">
        <v>226</v>
      </c>
      <c r="B227" s="62"/>
      <c r="C227" s="68" t="str">
        <f>IF(ISNA(VLOOKUP($B227,CPY!$B:$G,2,FALSE))=TRUE," ",VLOOKUP($B227,CPY!$B:$G,2,FALSE))</f>
        <v> </v>
      </c>
      <c r="D227" s="50" t="str">
        <f>IF(ISNA(VLOOKUP($B227,CPY!$B:$G,3,FALSE))=TRUE," ",VLOOKUP($B227,CPY!$B:$G,3,FALSE))</f>
        <v> </v>
      </c>
      <c r="E227" s="65" t="str">
        <f>IF(ISNA(VLOOKUP($B227,CPY!$B:$G,4,FALSE))=TRUE," ",VLOOKUP($B227,CPY!$B:$G,4,FALSE))</f>
        <v> </v>
      </c>
      <c r="F227" s="62"/>
      <c r="G227" s="86"/>
      <c r="H227" s="86"/>
      <c r="I227" s="87"/>
      <c r="J227" s="88"/>
      <c r="K227" s="88"/>
      <c r="L227" s="95">
        <f t="shared" si="6"/>
        <v>0</v>
      </c>
      <c r="M227" s="96" t="b">
        <f>IF((ISNUMBER(L227)),IF(AND(F227="Workdays",(SUMIFS(O:O,F:F,F227,I:I,I227,B:B,B227)&lt;=24)),IF(AND((L227*24)&gt;0,(L227*24)&lt;=8),(L227*24)*MD!$M$5,IF(AND((L227*24)&gt;8,(L227*24)&lt;=16),(MD!$N$5),IF((L227*24)&gt;16,MD!$N$5))),IF(AND(F227="Non_workdays",(SUMIFS(O:O,F:F,F227,I:I,I227,B:B,B227)&lt;=24)),IF(AND((L227*24)&gt;0,(L227*24)&lt;=8),(L227*24)*MD!$M$6,IF(AND((L227*24)&gt;8,(L227*24)&lt;=16),(MD!$N$6),IF((L227*24)&gt;16,MD!$N$6))),IF(AND(F227="Call_out",(SUMIFS(O:O,F:F,F227,I:I,I227,B:B,B227)&lt;=24)),IF(AND((L227*24)&gt;0,(L227*24)&lt;=8),(L227*24)*MD!$P$4,IF(AND((L227*24)&gt;8,(L227*24)&lt;=16),(MD!$Q$4),IF((L227*24)&gt;16,MD!$Q$4)))))))</f>
        <v>0</v>
      </c>
      <c r="N227" s="62"/>
      <c r="O227" s="72">
        <f t="shared" si="7"/>
        <v>0</v>
      </c>
    </row>
    <row r="228" spans="1:15" x14ac:dyDescent="0.25">
      <c r="A228" s="62">
        <v>227</v>
      </c>
      <c r="B228" s="62"/>
      <c r="C228" s="68" t="str">
        <f>IF(ISNA(VLOOKUP($B228,CPY!$B:$G,2,FALSE))=TRUE," ",VLOOKUP($B228,CPY!$B:$G,2,FALSE))</f>
        <v> </v>
      </c>
      <c r="D228" s="50" t="str">
        <f>IF(ISNA(VLOOKUP($B228,CPY!$B:$G,3,FALSE))=TRUE," ",VLOOKUP($B228,CPY!$B:$G,3,FALSE))</f>
        <v> </v>
      </c>
      <c r="E228" s="65" t="str">
        <f>IF(ISNA(VLOOKUP($B228,CPY!$B:$G,4,FALSE))=TRUE," ",VLOOKUP($B228,CPY!$B:$G,4,FALSE))</f>
        <v> </v>
      </c>
      <c r="F228" s="62"/>
      <c r="G228" s="86"/>
      <c r="H228" s="86"/>
      <c r="I228" s="87"/>
      <c r="J228" s="88"/>
      <c r="K228" s="88"/>
      <c r="L228" s="95">
        <f t="shared" si="6"/>
        <v>0</v>
      </c>
      <c r="M228" s="96" t="b">
        <f>IF((ISNUMBER(L228)),IF(AND(F228="Workdays",(SUMIFS(O:O,F:F,F228,I:I,I228,B:B,B228)&lt;=24)),IF(AND((L228*24)&gt;0,(L228*24)&lt;=8),(L228*24)*MD!$M$5,IF(AND((L228*24)&gt;8,(L228*24)&lt;=16),(MD!$N$5),IF((L228*24)&gt;16,MD!$N$5))),IF(AND(F228="Non_workdays",(SUMIFS(O:O,F:F,F228,I:I,I228,B:B,B228)&lt;=24)),IF(AND((L228*24)&gt;0,(L228*24)&lt;=8),(L228*24)*MD!$M$6,IF(AND((L228*24)&gt;8,(L228*24)&lt;=16),(MD!$N$6),IF((L228*24)&gt;16,MD!$N$6))),IF(AND(F228="Call_out",(SUMIFS(O:O,F:F,F228,I:I,I228,B:B,B228)&lt;=24)),IF(AND((L228*24)&gt;0,(L228*24)&lt;=8),(L228*24)*MD!$P$4,IF(AND((L228*24)&gt;8,(L228*24)&lt;=16),(MD!$Q$4),IF((L228*24)&gt;16,MD!$Q$4)))))))</f>
        <v>0</v>
      </c>
      <c r="N228" s="62"/>
      <c r="O228" s="72">
        <f t="shared" si="7"/>
        <v>0</v>
      </c>
    </row>
    <row r="229" spans="1:15" x14ac:dyDescent="0.25">
      <c r="A229" s="62">
        <v>228</v>
      </c>
      <c r="B229" s="62"/>
      <c r="C229" s="68" t="str">
        <f>IF(ISNA(VLOOKUP($B229,CPY!$B:$G,2,FALSE))=TRUE," ",VLOOKUP($B229,CPY!$B:$G,2,FALSE))</f>
        <v> </v>
      </c>
      <c r="D229" s="50" t="str">
        <f>IF(ISNA(VLOOKUP($B229,CPY!$B:$G,3,FALSE))=TRUE," ",VLOOKUP($B229,CPY!$B:$G,3,FALSE))</f>
        <v> </v>
      </c>
      <c r="E229" s="65" t="str">
        <f>IF(ISNA(VLOOKUP($B229,CPY!$B:$G,4,FALSE))=TRUE," ",VLOOKUP($B229,CPY!$B:$G,4,FALSE))</f>
        <v> </v>
      </c>
      <c r="F229" s="62"/>
      <c r="G229" s="86"/>
      <c r="H229" s="86"/>
      <c r="I229" s="87"/>
      <c r="J229" s="88"/>
      <c r="K229" s="88"/>
      <c r="L229" s="95">
        <f t="shared" si="6"/>
        <v>0</v>
      </c>
      <c r="M229" s="96" t="b">
        <f>IF((ISNUMBER(L229)),IF(AND(F229="Workdays",(SUMIFS(O:O,F:F,F229,I:I,I229,B:B,B229)&lt;=24)),IF(AND((L229*24)&gt;0,(L229*24)&lt;=8),(L229*24)*MD!$M$5,IF(AND((L229*24)&gt;8,(L229*24)&lt;=16),(MD!$N$5),IF((L229*24)&gt;16,MD!$N$5))),IF(AND(F229="Non_workdays",(SUMIFS(O:O,F:F,F229,I:I,I229,B:B,B229)&lt;=24)),IF(AND((L229*24)&gt;0,(L229*24)&lt;=8),(L229*24)*MD!$M$6,IF(AND((L229*24)&gt;8,(L229*24)&lt;=16),(MD!$N$6),IF((L229*24)&gt;16,MD!$N$6))),IF(AND(F229="Call_out",(SUMIFS(O:O,F:F,F229,I:I,I229,B:B,B229)&lt;=24)),IF(AND((L229*24)&gt;0,(L229*24)&lt;=8),(L229*24)*MD!$P$4,IF(AND((L229*24)&gt;8,(L229*24)&lt;=16),(MD!$Q$4),IF((L229*24)&gt;16,MD!$Q$4)))))))</f>
        <v>0</v>
      </c>
      <c r="N229" s="62"/>
      <c r="O229" s="72">
        <f t="shared" si="7"/>
        <v>0</v>
      </c>
    </row>
    <row r="230" spans="1:15" x14ac:dyDescent="0.25">
      <c r="A230" s="62">
        <v>229</v>
      </c>
      <c r="B230" s="62"/>
      <c r="C230" s="68" t="str">
        <f>IF(ISNA(VLOOKUP($B230,CPY!$B:$G,2,FALSE))=TRUE," ",VLOOKUP($B230,CPY!$B:$G,2,FALSE))</f>
        <v> </v>
      </c>
      <c r="D230" s="50" t="str">
        <f>IF(ISNA(VLOOKUP($B230,CPY!$B:$G,3,FALSE))=TRUE," ",VLOOKUP($B230,CPY!$B:$G,3,FALSE))</f>
        <v> </v>
      </c>
      <c r="E230" s="65" t="str">
        <f>IF(ISNA(VLOOKUP($B230,CPY!$B:$G,4,FALSE))=TRUE," ",VLOOKUP($B230,CPY!$B:$G,4,FALSE))</f>
        <v> </v>
      </c>
      <c r="F230" s="62"/>
      <c r="G230" s="86"/>
      <c r="H230" s="86"/>
      <c r="I230" s="87"/>
      <c r="J230" s="88"/>
      <c r="K230" s="88"/>
      <c r="L230" s="95">
        <f t="shared" si="6"/>
        <v>0</v>
      </c>
      <c r="M230" s="96" t="b">
        <f>IF((ISNUMBER(L230)),IF(AND(F230="Workdays",(SUMIFS(O:O,F:F,F230,I:I,I230,B:B,B230)&lt;=24)),IF(AND((L230*24)&gt;0,(L230*24)&lt;=8),(L230*24)*MD!$M$5,IF(AND((L230*24)&gt;8,(L230*24)&lt;=16),(MD!$N$5),IF((L230*24)&gt;16,MD!$N$5))),IF(AND(F230="Non_workdays",(SUMIFS(O:O,F:F,F230,I:I,I230,B:B,B230)&lt;=24)),IF(AND((L230*24)&gt;0,(L230*24)&lt;=8),(L230*24)*MD!$M$6,IF(AND((L230*24)&gt;8,(L230*24)&lt;=16),(MD!$N$6),IF((L230*24)&gt;16,MD!$N$6))),IF(AND(F230="Call_out",(SUMIFS(O:O,F:F,F230,I:I,I230,B:B,B230)&lt;=24)),IF(AND((L230*24)&gt;0,(L230*24)&lt;=8),(L230*24)*MD!$P$4,IF(AND((L230*24)&gt;8,(L230*24)&lt;=16),(MD!$Q$4),IF((L230*24)&gt;16,MD!$Q$4)))))))</f>
        <v>0</v>
      </c>
      <c r="N230" s="62"/>
      <c r="O230" s="72">
        <f t="shared" si="7"/>
        <v>0</v>
      </c>
    </row>
    <row r="231" spans="1:15" x14ac:dyDescent="0.25">
      <c r="A231" s="62">
        <v>230</v>
      </c>
      <c r="B231" s="62"/>
      <c r="C231" s="68" t="str">
        <f>IF(ISNA(VLOOKUP($B231,CPY!$B:$G,2,FALSE))=TRUE," ",VLOOKUP($B231,CPY!$B:$G,2,FALSE))</f>
        <v> </v>
      </c>
      <c r="D231" s="50" t="str">
        <f>IF(ISNA(VLOOKUP($B231,CPY!$B:$G,3,FALSE))=TRUE," ",VLOOKUP($B231,CPY!$B:$G,3,FALSE))</f>
        <v> </v>
      </c>
      <c r="E231" s="65" t="str">
        <f>IF(ISNA(VLOOKUP($B231,CPY!$B:$G,4,FALSE))=TRUE," ",VLOOKUP($B231,CPY!$B:$G,4,FALSE))</f>
        <v> </v>
      </c>
      <c r="F231" s="62"/>
      <c r="G231" s="86"/>
      <c r="H231" s="86"/>
      <c r="I231" s="87"/>
      <c r="J231" s="88"/>
      <c r="K231" s="88"/>
      <c r="L231" s="95">
        <f t="shared" si="6"/>
        <v>0</v>
      </c>
      <c r="M231" s="96" t="b">
        <f>IF((ISNUMBER(L231)),IF(AND(F231="Workdays",(SUMIFS(O:O,F:F,F231,I:I,I231,B:B,B231)&lt;=24)),IF(AND((L231*24)&gt;0,(L231*24)&lt;=8),(L231*24)*MD!$M$5,IF(AND((L231*24)&gt;8,(L231*24)&lt;=16),(MD!$N$5),IF((L231*24)&gt;16,MD!$N$5))),IF(AND(F231="Non_workdays",(SUMIFS(O:O,F:F,F231,I:I,I231,B:B,B231)&lt;=24)),IF(AND((L231*24)&gt;0,(L231*24)&lt;=8),(L231*24)*MD!$M$6,IF(AND((L231*24)&gt;8,(L231*24)&lt;=16),(MD!$N$6),IF((L231*24)&gt;16,MD!$N$6))),IF(AND(F231="Call_out",(SUMIFS(O:O,F:F,F231,I:I,I231,B:B,B231)&lt;=24)),IF(AND((L231*24)&gt;0,(L231*24)&lt;=8),(L231*24)*MD!$P$4,IF(AND((L231*24)&gt;8,(L231*24)&lt;=16),(MD!$Q$4),IF((L231*24)&gt;16,MD!$Q$4)))))))</f>
        <v>0</v>
      </c>
      <c r="N231" s="62"/>
      <c r="O231" s="72">
        <f t="shared" si="7"/>
        <v>0</v>
      </c>
    </row>
    <row r="232" spans="1:15" x14ac:dyDescent="0.25">
      <c r="A232" s="62">
        <v>231</v>
      </c>
      <c r="B232" s="62"/>
      <c r="C232" s="68" t="str">
        <f>IF(ISNA(VLOOKUP($B232,CPY!$B:$G,2,FALSE))=TRUE," ",VLOOKUP($B232,CPY!$B:$G,2,FALSE))</f>
        <v> </v>
      </c>
      <c r="D232" s="50" t="str">
        <f>IF(ISNA(VLOOKUP($B232,CPY!$B:$G,3,FALSE))=TRUE," ",VLOOKUP($B232,CPY!$B:$G,3,FALSE))</f>
        <v> </v>
      </c>
      <c r="E232" s="65" t="str">
        <f>IF(ISNA(VLOOKUP($B232,CPY!$B:$G,4,FALSE))=TRUE," ",VLOOKUP($B232,CPY!$B:$G,4,FALSE))</f>
        <v> </v>
      </c>
      <c r="F232" s="62"/>
      <c r="G232" s="86"/>
      <c r="H232" s="86"/>
      <c r="I232" s="87"/>
      <c r="J232" s="88"/>
      <c r="K232" s="88"/>
      <c r="L232" s="95">
        <f t="shared" si="6"/>
        <v>0</v>
      </c>
      <c r="M232" s="96" t="b">
        <f>IF((ISNUMBER(L232)),IF(AND(F232="Workdays",(SUMIFS(O:O,F:F,F232,I:I,I232,B:B,B232)&lt;=24)),IF(AND((L232*24)&gt;0,(L232*24)&lt;=8),(L232*24)*MD!$M$5,IF(AND((L232*24)&gt;8,(L232*24)&lt;=16),(MD!$N$5),IF((L232*24)&gt;16,MD!$N$5))),IF(AND(F232="Non_workdays",(SUMIFS(O:O,F:F,F232,I:I,I232,B:B,B232)&lt;=24)),IF(AND((L232*24)&gt;0,(L232*24)&lt;=8),(L232*24)*MD!$M$6,IF(AND((L232*24)&gt;8,(L232*24)&lt;=16),(MD!$N$6),IF((L232*24)&gt;16,MD!$N$6))),IF(AND(F232="Call_out",(SUMIFS(O:O,F:F,F232,I:I,I232,B:B,B232)&lt;=24)),IF(AND((L232*24)&gt;0,(L232*24)&lt;=8),(L232*24)*MD!$P$4,IF(AND((L232*24)&gt;8,(L232*24)&lt;=16),(MD!$Q$4),IF((L232*24)&gt;16,MD!$Q$4)))))))</f>
        <v>0</v>
      </c>
      <c r="N232" s="62"/>
      <c r="O232" s="72">
        <f t="shared" si="7"/>
        <v>0</v>
      </c>
    </row>
    <row r="233" spans="1:15" x14ac:dyDescent="0.25">
      <c r="A233" s="62">
        <v>232</v>
      </c>
      <c r="B233" s="62"/>
      <c r="C233" s="68" t="str">
        <f>IF(ISNA(VLOOKUP($B233,CPY!$B:$G,2,FALSE))=TRUE," ",VLOOKUP($B233,CPY!$B:$G,2,FALSE))</f>
        <v> </v>
      </c>
      <c r="D233" s="50" t="str">
        <f>IF(ISNA(VLOOKUP($B233,CPY!$B:$G,3,FALSE))=TRUE," ",VLOOKUP($B233,CPY!$B:$G,3,FALSE))</f>
        <v> </v>
      </c>
      <c r="E233" s="65" t="str">
        <f>IF(ISNA(VLOOKUP($B233,CPY!$B:$G,4,FALSE))=TRUE," ",VLOOKUP($B233,CPY!$B:$G,4,FALSE))</f>
        <v> </v>
      </c>
      <c r="F233" s="62"/>
      <c r="G233" s="86"/>
      <c r="H233" s="86"/>
      <c r="I233" s="87"/>
      <c r="J233" s="88"/>
      <c r="K233" s="88"/>
      <c r="L233" s="95">
        <f t="shared" si="6"/>
        <v>0</v>
      </c>
      <c r="M233" s="96" t="b">
        <f>IF((ISNUMBER(L233)),IF(AND(F233="Workdays",(SUMIFS(O:O,F:F,F233,I:I,I233,B:B,B233)&lt;=24)),IF(AND((L233*24)&gt;0,(L233*24)&lt;=8),(L233*24)*MD!$M$5,IF(AND((L233*24)&gt;8,(L233*24)&lt;=16),(MD!$N$5),IF((L233*24)&gt;16,MD!$N$5))),IF(AND(F233="Non_workdays",(SUMIFS(O:O,F:F,F233,I:I,I233,B:B,B233)&lt;=24)),IF(AND((L233*24)&gt;0,(L233*24)&lt;=8),(L233*24)*MD!$M$6,IF(AND((L233*24)&gt;8,(L233*24)&lt;=16),(MD!$N$6),IF((L233*24)&gt;16,MD!$N$6))),IF(AND(F233="Call_out",(SUMIFS(O:O,F:F,F233,I:I,I233,B:B,B233)&lt;=24)),IF(AND((L233*24)&gt;0,(L233*24)&lt;=8),(L233*24)*MD!$P$4,IF(AND((L233*24)&gt;8,(L233*24)&lt;=16),(MD!$Q$4),IF((L233*24)&gt;16,MD!$Q$4)))))))</f>
        <v>0</v>
      </c>
      <c r="N233" s="62"/>
      <c r="O233" s="72">
        <f t="shared" si="7"/>
        <v>0</v>
      </c>
    </row>
    <row r="234" spans="1:15" x14ac:dyDescent="0.25">
      <c r="A234" s="62">
        <v>233</v>
      </c>
      <c r="B234" s="62"/>
      <c r="C234" s="68" t="str">
        <f>IF(ISNA(VLOOKUP($B234,CPY!$B:$G,2,FALSE))=TRUE," ",VLOOKUP($B234,CPY!$B:$G,2,FALSE))</f>
        <v> </v>
      </c>
      <c r="D234" s="50" t="str">
        <f>IF(ISNA(VLOOKUP($B234,CPY!$B:$G,3,FALSE))=TRUE," ",VLOOKUP($B234,CPY!$B:$G,3,FALSE))</f>
        <v> </v>
      </c>
      <c r="E234" s="65" t="str">
        <f>IF(ISNA(VLOOKUP($B234,CPY!$B:$G,4,FALSE))=TRUE," ",VLOOKUP($B234,CPY!$B:$G,4,FALSE))</f>
        <v> </v>
      </c>
      <c r="F234" s="62"/>
      <c r="G234" s="86"/>
      <c r="H234" s="86"/>
      <c r="I234" s="87"/>
      <c r="J234" s="88"/>
      <c r="K234" s="88"/>
      <c r="L234" s="95">
        <f t="shared" si="6"/>
        <v>0</v>
      </c>
      <c r="M234" s="96" t="b">
        <f>IF((ISNUMBER(L234)),IF(AND(F234="Workdays",(SUMIFS(O:O,F:F,F234,I:I,I234,B:B,B234)&lt;=24)),IF(AND((L234*24)&gt;0,(L234*24)&lt;=8),(L234*24)*MD!$M$5,IF(AND((L234*24)&gt;8,(L234*24)&lt;=16),(MD!$N$5),IF((L234*24)&gt;16,MD!$N$5))),IF(AND(F234="Non_workdays",(SUMIFS(O:O,F:F,F234,I:I,I234,B:B,B234)&lt;=24)),IF(AND((L234*24)&gt;0,(L234*24)&lt;=8),(L234*24)*MD!$M$6,IF(AND((L234*24)&gt;8,(L234*24)&lt;=16),(MD!$N$6),IF((L234*24)&gt;16,MD!$N$6))),IF(AND(F234="Call_out",(SUMIFS(O:O,F:F,F234,I:I,I234,B:B,B234)&lt;=24)),IF(AND((L234*24)&gt;0,(L234*24)&lt;=8),(L234*24)*MD!$P$4,IF(AND((L234*24)&gt;8,(L234*24)&lt;=16),(MD!$Q$4),IF((L234*24)&gt;16,MD!$Q$4)))))))</f>
        <v>0</v>
      </c>
      <c r="N234" s="62"/>
      <c r="O234" s="72">
        <f t="shared" si="7"/>
        <v>0</v>
      </c>
    </row>
    <row r="235" spans="1:15" x14ac:dyDescent="0.25">
      <c r="A235" s="62">
        <v>234</v>
      </c>
      <c r="B235" s="62"/>
      <c r="C235" s="68" t="str">
        <f>IF(ISNA(VLOOKUP($B235,CPY!$B:$G,2,FALSE))=TRUE," ",VLOOKUP($B235,CPY!$B:$G,2,FALSE))</f>
        <v> </v>
      </c>
      <c r="D235" s="50" t="str">
        <f>IF(ISNA(VLOOKUP($B235,CPY!$B:$G,3,FALSE))=TRUE," ",VLOOKUP($B235,CPY!$B:$G,3,FALSE))</f>
        <v> </v>
      </c>
      <c r="E235" s="65" t="str">
        <f>IF(ISNA(VLOOKUP($B235,CPY!$B:$G,4,FALSE))=TRUE," ",VLOOKUP($B235,CPY!$B:$G,4,FALSE))</f>
        <v> </v>
      </c>
      <c r="F235" s="62"/>
      <c r="G235" s="86"/>
      <c r="H235" s="86"/>
      <c r="I235" s="87"/>
      <c r="J235" s="88"/>
      <c r="K235" s="88"/>
      <c r="L235" s="95">
        <f t="shared" si="6"/>
        <v>0</v>
      </c>
      <c r="M235" s="96" t="b">
        <f>IF((ISNUMBER(L235)),IF(AND(F235="Workdays",(SUMIFS(O:O,F:F,F235,I:I,I235,B:B,B235)&lt;=24)),IF(AND((L235*24)&gt;0,(L235*24)&lt;=8),(L235*24)*MD!$M$5,IF(AND((L235*24)&gt;8,(L235*24)&lt;=16),(MD!$N$5),IF((L235*24)&gt;16,MD!$N$5))),IF(AND(F235="Non_workdays",(SUMIFS(O:O,F:F,F235,I:I,I235,B:B,B235)&lt;=24)),IF(AND((L235*24)&gt;0,(L235*24)&lt;=8),(L235*24)*MD!$M$6,IF(AND((L235*24)&gt;8,(L235*24)&lt;=16),(MD!$N$6),IF((L235*24)&gt;16,MD!$N$6))),IF(AND(F235="Call_out",(SUMIFS(O:O,F:F,F235,I:I,I235,B:B,B235)&lt;=24)),IF(AND((L235*24)&gt;0,(L235*24)&lt;=8),(L235*24)*MD!$P$4,IF(AND((L235*24)&gt;8,(L235*24)&lt;=16),(MD!$Q$4),IF((L235*24)&gt;16,MD!$Q$4)))))))</f>
        <v>0</v>
      </c>
      <c r="N235" s="62"/>
      <c r="O235" s="72">
        <f t="shared" si="7"/>
        <v>0</v>
      </c>
    </row>
    <row r="236" spans="1:15" x14ac:dyDescent="0.25">
      <c r="A236" s="62">
        <v>235</v>
      </c>
      <c r="B236" s="62"/>
      <c r="C236" s="68" t="str">
        <f>IF(ISNA(VLOOKUP($B236,CPY!$B:$G,2,FALSE))=TRUE," ",VLOOKUP($B236,CPY!$B:$G,2,FALSE))</f>
        <v> </v>
      </c>
      <c r="D236" s="50" t="str">
        <f>IF(ISNA(VLOOKUP($B236,CPY!$B:$G,3,FALSE))=TRUE," ",VLOOKUP($B236,CPY!$B:$G,3,FALSE))</f>
        <v> </v>
      </c>
      <c r="E236" s="65" t="str">
        <f>IF(ISNA(VLOOKUP($B236,CPY!$B:$G,4,FALSE))=TRUE," ",VLOOKUP($B236,CPY!$B:$G,4,FALSE))</f>
        <v> </v>
      </c>
      <c r="F236" s="62"/>
      <c r="G236" s="86"/>
      <c r="H236" s="86"/>
      <c r="I236" s="87"/>
      <c r="J236" s="88"/>
      <c r="K236" s="88"/>
      <c r="L236" s="95">
        <f t="shared" si="6"/>
        <v>0</v>
      </c>
      <c r="M236" s="96" t="b">
        <f>IF((ISNUMBER(L236)),IF(AND(F236="Workdays",(SUMIFS(O:O,F:F,F236,I:I,I236,B:B,B236)&lt;=24)),IF(AND((L236*24)&gt;0,(L236*24)&lt;=8),(L236*24)*MD!$M$5,IF(AND((L236*24)&gt;8,(L236*24)&lt;=16),(MD!$N$5),IF((L236*24)&gt;16,MD!$N$5))),IF(AND(F236="Non_workdays",(SUMIFS(O:O,F:F,F236,I:I,I236,B:B,B236)&lt;=24)),IF(AND((L236*24)&gt;0,(L236*24)&lt;=8),(L236*24)*MD!$M$6,IF(AND((L236*24)&gt;8,(L236*24)&lt;=16),(MD!$N$6),IF((L236*24)&gt;16,MD!$N$6))),IF(AND(F236="Call_out",(SUMIFS(O:O,F:F,F236,I:I,I236,B:B,B236)&lt;=24)),IF(AND((L236*24)&gt;0,(L236*24)&lt;=8),(L236*24)*MD!$P$4,IF(AND((L236*24)&gt;8,(L236*24)&lt;=16),(MD!$Q$4),IF((L236*24)&gt;16,MD!$Q$4)))))))</f>
        <v>0</v>
      </c>
      <c r="N236" s="62"/>
      <c r="O236" s="72">
        <f t="shared" si="7"/>
        <v>0</v>
      </c>
    </row>
    <row r="237" spans="1:15" x14ac:dyDescent="0.25">
      <c r="A237" s="62">
        <v>236</v>
      </c>
      <c r="B237" s="62"/>
      <c r="C237" s="68" t="str">
        <f>IF(ISNA(VLOOKUP($B237,CPY!$B:$G,2,FALSE))=TRUE," ",VLOOKUP($B237,CPY!$B:$G,2,FALSE))</f>
        <v> </v>
      </c>
      <c r="D237" s="50" t="str">
        <f>IF(ISNA(VLOOKUP($B237,CPY!$B:$G,3,FALSE))=TRUE," ",VLOOKUP($B237,CPY!$B:$G,3,FALSE))</f>
        <v> </v>
      </c>
      <c r="E237" s="65" t="str">
        <f>IF(ISNA(VLOOKUP($B237,CPY!$B:$G,4,FALSE))=TRUE," ",VLOOKUP($B237,CPY!$B:$G,4,FALSE))</f>
        <v> </v>
      </c>
      <c r="F237" s="62"/>
      <c r="G237" s="86"/>
      <c r="H237" s="86"/>
      <c r="I237" s="87"/>
      <c r="J237" s="88"/>
      <c r="K237" s="88"/>
      <c r="L237" s="95">
        <f t="shared" si="6"/>
        <v>0</v>
      </c>
      <c r="M237" s="96" t="b">
        <f>IF((ISNUMBER(L237)),IF(AND(F237="Workdays",(SUMIFS(O:O,F:F,F237,I:I,I237,B:B,B237)&lt;=24)),IF(AND((L237*24)&gt;0,(L237*24)&lt;=8),(L237*24)*MD!$M$5,IF(AND((L237*24)&gt;8,(L237*24)&lt;=16),(MD!$N$5),IF((L237*24)&gt;16,MD!$N$5))),IF(AND(F237="Non_workdays",(SUMIFS(O:O,F:F,F237,I:I,I237,B:B,B237)&lt;=24)),IF(AND((L237*24)&gt;0,(L237*24)&lt;=8),(L237*24)*MD!$M$6,IF(AND((L237*24)&gt;8,(L237*24)&lt;=16),(MD!$N$6),IF((L237*24)&gt;16,MD!$N$6))),IF(AND(F237="Call_out",(SUMIFS(O:O,F:F,F237,I:I,I237,B:B,B237)&lt;=24)),IF(AND((L237*24)&gt;0,(L237*24)&lt;=8),(L237*24)*MD!$P$4,IF(AND((L237*24)&gt;8,(L237*24)&lt;=16),(MD!$Q$4),IF((L237*24)&gt;16,MD!$Q$4)))))))</f>
        <v>0</v>
      </c>
      <c r="N237" s="62"/>
      <c r="O237" s="72">
        <f t="shared" si="7"/>
        <v>0</v>
      </c>
    </row>
    <row r="238" spans="1:15" x14ac:dyDescent="0.25">
      <c r="A238" s="62">
        <v>237</v>
      </c>
      <c r="B238" s="62"/>
      <c r="C238" s="68" t="str">
        <f>IF(ISNA(VLOOKUP($B238,CPY!$B:$G,2,FALSE))=TRUE," ",VLOOKUP($B238,CPY!$B:$G,2,FALSE))</f>
        <v> </v>
      </c>
      <c r="D238" s="50" t="str">
        <f>IF(ISNA(VLOOKUP($B238,CPY!$B:$G,3,FALSE))=TRUE," ",VLOOKUP($B238,CPY!$B:$G,3,FALSE))</f>
        <v> </v>
      </c>
      <c r="E238" s="65" t="str">
        <f>IF(ISNA(VLOOKUP($B238,CPY!$B:$G,4,FALSE))=TRUE," ",VLOOKUP($B238,CPY!$B:$G,4,FALSE))</f>
        <v> </v>
      </c>
      <c r="F238" s="62"/>
      <c r="G238" s="86"/>
      <c r="H238" s="86"/>
      <c r="I238" s="87"/>
      <c r="J238" s="88"/>
      <c r="K238" s="88"/>
      <c r="L238" s="95">
        <f t="shared" si="6"/>
        <v>0</v>
      </c>
      <c r="M238" s="96" t="b">
        <f>IF((ISNUMBER(L238)),IF(AND(F238="Workdays",(SUMIFS(O:O,F:F,F238,I:I,I238,B:B,B238)&lt;=24)),IF(AND((L238*24)&gt;0,(L238*24)&lt;=8),(L238*24)*MD!$M$5,IF(AND((L238*24)&gt;8,(L238*24)&lt;=16),(MD!$N$5),IF((L238*24)&gt;16,MD!$N$5))),IF(AND(F238="Non_workdays",(SUMIFS(O:O,F:F,F238,I:I,I238,B:B,B238)&lt;=24)),IF(AND((L238*24)&gt;0,(L238*24)&lt;=8),(L238*24)*MD!$M$6,IF(AND((L238*24)&gt;8,(L238*24)&lt;=16),(MD!$N$6),IF((L238*24)&gt;16,MD!$N$6))),IF(AND(F238="Call_out",(SUMIFS(O:O,F:F,F238,I:I,I238,B:B,B238)&lt;=24)),IF(AND((L238*24)&gt;0,(L238*24)&lt;=8),(L238*24)*MD!$P$4,IF(AND((L238*24)&gt;8,(L238*24)&lt;=16),(MD!$Q$4),IF((L238*24)&gt;16,MD!$Q$4)))))))</f>
        <v>0</v>
      </c>
      <c r="N238" s="62"/>
      <c r="O238" s="72">
        <f t="shared" si="7"/>
        <v>0</v>
      </c>
    </row>
    <row r="239" spans="1:15" x14ac:dyDescent="0.25">
      <c r="A239" s="62">
        <v>238</v>
      </c>
      <c r="B239" s="62"/>
      <c r="C239" s="68" t="str">
        <f>IF(ISNA(VLOOKUP($B239,CPY!$B:$G,2,FALSE))=TRUE," ",VLOOKUP($B239,CPY!$B:$G,2,FALSE))</f>
        <v> </v>
      </c>
      <c r="D239" s="50" t="str">
        <f>IF(ISNA(VLOOKUP($B239,CPY!$B:$G,3,FALSE))=TRUE," ",VLOOKUP($B239,CPY!$B:$G,3,FALSE))</f>
        <v> </v>
      </c>
      <c r="E239" s="65" t="str">
        <f>IF(ISNA(VLOOKUP($B239,CPY!$B:$G,4,FALSE))=TRUE," ",VLOOKUP($B239,CPY!$B:$G,4,FALSE))</f>
        <v> </v>
      </c>
      <c r="F239" s="62"/>
      <c r="G239" s="86"/>
      <c r="H239" s="86"/>
      <c r="I239" s="87"/>
      <c r="J239" s="88"/>
      <c r="K239" s="88"/>
      <c r="L239" s="95">
        <f t="shared" si="6"/>
        <v>0</v>
      </c>
      <c r="M239" s="96" t="b">
        <f>IF((ISNUMBER(L239)),IF(AND(F239="Workdays",(SUMIFS(O:O,F:F,F239,I:I,I239,B:B,B239)&lt;=24)),IF(AND((L239*24)&gt;0,(L239*24)&lt;=8),(L239*24)*MD!$M$5,IF(AND((L239*24)&gt;8,(L239*24)&lt;=16),(MD!$N$5),IF((L239*24)&gt;16,MD!$N$5))),IF(AND(F239="Non_workdays",(SUMIFS(O:O,F:F,F239,I:I,I239,B:B,B239)&lt;=24)),IF(AND((L239*24)&gt;0,(L239*24)&lt;=8),(L239*24)*MD!$M$6,IF(AND((L239*24)&gt;8,(L239*24)&lt;=16),(MD!$N$6),IF((L239*24)&gt;16,MD!$N$6))),IF(AND(F239="Call_out",(SUMIFS(O:O,F:F,F239,I:I,I239,B:B,B239)&lt;=24)),IF(AND((L239*24)&gt;0,(L239*24)&lt;=8),(L239*24)*MD!$P$4,IF(AND((L239*24)&gt;8,(L239*24)&lt;=16),(MD!$Q$4),IF((L239*24)&gt;16,MD!$Q$4)))))))</f>
        <v>0</v>
      </c>
      <c r="N239" s="62"/>
      <c r="O239" s="72">
        <f t="shared" si="7"/>
        <v>0</v>
      </c>
    </row>
    <row r="240" spans="1:15" x14ac:dyDescent="0.25">
      <c r="A240" s="62">
        <v>239</v>
      </c>
      <c r="B240" s="62"/>
      <c r="C240" s="68" t="str">
        <f>IF(ISNA(VLOOKUP($B240,CPY!$B:$G,2,FALSE))=TRUE," ",VLOOKUP($B240,CPY!$B:$G,2,FALSE))</f>
        <v> </v>
      </c>
      <c r="D240" s="50" t="str">
        <f>IF(ISNA(VLOOKUP($B240,CPY!$B:$G,3,FALSE))=TRUE," ",VLOOKUP($B240,CPY!$B:$G,3,FALSE))</f>
        <v> </v>
      </c>
      <c r="E240" s="65" t="str">
        <f>IF(ISNA(VLOOKUP($B240,CPY!$B:$G,4,FALSE))=TRUE," ",VLOOKUP($B240,CPY!$B:$G,4,FALSE))</f>
        <v> </v>
      </c>
      <c r="F240" s="62"/>
      <c r="G240" s="86"/>
      <c r="H240" s="86"/>
      <c r="I240" s="87"/>
      <c r="J240" s="88"/>
      <c r="K240" s="88"/>
      <c r="L240" s="95">
        <f t="shared" si="6"/>
        <v>0</v>
      </c>
      <c r="M240" s="96" t="b">
        <f>IF((ISNUMBER(L240)),IF(AND(F240="Workdays",(SUMIFS(O:O,F:F,F240,I:I,I240,B:B,B240)&lt;=24)),IF(AND((L240*24)&gt;0,(L240*24)&lt;=8),(L240*24)*MD!$M$5,IF(AND((L240*24)&gt;8,(L240*24)&lt;=16),(MD!$N$5),IF((L240*24)&gt;16,MD!$N$5))),IF(AND(F240="Non_workdays",(SUMIFS(O:O,F:F,F240,I:I,I240,B:B,B240)&lt;=24)),IF(AND((L240*24)&gt;0,(L240*24)&lt;=8),(L240*24)*MD!$M$6,IF(AND((L240*24)&gt;8,(L240*24)&lt;=16),(MD!$N$6),IF((L240*24)&gt;16,MD!$N$6))),IF(AND(F240="Call_out",(SUMIFS(O:O,F:F,F240,I:I,I240,B:B,B240)&lt;=24)),IF(AND((L240*24)&gt;0,(L240*24)&lt;=8),(L240*24)*MD!$P$4,IF(AND((L240*24)&gt;8,(L240*24)&lt;=16),(MD!$Q$4),IF((L240*24)&gt;16,MD!$Q$4)))))))</f>
        <v>0</v>
      </c>
      <c r="N240" s="62"/>
      <c r="O240" s="72">
        <f t="shared" si="7"/>
        <v>0</v>
      </c>
    </row>
    <row r="241" spans="1:15" x14ac:dyDescent="0.25">
      <c r="A241" s="62">
        <v>240</v>
      </c>
      <c r="B241" s="62"/>
      <c r="C241" s="68" t="str">
        <f>IF(ISNA(VLOOKUP($B241,CPY!$B:$G,2,FALSE))=TRUE," ",VLOOKUP($B241,CPY!$B:$G,2,FALSE))</f>
        <v> </v>
      </c>
      <c r="D241" s="50" t="str">
        <f>IF(ISNA(VLOOKUP($B241,CPY!$B:$G,3,FALSE))=TRUE," ",VLOOKUP($B241,CPY!$B:$G,3,FALSE))</f>
        <v> </v>
      </c>
      <c r="E241" s="65" t="str">
        <f>IF(ISNA(VLOOKUP($B241,CPY!$B:$G,4,FALSE))=TRUE," ",VLOOKUP($B241,CPY!$B:$G,4,FALSE))</f>
        <v> </v>
      </c>
      <c r="F241" s="62"/>
      <c r="G241" s="86"/>
      <c r="H241" s="86"/>
      <c r="I241" s="87"/>
      <c r="J241" s="88"/>
      <c r="K241" s="88"/>
      <c r="L241" s="95">
        <f t="shared" si="6"/>
        <v>0</v>
      </c>
      <c r="M241" s="96" t="b">
        <f>IF((ISNUMBER(L241)),IF(AND(F241="Workdays",(SUMIFS(O:O,F:F,F241,I:I,I241,B:B,B241)&lt;=24)),IF(AND((L241*24)&gt;0,(L241*24)&lt;=8),(L241*24)*MD!$M$5,IF(AND((L241*24)&gt;8,(L241*24)&lt;=16),(MD!$N$5),IF((L241*24)&gt;16,MD!$N$5))),IF(AND(F241="Non_workdays",(SUMIFS(O:O,F:F,F241,I:I,I241,B:B,B241)&lt;=24)),IF(AND((L241*24)&gt;0,(L241*24)&lt;=8),(L241*24)*MD!$M$6,IF(AND((L241*24)&gt;8,(L241*24)&lt;=16),(MD!$N$6),IF((L241*24)&gt;16,MD!$N$6))),IF(AND(F241="Call_out",(SUMIFS(O:O,F:F,F241,I:I,I241,B:B,B241)&lt;=24)),IF(AND((L241*24)&gt;0,(L241*24)&lt;=8),(L241*24)*MD!$P$4,IF(AND((L241*24)&gt;8,(L241*24)&lt;=16),(MD!$Q$4),IF((L241*24)&gt;16,MD!$Q$4)))))))</f>
        <v>0</v>
      </c>
      <c r="N241" s="62"/>
      <c r="O241" s="72">
        <f t="shared" si="7"/>
        <v>0</v>
      </c>
    </row>
    <row r="242" spans="1:15" x14ac:dyDescent="0.25">
      <c r="A242" s="62">
        <v>241</v>
      </c>
      <c r="B242" s="62"/>
      <c r="C242" s="68" t="str">
        <f>IF(ISNA(VLOOKUP($B242,CPY!$B:$G,2,FALSE))=TRUE," ",VLOOKUP($B242,CPY!$B:$G,2,FALSE))</f>
        <v> </v>
      </c>
      <c r="D242" s="50" t="str">
        <f>IF(ISNA(VLOOKUP($B242,CPY!$B:$G,3,FALSE))=TRUE," ",VLOOKUP($B242,CPY!$B:$G,3,FALSE))</f>
        <v> </v>
      </c>
      <c r="E242" s="65" t="str">
        <f>IF(ISNA(VLOOKUP($B242,CPY!$B:$G,4,FALSE))=TRUE," ",VLOOKUP($B242,CPY!$B:$G,4,FALSE))</f>
        <v> </v>
      </c>
      <c r="F242" s="62"/>
      <c r="G242" s="86"/>
      <c r="H242" s="86"/>
      <c r="I242" s="87"/>
      <c r="J242" s="88"/>
      <c r="K242" s="88"/>
      <c r="L242" s="95">
        <f t="shared" si="6"/>
        <v>0</v>
      </c>
      <c r="M242" s="96" t="b">
        <f>IF((ISNUMBER(L242)),IF(AND(F242="Workdays",(SUMIFS(O:O,F:F,F242,I:I,I242,B:B,B242)&lt;=24)),IF(AND((L242*24)&gt;0,(L242*24)&lt;=8),(L242*24)*MD!$M$5,IF(AND((L242*24)&gt;8,(L242*24)&lt;=16),(MD!$N$5),IF((L242*24)&gt;16,MD!$N$5))),IF(AND(F242="Non_workdays",(SUMIFS(O:O,F:F,F242,I:I,I242,B:B,B242)&lt;=24)),IF(AND((L242*24)&gt;0,(L242*24)&lt;=8),(L242*24)*MD!$M$6,IF(AND((L242*24)&gt;8,(L242*24)&lt;=16),(MD!$N$6),IF((L242*24)&gt;16,MD!$N$6))),IF(AND(F242="Call_out",(SUMIFS(O:O,F:F,F242,I:I,I242,B:B,B242)&lt;=24)),IF(AND((L242*24)&gt;0,(L242*24)&lt;=8),(L242*24)*MD!$P$4,IF(AND((L242*24)&gt;8,(L242*24)&lt;=16),(MD!$Q$4),IF((L242*24)&gt;16,MD!$Q$4)))))))</f>
        <v>0</v>
      </c>
      <c r="N242" s="62"/>
      <c r="O242" s="72">
        <f t="shared" si="7"/>
        <v>0</v>
      </c>
    </row>
    <row r="243" spans="1:15" x14ac:dyDescent="0.25">
      <c r="A243" s="62">
        <v>242</v>
      </c>
      <c r="B243" s="62"/>
      <c r="C243" s="68" t="str">
        <f>IF(ISNA(VLOOKUP($B243,CPY!$B:$G,2,FALSE))=TRUE," ",VLOOKUP($B243,CPY!$B:$G,2,FALSE))</f>
        <v> </v>
      </c>
      <c r="D243" s="50" t="str">
        <f>IF(ISNA(VLOOKUP($B243,CPY!$B:$G,3,FALSE))=TRUE," ",VLOOKUP($B243,CPY!$B:$G,3,FALSE))</f>
        <v> </v>
      </c>
      <c r="E243" s="65" t="str">
        <f>IF(ISNA(VLOOKUP($B243,CPY!$B:$G,4,FALSE))=TRUE," ",VLOOKUP($B243,CPY!$B:$G,4,FALSE))</f>
        <v> </v>
      </c>
      <c r="F243" s="62"/>
      <c r="G243" s="86"/>
      <c r="H243" s="86"/>
      <c r="I243" s="87"/>
      <c r="J243" s="88"/>
      <c r="K243" s="88"/>
      <c r="L243" s="95">
        <f t="shared" si="6"/>
        <v>0</v>
      </c>
      <c r="M243" s="96" t="b">
        <f>IF((ISNUMBER(L243)),IF(AND(F243="Workdays",(SUMIFS(O:O,F:F,F243,I:I,I243,B:B,B243)&lt;=24)),IF(AND((L243*24)&gt;0,(L243*24)&lt;=8),(L243*24)*MD!$M$5,IF(AND((L243*24)&gt;8,(L243*24)&lt;=16),(MD!$N$5),IF((L243*24)&gt;16,MD!$N$5))),IF(AND(F243="Non_workdays",(SUMIFS(O:O,F:F,F243,I:I,I243,B:B,B243)&lt;=24)),IF(AND((L243*24)&gt;0,(L243*24)&lt;=8),(L243*24)*MD!$M$6,IF(AND((L243*24)&gt;8,(L243*24)&lt;=16),(MD!$N$6),IF((L243*24)&gt;16,MD!$N$6))),IF(AND(F243="Call_out",(SUMIFS(O:O,F:F,F243,I:I,I243,B:B,B243)&lt;=24)),IF(AND((L243*24)&gt;0,(L243*24)&lt;=8),(L243*24)*MD!$P$4,IF(AND((L243*24)&gt;8,(L243*24)&lt;=16),(MD!$Q$4),IF((L243*24)&gt;16,MD!$Q$4)))))))</f>
        <v>0</v>
      </c>
      <c r="N243" s="62"/>
      <c r="O243" s="72">
        <f t="shared" si="7"/>
        <v>0</v>
      </c>
    </row>
    <row r="244" spans="1:15" x14ac:dyDescent="0.25">
      <c r="A244" s="62">
        <v>243</v>
      </c>
      <c r="B244" s="62"/>
      <c r="C244" s="68" t="str">
        <f>IF(ISNA(VLOOKUP($B244,CPY!$B:$G,2,FALSE))=TRUE," ",VLOOKUP($B244,CPY!$B:$G,2,FALSE))</f>
        <v> </v>
      </c>
      <c r="D244" s="50" t="str">
        <f>IF(ISNA(VLOOKUP($B244,CPY!$B:$G,3,FALSE))=TRUE," ",VLOOKUP($B244,CPY!$B:$G,3,FALSE))</f>
        <v> </v>
      </c>
      <c r="E244" s="65" t="str">
        <f>IF(ISNA(VLOOKUP($B244,CPY!$B:$G,4,FALSE))=TRUE," ",VLOOKUP($B244,CPY!$B:$G,4,FALSE))</f>
        <v> </v>
      </c>
      <c r="F244" s="62"/>
      <c r="G244" s="86"/>
      <c r="H244" s="86"/>
      <c r="I244" s="87"/>
      <c r="J244" s="88"/>
      <c r="K244" s="88"/>
      <c r="L244" s="95">
        <f t="shared" si="6"/>
        <v>0</v>
      </c>
      <c r="M244" s="96" t="b">
        <f>IF((ISNUMBER(L244)),IF(AND(F244="Workdays",(SUMIFS(O:O,F:F,F244,I:I,I244,B:B,B244)&lt;=24)),IF(AND((L244*24)&gt;0,(L244*24)&lt;=8),(L244*24)*MD!$M$5,IF(AND((L244*24)&gt;8,(L244*24)&lt;=16),(MD!$N$5),IF((L244*24)&gt;16,MD!$N$5))),IF(AND(F244="Non_workdays",(SUMIFS(O:O,F:F,F244,I:I,I244,B:B,B244)&lt;=24)),IF(AND((L244*24)&gt;0,(L244*24)&lt;=8),(L244*24)*MD!$M$6,IF(AND((L244*24)&gt;8,(L244*24)&lt;=16),(MD!$N$6),IF((L244*24)&gt;16,MD!$N$6))),IF(AND(F244="Call_out",(SUMIFS(O:O,F:F,F244,I:I,I244,B:B,B244)&lt;=24)),IF(AND((L244*24)&gt;0,(L244*24)&lt;=8),(L244*24)*MD!$P$4,IF(AND((L244*24)&gt;8,(L244*24)&lt;=16),(MD!$Q$4),IF((L244*24)&gt;16,MD!$Q$4)))))))</f>
        <v>0</v>
      </c>
      <c r="N244" s="62"/>
      <c r="O244" s="72">
        <f t="shared" si="7"/>
        <v>0</v>
      </c>
    </row>
    <row r="245" spans="1:15" x14ac:dyDescent="0.25">
      <c r="A245" s="62">
        <v>244</v>
      </c>
      <c r="B245" s="62"/>
      <c r="C245" s="68" t="str">
        <f>IF(ISNA(VLOOKUP($B245,CPY!$B:$G,2,FALSE))=TRUE," ",VLOOKUP($B245,CPY!$B:$G,2,FALSE))</f>
        <v> </v>
      </c>
      <c r="D245" s="50" t="str">
        <f>IF(ISNA(VLOOKUP($B245,CPY!$B:$G,3,FALSE))=TRUE," ",VLOOKUP($B245,CPY!$B:$G,3,FALSE))</f>
        <v> </v>
      </c>
      <c r="E245" s="65" t="str">
        <f>IF(ISNA(VLOOKUP($B245,CPY!$B:$G,4,FALSE))=TRUE," ",VLOOKUP($B245,CPY!$B:$G,4,FALSE))</f>
        <v> </v>
      </c>
      <c r="F245" s="62"/>
      <c r="G245" s="86"/>
      <c r="H245" s="86"/>
      <c r="I245" s="87"/>
      <c r="J245" s="88"/>
      <c r="K245" s="88"/>
      <c r="L245" s="95">
        <f t="shared" si="6"/>
        <v>0</v>
      </c>
      <c r="M245" s="96" t="b">
        <f>IF((ISNUMBER(L245)),IF(AND(F245="Workdays",(SUMIFS(O:O,F:F,F245,I:I,I245,B:B,B245)&lt;=24)),IF(AND((L245*24)&gt;0,(L245*24)&lt;=8),(L245*24)*MD!$M$5,IF(AND((L245*24)&gt;8,(L245*24)&lt;=16),(MD!$N$5),IF((L245*24)&gt;16,MD!$N$5))),IF(AND(F245="Non_workdays",(SUMIFS(O:O,F:F,F245,I:I,I245,B:B,B245)&lt;=24)),IF(AND((L245*24)&gt;0,(L245*24)&lt;=8),(L245*24)*MD!$M$6,IF(AND((L245*24)&gt;8,(L245*24)&lt;=16),(MD!$N$6),IF((L245*24)&gt;16,MD!$N$6))),IF(AND(F245="Call_out",(SUMIFS(O:O,F:F,F245,I:I,I245,B:B,B245)&lt;=24)),IF(AND((L245*24)&gt;0,(L245*24)&lt;=8),(L245*24)*MD!$P$4,IF(AND((L245*24)&gt;8,(L245*24)&lt;=16),(MD!$Q$4),IF((L245*24)&gt;16,MD!$Q$4)))))))</f>
        <v>0</v>
      </c>
      <c r="N245" s="62"/>
      <c r="O245" s="72">
        <f t="shared" si="7"/>
        <v>0</v>
      </c>
    </row>
    <row r="246" spans="1:15" x14ac:dyDescent="0.25">
      <c r="A246" s="62">
        <v>245</v>
      </c>
      <c r="B246" s="62"/>
      <c r="C246" s="68" t="str">
        <f>IF(ISNA(VLOOKUP($B246,CPY!$B:$G,2,FALSE))=TRUE," ",VLOOKUP($B246,CPY!$B:$G,2,FALSE))</f>
        <v> </v>
      </c>
      <c r="D246" s="50" t="str">
        <f>IF(ISNA(VLOOKUP($B246,CPY!$B:$G,3,FALSE))=TRUE," ",VLOOKUP($B246,CPY!$B:$G,3,FALSE))</f>
        <v> </v>
      </c>
      <c r="E246" s="65" t="str">
        <f>IF(ISNA(VLOOKUP($B246,CPY!$B:$G,4,FALSE))=TRUE," ",VLOOKUP($B246,CPY!$B:$G,4,FALSE))</f>
        <v> </v>
      </c>
      <c r="F246" s="62"/>
      <c r="G246" s="86"/>
      <c r="H246" s="86"/>
      <c r="I246" s="87"/>
      <c r="J246" s="88"/>
      <c r="K246" s="88"/>
      <c r="L246" s="95">
        <f t="shared" si="6"/>
        <v>0</v>
      </c>
      <c r="M246" s="96" t="b">
        <f>IF((ISNUMBER(L246)),IF(AND(F246="Workdays",(SUMIFS(O:O,F:F,F246,I:I,I246,B:B,B246)&lt;=24)),IF(AND((L246*24)&gt;0,(L246*24)&lt;=8),(L246*24)*MD!$M$5,IF(AND((L246*24)&gt;8,(L246*24)&lt;=16),(MD!$N$5),IF((L246*24)&gt;16,MD!$N$5))),IF(AND(F246="Non_workdays",(SUMIFS(O:O,F:F,F246,I:I,I246,B:B,B246)&lt;=24)),IF(AND((L246*24)&gt;0,(L246*24)&lt;=8),(L246*24)*MD!$M$6,IF(AND((L246*24)&gt;8,(L246*24)&lt;=16),(MD!$N$6),IF((L246*24)&gt;16,MD!$N$6))),IF(AND(F246="Call_out",(SUMIFS(O:O,F:F,F246,I:I,I246,B:B,B246)&lt;=24)),IF(AND((L246*24)&gt;0,(L246*24)&lt;=8),(L246*24)*MD!$P$4,IF(AND((L246*24)&gt;8,(L246*24)&lt;=16),(MD!$Q$4),IF((L246*24)&gt;16,MD!$Q$4)))))))</f>
        <v>0</v>
      </c>
      <c r="N246" s="62"/>
      <c r="O246" s="72">
        <f t="shared" si="7"/>
        <v>0</v>
      </c>
    </row>
    <row r="247" spans="1:15" x14ac:dyDescent="0.25">
      <c r="A247" s="62">
        <v>246</v>
      </c>
      <c r="B247" s="62"/>
      <c r="C247" s="68" t="str">
        <f>IF(ISNA(VLOOKUP($B247,CPY!$B:$G,2,FALSE))=TRUE," ",VLOOKUP($B247,CPY!$B:$G,2,FALSE))</f>
        <v> </v>
      </c>
      <c r="D247" s="50" t="str">
        <f>IF(ISNA(VLOOKUP($B247,CPY!$B:$G,3,FALSE))=TRUE," ",VLOOKUP($B247,CPY!$B:$G,3,FALSE))</f>
        <v> </v>
      </c>
      <c r="E247" s="65" t="str">
        <f>IF(ISNA(VLOOKUP($B247,CPY!$B:$G,4,FALSE))=TRUE," ",VLOOKUP($B247,CPY!$B:$G,4,FALSE))</f>
        <v> </v>
      </c>
      <c r="F247" s="62"/>
      <c r="G247" s="86"/>
      <c r="H247" s="86"/>
      <c r="I247" s="87"/>
      <c r="J247" s="88"/>
      <c r="K247" s="88"/>
      <c r="L247" s="95">
        <f t="shared" si="6"/>
        <v>0</v>
      </c>
      <c r="M247" s="96" t="b">
        <f>IF((ISNUMBER(L247)),IF(AND(F247="Workdays",(SUMIFS(O:O,F:F,F247,I:I,I247,B:B,B247)&lt;=24)),IF(AND((L247*24)&gt;0,(L247*24)&lt;=8),(L247*24)*MD!$M$5,IF(AND((L247*24)&gt;8,(L247*24)&lt;=16),(MD!$N$5),IF((L247*24)&gt;16,MD!$N$5))),IF(AND(F247="Non_workdays",(SUMIFS(O:O,F:F,F247,I:I,I247,B:B,B247)&lt;=24)),IF(AND((L247*24)&gt;0,(L247*24)&lt;=8),(L247*24)*MD!$M$6,IF(AND((L247*24)&gt;8,(L247*24)&lt;=16),(MD!$N$6),IF((L247*24)&gt;16,MD!$N$6))),IF(AND(F247="Call_out",(SUMIFS(O:O,F:F,F247,I:I,I247,B:B,B247)&lt;=24)),IF(AND((L247*24)&gt;0,(L247*24)&lt;=8),(L247*24)*MD!$P$4,IF(AND((L247*24)&gt;8,(L247*24)&lt;=16),(MD!$Q$4),IF((L247*24)&gt;16,MD!$Q$4)))))))</f>
        <v>0</v>
      </c>
      <c r="N247" s="62"/>
      <c r="O247" s="72">
        <f t="shared" si="7"/>
        <v>0</v>
      </c>
    </row>
    <row r="248" spans="1:15" x14ac:dyDescent="0.25">
      <c r="A248" s="62">
        <v>247</v>
      </c>
      <c r="B248" s="62"/>
      <c r="C248" s="68" t="str">
        <f>IF(ISNA(VLOOKUP($B248,CPY!$B:$G,2,FALSE))=TRUE," ",VLOOKUP($B248,CPY!$B:$G,2,FALSE))</f>
        <v> </v>
      </c>
      <c r="D248" s="50" t="str">
        <f>IF(ISNA(VLOOKUP($B248,CPY!$B:$G,3,FALSE))=TRUE," ",VLOOKUP($B248,CPY!$B:$G,3,FALSE))</f>
        <v> </v>
      </c>
      <c r="E248" s="65" t="str">
        <f>IF(ISNA(VLOOKUP($B248,CPY!$B:$G,4,FALSE))=TRUE," ",VLOOKUP($B248,CPY!$B:$G,4,FALSE))</f>
        <v> </v>
      </c>
      <c r="F248" s="62"/>
      <c r="G248" s="86"/>
      <c r="H248" s="86"/>
      <c r="I248" s="87"/>
      <c r="J248" s="88"/>
      <c r="K248" s="88"/>
      <c r="L248" s="95">
        <f t="shared" si="6"/>
        <v>0</v>
      </c>
      <c r="M248" s="96" t="b">
        <f>IF((ISNUMBER(L248)),IF(AND(F248="Workdays",(SUMIFS(O:O,F:F,F248,I:I,I248,B:B,B248)&lt;=24)),IF(AND((L248*24)&gt;0,(L248*24)&lt;=8),(L248*24)*MD!$M$5,IF(AND((L248*24)&gt;8,(L248*24)&lt;=16),(MD!$N$5),IF((L248*24)&gt;16,MD!$N$5))),IF(AND(F248="Non_workdays",(SUMIFS(O:O,F:F,F248,I:I,I248,B:B,B248)&lt;=24)),IF(AND((L248*24)&gt;0,(L248*24)&lt;=8),(L248*24)*MD!$M$6,IF(AND((L248*24)&gt;8,(L248*24)&lt;=16),(MD!$N$6),IF((L248*24)&gt;16,MD!$N$6))),IF(AND(F248="Call_out",(SUMIFS(O:O,F:F,F248,I:I,I248,B:B,B248)&lt;=24)),IF(AND((L248*24)&gt;0,(L248*24)&lt;=8),(L248*24)*MD!$P$4,IF(AND((L248*24)&gt;8,(L248*24)&lt;=16),(MD!$Q$4),IF((L248*24)&gt;16,MD!$Q$4)))))))</f>
        <v>0</v>
      </c>
      <c r="N248" s="62"/>
      <c r="O248" s="72">
        <f t="shared" si="7"/>
        <v>0</v>
      </c>
    </row>
    <row r="249" spans="1:15" x14ac:dyDescent="0.25">
      <c r="A249" s="62">
        <v>248</v>
      </c>
      <c r="B249" s="62"/>
      <c r="C249" s="68" t="str">
        <f>IF(ISNA(VLOOKUP($B249,CPY!$B:$G,2,FALSE))=TRUE," ",VLOOKUP($B249,CPY!$B:$G,2,FALSE))</f>
        <v> </v>
      </c>
      <c r="D249" s="50" t="str">
        <f>IF(ISNA(VLOOKUP($B249,CPY!$B:$G,3,FALSE))=TRUE," ",VLOOKUP($B249,CPY!$B:$G,3,FALSE))</f>
        <v> </v>
      </c>
      <c r="E249" s="65" t="str">
        <f>IF(ISNA(VLOOKUP($B249,CPY!$B:$G,4,FALSE))=TRUE," ",VLOOKUP($B249,CPY!$B:$G,4,FALSE))</f>
        <v> </v>
      </c>
      <c r="F249" s="62"/>
      <c r="G249" s="86"/>
      <c r="H249" s="86"/>
      <c r="I249" s="87"/>
      <c r="J249" s="88"/>
      <c r="K249" s="88"/>
      <c r="L249" s="95">
        <f t="shared" si="6"/>
        <v>0</v>
      </c>
      <c r="M249" s="96" t="b">
        <f>IF((ISNUMBER(L249)),IF(AND(F249="Workdays",(SUMIFS(O:O,F:F,F249,I:I,I249,B:B,B249)&lt;=24)),IF(AND((L249*24)&gt;0,(L249*24)&lt;=8),(L249*24)*MD!$M$5,IF(AND((L249*24)&gt;8,(L249*24)&lt;=16),(MD!$N$5),IF((L249*24)&gt;16,MD!$N$5))),IF(AND(F249="Non_workdays",(SUMIFS(O:O,F:F,F249,I:I,I249,B:B,B249)&lt;=24)),IF(AND((L249*24)&gt;0,(L249*24)&lt;=8),(L249*24)*MD!$M$6,IF(AND((L249*24)&gt;8,(L249*24)&lt;=16),(MD!$N$6),IF((L249*24)&gt;16,MD!$N$6))),IF(AND(F249="Call_out",(SUMIFS(O:O,F:F,F249,I:I,I249,B:B,B249)&lt;=24)),IF(AND((L249*24)&gt;0,(L249*24)&lt;=8),(L249*24)*MD!$P$4,IF(AND((L249*24)&gt;8,(L249*24)&lt;=16),(MD!$Q$4),IF((L249*24)&gt;16,MD!$Q$4)))))))</f>
        <v>0</v>
      </c>
      <c r="N249" s="62"/>
      <c r="O249" s="72">
        <f t="shared" si="7"/>
        <v>0</v>
      </c>
    </row>
    <row r="250" spans="1:15" x14ac:dyDescent="0.25">
      <c r="A250" s="62">
        <v>249</v>
      </c>
      <c r="B250" s="62"/>
      <c r="C250" s="68" t="str">
        <f>IF(ISNA(VLOOKUP($B250,CPY!$B:$G,2,FALSE))=TRUE," ",VLOOKUP($B250,CPY!$B:$G,2,FALSE))</f>
        <v> </v>
      </c>
      <c r="D250" s="50" t="str">
        <f>IF(ISNA(VLOOKUP($B250,CPY!$B:$G,3,FALSE))=TRUE," ",VLOOKUP($B250,CPY!$B:$G,3,FALSE))</f>
        <v> </v>
      </c>
      <c r="E250" s="65" t="str">
        <f>IF(ISNA(VLOOKUP($B250,CPY!$B:$G,4,FALSE))=TRUE," ",VLOOKUP($B250,CPY!$B:$G,4,FALSE))</f>
        <v> </v>
      </c>
      <c r="F250" s="62"/>
      <c r="G250" s="86"/>
      <c r="H250" s="86"/>
      <c r="I250" s="87"/>
      <c r="J250" s="88"/>
      <c r="K250" s="88"/>
      <c r="L250" s="95">
        <f t="shared" si="6"/>
        <v>0</v>
      </c>
      <c r="M250" s="96" t="b">
        <f>IF((ISNUMBER(L250)),IF(AND(F250="Workdays",(SUMIFS(O:O,F:F,F250,I:I,I250,B:B,B250)&lt;=24)),IF(AND((L250*24)&gt;0,(L250*24)&lt;=8),(L250*24)*MD!$M$5,IF(AND((L250*24)&gt;8,(L250*24)&lt;=16),(MD!$N$5),IF((L250*24)&gt;16,MD!$N$5))),IF(AND(F250="Non_workdays",(SUMIFS(O:O,F:F,F250,I:I,I250,B:B,B250)&lt;=24)),IF(AND((L250*24)&gt;0,(L250*24)&lt;=8),(L250*24)*MD!$M$6,IF(AND((L250*24)&gt;8,(L250*24)&lt;=16),(MD!$N$6),IF((L250*24)&gt;16,MD!$N$6))),IF(AND(F250="Call_out",(SUMIFS(O:O,F:F,F250,I:I,I250,B:B,B250)&lt;=24)),IF(AND((L250*24)&gt;0,(L250*24)&lt;=8),(L250*24)*MD!$P$4,IF(AND((L250*24)&gt;8,(L250*24)&lt;=16),(MD!$Q$4),IF((L250*24)&gt;16,MD!$Q$4)))))))</f>
        <v>0</v>
      </c>
      <c r="N250" s="62"/>
      <c r="O250" s="72">
        <f t="shared" si="7"/>
        <v>0</v>
      </c>
    </row>
    <row r="251" spans="1:15" x14ac:dyDescent="0.25">
      <c r="A251" s="62">
        <v>250</v>
      </c>
      <c r="B251" s="62"/>
      <c r="C251" s="68" t="str">
        <f>IF(ISNA(VLOOKUP($B251,CPY!$B:$G,2,FALSE))=TRUE," ",VLOOKUP($B251,CPY!$B:$G,2,FALSE))</f>
        <v> </v>
      </c>
      <c r="D251" s="50" t="str">
        <f>IF(ISNA(VLOOKUP($B251,CPY!$B:$G,3,FALSE))=TRUE," ",VLOOKUP($B251,CPY!$B:$G,3,FALSE))</f>
        <v> </v>
      </c>
      <c r="E251" s="65" t="str">
        <f>IF(ISNA(VLOOKUP($B251,CPY!$B:$G,4,FALSE))=TRUE," ",VLOOKUP($B251,CPY!$B:$G,4,FALSE))</f>
        <v> </v>
      </c>
      <c r="F251" s="62"/>
      <c r="G251" s="86"/>
      <c r="H251" s="86"/>
      <c r="I251" s="87"/>
      <c r="J251" s="88"/>
      <c r="K251" s="88"/>
      <c r="L251" s="95">
        <f t="shared" si="6"/>
        <v>0</v>
      </c>
      <c r="M251" s="96" t="b">
        <f>IF((ISNUMBER(L251)),IF(AND(F251="Workdays",(SUMIFS(O:O,F:F,F251,I:I,I251,B:B,B251)&lt;=24)),IF(AND((L251*24)&gt;0,(L251*24)&lt;=8),(L251*24)*MD!$M$5,IF(AND((L251*24)&gt;8,(L251*24)&lt;=16),(MD!$N$5),IF((L251*24)&gt;16,MD!$N$5))),IF(AND(F251="Non_workdays",(SUMIFS(O:O,F:F,F251,I:I,I251,B:B,B251)&lt;=24)),IF(AND((L251*24)&gt;0,(L251*24)&lt;=8),(L251*24)*MD!$M$6,IF(AND((L251*24)&gt;8,(L251*24)&lt;=16),(MD!$N$6),IF((L251*24)&gt;16,MD!$N$6))),IF(AND(F251="Call_out",(SUMIFS(O:O,F:F,F251,I:I,I251,B:B,B251)&lt;=24)),IF(AND((L251*24)&gt;0,(L251*24)&lt;=8),(L251*24)*MD!$P$4,IF(AND((L251*24)&gt;8,(L251*24)&lt;=16),(MD!$Q$4),IF((L251*24)&gt;16,MD!$Q$4)))))))</f>
        <v>0</v>
      </c>
      <c r="N251" s="62"/>
      <c r="O251" s="72">
        <f t="shared" si="7"/>
        <v>0</v>
      </c>
    </row>
    <row r="252" spans="1:15" x14ac:dyDescent="0.25">
      <c r="A252" s="62">
        <v>251</v>
      </c>
      <c r="B252" s="62"/>
      <c r="C252" s="68" t="str">
        <f>IF(ISNA(VLOOKUP($B252,CPY!$B:$G,2,FALSE))=TRUE," ",VLOOKUP($B252,CPY!$B:$G,2,FALSE))</f>
        <v> </v>
      </c>
      <c r="D252" s="50" t="str">
        <f>IF(ISNA(VLOOKUP($B252,CPY!$B:$G,3,FALSE))=TRUE," ",VLOOKUP($B252,CPY!$B:$G,3,FALSE))</f>
        <v> </v>
      </c>
      <c r="E252" s="65" t="str">
        <f>IF(ISNA(VLOOKUP($B252,CPY!$B:$G,4,FALSE))=TRUE," ",VLOOKUP($B252,CPY!$B:$G,4,FALSE))</f>
        <v> </v>
      </c>
      <c r="F252" s="62"/>
      <c r="G252" s="86"/>
      <c r="H252" s="86"/>
      <c r="I252" s="87"/>
      <c r="J252" s="88"/>
      <c r="K252" s="88"/>
      <c r="L252" s="95">
        <f t="shared" si="6"/>
        <v>0</v>
      </c>
      <c r="M252" s="96" t="b">
        <f>IF((ISNUMBER(L252)),IF(AND(F252="Workdays",(SUMIFS(O:O,F:F,F252,I:I,I252,B:B,B252)&lt;=24)),IF(AND((L252*24)&gt;0,(L252*24)&lt;=8),(L252*24)*MD!$M$5,IF(AND((L252*24)&gt;8,(L252*24)&lt;=16),(MD!$N$5),IF((L252*24)&gt;16,MD!$N$5))),IF(AND(F252="Non_workdays",(SUMIFS(O:O,F:F,F252,I:I,I252,B:B,B252)&lt;=24)),IF(AND((L252*24)&gt;0,(L252*24)&lt;=8),(L252*24)*MD!$M$6,IF(AND((L252*24)&gt;8,(L252*24)&lt;=16),(MD!$N$6),IF((L252*24)&gt;16,MD!$N$6))),IF(AND(F252="Call_out",(SUMIFS(O:O,F:F,F252,I:I,I252,B:B,B252)&lt;=24)),IF(AND((L252*24)&gt;0,(L252*24)&lt;=8),(L252*24)*MD!$P$4,IF(AND((L252*24)&gt;8,(L252*24)&lt;=16),(MD!$Q$4),IF((L252*24)&gt;16,MD!$Q$4)))))))</f>
        <v>0</v>
      </c>
      <c r="N252" s="62"/>
      <c r="O252" s="72">
        <f t="shared" si="7"/>
        <v>0</v>
      </c>
    </row>
    <row r="253" spans="1:15" x14ac:dyDescent="0.25">
      <c r="A253" s="62">
        <v>252</v>
      </c>
      <c r="B253" s="62"/>
      <c r="C253" s="68" t="str">
        <f>IF(ISNA(VLOOKUP($B253,CPY!$B:$G,2,FALSE))=TRUE," ",VLOOKUP($B253,CPY!$B:$G,2,FALSE))</f>
        <v> </v>
      </c>
      <c r="D253" s="50" t="str">
        <f>IF(ISNA(VLOOKUP($B253,CPY!$B:$G,3,FALSE))=TRUE," ",VLOOKUP($B253,CPY!$B:$G,3,FALSE))</f>
        <v> </v>
      </c>
      <c r="E253" s="65" t="str">
        <f>IF(ISNA(VLOOKUP($B253,CPY!$B:$G,4,FALSE))=TRUE," ",VLOOKUP($B253,CPY!$B:$G,4,FALSE))</f>
        <v> </v>
      </c>
      <c r="F253" s="62"/>
      <c r="G253" s="86"/>
      <c r="H253" s="86"/>
      <c r="I253" s="87"/>
      <c r="J253" s="88"/>
      <c r="K253" s="88"/>
      <c r="L253" s="95">
        <f t="shared" si="6"/>
        <v>0</v>
      </c>
      <c r="M253" s="96" t="b">
        <f>IF((ISNUMBER(L253)),IF(AND(F253="Workdays",(SUMIFS(O:O,F:F,F253,I:I,I253,B:B,B253)&lt;=24)),IF(AND((L253*24)&gt;0,(L253*24)&lt;=8),(L253*24)*MD!$M$5,IF(AND((L253*24)&gt;8,(L253*24)&lt;=16),(MD!$N$5),IF((L253*24)&gt;16,MD!$N$5))),IF(AND(F253="Non_workdays",(SUMIFS(O:O,F:F,F253,I:I,I253,B:B,B253)&lt;=24)),IF(AND((L253*24)&gt;0,(L253*24)&lt;=8),(L253*24)*MD!$M$6,IF(AND((L253*24)&gt;8,(L253*24)&lt;=16),(MD!$N$6),IF((L253*24)&gt;16,MD!$N$6))),IF(AND(F253="Call_out",(SUMIFS(O:O,F:F,F253,I:I,I253,B:B,B253)&lt;=24)),IF(AND((L253*24)&gt;0,(L253*24)&lt;=8),(L253*24)*MD!$P$4,IF(AND((L253*24)&gt;8,(L253*24)&lt;=16),(MD!$Q$4),IF((L253*24)&gt;16,MD!$Q$4)))))))</f>
        <v>0</v>
      </c>
      <c r="N253" s="62"/>
      <c r="O253" s="72">
        <f t="shared" si="7"/>
        <v>0</v>
      </c>
    </row>
    <row r="254" spans="1:15" x14ac:dyDescent="0.25">
      <c r="A254" s="62">
        <v>253</v>
      </c>
      <c r="B254" s="62"/>
      <c r="C254" s="68" t="str">
        <f>IF(ISNA(VLOOKUP($B254,CPY!$B:$G,2,FALSE))=TRUE," ",VLOOKUP($B254,CPY!$B:$G,2,FALSE))</f>
        <v> </v>
      </c>
      <c r="D254" s="50" t="str">
        <f>IF(ISNA(VLOOKUP($B254,CPY!$B:$G,3,FALSE))=TRUE," ",VLOOKUP($B254,CPY!$B:$G,3,FALSE))</f>
        <v> </v>
      </c>
      <c r="E254" s="65" t="str">
        <f>IF(ISNA(VLOOKUP($B254,CPY!$B:$G,4,FALSE))=TRUE," ",VLOOKUP($B254,CPY!$B:$G,4,FALSE))</f>
        <v> </v>
      </c>
      <c r="F254" s="62"/>
      <c r="G254" s="86"/>
      <c r="H254" s="86"/>
      <c r="I254" s="87"/>
      <c r="J254" s="88"/>
      <c r="K254" s="88"/>
      <c r="L254" s="95">
        <f t="shared" si="6"/>
        <v>0</v>
      </c>
      <c r="M254" s="96" t="b">
        <f>IF((ISNUMBER(L254)),IF(AND(F254="Workdays",(SUMIFS(O:O,F:F,F254,I:I,I254,B:B,B254)&lt;=24)),IF(AND((L254*24)&gt;0,(L254*24)&lt;=8),(L254*24)*MD!$M$5,IF(AND((L254*24)&gt;8,(L254*24)&lt;=16),(MD!$N$5),IF((L254*24)&gt;16,MD!$N$5))),IF(AND(F254="Non_workdays",(SUMIFS(O:O,F:F,F254,I:I,I254,B:B,B254)&lt;=24)),IF(AND((L254*24)&gt;0,(L254*24)&lt;=8),(L254*24)*MD!$M$6,IF(AND((L254*24)&gt;8,(L254*24)&lt;=16),(MD!$N$6),IF((L254*24)&gt;16,MD!$N$6))),IF(AND(F254="Call_out",(SUMIFS(O:O,F:F,F254,I:I,I254,B:B,B254)&lt;=24)),IF(AND((L254*24)&gt;0,(L254*24)&lt;=8),(L254*24)*MD!$P$4,IF(AND((L254*24)&gt;8,(L254*24)&lt;=16),(MD!$Q$4),IF((L254*24)&gt;16,MD!$Q$4)))))))</f>
        <v>0</v>
      </c>
      <c r="N254" s="62"/>
      <c r="O254" s="72">
        <f t="shared" si="7"/>
        <v>0</v>
      </c>
    </row>
    <row r="255" spans="1:15" x14ac:dyDescent="0.25">
      <c r="A255" s="62">
        <v>254</v>
      </c>
      <c r="B255" s="62"/>
      <c r="C255" s="68" t="str">
        <f>IF(ISNA(VLOOKUP($B255,CPY!$B:$G,2,FALSE))=TRUE," ",VLOOKUP($B255,CPY!$B:$G,2,FALSE))</f>
        <v> </v>
      </c>
      <c r="D255" s="50" t="str">
        <f>IF(ISNA(VLOOKUP($B255,CPY!$B:$G,3,FALSE))=TRUE," ",VLOOKUP($B255,CPY!$B:$G,3,FALSE))</f>
        <v> </v>
      </c>
      <c r="E255" s="65" t="str">
        <f>IF(ISNA(VLOOKUP($B255,CPY!$B:$G,4,FALSE))=TRUE," ",VLOOKUP($B255,CPY!$B:$G,4,FALSE))</f>
        <v> </v>
      </c>
      <c r="F255" s="62"/>
      <c r="G255" s="86"/>
      <c r="H255" s="86"/>
      <c r="I255" s="87"/>
      <c r="J255" s="88"/>
      <c r="K255" s="88"/>
      <c r="L255" s="95">
        <f t="shared" si="6"/>
        <v>0</v>
      </c>
      <c r="M255" s="96" t="b">
        <f>IF((ISNUMBER(L255)),IF(AND(F255="Workdays",(SUMIFS(O:O,F:F,F255,I:I,I255,B:B,B255)&lt;=24)),IF(AND((L255*24)&gt;0,(L255*24)&lt;=8),(L255*24)*MD!$M$5,IF(AND((L255*24)&gt;8,(L255*24)&lt;=16),(MD!$N$5),IF((L255*24)&gt;16,MD!$N$5))),IF(AND(F255="Non_workdays",(SUMIFS(O:O,F:F,F255,I:I,I255,B:B,B255)&lt;=24)),IF(AND((L255*24)&gt;0,(L255*24)&lt;=8),(L255*24)*MD!$M$6,IF(AND((L255*24)&gt;8,(L255*24)&lt;=16),(MD!$N$6),IF((L255*24)&gt;16,MD!$N$6))),IF(AND(F255="Call_out",(SUMIFS(O:O,F:F,F255,I:I,I255,B:B,B255)&lt;=24)),IF(AND((L255*24)&gt;0,(L255*24)&lt;=8),(L255*24)*MD!$P$4,IF(AND((L255*24)&gt;8,(L255*24)&lt;=16),(MD!$Q$4),IF((L255*24)&gt;16,MD!$Q$4)))))))</f>
        <v>0</v>
      </c>
      <c r="N255" s="62"/>
      <c r="O255" s="72">
        <f t="shared" si="7"/>
        <v>0</v>
      </c>
    </row>
    <row r="256" spans="1:15" x14ac:dyDescent="0.25">
      <c r="A256" s="62">
        <v>255</v>
      </c>
      <c r="B256" s="62"/>
      <c r="C256" s="68" t="str">
        <f>IF(ISNA(VLOOKUP($B256,CPY!$B:$G,2,FALSE))=TRUE," ",VLOOKUP($B256,CPY!$B:$G,2,FALSE))</f>
        <v> </v>
      </c>
      <c r="D256" s="50" t="str">
        <f>IF(ISNA(VLOOKUP($B256,CPY!$B:$G,3,FALSE))=TRUE," ",VLOOKUP($B256,CPY!$B:$G,3,FALSE))</f>
        <v> </v>
      </c>
      <c r="E256" s="65" t="str">
        <f>IF(ISNA(VLOOKUP($B256,CPY!$B:$G,4,FALSE))=TRUE," ",VLOOKUP($B256,CPY!$B:$G,4,FALSE))</f>
        <v> </v>
      </c>
      <c r="F256" s="62"/>
      <c r="G256" s="86"/>
      <c r="H256" s="86"/>
      <c r="I256" s="87"/>
      <c r="J256" s="88"/>
      <c r="K256" s="88"/>
      <c r="L256" s="95">
        <f t="shared" si="6"/>
        <v>0</v>
      </c>
      <c r="M256" s="96" t="b">
        <f>IF((ISNUMBER(L256)),IF(AND(F256="Workdays",(SUMIFS(O:O,F:F,F256,I:I,I256,B:B,B256)&lt;=24)),IF(AND((L256*24)&gt;0,(L256*24)&lt;=8),(L256*24)*MD!$M$5,IF(AND((L256*24)&gt;8,(L256*24)&lt;=16),(MD!$N$5),IF((L256*24)&gt;16,MD!$N$5))),IF(AND(F256="Non_workdays",(SUMIFS(O:O,F:F,F256,I:I,I256,B:B,B256)&lt;=24)),IF(AND((L256*24)&gt;0,(L256*24)&lt;=8),(L256*24)*MD!$M$6,IF(AND((L256*24)&gt;8,(L256*24)&lt;=16),(MD!$N$6),IF((L256*24)&gt;16,MD!$N$6))),IF(AND(F256="Call_out",(SUMIFS(O:O,F:F,F256,I:I,I256,B:B,B256)&lt;=24)),IF(AND((L256*24)&gt;0,(L256*24)&lt;=8),(L256*24)*MD!$P$4,IF(AND((L256*24)&gt;8,(L256*24)&lt;=16),(MD!$Q$4),IF((L256*24)&gt;16,MD!$Q$4)))))))</f>
        <v>0</v>
      </c>
      <c r="N256" s="62"/>
      <c r="O256" s="72">
        <f t="shared" si="7"/>
        <v>0</v>
      </c>
    </row>
    <row r="257" spans="1:15" x14ac:dyDescent="0.25">
      <c r="A257" s="62">
        <v>256</v>
      </c>
      <c r="B257" s="62"/>
      <c r="C257" s="68" t="str">
        <f>IF(ISNA(VLOOKUP($B257,CPY!$B:$G,2,FALSE))=TRUE," ",VLOOKUP($B257,CPY!$B:$G,2,FALSE))</f>
        <v> </v>
      </c>
      <c r="D257" s="50" t="str">
        <f>IF(ISNA(VLOOKUP($B257,CPY!$B:$G,3,FALSE))=TRUE," ",VLOOKUP($B257,CPY!$B:$G,3,FALSE))</f>
        <v> </v>
      </c>
      <c r="E257" s="65" t="str">
        <f>IF(ISNA(VLOOKUP($B257,CPY!$B:$G,4,FALSE))=TRUE," ",VLOOKUP($B257,CPY!$B:$G,4,FALSE))</f>
        <v> </v>
      </c>
      <c r="F257" s="62"/>
      <c r="G257" s="86"/>
      <c r="H257" s="86"/>
      <c r="I257" s="87"/>
      <c r="J257" s="88"/>
      <c r="K257" s="88"/>
      <c r="L257" s="95">
        <f t="shared" si="6"/>
        <v>0</v>
      </c>
      <c r="M257" s="96" t="b">
        <f>IF((ISNUMBER(L257)),IF(AND(F257="Workdays",(SUMIFS(O:O,F:F,F257,I:I,I257,B:B,B257)&lt;=24)),IF(AND((L257*24)&gt;0,(L257*24)&lt;=8),(L257*24)*MD!$M$5,IF(AND((L257*24)&gt;8,(L257*24)&lt;=16),(MD!$N$5),IF((L257*24)&gt;16,MD!$N$5))),IF(AND(F257="Non_workdays",(SUMIFS(O:O,F:F,F257,I:I,I257,B:B,B257)&lt;=24)),IF(AND((L257*24)&gt;0,(L257*24)&lt;=8),(L257*24)*MD!$M$6,IF(AND((L257*24)&gt;8,(L257*24)&lt;=16),(MD!$N$6),IF((L257*24)&gt;16,MD!$N$6))),IF(AND(F257="Call_out",(SUMIFS(O:O,F:F,F257,I:I,I257,B:B,B257)&lt;=24)),IF(AND((L257*24)&gt;0,(L257*24)&lt;=8),(L257*24)*MD!$P$4,IF(AND((L257*24)&gt;8,(L257*24)&lt;=16),(MD!$Q$4),IF((L257*24)&gt;16,MD!$Q$4)))))))</f>
        <v>0</v>
      </c>
      <c r="N257" s="62"/>
      <c r="O257" s="72">
        <f t="shared" si="7"/>
        <v>0</v>
      </c>
    </row>
    <row r="258" spans="1:15" x14ac:dyDescent="0.25">
      <c r="A258" s="62">
        <v>257</v>
      </c>
      <c r="B258" s="62"/>
      <c r="C258" s="68" t="str">
        <f>IF(ISNA(VLOOKUP($B258,CPY!$B:$G,2,FALSE))=TRUE," ",VLOOKUP($B258,CPY!$B:$G,2,FALSE))</f>
        <v> </v>
      </c>
      <c r="D258" s="50" t="str">
        <f>IF(ISNA(VLOOKUP($B258,CPY!$B:$G,3,FALSE))=TRUE," ",VLOOKUP($B258,CPY!$B:$G,3,FALSE))</f>
        <v> </v>
      </c>
      <c r="E258" s="65" t="str">
        <f>IF(ISNA(VLOOKUP($B258,CPY!$B:$G,4,FALSE))=TRUE," ",VLOOKUP($B258,CPY!$B:$G,4,FALSE))</f>
        <v> </v>
      </c>
      <c r="F258" s="62"/>
      <c r="G258" s="86"/>
      <c r="H258" s="86"/>
      <c r="I258" s="87"/>
      <c r="J258" s="88"/>
      <c r="K258" s="88"/>
      <c r="L258" s="95">
        <f t="shared" si="6"/>
        <v>0</v>
      </c>
      <c r="M258" s="96" t="b">
        <f>IF((ISNUMBER(L258)),IF(AND(F258="Workdays",(SUMIFS(O:O,F:F,F258,I:I,I258,B:B,B258)&lt;=24)),IF(AND((L258*24)&gt;0,(L258*24)&lt;=8),(L258*24)*MD!$M$5,IF(AND((L258*24)&gt;8,(L258*24)&lt;=16),(MD!$N$5),IF((L258*24)&gt;16,MD!$N$5))),IF(AND(F258="Non_workdays",(SUMIFS(O:O,F:F,F258,I:I,I258,B:B,B258)&lt;=24)),IF(AND((L258*24)&gt;0,(L258*24)&lt;=8),(L258*24)*MD!$M$6,IF(AND((L258*24)&gt;8,(L258*24)&lt;=16),(MD!$N$6),IF((L258*24)&gt;16,MD!$N$6))),IF(AND(F258="Call_out",(SUMIFS(O:O,F:F,F258,I:I,I258,B:B,B258)&lt;=24)),IF(AND((L258*24)&gt;0,(L258*24)&lt;=8),(L258*24)*MD!$P$4,IF(AND((L258*24)&gt;8,(L258*24)&lt;=16),(MD!$Q$4),IF((L258*24)&gt;16,MD!$Q$4)))))))</f>
        <v>0</v>
      </c>
      <c r="N258" s="62"/>
      <c r="O258" s="72">
        <f t="shared" si="7"/>
        <v>0</v>
      </c>
    </row>
    <row r="259" spans="1:15" x14ac:dyDescent="0.25">
      <c r="A259" s="62">
        <v>258</v>
      </c>
      <c r="B259" s="62"/>
      <c r="C259" s="68" t="str">
        <f>IF(ISNA(VLOOKUP($B259,CPY!$B:$G,2,FALSE))=TRUE," ",VLOOKUP($B259,CPY!$B:$G,2,FALSE))</f>
        <v> </v>
      </c>
      <c r="D259" s="50" t="str">
        <f>IF(ISNA(VLOOKUP($B259,CPY!$B:$G,3,FALSE))=TRUE," ",VLOOKUP($B259,CPY!$B:$G,3,FALSE))</f>
        <v> </v>
      </c>
      <c r="E259" s="65" t="str">
        <f>IF(ISNA(VLOOKUP($B259,CPY!$B:$G,4,FALSE))=TRUE," ",VLOOKUP($B259,CPY!$B:$G,4,FALSE))</f>
        <v> </v>
      </c>
      <c r="F259" s="62"/>
      <c r="G259" s="86"/>
      <c r="H259" s="86"/>
      <c r="I259" s="87"/>
      <c r="J259" s="88"/>
      <c r="K259" s="88"/>
      <c r="L259" s="95">
        <f t="shared" ref="L259:L322" si="8">IF($F259="Workdays",IF(NOT(ISBLANK($K259)),(IF($K259&lt;$J259,$K259+1,$K259)-$J259)),IF(OR($F259="Non_workdays",$F259="Call_out"),IF(NOT(ISBLANK($K259)),(IF($K259&lt;$J259,$K259+1,$K259)-$J259)),IF(AND(NOT(ISBLANK($F259)),NOT(ISBLANK($I259))),"Correct the On call slab")))</f>
        <v>0</v>
      </c>
      <c r="M259" s="96" t="b">
        <f>IF((ISNUMBER(L259)),IF(AND(F259="Workdays",(SUMIFS(O:O,F:F,F259,I:I,I259,B:B,B259)&lt;=24)),IF(AND((L259*24)&gt;0,(L259*24)&lt;=8),(L259*24)*MD!$M$5,IF(AND((L259*24)&gt;8,(L259*24)&lt;=16),(MD!$N$5),IF((L259*24)&gt;16,MD!$N$5))),IF(AND(F259="Non_workdays",(SUMIFS(O:O,F:F,F259,I:I,I259,B:B,B259)&lt;=24)),IF(AND((L259*24)&gt;0,(L259*24)&lt;=8),(L259*24)*MD!$M$6,IF(AND((L259*24)&gt;8,(L259*24)&lt;=16),(MD!$N$6),IF((L259*24)&gt;16,MD!$N$6))),IF(AND(F259="Call_out",(SUMIFS(O:O,F:F,F259,I:I,I259,B:B,B259)&lt;=24)),IF(AND((L259*24)&gt;0,(L259*24)&lt;=8),(L259*24)*MD!$P$4,IF(AND((L259*24)&gt;8,(L259*24)&lt;=16),(MD!$Q$4),IF((L259*24)&gt;16,MD!$Q$4)))))))</f>
        <v>0</v>
      </c>
      <c r="N259" s="62"/>
      <c r="O259" s="72">
        <f t="shared" ref="O259:O322" si="9">L259*24</f>
        <v>0</v>
      </c>
    </row>
    <row r="260" spans="1:15" x14ac:dyDescent="0.25">
      <c r="A260" s="62">
        <v>259</v>
      </c>
      <c r="B260" s="62"/>
      <c r="C260" s="68" t="str">
        <f>IF(ISNA(VLOOKUP($B260,CPY!$B:$G,2,FALSE))=TRUE," ",VLOOKUP($B260,CPY!$B:$G,2,FALSE))</f>
        <v> </v>
      </c>
      <c r="D260" s="50" t="str">
        <f>IF(ISNA(VLOOKUP($B260,CPY!$B:$G,3,FALSE))=TRUE," ",VLOOKUP($B260,CPY!$B:$G,3,FALSE))</f>
        <v> </v>
      </c>
      <c r="E260" s="65" t="str">
        <f>IF(ISNA(VLOOKUP($B260,CPY!$B:$G,4,FALSE))=TRUE," ",VLOOKUP($B260,CPY!$B:$G,4,FALSE))</f>
        <v> </v>
      </c>
      <c r="F260" s="62"/>
      <c r="G260" s="86"/>
      <c r="H260" s="86"/>
      <c r="I260" s="87"/>
      <c r="J260" s="88"/>
      <c r="K260" s="88"/>
      <c r="L260" s="95">
        <f t="shared" si="8"/>
        <v>0</v>
      </c>
      <c r="M260" s="96" t="b">
        <f>IF((ISNUMBER(L260)),IF(AND(F260="Workdays",(SUMIFS(O:O,F:F,F260,I:I,I260,B:B,B260)&lt;=24)),IF(AND((L260*24)&gt;0,(L260*24)&lt;=8),(L260*24)*MD!$M$5,IF(AND((L260*24)&gt;8,(L260*24)&lt;=16),(MD!$N$5),IF((L260*24)&gt;16,MD!$N$5))),IF(AND(F260="Non_workdays",(SUMIFS(O:O,F:F,F260,I:I,I260,B:B,B260)&lt;=24)),IF(AND((L260*24)&gt;0,(L260*24)&lt;=8),(L260*24)*MD!$M$6,IF(AND((L260*24)&gt;8,(L260*24)&lt;=16),(MD!$N$6),IF((L260*24)&gt;16,MD!$N$6))),IF(AND(F260="Call_out",(SUMIFS(O:O,F:F,F260,I:I,I260,B:B,B260)&lt;=24)),IF(AND((L260*24)&gt;0,(L260*24)&lt;=8),(L260*24)*MD!$P$4,IF(AND((L260*24)&gt;8,(L260*24)&lt;=16),(MD!$Q$4),IF((L260*24)&gt;16,MD!$Q$4)))))))</f>
        <v>0</v>
      </c>
      <c r="N260" s="62"/>
      <c r="O260" s="72">
        <f t="shared" si="9"/>
        <v>0</v>
      </c>
    </row>
    <row r="261" spans="1:15" x14ac:dyDescent="0.25">
      <c r="A261" s="62">
        <v>260</v>
      </c>
      <c r="B261" s="62"/>
      <c r="C261" s="68" t="str">
        <f>IF(ISNA(VLOOKUP($B261,CPY!$B:$G,2,FALSE))=TRUE," ",VLOOKUP($B261,CPY!$B:$G,2,FALSE))</f>
        <v> </v>
      </c>
      <c r="D261" s="50" t="str">
        <f>IF(ISNA(VLOOKUP($B261,CPY!$B:$G,3,FALSE))=TRUE," ",VLOOKUP($B261,CPY!$B:$G,3,FALSE))</f>
        <v> </v>
      </c>
      <c r="E261" s="65" t="str">
        <f>IF(ISNA(VLOOKUP($B261,CPY!$B:$G,4,FALSE))=TRUE," ",VLOOKUP($B261,CPY!$B:$G,4,FALSE))</f>
        <v> </v>
      </c>
      <c r="F261" s="62"/>
      <c r="G261" s="86"/>
      <c r="H261" s="86"/>
      <c r="I261" s="87"/>
      <c r="J261" s="88"/>
      <c r="K261" s="88"/>
      <c r="L261" s="95">
        <f t="shared" si="8"/>
        <v>0</v>
      </c>
      <c r="M261" s="96" t="b">
        <f>IF((ISNUMBER(L261)),IF(AND(F261="Workdays",(SUMIFS(O:O,F:F,F261,I:I,I261,B:B,B261)&lt;=24)),IF(AND((L261*24)&gt;0,(L261*24)&lt;=8),(L261*24)*MD!$M$5,IF(AND((L261*24)&gt;8,(L261*24)&lt;=16),(MD!$N$5),IF((L261*24)&gt;16,MD!$N$5))),IF(AND(F261="Non_workdays",(SUMIFS(O:O,F:F,F261,I:I,I261,B:B,B261)&lt;=24)),IF(AND((L261*24)&gt;0,(L261*24)&lt;=8),(L261*24)*MD!$M$6,IF(AND((L261*24)&gt;8,(L261*24)&lt;=16),(MD!$N$6),IF((L261*24)&gt;16,MD!$N$6))),IF(AND(F261="Call_out",(SUMIFS(O:O,F:F,F261,I:I,I261,B:B,B261)&lt;=24)),IF(AND((L261*24)&gt;0,(L261*24)&lt;=8),(L261*24)*MD!$P$4,IF(AND((L261*24)&gt;8,(L261*24)&lt;=16),(MD!$Q$4),IF((L261*24)&gt;16,MD!$Q$4)))))))</f>
        <v>0</v>
      </c>
      <c r="N261" s="62"/>
      <c r="O261" s="72">
        <f t="shared" si="9"/>
        <v>0</v>
      </c>
    </row>
    <row r="262" spans="1:15" x14ac:dyDescent="0.25">
      <c r="A262" s="62">
        <v>261</v>
      </c>
      <c r="B262" s="62"/>
      <c r="C262" s="68" t="str">
        <f>IF(ISNA(VLOOKUP($B262,CPY!$B:$G,2,FALSE))=TRUE," ",VLOOKUP($B262,CPY!$B:$G,2,FALSE))</f>
        <v> </v>
      </c>
      <c r="D262" s="50" t="str">
        <f>IF(ISNA(VLOOKUP($B262,CPY!$B:$G,3,FALSE))=TRUE," ",VLOOKUP($B262,CPY!$B:$G,3,FALSE))</f>
        <v> </v>
      </c>
      <c r="E262" s="65" t="str">
        <f>IF(ISNA(VLOOKUP($B262,CPY!$B:$G,4,FALSE))=TRUE," ",VLOOKUP($B262,CPY!$B:$G,4,FALSE))</f>
        <v> </v>
      </c>
      <c r="F262" s="62"/>
      <c r="G262" s="86"/>
      <c r="H262" s="86"/>
      <c r="I262" s="87"/>
      <c r="J262" s="88"/>
      <c r="K262" s="88"/>
      <c r="L262" s="95">
        <f t="shared" si="8"/>
        <v>0</v>
      </c>
      <c r="M262" s="96" t="b">
        <f>IF((ISNUMBER(L262)),IF(AND(F262="Workdays",(SUMIFS(O:O,F:F,F262,I:I,I262,B:B,B262)&lt;=24)),IF(AND((L262*24)&gt;0,(L262*24)&lt;=8),(L262*24)*MD!$M$5,IF(AND((L262*24)&gt;8,(L262*24)&lt;=16),(MD!$N$5),IF((L262*24)&gt;16,MD!$N$5))),IF(AND(F262="Non_workdays",(SUMIFS(O:O,F:F,F262,I:I,I262,B:B,B262)&lt;=24)),IF(AND((L262*24)&gt;0,(L262*24)&lt;=8),(L262*24)*MD!$M$6,IF(AND((L262*24)&gt;8,(L262*24)&lt;=16),(MD!$N$6),IF((L262*24)&gt;16,MD!$N$6))),IF(AND(F262="Call_out",(SUMIFS(O:O,F:F,F262,I:I,I262,B:B,B262)&lt;=24)),IF(AND((L262*24)&gt;0,(L262*24)&lt;=8),(L262*24)*MD!$P$4,IF(AND((L262*24)&gt;8,(L262*24)&lt;=16),(MD!$Q$4),IF((L262*24)&gt;16,MD!$Q$4)))))))</f>
        <v>0</v>
      </c>
      <c r="N262" s="62"/>
      <c r="O262" s="72">
        <f t="shared" si="9"/>
        <v>0</v>
      </c>
    </row>
    <row r="263" spans="1:15" x14ac:dyDescent="0.25">
      <c r="A263" s="62">
        <v>262</v>
      </c>
      <c r="B263" s="62"/>
      <c r="C263" s="68" t="str">
        <f>IF(ISNA(VLOOKUP($B263,CPY!$B:$G,2,FALSE))=TRUE," ",VLOOKUP($B263,CPY!$B:$G,2,FALSE))</f>
        <v> </v>
      </c>
      <c r="D263" s="50" t="str">
        <f>IF(ISNA(VLOOKUP($B263,CPY!$B:$G,3,FALSE))=TRUE," ",VLOOKUP($B263,CPY!$B:$G,3,FALSE))</f>
        <v> </v>
      </c>
      <c r="E263" s="65" t="str">
        <f>IF(ISNA(VLOOKUP($B263,CPY!$B:$G,4,FALSE))=TRUE," ",VLOOKUP($B263,CPY!$B:$G,4,FALSE))</f>
        <v> </v>
      </c>
      <c r="F263" s="62"/>
      <c r="G263" s="86"/>
      <c r="H263" s="86"/>
      <c r="I263" s="87"/>
      <c r="J263" s="88"/>
      <c r="K263" s="88"/>
      <c r="L263" s="95">
        <f t="shared" si="8"/>
        <v>0</v>
      </c>
      <c r="M263" s="96" t="b">
        <f>IF((ISNUMBER(L263)),IF(AND(F263="Workdays",(SUMIFS(O:O,F:F,F263,I:I,I263,B:B,B263)&lt;=24)),IF(AND((L263*24)&gt;0,(L263*24)&lt;=8),(L263*24)*MD!$M$5,IF(AND((L263*24)&gt;8,(L263*24)&lt;=16),(MD!$N$5),IF((L263*24)&gt;16,MD!$N$5))),IF(AND(F263="Non_workdays",(SUMIFS(O:O,F:F,F263,I:I,I263,B:B,B263)&lt;=24)),IF(AND((L263*24)&gt;0,(L263*24)&lt;=8),(L263*24)*MD!$M$6,IF(AND((L263*24)&gt;8,(L263*24)&lt;=16),(MD!$N$6),IF((L263*24)&gt;16,MD!$N$6))),IF(AND(F263="Call_out",(SUMIFS(O:O,F:F,F263,I:I,I263,B:B,B263)&lt;=24)),IF(AND((L263*24)&gt;0,(L263*24)&lt;=8),(L263*24)*MD!$P$4,IF(AND((L263*24)&gt;8,(L263*24)&lt;=16),(MD!$Q$4),IF((L263*24)&gt;16,MD!$Q$4)))))))</f>
        <v>0</v>
      </c>
      <c r="N263" s="62"/>
      <c r="O263" s="72">
        <f t="shared" si="9"/>
        <v>0</v>
      </c>
    </row>
    <row r="264" spans="1:15" x14ac:dyDescent="0.25">
      <c r="A264" s="62">
        <v>263</v>
      </c>
      <c r="B264" s="62"/>
      <c r="C264" s="68" t="str">
        <f>IF(ISNA(VLOOKUP($B264,CPY!$B:$G,2,FALSE))=TRUE," ",VLOOKUP($B264,CPY!$B:$G,2,FALSE))</f>
        <v> </v>
      </c>
      <c r="D264" s="50" t="str">
        <f>IF(ISNA(VLOOKUP($B264,CPY!$B:$G,3,FALSE))=TRUE," ",VLOOKUP($B264,CPY!$B:$G,3,FALSE))</f>
        <v> </v>
      </c>
      <c r="E264" s="65" t="str">
        <f>IF(ISNA(VLOOKUP($B264,CPY!$B:$G,4,FALSE))=TRUE," ",VLOOKUP($B264,CPY!$B:$G,4,FALSE))</f>
        <v> </v>
      </c>
      <c r="F264" s="62"/>
      <c r="G264" s="86"/>
      <c r="H264" s="86"/>
      <c r="I264" s="87"/>
      <c r="J264" s="88"/>
      <c r="K264" s="88"/>
      <c r="L264" s="95">
        <f t="shared" si="8"/>
        <v>0</v>
      </c>
      <c r="M264" s="96" t="b">
        <f>IF((ISNUMBER(L264)),IF(AND(F264="Workdays",(SUMIFS(O:O,F:F,F264,I:I,I264,B:B,B264)&lt;=24)),IF(AND((L264*24)&gt;0,(L264*24)&lt;=8),(L264*24)*MD!$M$5,IF(AND((L264*24)&gt;8,(L264*24)&lt;=16),(MD!$N$5),IF((L264*24)&gt;16,MD!$N$5))),IF(AND(F264="Non_workdays",(SUMIFS(O:O,F:F,F264,I:I,I264,B:B,B264)&lt;=24)),IF(AND((L264*24)&gt;0,(L264*24)&lt;=8),(L264*24)*MD!$M$6,IF(AND((L264*24)&gt;8,(L264*24)&lt;=16),(MD!$N$6),IF((L264*24)&gt;16,MD!$N$6))),IF(AND(F264="Call_out",(SUMIFS(O:O,F:F,F264,I:I,I264,B:B,B264)&lt;=24)),IF(AND((L264*24)&gt;0,(L264*24)&lt;=8),(L264*24)*MD!$P$4,IF(AND((L264*24)&gt;8,(L264*24)&lt;=16),(MD!$Q$4),IF((L264*24)&gt;16,MD!$Q$4)))))))</f>
        <v>0</v>
      </c>
      <c r="N264" s="62"/>
      <c r="O264" s="72">
        <f t="shared" si="9"/>
        <v>0</v>
      </c>
    </row>
    <row r="265" spans="1:15" x14ac:dyDescent="0.25">
      <c r="A265" s="62">
        <v>264</v>
      </c>
      <c r="B265" s="62"/>
      <c r="C265" s="68" t="str">
        <f>IF(ISNA(VLOOKUP($B265,CPY!$B:$G,2,FALSE))=TRUE," ",VLOOKUP($B265,CPY!$B:$G,2,FALSE))</f>
        <v> </v>
      </c>
      <c r="D265" s="50" t="str">
        <f>IF(ISNA(VLOOKUP($B265,CPY!$B:$G,3,FALSE))=TRUE," ",VLOOKUP($B265,CPY!$B:$G,3,FALSE))</f>
        <v> </v>
      </c>
      <c r="E265" s="65" t="str">
        <f>IF(ISNA(VLOOKUP($B265,CPY!$B:$G,4,FALSE))=TRUE," ",VLOOKUP($B265,CPY!$B:$G,4,FALSE))</f>
        <v> </v>
      </c>
      <c r="F265" s="62"/>
      <c r="G265" s="86"/>
      <c r="H265" s="86"/>
      <c r="I265" s="87"/>
      <c r="J265" s="88"/>
      <c r="K265" s="88"/>
      <c r="L265" s="95">
        <f t="shared" si="8"/>
        <v>0</v>
      </c>
      <c r="M265" s="96" t="b">
        <f>IF((ISNUMBER(L265)),IF(AND(F265="Workdays",(SUMIFS(O:O,F:F,F265,I:I,I265,B:B,B265)&lt;=24)),IF(AND((L265*24)&gt;0,(L265*24)&lt;=8),(L265*24)*MD!$M$5,IF(AND((L265*24)&gt;8,(L265*24)&lt;=16),(MD!$N$5),IF((L265*24)&gt;16,MD!$N$5))),IF(AND(F265="Non_workdays",(SUMIFS(O:O,F:F,F265,I:I,I265,B:B,B265)&lt;=24)),IF(AND((L265*24)&gt;0,(L265*24)&lt;=8),(L265*24)*MD!$M$6,IF(AND((L265*24)&gt;8,(L265*24)&lt;=16),(MD!$N$6),IF((L265*24)&gt;16,MD!$N$6))),IF(AND(F265="Call_out",(SUMIFS(O:O,F:F,F265,I:I,I265,B:B,B265)&lt;=24)),IF(AND((L265*24)&gt;0,(L265*24)&lt;=8),(L265*24)*MD!$P$4,IF(AND((L265*24)&gt;8,(L265*24)&lt;=16),(MD!$Q$4),IF((L265*24)&gt;16,MD!$Q$4)))))))</f>
        <v>0</v>
      </c>
      <c r="N265" s="62"/>
      <c r="O265" s="72">
        <f t="shared" si="9"/>
        <v>0</v>
      </c>
    </row>
    <row r="266" spans="1:15" x14ac:dyDescent="0.25">
      <c r="A266" s="62">
        <v>265</v>
      </c>
      <c r="B266" s="62"/>
      <c r="C266" s="68" t="str">
        <f>IF(ISNA(VLOOKUP($B266,CPY!$B:$G,2,FALSE))=TRUE," ",VLOOKUP($B266,CPY!$B:$G,2,FALSE))</f>
        <v> </v>
      </c>
      <c r="D266" s="50" t="str">
        <f>IF(ISNA(VLOOKUP($B266,CPY!$B:$G,3,FALSE))=TRUE," ",VLOOKUP($B266,CPY!$B:$G,3,FALSE))</f>
        <v> </v>
      </c>
      <c r="E266" s="65" t="str">
        <f>IF(ISNA(VLOOKUP($B266,CPY!$B:$G,4,FALSE))=TRUE," ",VLOOKUP($B266,CPY!$B:$G,4,FALSE))</f>
        <v> </v>
      </c>
      <c r="F266" s="62"/>
      <c r="G266" s="86"/>
      <c r="H266" s="86"/>
      <c r="I266" s="87"/>
      <c r="J266" s="88"/>
      <c r="K266" s="88"/>
      <c r="L266" s="95">
        <f t="shared" si="8"/>
        <v>0</v>
      </c>
      <c r="M266" s="96" t="b">
        <f>IF((ISNUMBER(L266)),IF(AND(F266="Workdays",(SUMIFS(O:O,F:F,F266,I:I,I266,B:B,B266)&lt;=24)),IF(AND((L266*24)&gt;0,(L266*24)&lt;=8),(L266*24)*MD!$M$5,IF(AND((L266*24)&gt;8,(L266*24)&lt;=16),(MD!$N$5),IF((L266*24)&gt;16,MD!$N$5))),IF(AND(F266="Non_workdays",(SUMIFS(O:O,F:F,F266,I:I,I266,B:B,B266)&lt;=24)),IF(AND((L266*24)&gt;0,(L266*24)&lt;=8),(L266*24)*MD!$M$6,IF(AND((L266*24)&gt;8,(L266*24)&lt;=16),(MD!$N$6),IF((L266*24)&gt;16,MD!$N$6))),IF(AND(F266="Call_out",(SUMIFS(O:O,F:F,F266,I:I,I266,B:B,B266)&lt;=24)),IF(AND((L266*24)&gt;0,(L266*24)&lt;=8),(L266*24)*MD!$P$4,IF(AND((L266*24)&gt;8,(L266*24)&lt;=16),(MD!$Q$4),IF((L266*24)&gt;16,MD!$Q$4)))))))</f>
        <v>0</v>
      </c>
      <c r="N266" s="62"/>
      <c r="O266" s="72">
        <f t="shared" si="9"/>
        <v>0</v>
      </c>
    </row>
    <row r="267" spans="1:15" x14ac:dyDescent="0.25">
      <c r="A267" s="62">
        <v>266</v>
      </c>
      <c r="B267" s="62"/>
      <c r="C267" s="68" t="str">
        <f>IF(ISNA(VLOOKUP($B267,CPY!$B:$G,2,FALSE))=TRUE," ",VLOOKUP($B267,CPY!$B:$G,2,FALSE))</f>
        <v> </v>
      </c>
      <c r="D267" s="50" t="str">
        <f>IF(ISNA(VLOOKUP($B267,CPY!$B:$G,3,FALSE))=TRUE," ",VLOOKUP($B267,CPY!$B:$G,3,FALSE))</f>
        <v> </v>
      </c>
      <c r="E267" s="65" t="str">
        <f>IF(ISNA(VLOOKUP($B267,CPY!$B:$G,4,FALSE))=TRUE," ",VLOOKUP($B267,CPY!$B:$G,4,FALSE))</f>
        <v> </v>
      </c>
      <c r="F267" s="62"/>
      <c r="G267" s="86"/>
      <c r="H267" s="86"/>
      <c r="I267" s="87"/>
      <c r="J267" s="88"/>
      <c r="K267" s="88"/>
      <c r="L267" s="95">
        <f t="shared" si="8"/>
        <v>0</v>
      </c>
      <c r="M267" s="96" t="b">
        <f>IF((ISNUMBER(L267)),IF(AND(F267="Workdays",(SUMIFS(O:O,F:F,F267,I:I,I267,B:B,B267)&lt;=24)),IF(AND((L267*24)&gt;0,(L267*24)&lt;=8),(L267*24)*MD!$M$5,IF(AND((L267*24)&gt;8,(L267*24)&lt;=16),(MD!$N$5),IF((L267*24)&gt;16,MD!$N$5))),IF(AND(F267="Non_workdays",(SUMIFS(O:O,F:F,F267,I:I,I267,B:B,B267)&lt;=24)),IF(AND((L267*24)&gt;0,(L267*24)&lt;=8),(L267*24)*MD!$M$6,IF(AND((L267*24)&gt;8,(L267*24)&lt;=16),(MD!$N$6),IF((L267*24)&gt;16,MD!$N$6))),IF(AND(F267="Call_out",(SUMIFS(O:O,F:F,F267,I:I,I267,B:B,B267)&lt;=24)),IF(AND((L267*24)&gt;0,(L267*24)&lt;=8),(L267*24)*MD!$P$4,IF(AND((L267*24)&gt;8,(L267*24)&lt;=16),(MD!$Q$4),IF((L267*24)&gt;16,MD!$Q$4)))))))</f>
        <v>0</v>
      </c>
      <c r="N267" s="62"/>
      <c r="O267" s="72">
        <f t="shared" si="9"/>
        <v>0</v>
      </c>
    </row>
    <row r="268" spans="1:15" x14ac:dyDescent="0.25">
      <c r="A268" s="62">
        <v>267</v>
      </c>
      <c r="B268" s="62"/>
      <c r="C268" s="68" t="str">
        <f>IF(ISNA(VLOOKUP($B268,CPY!$B:$G,2,FALSE))=TRUE," ",VLOOKUP($B268,CPY!$B:$G,2,FALSE))</f>
        <v> </v>
      </c>
      <c r="D268" s="50" t="str">
        <f>IF(ISNA(VLOOKUP($B268,CPY!$B:$G,3,FALSE))=TRUE," ",VLOOKUP($B268,CPY!$B:$G,3,FALSE))</f>
        <v> </v>
      </c>
      <c r="E268" s="65" t="str">
        <f>IF(ISNA(VLOOKUP($B268,CPY!$B:$G,4,FALSE))=TRUE," ",VLOOKUP($B268,CPY!$B:$G,4,FALSE))</f>
        <v> </v>
      </c>
      <c r="F268" s="62"/>
      <c r="G268" s="86"/>
      <c r="H268" s="86"/>
      <c r="I268" s="87"/>
      <c r="J268" s="88"/>
      <c r="K268" s="88"/>
      <c r="L268" s="95">
        <f t="shared" si="8"/>
        <v>0</v>
      </c>
      <c r="M268" s="96" t="b">
        <f>IF((ISNUMBER(L268)),IF(AND(F268="Workdays",(SUMIFS(O:O,F:F,F268,I:I,I268,B:B,B268)&lt;=24)),IF(AND((L268*24)&gt;0,(L268*24)&lt;=8),(L268*24)*MD!$M$5,IF(AND((L268*24)&gt;8,(L268*24)&lt;=16),(MD!$N$5),IF((L268*24)&gt;16,MD!$N$5))),IF(AND(F268="Non_workdays",(SUMIFS(O:O,F:F,F268,I:I,I268,B:B,B268)&lt;=24)),IF(AND((L268*24)&gt;0,(L268*24)&lt;=8),(L268*24)*MD!$M$6,IF(AND((L268*24)&gt;8,(L268*24)&lt;=16),(MD!$N$6),IF((L268*24)&gt;16,MD!$N$6))),IF(AND(F268="Call_out",(SUMIFS(O:O,F:F,F268,I:I,I268,B:B,B268)&lt;=24)),IF(AND((L268*24)&gt;0,(L268*24)&lt;=8),(L268*24)*MD!$P$4,IF(AND((L268*24)&gt;8,(L268*24)&lt;=16),(MD!$Q$4),IF((L268*24)&gt;16,MD!$Q$4)))))))</f>
        <v>0</v>
      </c>
      <c r="N268" s="62"/>
      <c r="O268" s="72">
        <f t="shared" si="9"/>
        <v>0</v>
      </c>
    </row>
    <row r="269" spans="1:15" x14ac:dyDescent="0.25">
      <c r="A269" s="62">
        <v>268</v>
      </c>
      <c r="B269" s="62"/>
      <c r="C269" s="68" t="str">
        <f>IF(ISNA(VLOOKUP($B269,CPY!$B:$G,2,FALSE))=TRUE," ",VLOOKUP($B269,CPY!$B:$G,2,FALSE))</f>
        <v> </v>
      </c>
      <c r="D269" s="50" t="str">
        <f>IF(ISNA(VLOOKUP($B269,CPY!$B:$G,3,FALSE))=TRUE," ",VLOOKUP($B269,CPY!$B:$G,3,FALSE))</f>
        <v> </v>
      </c>
      <c r="E269" s="65" t="str">
        <f>IF(ISNA(VLOOKUP($B269,CPY!$B:$G,4,FALSE))=TRUE," ",VLOOKUP($B269,CPY!$B:$G,4,FALSE))</f>
        <v> </v>
      </c>
      <c r="F269" s="62"/>
      <c r="G269" s="86"/>
      <c r="H269" s="86"/>
      <c r="I269" s="87"/>
      <c r="J269" s="88"/>
      <c r="K269" s="88"/>
      <c r="L269" s="95">
        <f t="shared" si="8"/>
        <v>0</v>
      </c>
      <c r="M269" s="96" t="b">
        <f>IF((ISNUMBER(L269)),IF(AND(F269="Workdays",(SUMIFS(O:O,F:F,F269,I:I,I269,B:B,B269)&lt;=24)),IF(AND((L269*24)&gt;0,(L269*24)&lt;=8),(L269*24)*MD!$M$5,IF(AND((L269*24)&gt;8,(L269*24)&lt;=16),(MD!$N$5),IF((L269*24)&gt;16,MD!$N$5))),IF(AND(F269="Non_workdays",(SUMIFS(O:O,F:F,F269,I:I,I269,B:B,B269)&lt;=24)),IF(AND((L269*24)&gt;0,(L269*24)&lt;=8),(L269*24)*MD!$M$6,IF(AND((L269*24)&gt;8,(L269*24)&lt;=16),(MD!$N$6),IF((L269*24)&gt;16,MD!$N$6))),IF(AND(F269="Call_out",(SUMIFS(O:O,F:F,F269,I:I,I269,B:B,B269)&lt;=24)),IF(AND((L269*24)&gt;0,(L269*24)&lt;=8),(L269*24)*MD!$P$4,IF(AND((L269*24)&gt;8,(L269*24)&lt;=16),(MD!$Q$4),IF((L269*24)&gt;16,MD!$Q$4)))))))</f>
        <v>0</v>
      </c>
      <c r="N269" s="62"/>
      <c r="O269" s="72">
        <f t="shared" si="9"/>
        <v>0</v>
      </c>
    </row>
    <row r="270" spans="1:15" x14ac:dyDescent="0.25">
      <c r="A270" s="62">
        <v>269</v>
      </c>
      <c r="B270" s="62"/>
      <c r="C270" s="68" t="str">
        <f>IF(ISNA(VLOOKUP($B270,CPY!$B:$G,2,FALSE))=TRUE," ",VLOOKUP($B270,CPY!$B:$G,2,FALSE))</f>
        <v> </v>
      </c>
      <c r="D270" s="50" t="str">
        <f>IF(ISNA(VLOOKUP($B270,CPY!$B:$G,3,FALSE))=TRUE," ",VLOOKUP($B270,CPY!$B:$G,3,FALSE))</f>
        <v> </v>
      </c>
      <c r="E270" s="65" t="str">
        <f>IF(ISNA(VLOOKUP($B270,CPY!$B:$G,4,FALSE))=TRUE," ",VLOOKUP($B270,CPY!$B:$G,4,FALSE))</f>
        <v> </v>
      </c>
      <c r="F270" s="62"/>
      <c r="G270" s="86"/>
      <c r="H270" s="86"/>
      <c r="I270" s="87"/>
      <c r="J270" s="88"/>
      <c r="K270" s="88"/>
      <c r="L270" s="95">
        <f t="shared" si="8"/>
        <v>0</v>
      </c>
      <c r="M270" s="96" t="b">
        <f>IF((ISNUMBER(L270)),IF(AND(F270="Workdays",(SUMIFS(O:O,F:F,F270,I:I,I270,B:B,B270)&lt;=24)),IF(AND((L270*24)&gt;0,(L270*24)&lt;=8),(L270*24)*MD!$M$5,IF(AND((L270*24)&gt;8,(L270*24)&lt;=16),(MD!$N$5),IF((L270*24)&gt;16,MD!$N$5))),IF(AND(F270="Non_workdays",(SUMIFS(O:O,F:F,F270,I:I,I270,B:B,B270)&lt;=24)),IF(AND((L270*24)&gt;0,(L270*24)&lt;=8),(L270*24)*MD!$M$6,IF(AND((L270*24)&gt;8,(L270*24)&lt;=16),(MD!$N$6),IF((L270*24)&gt;16,MD!$N$6))),IF(AND(F270="Call_out",(SUMIFS(O:O,F:F,F270,I:I,I270,B:B,B270)&lt;=24)),IF(AND((L270*24)&gt;0,(L270*24)&lt;=8),(L270*24)*MD!$P$4,IF(AND((L270*24)&gt;8,(L270*24)&lt;=16),(MD!$Q$4),IF((L270*24)&gt;16,MD!$Q$4)))))))</f>
        <v>0</v>
      </c>
      <c r="N270" s="62"/>
      <c r="O270" s="72">
        <f t="shared" si="9"/>
        <v>0</v>
      </c>
    </row>
    <row r="271" spans="1:15" x14ac:dyDescent="0.25">
      <c r="A271" s="62">
        <v>270</v>
      </c>
      <c r="B271" s="62"/>
      <c r="C271" s="68" t="str">
        <f>IF(ISNA(VLOOKUP($B271,CPY!$B:$G,2,FALSE))=TRUE," ",VLOOKUP($B271,CPY!$B:$G,2,FALSE))</f>
        <v> </v>
      </c>
      <c r="D271" s="50" t="str">
        <f>IF(ISNA(VLOOKUP($B271,CPY!$B:$G,3,FALSE))=TRUE," ",VLOOKUP($B271,CPY!$B:$G,3,FALSE))</f>
        <v> </v>
      </c>
      <c r="E271" s="65" t="str">
        <f>IF(ISNA(VLOOKUP($B271,CPY!$B:$G,4,FALSE))=TRUE," ",VLOOKUP($B271,CPY!$B:$G,4,FALSE))</f>
        <v> </v>
      </c>
      <c r="F271" s="62"/>
      <c r="G271" s="86"/>
      <c r="H271" s="86"/>
      <c r="I271" s="87"/>
      <c r="J271" s="88"/>
      <c r="K271" s="88"/>
      <c r="L271" s="95">
        <f t="shared" si="8"/>
        <v>0</v>
      </c>
      <c r="M271" s="96" t="b">
        <f>IF((ISNUMBER(L271)),IF(AND(F271="Workdays",(SUMIFS(O:O,F:F,F271,I:I,I271,B:B,B271)&lt;=24)),IF(AND((L271*24)&gt;0,(L271*24)&lt;=8),(L271*24)*MD!$M$5,IF(AND((L271*24)&gt;8,(L271*24)&lt;=16),(MD!$N$5),IF((L271*24)&gt;16,MD!$N$5))),IF(AND(F271="Non_workdays",(SUMIFS(O:O,F:F,F271,I:I,I271,B:B,B271)&lt;=24)),IF(AND((L271*24)&gt;0,(L271*24)&lt;=8),(L271*24)*MD!$M$6,IF(AND((L271*24)&gt;8,(L271*24)&lt;=16),(MD!$N$6),IF((L271*24)&gt;16,MD!$N$6))),IF(AND(F271="Call_out",(SUMIFS(O:O,F:F,F271,I:I,I271,B:B,B271)&lt;=24)),IF(AND((L271*24)&gt;0,(L271*24)&lt;=8),(L271*24)*MD!$P$4,IF(AND((L271*24)&gt;8,(L271*24)&lt;=16),(MD!$Q$4),IF((L271*24)&gt;16,MD!$Q$4)))))))</f>
        <v>0</v>
      </c>
      <c r="N271" s="62"/>
      <c r="O271" s="72">
        <f t="shared" si="9"/>
        <v>0</v>
      </c>
    </row>
    <row r="272" spans="1:15" x14ac:dyDescent="0.25">
      <c r="A272" s="62">
        <v>271</v>
      </c>
      <c r="B272" s="62"/>
      <c r="C272" s="68" t="str">
        <f>IF(ISNA(VLOOKUP($B272,CPY!$B:$G,2,FALSE))=TRUE," ",VLOOKUP($B272,CPY!$B:$G,2,FALSE))</f>
        <v> </v>
      </c>
      <c r="D272" s="50" t="str">
        <f>IF(ISNA(VLOOKUP($B272,CPY!$B:$G,3,FALSE))=TRUE," ",VLOOKUP($B272,CPY!$B:$G,3,FALSE))</f>
        <v> </v>
      </c>
      <c r="E272" s="65" t="str">
        <f>IF(ISNA(VLOOKUP($B272,CPY!$B:$G,4,FALSE))=TRUE," ",VLOOKUP($B272,CPY!$B:$G,4,FALSE))</f>
        <v> </v>
      </c>
      <c r="F272" s="62"/>
      <c r="G272" s="86"/>
      <c r="H272" s="86"/>
      <c r="I272" s="87"/>
      <c r="J272" s="88"/>
      <c r="K272" s="88"/>
      <c r="L272" s="95">
        <f t="shared" si="8"/>
        <v>0</v>
      </c>
      <c r="M272" s="96" t="b">
        <f>IF((ISNUMBER(L272)),IF(AND(F272="Workdays",(SUMIFS(O:O,F:F,F272,I:I,I272,B:B,B272)&lt;=24)),IF(AND((L272*24)&gt;0,(L272*24)&lt;=8),(L272*24)*MD!$M$5,IF(AND((L272*24)&gt;8,(L272*24)&lt;=16),(MD!$N$5),IF((L272*24)&gt;16,MD!$N$5))),IF(AND(F272="Non_workdays",(SUMIFS(O:O,F:F,F272,I:I,I272,B:B,B272)&lt;=24)),IF(AND((L272*24)&gt;0,(L272*24)&lt;=8),(L272*24)*MD!$M$6,IF(AND((L272*24)&gt;8,(L272*24)&lt;=16),(MD!$N$6),IF((L272*24)&gt;16,MD!$N$6))),IF(AND(F272="Call_out",(SUMIFS(O:O,F:F,F272,I:I,I272,B:B,B272)&lt;=24)),IF(AND((L272*24)&gt;0,(L272*24)&lt;=8),(L272*24)*MD!$P$4,IF(AND((L272*24)&gt;8,(L272*24)&lt;=16),(MD!$Q$4),IF((L272*24)&gt;16,MD!$Q$4)))))))</f>
        <v>0</v>
      </c>
      <c r="N272" s="62"/>
      <c r="O272" s="72">
        <f t="shared" si="9"/>
        <v>0</v>
      </c>
    </row>
    <row r="273" spans="1:15" x14ac:dyDescent="0.25">
      <c r="A273" s="62">
        <v>272</v>
      </c>
      <c r="B273" s="62"/>
      <c r="C273" s="68" t="str">
        <f>IF(ISNA(VLOOKUP($B273,CPY!$B:$G,2,FALSE))=TRUE," ",VLOOKUP($B273,CPY!$B:$G,2,FALSE))</f>
        <v> </v>
      </c>
      <c r="D273" s="50" t="str">
        <f>IF(ISNA(VLOOKUP($B273,CPY!$B:$G,3,FALSE))=TRUE," ",VLOOKUP($B273,CPY!$B:$G,3,FALSE))</f>
        <v> </v>
      </c>
      <c r="E273" s="65" t="str">
        <f>IF(ISNA(VLOOKUP($B273,CPY!$B:$G,4,FALSE))=TRUE," ",VLOOKUP($B273,CPY!$B:$G,4,FALSE))</f>
        <v> </v>
      </c>
      <c r="F273" s="62"/>
      <c r="G273" s="86"/>
      <c r="H273" s="86"/>
      <c r="I273" s="87"/>
      <c r="J273" s="88"/>
      <c r="K273" s="88"/>
      <c r="L273" s="95">
        <f t="shared" si="8"/>
        <v>0</v>
      </c>
      <c r="M273" s="96" t="b">
        <f>IF((ISNUMBER(L273)),IF(AND(F273="Workdays",(SUMIFS(O:O,F:F,F273,I:I,I273,B:B,B273)&lt;=24)),IF(AND((L273*24)&gt;0,(L273*24)&lt;=8),(L273*24)*MD!$M$5,IF(AND((L273*24)&gt;8,(L273*24)&lt;=16),(MD!$N$5),IF((L273*24)&gt;16,MD!$N$5))),IF(AND(F273="Non_workdays",(SUMIFS(O:O,F:F,F273,I:I,I273,B:B,B273)&lt;=24)),IF(AND((L273*24)&gt;0,(L273*24)&lt;=8),(L273*24)*MD!$M$6,IF(AND((L273*24)&gt;8,(L273*24)&lt;=16),(MD!$N$6),IF((L273*24)&gt;16,MD!$N$6))),IF(AND(F273="Call_out",(SUMIFS(O:O,F:F,F273,I:I,I273,B:B,B273)&lt;=24)),IF(AND((L273*24)&gt;0,(L273*24)&lt;=8),(L273*24)*MD!$P$4,IF(AND((L273*24)&gt;8,(L273*24)&lt;=16),(MD!$Q$4),IF((L273*24)&gt;16,MD!$Q$4)))))))</f>
        <v>0</v>
      </c>
      <c r="N273" s="62"/>
      <c r="O273" s="72">
        <f t="shared" si="9"/>
        <v>0</v>
      </c>
    </row>
    <row r="274" spans="1:15" x14ac:dyDescent="0.25">
      <c r="A274" s="62">
        <v>273</v>
      </c>
      <c r="B274" s="62"/>
      <c r="C274" s="68" t="str">
        <f>IF(ISNA(VLOOKUP($B274,CPY!$B:$G,2,FALSE))=TRUE," ",VLOOKUP($B274,CPY!$B:$G,2,FALSE))</f>
        <v> </v>
      </c>
      <c r="D274" s="50" t="str">
        <f>IF(ISNA(VLOOKUP($B274,CPY!$B:$G,3,FALSE))=TRUE," ",VLOOKUP($B274,CPY!$B:$G,3,FALSE))</f>
        <v> </v>
      </c>
      <c r="E274" s="65" t="str">
        <f>IF(ISNA(VLOOKUP($B274,CPY!$B:$G,4,FALSE))=TRUE," ",VLOOKUP($B274,CPY!$B:$G,4,FALSE))</f>
        <v> </v>
      </c>
      <c r="F274" s="62"/>
      <c r="G274" s="86"/>
      <c r="H274" s="86"/>
      <c r="I274" s="87"/>
      <c r="J274" s="88"/>
      <c r="K274" s="88"/>
      <c r="L274" s="95">
        <f t="shared" si="8"/>
        <v>0</v>
      </c>
      <c r="M274" s="96" t="b">
        <f>IF((ISNUMBER(L274)),IF(AND(F274="Workdays",(SUMIFS(O:O,F:F,F274,I:I,I274,B:B,B274)&lt;=24)),IF(AND((L274*24)&gt;0,(L274*24)&lt;=8),(L274*24)*MD!$M$5,IF(AND((L274*24)&gt;8,(L274*24)&lt;=16),(MD!$N$5),IF((L274*24)&gt;16,MD!$N$5))),IF(AND(F274="Non_workdays",(SUMIFS(O:O,F:F,F274,I:I,I274,B:B,B274)&lt;=24)),IF(AND((L274*24)&gt;0,(L274*24)&lt;=8),(L274*24)*MD!$M$6,IF(AND((L274*24)&gt;8,(L274*24)&lt;=16),(MD!$N$6),IF((L274*24)&gt;16,MD!$N$6))),IF(AND(F274="Call_out",(SUMIFS(O:O,F:F,F274,I:I,I274,B:B,B274)&lt;=24)),IF(AND((L274*24)&gt;0,(L274*24)&lt;=8),(L274*24)*MD!$P$4,IF(AND((L274*24)&gt;8,(L274*24)&lt;=16),(MD!$Q$4),IF((L274*24)&gt;16,MD!$Q$4)))))))</f>
        <v>0</v>
      </c>
      <c r="N274" s="62"/>
      <c r="O274" s="72">
        <f t="shared" si="9"/>
        <v>0</v>
      </c>
    </row>
    <row r="275" spans="1:15" x14ac:dyDescent="0.25">
      <c r="A275" s="62">
        <v>274</v>
      </c>
      <c r="B275" s="62"/>
      <c r="C275" s="68" t="str">
        <f>IF(ISNA(VLOOKUP($B275,CPY!$B:$G,2,FALSE))=TRUE," ",VLOOKUP($B275,CPY!$B:$G,2,FALSE))</f>
        <v> </v>
      </c>
      <c r="D275" s="50" t="str">
        <f>IF(ISNA(VLOOKUP($B275,CPY!$B:$G,3,FALSE))=TRUE," ",VLOOKUP($B275,CPY!$B:$G,3,FALSE))</f>
        <v> </v>
      </c>
      <c r="E275" s="65" t="str">
        <f>IF(ISNA(VLOOKUP($B275,CPY!$B:$G,4,FALSE))=TRUE," ",VLOOKUP($B275,CPY!$B:$G,4,FALSE))</f>
        <v> </v>
      </c>
      <c r="F275" s="62"/>
      <c r="G275" s="86"/>
      <c r="H275" s="86"/>
      <c r="I275" s="87"/>
      <c r="J275" s="88"/>
      <c r="K275" s="88"/>
      <c r="L275" s="95">
        <f t="shared" si="8"/>
        <v>0</v>
      </c>
      <c r="M275" s="96" t="b">
        <f>IF((ISNUMBER(L275)),IF(AND(F275="Workdays",(SUMIFS(O:O,F:F,F275,I:I,I275,B:B,B275)&lt;=24)),IF(AND((L275*24)&gt;0,(L275*24)&lt;=8),(L275*24)*MD!$M$5,IF(AND((L275*24)&gt;8,(L275*24)&lt;=16),(MD!$N$5),IF((L275*24)&gt;16,MD!$N$5))),IF(AND(F275="Non_workdays",(SUMIFS(O:O,F:F,F275,I:I,I275,B:B,B275)&lt;=24)),IF(AND((L275*24)&gt;0,(L275*24)&lt;=8),(L275*24)*MD!$M$6,IF(AND((L275*24)&gt;8,(L275*24)&lt;=16),(MD!$N$6),IF((L275*24)&gt;16,MD!$N$6))),IF(AND(F275="Call_out",(SUMIFS(O:O,F:F,F275,I:I,I275,B:B,B275)&lt;=24)),IF(AND((L275*24)&gt;0,(L275*24)&lt;=8),(L275*24)*MD!$P$4,IF(AND((L275*24)&gt;8,(L275*24)&lt;=16),(MD!$Q$4),IF((L275*24)&gt;16,MD!$Q$4)))))))</f>
        <v>0</v>
      </c>
      <c r="N275" s="62"/>
      <c r="O275" s="72">
        <f t="shared" si="9"/>
        <v>0</v>
      </c>
    </row>
    <row r="276" spans="1:15" x14ac:dyDescent="0.25">
      <c r="A276" s="62">
        <v>275</v>
      </c>
      <c r="B276" s="62"/>
      <c r="C276" s="68" t="str">
        <f>IF(ISNA(VLOOKUP($B276,CPY!$B:$G,2,FALSE))=TRUE," ",VLOOKUP($B276,CPY!$B:$G,2,FALSE))</f>
        <v> </v>
      </c>
      <c r="D276" s="50" t="str">
        <f>IF(ISNA(VLOOKUP($B276,CPY!$B:$G,3,FALSE))=TRUE," ",VLOOKUP($B276,CPY!$B:$G,3,FALSE))</f>
        <v> </v>
      </c>
      <c r="E276" s="65" t="str">
        <f>IF(ISNA(VLOOKUP($B276,CPY!$B:$G,4,FALSE))=TRUE," ",VLOOKUP($B276,CPY!$B:$G,4,FALSE))</f>
        <v> </v>
      </c>
      <c r="F276" s="62"/>
      <c r="G276" s="86"/>
      <c r="H276" s="86"/>
      <c r="I276" s="87"/>
      <c r="J276" s="88"/>
      <c r="K276" s="88"/>
      <c r="L276" s="95">
        <f t="shared" si="8"/>
        <v>0</v>
      </c>
      <c r="M276" s="96" t="b">
        <f>IF((ISNUMBER(L276)),IF(AND(F276="Workdays",(SUMIFS(O:O,F:F,F276,I:I,I276,B:B,B276)&lt;=24)),IF(AND((L276*24)&gt;0,(L276*24)&lt;=8),(L276*24)*MD!$M$5,IF(AND((L276*24)&gt;8,(L276*24)&lt;=16),(MD!$N$5),IF((L276*24)&gt;16,MD!$N$5))),IF(AND(F276="Non_workdays",(SUMIFS(O:O,F:F,F276,I:I,I276,B:B,B276)&lt;=24)),IF(AND((L276*24)&gt;0,(L276*24)&lt;=8),(L276*24)*MD!$M$6,IF(AND((L276*24)&gt;8,(L276*24)&lt;=16),(MD!$N$6),IF((L276*24)&gt;16,MD!$N$6))),IF(AND(F276="Call_out",(SUMIFS(O:O,F:F,F276,I:I,I276,B:B,B276)&lt;=24)),IF(AND((L276*24)&gt;0,(L276*24)&lt;=8),(L276*24)*MD!$P$4,IF(AND((L276*24)&gt;8,(L276*24)&lt;=16),(MD!$Q$4),IF((L276*24)&gt;16,MD!$Q$4)))))))</f>
        <v>0</v>
      </c>
      <c r="N276" s="62"/>
      <c r="O276" s="72">
        <f t="shared" si="9"/>
        <v>0</v>
      </c>
    </row>
    <row r="277" spans="1:15" x14ac:dyDescent="0.25">
      <c r="A277" s="62">
        <v>276</v>
      </c>
      <c r="B277" s="62"/>
      <c r="C277" s="68" t="str">
        <f>IF(ISNA(VLOOKUP($B277,CPY!$B:$G,2,FALSE))=TRUE," ",VLOOKUP($B277,CPY!$B:$G,2,FALSE))</f>
        <v> </v>
      </c>
      <c r="D277" s="50" t="str">
        <f>IF(ISNA(VLOOKUP($B277,CPY!$B:$G,3,FALSE))=TRUE," ",VLOOKUP($B277,CPY!$B:$G,3,FALSE))</f>
        <v> </v>
      </c>
      <c r="E277" s="65" t="str">
        <f>IF(ISNA(VLOOKUP($B277,CPY!$B:$G,4,FALSE))=TRUE," ",VLOOKUP($B277,CPY!$B:$G,4,FALSE))</f>
        <v> </v>
      </c>
      <c r="F277" s="62"/>
      <c r="G277" s="86"/>
      <c r="H277" s="86"/>
      <c r="I277" s="87"/>
      <c r="J277" s="88"/>
      <c r="K277" s="88"/>
      <c r="L277" s="95">
        <f t="shared" si="8"/>
        <v>0</v>
      </c>
      <c r="M277" s="96" t="b">
        <f>IF((ISNUMBER(L277)),IF(AND(F277="Workdays",(SUMIFS(O:O,F:F,F277,I:I,I277,B:B,B277)&lt;=24)),IF(AND((L277*24)&gt;0,(L277*24)&lt;=8),(L277*24)*MD!$M$5,IF(AND((L277*24)&gt;8,(L277*24)&lt;=16),(MD!$N$5),IF((L277*24)&gt;16,MD!$N$5))),IF(AND(F277="Non_workdays",(SUMIFS(O:O,F:F,F277,I:I,I277,B:B,B277)&lt;=24)),IF(AND((L277*24)&gt;0,(L277*24)&lt;=8),(L277*24)*MD!$M$6,IF(AND((L277*24)&gt;8,(L277*24)&lt;=16),(MD!$N$6),IF((L277*24)&gt;16,MD!$N$6))),IF(AND(F277="Call_out",(SUMIFS(O:O,F:F,F277,I:I,I277,B:B,B277)&lt;=24)),IF(AND((L277*24)&gt;0,(L277*24)&lt;=8),(L277*24)*MD!$P$4,IF(AND((L277*24)&gt;8,(L277*24)&lt;=16),(MD!$Q$4),IF((L277*24)&gt;16,MD!$Q$4)))))))</f>
        <v>0</v>
      </c>
      <c r="N277" s="62"/>
      <c r="O277" s="72">
        <f t="shared" si="9"/>
        <v>0</v>
      </c>
    </row>
    <row r="278" spans="1:15" x14ac:dyDescent="0.25">
      <c r="A278" s="62">
        <v>277</v>
      </c>
      <c r="B278" s="62"/>
      <c r="C278" s="68" t="str">
        <f>IF(ISNA(VLOOKUP($B278,CPY!$B:$G,2,FALSE))=TRUE," ",VLOOKUP($B278,CPY!$B:$G,2,FALSE))</f>
        <v> </v>
      </c>
      <c r="D278" s="50" t="str">
        <f>IF(ISNA(VLOOKUP($B278,CPY!$B:$G,3,FALSE))=TRUE," ",VLOOKUP($B278,CPY!$B:$G,3,FALSE))</f>
        <v> </v>
      </c>
      <c r="E278" s="65" t="str">
        <f>IF(ISNA(VLOOKUP($B278,CPY!$B:$G,4,FALSE))=TRUE," ",VLOOKUP($B278,CPY!$B:$G,4,FALSE))</f>
        <v> </v>
      </c>
      <c r="F278" s="62"/>
      <c r="G278" s="86"/>
      <c r="H278" s="86"/>
      <c r="I278" s="87"/>
      <c r="J278" s="88"/>
      <c r="K278" s="88"/>
      <c r="L278" s="95">
        <f t="shared" si="8"/>
        <v>0</v>
      </c>
      <c r="M278" s="96" t="b">
        <f>IF((ISNUMBER(L278)),IF(AND(F278="Workdays",(SUMIFS(O:O,F:F,F278,I:I,I278,B:B,B278)&lt;=24)),IF(AND((L278*24)&gt;0,(L278*24)&lt;=8),(L278*24)*MD!$M$5,IF(AND((L278*24)&gt;8,(L278*24)&lt;=16),(MD!$N$5),IF((L278*24)&gt;16,MD!$N$5))),IF(AND(F278="Non_workdays",(SUMIFS(O:O,F:F,F278,I:I,I278,B:B,B278)&lt;=24)),IF(AND((L278*24)&gt;0,(L278*24)&lt;=8),(L278*24)*MD!$M$6,IF(AND((L278*24)&gt;8,(L278*24)&lt;=16),(MD!$N$6),IF((L278*24)&gt;16,MD!$N$6))),IF(AND(F278="Call_out",(SUMIFS(O:O,F:F,F278,I:I,I278,B:B,B278)&lt;=24)),IF(AND((L278*24)&gt;0,(L278*24)&lt;=8),(L278*24)*MD!$P$4,IF(AND((L278*24)&gt;8,(L278*24)&lt;=16),(MD!$Q$4),IF((L278*24)&gt;16,MD!$Q$4)))))))</f>
        <v>0</v>
      </c>
      <c r="N278" s="62"/>
      <c r="O278" s="72">
        <f t="shared" si="9"/>
        <v>0</v>
      </c>
    </row>
    <row r="279" spans="1:15" x14ac:dyDescent="0.25">
      <c r="A279" s="62">
        <v>278</v>
      </c>
      <c r="B279" s="62"/>
      <c r="C279" s="68" t="str">
        <f>IF(ISNA(VLOOKUP($B279,CPY!$B:$G,2,FALSE))=TRUE," ",VLOOKUP($B279,CPY!$B:$G,2,FALSE))</f>
        <v> </v>
      </c>
      <c r="D279" s="50" t="str">
        <f>IF(ISNA(VLOOKUP($B279,CPY!$B:$G,3,FALSE))=TRUE," ",VLOOKUP($B279,CPY!$B:$G,3,FALSE))</f>
        <v> </v>
      </c>
      <c r="E279" s="65" t="str">
        <f>IF(ISNA(VLOOKUP($B279,CPY!$B:$G,4,FALSE))=TRUE," ",VLOOKUP($B279,CPY!$B:$G,4,FALSE))</f>
        <v> </v>
      </c>
      <c r="F279" s="62"/>
      <c r="G279" s="86"/>
      <c r="H279" s="86"/>
      <c r="I279" s="87"/>
      <c r="J279" s="88"/>
      <c r="K279" s="88"/>
      <c r="L279" s="95">
        <f t="shared" si="8"/>
        <v>0</v>
      </c>
      <c r="M279" s="96" t="b">
        <f>IF((ISNUMBER(L279)),IF(AND(F279="Workdays",(SUMIFS(O:O,F:F,F279,I:I,I279,B:B,B279)&lt;=24)),IF(AND((L279*24)&gt;0,(L279*24)&lt;=8),(L279*24)*MD!$M$5,IF(AND((L279*24)&gt;8,(L279*24)&lt;=16),(MD!$N$5),IF((L279*24)&gt;16,MD!$N$5))),IF(AND(F279="Non_workdays",(SUMIFS(O:O,F:F,F279,I:I,I279,B:B,B279)&lt;=24)),IF(AND((L279*24)&gt;0,(L279*24)&lt;=8),(L279*24)*MD!$M$6,IF(AND((L279*24)&gt;8,(L279*24)&lt;=16),(MD!$N$6),IF((L279*24)&gt;16,MD!$N$6))),IF(AND(F279="Call_out",(SUMIFS(O:O,F:F,F279,I:I,I279,B:B,B279)&lt;=24)),IF(AND((L279*24)&gt;0,(L279*24)&lt;=8),(L279*24)*MD!$P$4,IF(AND((L279*24)&gt;8,(L279*24)&lt;=16),(MD!$Q$4),IF((L279*24)&gt;16,MD!$Q$4)))))))</f>
        <v>0</v>
      </c>
      <c r="N279" s="62"/>
      <c r="O279" s="72">
        <f t="shared" si="9"/>
        <v>0</v>
      </c>
    </row>
    <row r="280" spans="1:15" x14ac:dyDescent="0.25">
      <c r="A280" s="62">
        <v>279</v>
      </c>
      <c r="B280" s="62"/>
      <c r="C280" s="68" t="str">
        <f>IF(ISNA(VLOOKUP($B280,CPY!$B:$G,2,FALSE))=TRUE," ",VLOOKUP($B280,CPY!$B:$G,2,FALSE))</f>
        <v> </v>
      </c>
      <c r="D280" s="50" t="str">
        <f>IF(ISNA(VLOOKUP($B280,CPY!$B:$G,3,FALSE))=TRUE," ",VLOOKUP($B280,CPY!$B:$G,3,FALSE))</f>
        <v> </v>
      </c>
      <c r="E280" s="65" t="str">
        <f>IF(ISNA(VLOOKUP($B280,CPY!$B:$G,4,FALSE))=TRUE," ",VLOOKUP($B280,CPY!$B:$G,4,FALSE))</f>
        <v> </v>
      </c>
      <c r="F280" s="62"/>
      <c r="G280" s="86"/>
      <c r="H280" s="86"/>
      <c r="I280" s="87"/>
      <c r="J280" s="88"/>
      <c r="K280" s="88"/>
      <c r="L280" s="95">
        <f t="shared" si="8"/>
        <v>0</v>
      </c>
      <c r="M280" s="96" t="b">
        <f>IF((ISNUMBER(L280)),IF(AND(F280="Workdays",(SUMIFS(O:O,F:F,F280,I:I,I280,B:B,B280)&lt;=24)),IF(AND((L280*24)&gt;0,(L280*24)&lt;=8),(L280*24)*MD!$M$5,IF(AND((L280*24)&gt;8,(L280*24)&lt;=16),(MD!$N$5),IF((L280*24)&gt;16,MD!$N$5))),IF(AND(F280="Non_workdays",(SUMIFS(O:O,F:F,F280,I:I,I280,B:B,B280)&lt;=24)),IF(AND((L280*24)&gt;0,(L280*24)&lt;=8),(L280*24)*MD!$M$6,IF(AND((L280*24)&gt;8,(L280*24)&lt;=16),(MD!$N$6),IF((L280*24)&gt;16,MD!$N$6))),IF(AND(F280="Call_out",(SUMIFS(O:O,F:F,F280,I:I,I280,B:B,B280)&lt;=24)),IF(AND((L280*24)&gt;0,(L280*24)&lt;=8),(L280*24)*MD!$P$4,IF(AND((L280*24)&gt;8,(L280*24)&lt;=16),(MD!$Q$4),IF((L280*24)&gt;16,MD!$Q$4)))))))</f>
        <v>0</v>
      </c>
      <c r="N280" s="62"/>
      <c r="O280" s="72">
        <f t="shared" si="9"/>
        <v>0</v>
      </c>
    </row>
    <row r="281" spans="1:15" x14ac:dyDescent="0.25">
      <c r="A281" s="62">
        <v>280</v>
      </c>
      <c r="B281" s="62"/>
      <c r="C281" s="68" t="str">
        <f>IF(ISNA(VLOOKUP($B281,CPY!$B:$G,2,FALSE))=TRUE," ",VLOOKUP($B281,CPY!$B:$G,2,FALSE))</f>
        <v> </v>
      </c>
      <c r="D281" s="50" t="str">
        <f>IF(ISNA(VLOOKUP($B281,CPY!$B:$G,3,FALSE))=TRUE," ",VLOOKUP($B281,CPY!$B:$G,3,FALSE))</f>
        <v> </v>
      </c>
      <c r="E281" s="65" t="str">
        <f>IF(ISNA(VLOOKUP($B281,CPY!$B:$G,4,FALSE))=TRUE," ",VLOOKUP($B281,CPY!$B:$G,4,FALSE))</f>
        <v> </v>
      </c>
      <c r="F281" s="62"/>
      <c r="G281" s="86"/>
      <c r="H281" s="86"/>
      <c r="I281" s="87"/>
      <c r="J281" s="88"/>
      <c r="K281" s="88"/>
      <c r="L281" s="95">
        <f t="shared" si="8"/>
        <v>0</v>
      </c>
      <c r="M281" s="96" t="b">
        <f>IF((ISNUMBER(L281)),IF(AND(F281="Workdays",(SUMIFS(O:O,F:F,F281,I:I,I281,B:B,B281)&lt;=24)),IF(AND((L281*24)&gt;0,(L281*24)&lt;=8),(L281*24)*MD!$M$5,IF(AND((L281*24)&gt;8,(L281*24)&lt;=16),(MD!$N$5),IF((L281*24)&gt;16,MD!$N$5))),IF(AND(F281="Non_workdays",(SUMIFS(O:O,F:F,F281,I:I,I281,B:B,B281)&lt;=24)),IF(AND((L281*24)&gt;0,(L281*24)&lt;=8),(L281*24)*MD!$M$6,IF(AND((L281*24)&gt;8,(L281*24)&lt;=16),(MD!$N$6),IF((L281*24)&gt;16,MD!$N$6))),IF(AND(F281="Call_out",(SUMIFS(O:O,F:F,F281,I:I,I281,B:B,B281)&lt;=24)),IF(AND((L281*24)&gt;0,(L281*24)&lt;=8),(L281*24)*MD!$P$4,IF(AND((L281*24)&gt;8,(L281*24)&lt;=16),(MD!$Q$4),IF((L281*24)&gt;16,MD!$Q$4)))))))</f>
        <v>0</v>
      </c>
      <c r="N281" s="62"/>
      <c r="O281" s="72">
        <f t="shared" si="9"/>
        <v>0</v>
      </c>
    </row>
    <row r="282" spans="1:15" x14ac:dyDescent="0.25">
      <c r="A282" s="62">
        <v>281</v>
      </c>
      <c r="B282" s="62"/>
      <c r="C282" s="68" t="str">
        <f>IF(ISNA(VLOOKUP($B282,CPY!$B:$G,2,FALSE))=TRUE," ",VLOOKUP($B282,CPY!$B:$G,2,FALSE))</f>
        <v> </v>
      </c>
      <c r="D282" s="50" t="str">
        <f>IF(ISNA(VLOOKUP($B282,CPY!$B:$G,3,FALSE))=TRUE," ",VLOOKUP($B282,CPY!$B:$G,3,FALSE))</f>
        <v> </v>
      </c>
      <c r="E282" s="65" t="str">
        <f>IF(ISNA(VLOOKUP($B282,CPY!$B:$G,4,FALSE))=TRUE," ",VLOOKUP($B282,CPY!$B:$G,4,FALSE))</f>
        <v> </v>
      </c>
      <c r="F282" s="62"/>
      <c r="G282" s="86"/>
      <c r="H282" s="86"/>
      <c r="I282" s="87"/>
      <c r="J282" s="88"/>
      <c r="K282" s="88"/>
      <c r="L282" s="95">
        <f t="shared" si="8"/>
        <v>0</v>
      </c>
      <c r="M282" s="96" t="b">
        <f>IF((ISNUMBER(L282)),IF(AND(F282="Workdays",(SUMIFS(O:O,F:F,F282,I:I,I282,B:B,B282)&lt;=24)),IF(AND((L282*24)&gt;0,(L282*24)&lt;=8),(L282*24)*MD!$M$5,IF(AND((L282*24)&gt;8,(L282*24)&lt;=16),(MD!$N$5),IF((L282*24)&gt;16,MD!$N$5))),IF(AND(F282="Non_workdays",(SUMIFS(O:O,F:F,F282,I:I,I282,B:B,B282)&lt;=24)),IF(AND((L282*24)&gt;0,(L282*24)&lt;=8),(L282*24)*MD!$M$6,IF(AND((L282*24)&gt;8,(L282*24)&lt;=16),(MD!$N$6),IF((L282*24)&gt;16,MD!$N$6))),IF(AND(F282="Call_out",(SUMIFS(O:O,F:F,F282,I:I,I282,B:B,B282)&lt;=24)),IF(AND((L282*24)&gt;0,(L282*24)&lt;=8),(L282*24)*MD!$P$4,IF(AND((L282*24)&gt;8,(L282*24)&lt;=16),(MD!$Q$4),IF((L282*24)&gt;16,MD!$Q$4)))))))</f>
        <v>0</v>
      </c>
      <c r="N282" s="62"/>
      <c r="O282" s="72">
        <f t="shared" si="9"/>
        <v>0</v>
      </c>
    </row>
    <row r="283" spans="1:15" x14ac:dyDescent="0.25">
      <c r="A283" s="62">
        <v>282</v>
      </c>
      <c r="B283" s="62"/>
      <c r="C283" s="68" t="str">
        <f>IF(ISNA(VLOOKUP($B283,CPY!$B:$G,2,FALSE))=TRUE," ",VLOOKUP($B283,CPY!$B:$G,2,FALSE))</f>
        <v> </v>
      </c>
      <c r="D283" s="50" t="str">
        <f>IF(ISNA(VLOOKUP($B283,CPY!$B:$G,3,FALSE))=TRUE," ",VLOOKUP($B283,CPY!$B:$G,3,FALSE))</f>
        <v> </v>
      </c>
      <c r="E283" s="65" t="str">
        <f>IF(ISNA(VLOOKUP($B283,CPY!$B:$G,4,FALSE))=TRUE," ",VLOOKUP($B283,CPY!$B:$G,4,FALSE))</f>
        <v> </v>
      </c>
      <c r="F283" s="62"/>
      <c r="G283" s="86"/>
      <c r="H283" s="86"/>
      <c r="I283" s="87"/>
      <c r="J283" s="88"/>
      <c r="K283" s="88"/>
      <c r="L283" s="95">
        <f t="shared" si="8"/>
        <v>0</v>
      </c>
      <c r="M283" s="96" t="b">
        <f>IF((ISNUMBER(L283)),IF(AND(F283="Workdays",(SUMIFS(O:O,F:F,F283,I:I,I283,B:B,B283)&lt;=24)),IF(AND((L283*24)&gt;0,(L283*24)&lt;=8),(L283*24)*MD!$M$5,IF(AND((L283*24)&gt;8,(L283*24)&lt;=16),(MD!$N$5),IF((L283*24)&gt;16,MD!$N$5))),IF(AND(F283="Non_workdays",(SUMIFS(O:O,F:F,F283,I:I,I283,B:B,B283)&lt;=24)),IF(AND((L283*24)&gt;0,(L283*24)&lt;=8),(L283*24)*MD!$M$6,IF(AND((L283*24)&gt;8,(L283*24)&lt;=16),(MD!$N$6),IF((L283*24)&gt;16,MD!$N$6))),IF(AND(F283="Call_out",(SUMIFS(O:O,F:F,F283,I:I,I283,B:B,B283)&lt;=24)),IF(AND((L283*24)&gt;0,(L283*24)&lt;=8),(L283*24)*MD!$P$4,IF(AND((L283*24)&gt;8,(L283*24)&lt;=16),(MD!$Q$4),IF((L283*24)&gt;16,MD!$Q$4)))))))</f>
        <v>0</v>
      </c>
      <c r="N283" s="62"/>
      <c r="O283" s="72">
        <f t="shared" si="9"/>
        <v>0</v>
      </c>
    </row>
    <row r="284" spans="1:15" x14ac:dyDescent="0.25">
      <c r="A284" s="62">
        <v>283</v>
      </c>
      <c r="B284" s="62"/>
      <c r="C284" s="68" t="str">
        <f>IF(ISNA(VLOOKUP($B284,CPY!$B:$G,2,FALSE))=TRUE," ",VLOOKUP($B284,CPY!$B:$G,2,FALSE))</f>
        <v> </v>
      </c>
      <c r="D284" s="50" t="str">
        <f>IF(ISNA(VLOOKUP($B284,CPY!$B:$G,3,FALSE))=TRUE," ",VLOOKUP($B284,CPY!$B:$G,3,FALSE))</f>
        <v> </v>
      </c>
      <c r="E284" s="65" t="str">
        <f>IF(ISNA(VLOOKUP($B284,CPY!$B:$G,4,FALSE))=TRUE," ",VLOOKUP($B284,CPY!$B:$G,4,FALSE))</f>
        <v> </v>
      </c>
      <c r="F284" s="62"/>
      <c r="G284" s="86"/>
      <c r="H284" s="86"/>
      <c r="I284" s="87"/>
      <c r="J284" s="88"/>
      <c r="K284" s="88"/>
      <c r="L284" s="95">
        <f t="shared" si="8"/>
        <v>0</v>
      </c>
      <c r="M284" s="96" t="b">
        <f>IF((ISNUMBER(L284)),IF(AND(F284="Workdays",(SUMIFS(O:O,F:F,F284,I:I,I284,B:B,B284)&lt;=24)),IF(AND((L284*24)&gt;0,(L284*24)&lt;=8),(L284*24)*MD!$M$5,IF(AND((L284*24)&gt;8,(L284*24)&lt;=16),(MD!$N$5),IF((L284*24)&gt;16,MD!$N$5))),IF(AND(F284="Non_workdays",(SUMIFS(O:O,F:F,F284,I:I,I284,B:B,B284)&lt;=24)),IF(AND((L284*24)&gt;0,(L284*24)&lt;=8),(L284*24)*MD!$M$6,IF(AND((L284*24)&gt;8,(L284*24)&lt;=16),(MD!$N$6),IF((L284*24)&gt;16,MD!$N$6))),IF(AND(F284="Call_out",(SUMIFS(O:O,F:F,F284,I:I,I284,B:B,B284)&lt;=24)),IF(AND((L284*24)&gt;0,(L284*24)&lt;=8),(L284*24)*MD!$P$4,IF(AND((L284*24)&gt;8,(L284*24)&lt;=16),(MD!$Q$4),IF((L284*24)&gt;16,MD!$Q$4)))))))</f>
        <v>0</v>
      </c>
      <c r="N284" s="62"/>
      <c r="O284" s="72">
        <f t="shared" si="9"/>
        <v>0</v>
      </c>
    </row>
    <row r="285" spans="1:15" x14ac:dyDescent="0.25">
      <c r="A285" s="62">
        <v>284</v>
      </c>
      <c r="B285" s="62"/>
      <c r="C285" s="68" t="str">
        <f>IF(ISNA(VLOOKUP($B285,CPY!$B:$G,2,FALSE))=TRUE," ",VLOOKUP($B285,CPY!$B:$G,2,FALSE))</f>
        <v> </v>
      </c>
      <c r="D285" s="50" t="str">
        <f>IF(ISNA(VLOOKUP($B285,CPY!$B:$G,3,FALSE))=TRUE," ",VLOOKUP($B285,CPY!$B:$G,3,FALSE))</f>
        <v> </v>
      </c>
      <c r="E285" s="65" t="str">
        <f>IF(ISNA(VLOOKUP($B285,CPY!$B:$G,4,FALSE))=TRUE," ",VLOOKUP($B285,CPY!$B:$G,4,FALSE))</f>
        <v> </v>
      </c>
      <c r="F285" s="62"/>
      <c r="G285" s="86"/>
      <c r="H285" s="86"/>
      <c r="I285" s="87"/>
      <c r="J285" s="88"/>
      <c r="K285" s="88"/>
      <c r="L285" s="95">
        <f t="shared" si="8"/>
        <v>0</v>
      </c>
      <c r="M285" s="96" t="b">
        <f>IF((ISNUMBER(L285)),IF(AND(F285="Workdays",(SUMIFS(O:O,F:F,F285,I:I,I285,B:B,B285)&lt;=24)),IF(AND((L285*24)&gt;0,(L285*24)&lt;=8),(L285*24)*MD!$M$5,IF(AND((L285*24)&gt;8,(L285*24)&lt;=16),(MD!$N$5),IF((L285*24)&gt;16,MD!$N$5))),IF(AND(F285="Non_workdays",(SUMIFS(O:O,F:F,F285,I:I,I285,B:B,B285)&lt;=24)),IF(AND((L285*24)&gt;0,(L285*24)&lt;=8),(L285*24)*MD!$M$6,IF(AND((L285*24)&gt;8,(L285*24)&lt;=16),(MD!$N$6),IF((L285*24)&gt;16,MD!$N$6))),IF(AND(F285="Call_out",(SUMIFS(O:O,F:F,F285,I:I,I285,B:B,B285)&lt;=24)),IF(AND((L285*24)&gt;0,(L285*24)&lt;=8),(L285*24)*MD!$P$4,IF(AND((L285*24)&gt;8,(L285*24)&lt;=16),(MD!$Q$4),IF((L285*24)&gt;16,MD!$Q$4)))))))</f>
        <v>0</v>
      </c>
      <c r="N285" s="62"/>
      <c r="O285" s="72">
        <f t="shared" si="9"/>
        <v>0</v>
      </c>
    </row>
    <row r="286" spans="1:15" x14ac:dyDescent="0.25">
      <c r="A286" s="62">
        <v>285</v>
      </c>
      <c r="B286" s="62"/>
      <c r="C286" s="68" t="str">
        <f>IF(ISNA(VLOOKUP($B286,CPY!$B:$G,2,FALSE))=TRUE," ",VLOOKUP($B286,CPY!$B:$G,2,FALSE))</f>
        <v> </v>
      </c>
      <c r="D286" s="50" t="str">
        <f>IF(ISNA(VLOOKUP($B286,CPY!$B:$G,3,FALSE))=TRUE," ",VLOOKUP($B286,CPY!$B:$G,3,FALSE))</f>
        <v> </v>
      </c>
      <c r="E286" s="65" t="str">
        <f>IF(ISNA(VLOOKUP($B286,CPY!$B:$G,4,FALSE))=TRUE," ",VLOOKUP($B286,CPY!$B:$G,4,FALSE))</f>
        <v> </v>
      </c>
      <c r="F286" s="62"/>
      <c r="G286" s="86"/>
      <c r="H286" s="86"/>
      <c r="I286" s="87"/>
      <c r="J286" s="88"/>
      <c r="K286" s="88"/>
      <c r="L286" s="95">
        <f t="shared" si="8"/>
        <v>0</v>
      </c>
      <c r="M286" s="96" t="b">
        <f>IF((ISNUMBER(L286)),IF(AND(F286="Workdays",(SUMIFS(O:O,F:F,F286,I:I,I286,B:B,B286)&lt;=24)),IF(AND((L286*24)&gt;0,(L286*24)&lt;=8),(L286*24)*MD!$M$5,IF(AND((L286*24)&gt;8,(L286*24)&lt;=16),(MD!$N$5),IF((L286*24)&gt;16,MD!$N$5))),IF(AND(F286="Non_workdays",(SUMIFS(O:O,F:F,F286,I:I,I286,B:B,B286)&lt;=24)),IF(AND((L286*24)&gt;0,(L286*24)&lt;=8),(L286*24)*MD!$M$6,IF(AND((L286*24)&gt;8,(L286*24)&lt;=16),(MD!$N$6),IF((L286*24)&gt;16,MD!$N$6))),IF(AND(F286="Call_out",(SUMIFS(O:O,F:F,F286,I:I,I286,B:B,B286)&lt;=24)),IF(AND((L286*24)&gt;0,(L286*24)&lt;=8),(L286*24)*MD!$P$4,IF(AND((L286*24)&gt;8,(L286*24)&lt;=16),(MD!$Q$4),IF((L286*24)&gt;16,MD!$Q$4)))))))</f>
        <v>0</v>
      </c>
      <c r="N286" s="62"/>
      <c r="O286" s="72">
        <f t="shared" si="9"/>
        <v>0</v>
      </c>
    </row>
    <row r="287" spans="1:15" x14ac:dyDescent="0.25">
      <c r="A287" s="62">
        <v>286</v>
      </c>
      <c r="B287" s="62"/>
      <c r="C287" s="68" t="str">
        <f>IF(ISNA(VLOOKUP($B287,CPY!$B:$G,2,FALSE))=TRUE," ",VLOOKUP($B287,CPY!$B:$G,2,FALSE))</f>
        <v> </v>
      </c>
      <c r="D287" s="50" t="str">
        <f>IF(ISNA(VLOOKUP($B287,CPY!$B:$G,3,FALSE))=TRUE," ",VLOOKUP($B287,CPY!$B:$G,3,FALSE))</f>
        <v> </v>
      </c>
      <c r="E287" s="65" t="str">
        <f>IF(ISNA(VLOOKUP($B287,CPY!$B:$G,4,FALSE))=TRUE," ",VLOOKUP($B287,CPY!$B:$G,4,FALSE))</f>
        <v> </v>
      </c>
      <c r="F287" s="62"/>
      <c r="G287" s="86"/>
      <c r="H287" s="86"/>
      <c r="I287" s="87"/>
      <c r="J287" s="88"/>
      <c r="K287" s="88"/>
      <c r="L287" s="95">
        <f t="shared" si="8"/>
        <v>0</v>
      </c>
      <c r="M287" s="96" t="b">
        <f>IF((ISNUMBER(L287)),IF(AND(F287="Workdays",(SUMIFS(O:O,F:F,F287,I:I,I287,B:B,B287)&lt;=24)),IF(AND((L287*24)&gt;0,(L287*24)&lt;=8),(L287*24)*MD!$M$5,IF(AND((L287*24)&gt;8,(L287*24)&lt;=16),(MD!$N$5),IF((L287*24)&gt;16,MD!$N$5))),IF(AND(F287="Non_workdays",(SUMIFS(O:O,F:F,F287,I:I,I287,B:B,B287)&lt;=24)),IF(AND((L287*24)&gt;0,(L287*24)&lt;=8),(L287*24)*MD!$M$6,IF(AND((L287*24)&gt;8,(L287*24)&lt;=16),(MD!$N$6),IF((L287*24)&gt;16,MD!$N$6))),IF(AND(F287="Call_out",(SUMIFS(O:O,F:F,F287,I:I,I287,B:B,B287)&lt;=24)),IF(AND((L287*24)&gt;0,(L287*24)&lt;=8),(L287*24)*MD!$P$4,IF(AND((L287*24)&gt;8,(L287*24)&lt;=16),(MD!$Q$4),IF((L287*24)&gt;16,MD!$Q$4)))))))</f>
        <v>0</v>
      </c>
      <c r="N287" s="62"/>
      <c r="O287" s="72">
        <f t="shared" si="9"/>
        <v>0</v>
      </c>
    </row>
    <row r="288" spans="1:15" x14ac:dyDescent="0.25">
      <c r="A288" s="62">
        <v>287</v>
      </c>
      <c r="B288" s="62"/>
      <c r="C288" s="68" t="str">
        <f>IF(ISNA(VLOOKUP($B288,CPY!$B:$G,2,FALSE))=TRUE," ",VLOOKUP($B288,CPY!$B:$G,2,FALSE))</f>
        <v> </v>
      </c>
      <c r="D288" s="50" t="str">
        <f>IF(ISNA(VLOOKUP($B288,CPY!$B:$G,3,FALSE))=TRUE," ",VLOOKUP($B288,CPY!$B:$G,3,FALSE))</f>
        <v> </v>
      </c>
      <c r="E288" s="65" t="str">
        <f>IF(ISNA(VLOOKUP($B288,CPY!$B:$G,4,FALSE))=TRUE," ",VLOOKUP($B288,CPY!$B:$G,4,FALSE))</f>
        <v> </v>
      </c>
      <c r="F288" s="62"/>
      <c r="G288" s="86"/>
      <c r="H288" s="86"/>
      <c r="I288" s="87"/>
      <c r="J288" s="88"/>
      <c r="K288" s="88"/>
      <c r="L288" s="95">
        <f t="shared" si="8"/>
        <v>0</v>
      </c>
      <c r="M288" s="96" t="b">
        <f>IF((ISNUMBER(L288)),IF(AND(F288="Workdays",(SUMIFS(O:O,F:F,F288,I:I,I288,B:B,B288)&lt;=24)),IF(AND((L288*24)&gt;0,(L288*24)&lt;=8),(L288*24)*MD!$M$5,IF(AND((L288*24)&gt;8,(L288*24)&lt;=16),(MD!$N$5),IF((L288*24)&gt;16,MD!$N$5))),IF(AND(F288="Non_workdays",(SUMIFS(O:O,F:F,F288,I:I,I288,B:B,B288)&lt;=24)),IF(AND((L288*24)&gt;0,(L288*24)&lt;=8),(L288*24)*MD!$M$6,IF(AND((L288*24)&gt;8,(L288*24)&lt;=16),(MD!$N$6),IF((L288*24)&gt;16,MD!$N$6))),IF(AND(F288="Call_out",(SUMIFS(O:O,F:F,F288,I:I,I288,B:B,B288)&lt;=24)),IF(AND((L288*24)&gt;0,(L288*24)&lt;=8),(L288*24)*MD!$P$4,IF(AND((L288*24)&gt;8,(L288*24)&lt;=16),(MD!$Q$4),IF((L288*24)&gt;16,MD!$Q$4)))))))</f>
        <v>0</v>
      </c>
      <c r="N288" s="62"/>
      <c r="O288" s="72">
        <f t="shared" si="9"/>
        <v>0</v>
      </c>
    </row>
    <row r="289" spans="1:15" x14ac:dyDescent="0.25">
      <c r="A289" s="62">
        <v>288</v>
      </c>
      <c r="B289" s="62"/>
      <c r="C289" s="68" t="str">
        <f>IF(ISNA(VLOOKUP($B289,CPY!$B:$G,2,FALSE))=TRUE," ",VLOOKUP($B289,CPY!$B:$G,2,FALSE))</f>
        <v> </v>
      </c>
      <c r="D289" s="50" t="str">
        <f>IF(ISNA(VLOOKUP($B289,CPY!$B:$G,3,FALSE))=TRUE," ",VLOOKUP($B289,CPY!$B:$G,3,FALSE))</f>
        <v> </v>
      </c>
      <c r="E289" s="65" t="str">
        <f>IF(ISNA(VLOOKUP($B289,CPY!$B:$G,4,FALSE))=TRUE," ",VLOOKUP($B289,CPY!$B:$G,4,FALSE))</f>
        <v> </v>
      </c>
      <c r="F289" s="62"/>
      <c r="G289" s="86"/>
      <c r="H289" s="86"/>
      <c r="I289" s="87"/>
      <c r="J289" s="88"/>
      <c r="K289" s="88"/>
      <c r="L289" s="95">
        <f t="shared" si="8"/>
        <v>0</v>
      </c>
      <c r="M289" s="96" t="b">
        <f>IF((ISNUMBER(L289)),IF(AND(F289="Workdays",(SUMIFS(O:O,F:F,F289,I:I,I289,B:B,B289)&lt;=24)),IF(AND((L289*24)&gt;0,(L289*24)&lt;=8),(L289*24)*MD!$M$5,IF(AND((L289*24)&gt;8,(L289*24)&lt;=16),(MD!$N$5),IF((L289*24)&gt;16,MD!$N$5))),IF(AND(F289="Non_workdays",(SUMIFS(O:O,F:F,F289,I:I,I289,B:B,B289)&lt;=24)),IF(AND((L289*24)&gt;0,(L289*24)&lt;=8),(L289*24)*MD!$M$6,IF(AND((L289*24)&gt;8,(L289*24)&lt;=16),(MD!$N$6),IF((L289*24)&gt;16,MD!$N$6))),IF(AND(F289="Call_out",(SUMIFS(O:O,F:F,F289,I:I,I289,B:B,B289)&lt;=24)),IF(AND((L289*24)&gt;0,(L289*24)&lt;=8),(L289*24)*MD!$P$4,IF(AND((L289*24)&gt;8,(L289*24)&lt;=16),(MD!$Q$4),IF((L289*24)&gt;16,MD!$Q$4)))))))</f>
        <v>0</v>
      </c>
      <c r="N289" s="62"/>
      <c r="O289" s="72">
        <f t="shared" si="9"/>
        <v>0</v>
      </c>
    </row>
    <row r="290" spans="1:15" x14ac:dyDescent="0.25">
      <c r="A290" s="62">
        <v>289</v>
      </c>
      <c r="B290" s="62"/>
      <c r="C290" s="68" t="str">
        <f>IF(ISNA(VLOOKUP($B290,CPY!$B:$G,2,FALSE))=TRUE," ",VLOOKUP($B290,CPY!$B:$G,2,FALSE))</f>
        <v> </v>
      </c>
      <c r="D290" s="50" t="str">
        <f>IF(ISNA(VLOOKUP($B290,CPY!$B:$G,3,FALSE))=TRUE," ",VLOOKUP($B290,CPY!$B:$G,3,FALSE))</f>
        <v> </v>
      </c>
      <c r="E290" s="65" t="str">
        <f>IF(ISNA(VLOOKUP($B290,CPY!$B:$G,4,FALSE))=TRUE," ",VLOOKUP($B290,CPY!$B:$G,4,FALSE))</f>
        <v> </v>
      </c>
      <c r="F290" s="62"/>
      <c r="G290" s="86"/>
      <c r="H290" s="86"/>
      <c r="I290" s="87"/>
      <c r="J290" s="88"/>
      <c r="K290" s="88"/>
      <c r="L290" s="95">
        <f t="shared" si="8"/>
        <v>0</v>
      </c>
      <c r="M290" s="96" t="b">
        <f>IF((ISNUMBER(L290)),IF(AND(F290="Workdays",(SUMIFS(O:O,F:F,F290,I:I,I290,B:B,B290)&lt;=24)),IF(AND((L290*24)&gt;0,(L290*24)&lt;=8),(L290*24)*MD!$M$5,IF(AND((L290*24)&gt;8,(L290*24)&lt;=16),(MD!$N$5),IF((L290*24)&gt;16,MD!$N$5))),IF(AND(F290="Non_workdays",(SUMIFS(O:O,F:F,F290,I:I,I290,B:B,B290)&lt;=24)),IF(AND((L290*24)&gt;0,(L290*24)&lt;=8),(L290*24)*MD!$M$6,IF(AND((L290*24)&gt;8,(L290*24)&lt;=16),(MD!$N$6),IF((L290*24)&gt;16,MD!$N$6))),IF(AND(F290="Call_out",(SUMIFS(O:O,F:F,F290,I:I,I290,B:B,B290)&lt;=24)),IF(AND((L290*24)&gt;0,(L290*24)&lt;=8),(L290*24)*MD!$P$4,IF(AND((L290*24)&gt;8,(L290*24)&lt;=16),(MD!$Q$4),IF((L290*24)&gt;16,MD!$Q$4)))))))</f>
        <v>0</v>
      </c>
      <c r="N290" s="62"/>
      <c r="O290" s="72">
        <f t="shared" si="9"/>
        <v>0</v>
      </c>
    </row>
    <row r="291" spans="1:15" x14ac:dyDescent="0.25">
      <c r="A291" s="62">
        <v>290</v>
      </c>
      <c r="B291" s="62"/>
      <c r="C291" s="68" t="str">
        <f>IF(ISNA(VLOOKUP($B291,CPY!$B:$G,2,FALSE))=TRUE," ",VLOOKUP($B291,CPY!$B:$G,2,FALSE))</f>
        <v> </v>
      </c>
      <c r="D291" s="50" t="str">
        <f>IF(ISNA(VLOOKUP($B291,CPY!$B:$G,3,FALSE))=TRUE," ",VLOOKUP($B291,CPY!$B:$G,3,FALSE))</f>
        <v> </v>
      </c>
      <c r="E291" s="65" t="str">
        <f>IF(ISNA(VLOOKUP($B291,CPY!$B:$G,4,FALSE))=TRUE," ",VLOOKUP($B291,CPY!$B:$G,4,FALSE))</f>
        <v> </v>
      </c>
      <c r="F291" s="62"/>
      <c r="G291" s="86"/>
      <c r="H291" s="86"/>
      <c r="I291" s="87"/>
      <c r="J291" s="88"/>
      <c r="K291" s="88"/>
      <c r="L291" s="95">
        <f t="shared" si="8"/>
        <v>0</v>
      </c>
      <c r="M291" s="96" t="b">
        <f>IF((ISNUMBER(L291)),IF(AND(F291="Workdays",(SUMIFS(O:O,F:F,F291,I:I,I291,B:B,B291)&lt;=24)),IF(AND((L291*24)&gt;0,(L291*24)&lt;=8),(L291*24)*MD!$M$5,IF(AND((L291*24)&gt;8,(L291*24)&lt;=16),(MD!$N$5),IF((L291*24)&gt;16,MD!$N$5))),IF(AND(F291="Non_workdays",(SUMIFS(O:O,F:F,F291,I:I,I291,B:B,B291)&lt;=24)),IF(AND((L291*24)&gt;0,(L291*24)&lt;=8),(L291*24)*MD!$M$6,IF(AND((L291*24)&gt;8,(L291*24)&lt;=16),(MD!$N$6),IF((L291*24)&gt;16,MD!$N$6))),IF(AND(F291="Call_out",(SUMIFS(O:O,F:F,F291,I:I,I291,B:B,B291)&lt;=24)),IF(AND((L291*24)&gt;0,(L291*24)&lt;=8),(L291*24)*MD!$P$4,IF(AND((L291*24)&gt;8,(L291*24)&lt;=16),(MD!$Q$4),IF((L291*24)&gt;16,MD!$Q$4)))))))</f>
        <v>0</v>
      </c>
      <c r="N291" s="62"/>
      <c r="O291" s="72">
        <f t="shared" si="9"/>
        <v>0</v>
      </c>
    </row>
    <row r="292" spans="1:15" x14ac:dyDescent="0.25">
      <c r="A292" s="62">
        <v>291</v>
      </c>
      <c r="B292" s="62"/>
      <c r="C292" s="68" t="str">
        <f>IF(ISNA(VLOOKUP($B292,CPY!$B:$G,2,FALSE))=TRUE," ",VLOOKUP($B292,CPY!$B:$G,2,FALSE))</f>
        <v> </v>
      </c>
      <c r="D292" s="50" t="str">
        <f>IF(ISNA(VLOOKUP($B292,CPY!$B:$G,3,FALSE))=TRUE," ",VLOOKUP($B292,CPY!$B:$G,3,FALSE))</f>
        <v> </v>
      </c>
      <c r="E292" s="65" t="str">
        <f>IF(ISNA(VLOOKUP($B292,CPY!$B:$G,4,FALSE))=TRUE," ",VLOOKUP($B292,CPY!$B:$G,4,FALSE))</f>
        <v> </v>
      </c>
      <c r="F292" s="62"/>
      <c r="G292" s="86"/>
      <c r="H292" s="86"/>
      <c r="I292" s="87"/>
      <c r="J292" s="88"/>
      <c r="K292" s="88"/>
      <c r="L292" s="95">
        <f t="shared" si="8"/>
        <v>0</v>
      </c>
      <c r="M292" s="96" t="b">
        <f>IF((ISNUMBER(L292)),IF(AND(F292="Workdays",(SUMIFS(O:O,F:F,F292,I:I,I292,B:B,B292)&lt;=24)),IF(AND((L292*24)&gt;0,(L292*24)&lt;=8),(L292*24)*MD!$M$5,IF(AND((L292*24)&gt;8,(L292*24)&lt;=16),(MD!$N$5),IF((L292*24)&gt;16,MD!$N$5))),IF(AND(F292="Non_workdays",(SUMIFS(O:O,F:F,F292,I:I,I292,B:B,B292)&lt;=24)),IF(AND((L292*24)&gt;0,(L292*24)&lt;=8),(L292*24)*MD!$M$6,IF(AND((L292*24)&gt;8,(L292*24)&lt;=16),(MD!$N$6),IF((L292*24)&gt;16,MD!$N$6))),IF(AND(F292="Call_out",(SUMIFS(O:O,F:F,F292,I:I,I292,B:B,B292)&lt;=24)),IF(AND((L292*24)&gt;0,(L292*24)&lt;=8),(L292*24)*MD!$P$4,IF(AND((L292*24)&gt;8,(L292*24)&lt;=16),(MD!$Q$4),IF((L292*24)&gt;16,MD!$Q$4)))))))</f>
        <v>0</v>
      </c>
      <c r="N292" s="62"/>
      <c r="O292" s="72">
        <f t="shared" si="9"/>
        <v>0</v>
      </c>
    </row>
    <row r="293" spans="1:15" x14ac:dyDescent="0.25">
      <c r="A293" s="62">
        <v>292</v>
      </c>
      <c r="B293" s="62"/>
      <c r="C293" s="68" t="str">
        <f>IF(ISNA(VLOOKUP($B293,CPY!$B:$G,2,FALSE))=TRUE," ",VLOOKUP($B293,CPY!$B:$G,2,FALSE))</f>
        <v> </v>
      </c>
      <c r="D293" s="50" t="str">
        <f>IF(ISNA(VLOOKUP($B293,CPY!$B:$G,3,FALSE))=TRUE," ",VLOOKUP($B293,CPY!$B:$G,3,FALSE))</f>
        <v> </v>
      </c>
      <c r="E293" s="65" t="str">
        <f>IF(ISNA(VLOOKUP($B293,CPY!$B:$G,4,FALSE))=TRUE," ",VLOOKUP($B293,CPY!$B:$G,4,FALSE))</f>
        <v> </v>
      </c>
      <c r="F293" s="62"/>
      <c r="G293" s="86"/>
      <c r="H293" s="86"/>
      <c r="I293" s="87"/>
      <c r="J293" s="88"/>
      <c r="K293" s="88"/>
      <c r="L293" s="95">
        <f t="shared" si="8"/>
        <v>0</v>
      </c>
      <c r="M293" s="96" t="b">
        <f>IF((ISNUMBER(L293)),IF(AND(F293="Workdays",(SUMIFS(O:O,F:F,F293,I:I,I293,B:B,B293)&lt;=24)),IF(AND((L293*24)&gt;0,(L293*24)&lt;=8),(L293*24)*MD!$M$5,IF(AND((L293*24)&gt;8,(L293*24)&lt;=16),(MD!$N$5),IF((L293*24)&gt;16,MD!$N$5))),IF(AND(F293="Non_workdays",(SUMIFS(O:O,F:F,F293,I:I,I293,B:B,B293)&lt;=24)),IF(AND((L293*24)&gt;0,(L293*24)&lt;=8),(L293*24)*MD!$M$6,IF(AND((L293*24)&gt;8,(L293*24)&lt;=16),(MD!$N$6),IF((L293*24)&gt;16,MD!$N$6))),IF(AND(F293="Call_out",(SUMIFS(O:O,F:F,F293,I:I,I293,B:B,B293)&lt;=24)),IF(AND((L293*24)&gt;0,(L293*24)&lt;=8),(L293*24)*MD!$P$4,IF(AND((L293*24)&gt;8,(L293*24)&lt;=16),(MD!$Q$4),IF((L293*24)&gt;16,MD!$Q$4)))))))</f>
        <v>0</v>
      </c>
      <c r="N293" s="62"/>
      <c r="O293" s="72">
        <f t="shared" si="9"/>
        <v>0</v>
      </c>
    </row>
    <row r="294" spans="1:15" x14ac:dyDescent="0.25">
      <c r="A294" s="62">
        <v>293</v>
      </c>
      <c r="B294" s="62"/>
      <c r="C294" s="68" t="str">
        <f>IF(ISNA(VLOOKUP($B294,CPY!$B:$G,2,FALSE))=TRUE," ",VLOOKUP($B294,CPY!$B:$G,2,FALSE))</f>
        <v> </v>
      </c>
      <c r="D294" s="50" t="str">
        <f>IF(ISNA(VLOOKUP($B294,CPY!$B:$G,3,FALSE))=TRUE," ",VLOOKUP($B294,CPY!$B:$G,3,FALSE))</f>
        <v> </v>
      </c>
      <c r="E294" s="65" t="str">
        <f>IF(ISNA(VLOOKUP($B294,CPY!$B:$G,4,FALSE))=TRUE," ",VLOOKUP($B294,CPY!$B:$G,4,FALSE))</f>
        <v> </v>
      </c>
      <c r="F294" s="62"/>
      <c r="G294" s="86"/>
      <c r="H294" s="86"/>
      <c r="I294" s="87"/>
      <c r="J294" s="88"/>
      <c r="K294" s="88"/>
      <c r="L294" s="95">
        <f t="shared" si="8"/>
        <v>0</v>
      </c>
      <c r="M294" s="96" t="b">
        <f>IF((ISNUMBER(L294)),IF(AND(F294="Workdays",(SUMIFS(O:O,F:F,F294,I:I,I294,B:B,B294)&lt;=24)),IF(AND((L294*24)&gt;0,(L294*24)&lt;=8),(L294*24)*MD!$M$5,IF(AND((L294*24)&gt;8,(L294*24)&lt;=16),(MD!$N$5),IF((L294*24)&gt;16,MD!$N$5))),IF(AND(F294="Non_workdays",(SUMIFS(O:O,F:F,F294,I:I,I294,B:B,B294)&lt;=24)),IF(AND((L294*24)&gt;0,(L294*24)&lt;=8),(L294*24)*MD!$M$6,IF(AND((L294*24)&gt;8,(L294*24)&lt;=16),(MD!$N$6),IF((L294*24)&gt;16,MD!$N$6))),IF(AND(F294="Call_out",(SUMIFS(O:O,F:F,F294,I:I,I294,B:B,B294)&lt;=24)),IF(AND((L294*24)&gt;0,(L294*24)&lt;=8),(L294*24)*MD!$P$4,IF(AND((L294*24)&gt;8,(L294*24)&lt;=16),(MD!$Q$4),IF((L294*24)&gt;16,MD!$Q$4)))))))</f>
        <v>0</v>
      </c>
      <c r="N294" s="62"/>
      <c r="O294" s="72">
        <f t="shared" si="9"/>
        <v>0</v>
      </c>
    </row>
    <row r="295" spans="1:15" x14ac:dyDescent="0.25">
      <c r="A295" s="62">
        <v>294</v>
      </c>
      <c r="B295" s="62"/>
      <c r="C295" s="68" t="str">
        <f>IF(ISNA(VLOOKUP($B295,CPY!$B:$G,2,FALSE))=TRUE," ",VLOOKUP($B295,CPY!$B:$G,2,FALSE))</f>
        <v> </v>
      </c>
      <c r="D295" s="50" t="str">
        <f>IF(ISNA(VLOOKUP($B295,CPY!$B:$G,3,FALSE))=TRUE," ",VLOOKUP($B295,CPY!$B:$G,3,FALSE))</f>
        <v> </v>
      </c>
      <c r="E295" s="65" t="str">
        <f>IF(ISNA(VLOOKUP($B295,CPY!$B:$G,4,FALSE))=TRUE," ",VLOOKUP($B295,CPY!$B:$G,4,FALSE))</f>
        <v> </v>
      </c>
      <c r="F295" s="62"/>
      <c r="G295" s="86"/>
      <c r="H295" s="86"/>
      <c r="I295" s="87"/>
      <c r="J295" s="88"/>
      <c r="K295" s="88"/>
      <c r="L295" s="95">
        <f t="shared" si="8"/>
        <v>0</v>
      </c>
      <c r="M295" s="96" t="b">
        <f>IF((ISNUMBER(L295)),IF(AND(F295="Workdays",(SUMIFS(O:O,F:F,F295,I:I,I295,B:B,B295)&lt;=24)),IF(AND((L295*24)&gt;0,(L295*24)&lt;=8),(L295*24)*MD!$M$5,IF(AND((L295*24)&gt;8,(L295*24)&lt;=16),(MD!$N$5),IF((L295*24)&gt;16,MD!$N$5))),IF(AND(F295="Non_workdays",(SUMIFS(O:O,F:F,F295,I:I,I295,B:B,B295)&lt;=24)),IF(AND((L295*24)&gt;0,(L295*24)&lt;=8),(L295*24)*MD!$M$6,IF(AND((L295*24)&gt;8,(L295*24)&lt;=16),(MD!$N$6),IF((L295*24)&gt;16,MD!$N$6))),IF(AND(F295="Call_out",(SUMIFS(O:O,F:F,F295,I:I,I295,B:B,B295)&lt;=24)),IF(AND((L295*24)&gt;0,(L295*24)&lt;=8),(L295*24)*MD!$P$4,IF(AND((L295*24)&gt;8,(L295*24)&lt;=16),(MD!$Q$4),IF((L295*24)&gt;16,MD!$Q$4)))))))</f>
        <v>0</v>
      </c>
      <c r="N295" s="62"/>
      <c r="O295" s="72">
        <f t="shared" si="9"/>
        <v>0</v>
      </c>
    </row>
    <row r="296" spans="1:15" x14ac:dyDescent="0.25">
      <c r="A296" s="62">
        <v>295</v>
      </c>
      <c r="B296" s="62"/>
      <c r="C296" s="68" t="str">
        <f>IF(ISNA(VLOOKUP($B296,CPY!$B:$G,2,FALSE))=TRUE," ",VLOOKUP($B296,CPY!$B:$G,2,FALSE))</f>
        <v> </v>
      </c>
      <c r="D296" s="50" t="str">
        <f>IF(ISNA(VLOOKUP($B296,CPY!$B:$G,3,FALSE))=TRUE," ",VLOOKUP($B296,CPY!$B:$G,3,FALSE))</f>
        <v> </v>
      </c>
      <c r="E296" s="65" t="str">
        <f>IF(ISNA(VLOOKUP($B296,CPY!$B:$G,4,FALSE))=TRUE," ",VLOOKUP($B296,CPY!$B:$G,4,FALSE))</f>
        <v> </v>
      </c>
      <c r="F296" s="62"/>
      <c r="G296" s="86"/>
      <c r="H296" s="86"/>
      <c r="I296" s="87"/>
      <c r="J296" s="88"/>
      <c r="K296" s="88"/>
      <c r="L296" s="95">
        <f t="shared" si="8"/>
        <v>0</v>
      </c>
      <c r="M296" s="96" t="b">
        <f>IF((ISNUMBER(L296)),IF(AND(F296="Workdays",(SUMIFS(O:O,F:F,F296,I:I,I296,B:B,B296)&lt;=24)),IF(AND((L296*24)&gt;0,(L296*24)&lt;=8),(L296*24)*MD!$M$5,IF(AND((L296*24)&gt;8,(L296*24)&lt;=16),(MD!$N$5),IF((L296*24)&gt;16,MD!$N$5))),IF(AND(F296="Non_workdays",(SUMIFS(O:O,F:F,F296,I:I,I296,B:B,B296)&lt;=24)),IF(AND((L296*24)&gt;0,(L296*24)&lt;=8),(L296*24)*MD!$M$6,IF(AND((L296*24)&gt;8,(L296*24)&lt;=16),(MD!$N$6),IF((L296*24)&gt;16,MD!$N$6))),IF(AND(F296="Call_out",(SUMIFS(O:O,F:F,F296,I:I,I296,B:B,B296)&lt;=24)),IF(AND((L296*24)&gt;0,(L296*24)&lt;=8),(L296*24)*MD!$P$4,IF(AND((L296*24)&gt;8,(L296*24)&lt;=16),(MD!$Q$4),IF((L296*24)&gt;16,MD!$Q$4)))))))</f>
        <v>0</v>
      </c>
      <c r="N296" s="62"/>
      <c r="O296" s="72">
        <f t="shared" si="9"/>
        <v>0</v>
      </c>
    </row>
    <row r="297" spans="1:15" x14ac:dyDescent="0.25">
      <c r="A297" s="62">
        <v>296</v>
      </c>
      <c r="B297" s="62"/>
      <c r="C297" s="68" t="str">
        <f>IF(ISNA(VLOOKUP($B297,CPY!$B:$G,2,FALSE))=TRUE," ",VLOOKUP($B297,CPY!$B:$G,2,FALSE))</f>
        <v> </v>
      </c>
      <c r="D297" s="50" t="str">
        <f>IF(ISNA(VLOOKUP($B297,CPY!$B:$G,3,FALSE))=TRUE," ",VLOOKUP($B297,CPY!$B:$G,3,FALSE))</f>
        <v> </v>
      </c>
      <c r="E297" s="65" t="str">
        <f>IF(ISNA(VLOOKUP($B297,CPY!$B:$G,4,FALSE))=TRUE," ",VLOOKUP($B297,CPY!$B:$G,4,FALSE))</f>
        <v> </v>
      </c>
      <c r="F297" s="62"/>
      <c r="G297" s="86"/>
      <c r="H297" s="86"/>
      <c r="I297" s="87"/>
      <c r="J297" s="88"/>
      <c r="K297" s="88"/>
      <c r="L297" s="95">
        <f t="shared" si="8"/>
        <v>0</v>
      </c>
      <c r="M297" s="96" t="b">
        <f>IF((ISNUMBER(L297)),IF(AND(F297="Workdays",(SUMIFS(O:O,F:F,F297,I:I,I297,B:B,B297)&lt;=24)),IF(AND((L297*24)&gt;0,(L297*24)&lt;=8),(L297*24)*MD!$M$5,IF(AND((L297*24)&gt;8,(L297*24)&lt;=16),(MD!$N$5),IF((L297*24)&gt;16,MD!$N$5))),IF(AND(F297="Non_workdays",(SUMIFS(O:O,F:F,F297,I:I,I297,B:B,B297)&lt;=24)),IF(AND((L297*24)&gt;0,(L297*24)&lt;=8),(L297*24)*MD!$M$6,IF(AND((L297*24)&gt;8,(L297*24)&lt;=16),(MD!$N$6),IF((L297*24)&gt;16,MD!$N$6))),IF(AND(F297="Call_out",(SUMIFS(O:O,F:F,F297,I:I,I297,B:B,B297)&lt;=24)),IF(AND((L297*24)&gt;0,(L297*24)&lt;=8),(L297*24)*MD!$P$4,IF(AND((L297*24)&gt;8,(L297*24)&lt;=16),(MD!$Q$4),IF((L297*24)&gt;16,MD!$Q$4)))))))</f>
        <v>0</v>
      </c>
      <c r="N297" s="62"/>
      <c r="O297" s="72">
        <f t="shared" si="9"/>
        <v>0</v>
      </c>
    </row>
    <row r="298" spans="1:15" x14ac:dyDescent="0.25">
      <c r="A298" s="62">
        <v>297</v>
      </c>
      <c r="B298" s="62"/>
      <c r="C298" s="68" t="str">
        <f>IF(ISNA(VLOOKUP($B298,CPY!$B:$G,2,FALSE))=TRUE," ",VLOOKUP($B298,CPY!$B:$G,2,FALSE))</f>
        <v> </v>
      </c>
      <c r="D298" s="50" t="str">
        <f>IF(ISNA(VLOOKUP($B298,CPY!$B:$G,3,FALSE))=TRUE," ",VLOOKUP($B298,CPY!$B:$G,3,FALSE))</f>
        <v> </v>
      </c>
      <c r="E298" s="65" t="str">
        <f>IF(ISNA(VLOOKUP($B298,CPY!$B:$G,4,FALSE))=TRUE," ",VLOOKUP($B298,CPY!$B:$G,4,FALSE))</f>
        <v> </v>
      </c>
      <c r="F298" s="62"/>
      <c r="G298" s="86"/>
      <c r="H298" s="86"/>
      <c r="I298" s="87"/>
      <c r="J298" s="88"/>
      <c r="K298" s="88"/>
      <c r="L298" s="95">
        <f t="shared" si="8"/>
        <v>0</v>
      </c>
      <c r="M298" s="96" t="b">
        <f>IF((ISNUMBER(L298)),IF(AND(F298="Workdays",(SUMIFS(O:O,F:F,F298,I:I,I298,B:B,B298)&lt;=24)),IF(AND((L298*24)&gt;0,(L298*24)&lt;=8),(L298*24)*MD!$M$5,IF(AND((L298*24)&gt;8,(L298*24)&lt;=16),(MD!$N$5),IF((L298*24)&gt;16,MD!$N$5))),IF(AND(F298="Non_workdays",(SUMIFS(O:O,F:F,F298,I:I,I298,B:B,B298)&lt;=24)),IF(AND((L298*24)&gt;0,(L298*24)&lt;=8),(L298*24)*MD!$M$6,IF(AND((L298*24)&gt;8,(L298*24)&lt;=16),(MD!$N$6),IF((L298*24)&gt;16,MD!$N$6))),IF(AND(F298="Call_out",(SUMIFS(O:O,F:F,F298,I:I,I298,B:B,B298)&lt;=24)),IF(AND((L298*24)&gt;0,(L298*24)&lt;=8),(L298*24)*MD!$P$4,IF(AND((L298*24)&gt;8,(L298*24)&lt;=16),(MD!$Q$4),IF((L298*24)&gt;16,MD!$Q$4)))))))</f>
        <v>0</v>
      </c>
      <c r="N298" s="62"/>
      <c r="O298" s="72">
        <f t="shared" si="9"/>
        <v>0</v>
      </c>
    </row>
    <row r="299" spans="1:15" x14ac:dyDescent="0.25">
      <c r="A299" s="62">
        <v>298</v>
      </c>
      <c r="B299" s="62"/>
      <c r="C299" s="68" t="str">
        <f>IF(ISNA(VLOOKUP($B299,CPY!$B:$G,2,FALSE))=TRUE," ",VLOOKUP($B299,CPY!$B:$G,2,FALSE))</f>
        <v> </v>
      </c>
      <c r="D299" s="50" t="str">
        <f>IF(ISNA(VLOOKUP($B299,CPY!$B:$G,3,FALSE))=TRUE," ",VLOOKUP($B299,CPY!$B:$G,3,FALSE))</f>
        <v> </v>
      </c>
      <c r="E299" s="65" t="str">
        <f>IF(ISNA(VLOOKUP($B299,CPY!$B:$G,4,FALSE))=TRUE," ",VLOOKUP($B299,CPY!$B:$G,4,FALSE))</f>
        <v> </v>
      </c>
      <c r="F299" s="62"/>
      <c r="G299" s="86"/>
      <c r="H299" s="86"/>
      <c r="I299" s="87"/>
      <c r="J299" s="88"/>
      <c r="K299" s="88"/>
      <c r="L299" s="95">
        <f t="shared" si="8"/>
        <v>0</v>
      </c>
      <c r="M299" s="96" t="b">
        <f>IF((ISNUMBER(L299)),IF(AND(F299="Workdays",(SUMIFS(O:O,F:F,F299,I:I,I299,B:B,B299)&lt;=24)),IF(AND((L299*24)&gt;0,(L299*24)&lt;=8),(L299*24)*MD!$M$5,IF(AND((L299*24)&gt;8,(L299*24)&lt;=16),(MD!$N$5),IF((L299*24)&gt;16,MD!$N$5))),IF(AND(F299="Non_workdays",(SUMIFS(O:O,F:F,F299,I:I,I299,B:B,B299)&lt;=24)),IF(AND((L299*24)&gt;0,(L299*24)&lt;=8),(L299*24)*MD!$M$6,IF(AND((L299*24)&gt;8,(L299*24)&lt;=16),(MD!$N$6),IF((L299*24)&gt;16,MD!$N$6))),IF(AND(F299="Call_out",(SUMIFS(O:O,F:F,F299,I:I,I299,B:B,B299)&lt;=24)),IF(AND((L299*24)&gt;0,(L299*24)&lt;=8),(L299*24)*MD!$P$4,IF(AND((L299*24)&gt;8,(L299*24)&lt;=16),(MD!$Q$4),IF((L299*24)&gt;16,MD!$Q$4)))))))</f>
        <v>0</v>
      </c>
      <c r="N299" s="62"/>
      <c r="O299" s="72">
        <f t="shared" si="9"/>
        <v>0</v>
      </c>
    </row>
    <row r="300" spans="1:15" x14ac:dyDescent="0.25">
      <c r="A300" s="62">
        <v>299</v>
      </c>
      <c r="B300" s="62"/>
      <c r="C300" s="68" t="str">
        <f>IF(ISNA(VLOOKUP($B300,CPY!$B:$G,2,FALSE))=TRUE," ",VLOOKUP($B300,CPY!$B:$G,2,FALSE))</f>
        <v> </v>
      </c>
      <c r="D300" s="50" t="str">
        <f>IF(ISNA(VLOOKUP($B300,CPY!$B:$G,3,FALSE))=TRUE," ",VLOOKUP($B300,CPY!$B:$G,3,FALSE))</f>
        <v> </v>
      </c>
      <c r="E300" s="65" t="str">
        <f>IF(ISNA(VLOOKUP($B300,CPY!$B:$G,4,FALSE))=TRUE," ",VLOOKUP($B300,CPY!$B:$G,4,FALSE))</f>
        <v> </v>
      </c>
      <c r="F300" s="62"/>
      <c r="G300" s="86"/>
      <c r="H300" s="86"/>
      <c r="I300" s="87"/>
      <c r="J300" s="88"/>
      <c r="K300" s="88"/>
      <c r="L300" s="95">
        <f t="shared" si="8"/>
        <v>0</v>
      </c>
      <c r="M300" s="96" t="b">
        <f>IF((ISNUMBER(L300)),IF(AND(F300="Workdays",(SUMIFS(O:O,F:F,F300,I:I,I300,B:B,B300)&lt;=24)),IF(AND((L300*24)&gt;0,(L300*24)&lt;=8),(L300*24)*MD!$M$5,IF(AND((L300*24)&gt;8,(L300*24)&lt;=16),(MD!$N$5),IF((L300*24)&gt;16,MD!$N$5))),IF(AND(F300="Non_workdays",(SUMIFS(O:O,F:F,F300,I:I,I300,B:B,B300)&lt;=24)),IF(AND((L300*24)&gt;0,(L300*24)&lt;=8),(L300*24)*MD!$M$6,IF(AND((L300*24)&gt;8,(L300*24)&lt;=16),(MD!$N$6),IF((L300*24)&gt;16,MD!$N$6))),IF(AND(F300="Call_out",(SUMIFS(O:O,F:F,F300,I:I,I300,B:B,B300)&lt;=24)),IF(AND((L300*24)&gt;0,(L300*24)&lt;=8),(L300*24)*MD!$P$4,IF(AND((L300*24)&gt;8,(L300*24)&lt;=16),(MD!$Q$4),IF((L300*24)&gt;16,MD!$Q$4)))))))</f>
        <v>0</v>
      </c>
      <c r="N300" s="62"/>
      <c r="O300" s="72">
        <f t="shared" si="9"/>
        <v>0</v>
      </c>
    </row>
    <row r="301" spans="1:15" x14ac:dyDescent="0.25">
      <c r="A301" s="62">
        <v>300</v>
      </c>
      <c r="B301" s="62"/>
      <c r="C301" s="68" t="str">
        <f>IF(ISNA(VLOOKUP($B301,CPY!$B:$G,2,FALSE))=TRUE," ",VLOOKUP($B301,CPY!$B:$G,2,FALSE))</f>
        <v> </v>
      </c>
      <c r="D301" s="50" t="str">
        <f>IF(ISNA(VLOOKUP($B301,CPY!$B:$G,3,FALSE))=TRUE," ",VLOOKUP($B301,CPY!$B:$G,3,FALSE))</f>
        <v> </v>
      </c>
      <c r="E301" s="65" t="str">
        <f>IF(ISNA(VLOOKUP($B301,CPY!$B:$G,4,FALSE))=TRUE," ",VLOOKUP($B301,CPY!$B:$G,4,FALSE))</f>
        <v> </v>
      </c>
      <c r="F301" s="62"/>
      <c r="G301" s="86"/>
      <c r="H301" s="86"/>
      <c r="I301" s="87"/>
      <c r="J301" s="88"/>
      <c r="K301" s="88"/>
      <c r="L301" s="95">
        <f t="shared" si="8"/>
        <v>0</v>
      </c>
      <c r="M301" s="96" t="b">
        <f>IF((ISNUMBER(L301)),IF(AND(F301="Workdays",(SUMIFS(O:O,F:F,F301,I:I,I301,B:B,B301)&lt;=24)),IF(AND((L301*24)&gt;0,(L301*24)&lt;=8),(L301*24)*MD!$M$5,IF(AND((L301*24)&gt;8,(L301*24)&lt;=16),(MD!$N$5),IF((L301*24)&gt;16,MD!$N$5))),IF(AND(F301="Non_workdays",(SUMIFS(O:O,F:F,F301,I:I,I301,B:B,B301)&lt;=24)),IF(AND((L301*24)&gt;0,(L301*24)&lt;=8),(L301*24)*MD!$M$6,IF(AND((L301*24)&gt;8,(L301*24)&lt;=16),(MD!$N$6),IF((L301*24)&gt;16,MD!$N$6))),IF(AND(F301="Call_out",(SUMIFS(O:O,F:F,F301,I:I,I301,B:B,B301)&lt;=24)),IF(AND((L301*24)&gt;0,(L301*24)&lt;=8),(L301*24)*MD!$P$4,IF(AND((L301*24)&gt;8,(L301*24)&lt;=16),(MD!$Q$4),IF((L301*24)&gt;16,MD!$Q$4)))))))</f>
        <v>0</v>
      </c>
      <c r="N301" s="62"/>
      <c r="O301" s="72">
        <f t="shared" si="9"/>
        <v>0</v>
      </c>
    </row>
    <row r="302" spans="1:15" x14ac:dyDescent="0.25">
      <c r="A302" s="62">
        <v>301</v>
      </c>
      <c r="B302" s="62"/>
      <c r="C302" s="68" t="str">
        <f>IF(ISNA(VLOOKUP($B302,CPY!$B:$G,2,FALSE))=TRUE," ",VLOOKUP($B302,CPY!$B:$G,2,FALSE))</f>
        <v> </v>
      </c>
      <c r="D302" s="50" t="str">
        <f>IF(ISNA(VLOOKUP($B302,CPY!$B:$G,3,FALSE))=TRUE," ",VLOOKUP($B302,CPY!$B:$G,3,FALSE))</f>
        <v> </v>
      </c>
      <c r="E302" s="65" t="str">
        <f>IF(ISNA(VLOOKUP($B302,CPY!$B:$G,4,FALSE))=TRUE," ",VLOOKUP($B302,CPY!$B:$G,4,FALSE))</f>
        <v> </v>
      </c>
      <c r="F302" s="62"/>
      <c r="G302" s="86"/>
      <c r="H302" s="86"/>
      <c r="I302" s="87"/>
      <c r="J302" s="88"/>
      <c r="K302" s="88"/>
      <c r="L302" s="95">
        <f t="shared" si="8"/>
        <v>0</v>
      </c>
      <c r="M302" s="96" t="b">
        <f>IF((ISNUMBER(L302)),IF(AND(F302="Workdays",(SUMIFS(O:O,F:F,F302,I:I,I302,B:B,B302)&lt;=24)),IF(AND((L302*24)&gt;0,(L302*24)&lt;=8),(L302*24)*MD!$M$5,IF(AND((L302*24)&gt;8,(L302*24)&lt;=16),(MD!$N$5),IF((L302*24)&gt;16,MD!$N$5))),IF(AND(F302="Non_workdays",(SUMIFS(O:O,F:F,F302,I:I,I302,B:B,B302)&lt;=24)),IF(AND((L302*24)&gt;0,(L302*24)&lt;=8),(L302*24)*MD!$M$6,IF(AND((L302*24)&gt;8,(L302*24)&lt;=16),(MD!$N$6),IF((L302*24)&gt;16,MD!$N$6))),IF(AND(F302="Call_out",(SUMIFS(O:O,F:F,F302,I:I,I302,B:B,B302)&lt;=24)),IF(AND((L302*24)&gt;0,(L302*24)&lt;=8),(L302*24)*MD!$P$4,IF(AND((L302*24)&gt;8,(L302*24)&lt;=16),(MD!$Q$4),IF((L302*24)&gt;16,MD!$Q$4)))))))</f>
        <v>0</v>
      </c>
      <c r="N302" s="62"/>
      <c r="O302" s="72">
        <f t="shared" si="9"/>
        <v>0</v>
      </c>
    </row>
    <row r="303" spans="1:15" x14ac:dyDescent="0.25">
      <c r="A303" s="62">
        <v>302</v>
      </c>
      <c r="B303" s="62"/>
      <c r="C303" s="68" t="str">
        <f>IF(ISNA(VLOOKUP($B303,CPY!$B:$G,2,FALSE))=TRUE," ",VLOOKUP($B303,CPY!$B:$G,2,FALSE))</f>
        <v> </v>
      </c>
      <c r="D303" s="50" t="str">
        <f>IF(ISNA(VLOOKUP($B303,CPY!$B:$G,3,FALSE))=TRUE," ",VLOOKUP($B303,CPY!$B:$G,3,FALSE))</f>
        <v> </v>
      </c>
      <c r="E303" s="65" t="str">
        <f>IF(ISNA(VLOOKUP($B303,CPY!$B:$G,4,FALSE))=TRUE," ",VLOOKUP($B303,CPY!$B:$G,4,FALSE))</f>
        <v> </v>
      </c>
      <c r="F303" s="62"/>
      <c r="G303" s="86"/>
      <c r="H303" s="86"/>
      <c r="I303" s="87"/>
      <c r="J303" s="88"/>
      <c r="K303" s="88"/>
      <c r="L303" s="95">
        <f t="shared" si="8"/>
        <v>0</v>
      </c>
      <c r="M303" s="96" t="b">
        <f>IF((ISNUMBER(L303)),IF(AND(F303="Workdays",(SUMIFS(O:O,F:F,F303,I:I,I303,B:B,B303)&lt;=24)),IF(AND((L303*24)&gt;0,(L303*24)&lt;=8),(L303*24)*MD!$M$5,IF(AND((L303*24)&gt;8,(L303*24)&lt;=16),(MD!$N$5),IF((L303*24)&gt;16,MD!$N$5))),IF(AND(F303="Non_workdays",(SUMIFS(O:O,F:F,F303,I:I,I303,B:B,B303)&lt;=24)),IF(AND((L303*24)&gt;0,(L303*24)&lt;=8),(L303*24)*MD!$M$6,IF(AND((L303*24)&gt;8,(L303*24)&lt;=16),(MD!$N$6),IF((L303*24)&gt;16,MD!$N$6))),IF(AND(F303="Call_out",(SUMIFS(O:O,F:F,F303,I:I,I303,B:B,B303)&lt;=24)),IF(AND((L303*24)&gt;0,(L303*24)&lt;=8),(L303*24)*MD!$P$4,IF(AND((L303*24)&gt;8,(L303*24)&lt;=16),(MD!$Q$4),IF((L303*24)&gt;16,MD!$Q$4)))))))</f>
        <v>0</v>
      </c>
      <c r="N303" s="62"/>
      <c r="O303" s="72">
        <f t="shared" si="9"/>
        <v>0</v>
      </c>
    </row>
    <row r="304" spans="1:15" x14ac:dyDescent="0.25">
      <c r="A304" s="62">
        <v>303</v>
      </c>
      <c r="B304" s="62"/>
      <c r="C304" s="68" t="str">
        <f>IF(ISNA(VLOOKUP($B304,CPY!$B:$G,2,FALSE))=TRUE," ",VLOOKUP($B304,CPY!$B:$G,2,FALSE))</f>
        <v> </v>
      </c>
      <c r="D304" s="50" t="str">
        <f>IF(ISNA(VLOOKUP($B304,CPY!$B:$G,3,FALSE))=TRUE," ",VLOOKUP($B304,CPY!$B:$G,3,FALSE))</f>
        <v> </v>
      </c>
      <c r="E304" s="65" t="str">
        <f>IF(ISNA(VLOOKUP($B304,CPY!$B:$G,4,FALSE))=TRUE," ",VLOOKUP($B304,CPY!$B:$G,4,FALSE))</f>
        <v> </v>
      </c>
      <c r="F304" s="62"/>
      <c r="G304" s="86"/>
      <c r="H304" s="86"/>
      <c r="I304" s="87"/>
      <c r="J304" s="88"/>
      <c r="K304" s="88"/>
      <c r="L304" s="95">
        <f t="shared" si="8"/>
        <v>0</v>
      </c>
      <c r="M304" s="96" t="b">
        <f>IF((ISNUMBER(L304)),IF(AND(F304="Workdays",(SUMIFS(O:O,F:F,F304,I:I,I304,B:B,B304)&lt;=24)),IF(AND((L304*24)&gt;0,(L304*24)&lt;=8),(L304*24)*MD!$M$5,IF(AND((L304*24)&gt;8,(L304*24)&lt;=16),(MD!$N$5),IF((L304*24)&gt;16,MD!$N$5))),IF(AND(F304="Non_workdays",(SUMIFS(O:O,F:F,F304,I:I,I304,B:B,B304)&lt;=24)),IF(AND((L304*24)&gt;0,(L304*24)&lt;=8),(L304*24)*MD!$M$6,IF(AND((L304*24)&gt;8,(L304*24)&lt;=16),(MD!$N$6),IF((L304*24)&gt;16,MD!$N$6))),IF(AND(F304="Call_out",(SUMIFS(O:O,F:F,F304,I:I,I304,B:B,B304)&lt;=24)),IF(AND((L304*24)&gt;0,(L304*24)&lt;=8),(L304*24)*MD!$P$4,IF(AND((L304*24)&gt;8,(L304*24)&lt;=16),(MD!$Q$4),IF((L304*24)&gt;16,MD!$Q$4)))))))</f>
        <v>0</v>
      </c>
      <c r="N304" s="62"/>
      <c r="O304" s="72">
        <f t="shared" si="9"/>
        <v>0</v>
      </c>
    </row>
    <row r="305" spans="1:15" x14ac:dyDescent="0.25">
      <c r="A305" s="62">
        <v>304</v>
      </c>
      <c r="B305" s="62"/>
      <c r="C305" s="68" t="str">
        <f>IF(ISNA(VLOOKUP($B305,CPY!$B:$G,2,FALSE))=TRUE," ",VLOOKUP($B305,CPY!$B:$G,2,FALSE))</f>
        <v> </v>
      </c>
      <c r="D305" s="50" t="str">
        <f>IF(ISNA(VLOOKUP($B305,CPY!$B:$G,3,FALSE))=TRUE," ",VLOOKUP($B305,CPY!$B:$G,3,FALSE))</f>
        <v> </v>
      </c>
      <c r="E305" s="65" t="str">
        <f>IF(ISNA(VLOOKUP($B305,CPY!$B:$G,4,FALSE))=TRUE," ",VLOOKUP($B305,CPY!$B:$G,4,FALSE))</f>
        <v> </v>
      </c>
      <c r="F305" s="62"/>
      <c r="G305" s="86"/>
      <c r="H305" s="86"/>
      <c r="I305" s="87"/>
      <c r="J305" s="88"/>
      <c r="K305" s="88"/>
      <c r="L305" s="95">
        <f t="shared" si="8"/>
        <v>0</v>
      </c>
      <c r="M305" s="96" t="b">
        <f>IF((ISNUMBER(L305)),IF(AND(F305="Workdays",(SUMIFS(O:O,F:F,F305,I:I,I305,B:B,B305)&lt;=24)),IF(AND((L305*24)&gt;0,(L305*24)&lt;=8),(L305*24)*MD!$M$5,IF(AND((L305*24)&gt;8,(L305*24)&lt;=16),(MD!$N$5),IF((L305*24)&gt;16,MD!$N$5))),IF(AND(F305="Non_workdays",(SUMIFS(O:O,F:F,F305,I:I,I305,B:B,B305)&lt;=24)),IF(AND((L305*24)&gt;0,(L305*24)&lt;=8),(L305*24)*MD!$M$6,IF(AND((L305*24)&gt;8,(L305*24)&lt;=16),(MD!$N$6),IF((L305*24)&gt;16,MD!$N$6))),IF(AND(F305="Call_out",(SUMIFS(O:O,F:F,F305,I:I,I305,B:B,B305)&lt;=24)),IF(AND((L305*24)&gt;0,(L305*24)&lt;=8),(L305*24)*MD!$P$4,IF(AND((L305*24)&gt;8,(L305*24)&lt;=16),(MD!$Q$4),IF((L305*24)&gt;16,MD!$Q$4)))))))</f>
        <v>0</v>
      </c>
      <c r="N305" s="62"/>
      <c r="O305" s="72">
        <f t="shared" si="9"/>
        <v>0</v>
      </c>
    </row>
    <row r="306" spans="1:15" x14ac:dyDescent="0.25">
      <c r="A306" s="62">
        <v>305</v>
      </c>
      <c r="B306" s="62"/>
      <c r="C306" s="68" t="str">
        <f>IF(ISNA(VLOOKUP($B306,CPY!$B:$G,2,FALSE))=TRUE," ",VLOOKUP($B306,CPY!$B:$G,2,FALSE))</f>
        <v> </v>
      </c>
      <c r="D306" s="50" t="str">
        <f>IF(ISNA(VLOOKUP($B306,CPY!$B:$G,3,FALSE))=TRUE," ",VLOOKUP($B306,CPY!$B:$G,3,FALSE))</f>
        <v> </v>
      </c>
      <c r="E306" s="65" t="str">
        <f>IF(ISNA(VLOOKUP($B306,CPY!$B:$G,4,FALSE))=TRUE," ",VLOOKUP($B306,CPY!$B:$G,4,FALSE))</f>
        <v> </v>
      </c>
      <c r="F306" s="62"/>
      <c r="G306" s="86"/>
      <c r="H306" s="86"/>
      <c r="I306" s="87"/>
      <c r="J306" s="88"/>
      <c r="K306" s="88"/>
      <c r="L306" s="95">
        <f t="shared" si="8"/>
        <v>0</v>
      </c>
      <c r="M306" s="96" t="b">
        <f>IF((ISNUMBER(L306)),IF(AND(F306="Workdays",(SUMIFS(O:O,F:F,F306,I:I,I306,B:B,B306)&lt;=24)),IF(AND((L306*24)&gt;0,(L306*24)&lt;=8),(L306*24)*MD!$M$5,IF(AND((L306*24)&gt;8,(L306*24)&lt;=16),(MD!$N$5),IF((L306*24)&gt;16,MD!$N$5))),IF(AND(F306="Non_workdays",(SUMIFS(O:O,F:F,F306,I:I,I306,B:B,B306)&lt;=24)),IF(AND((L306*24)&gt;0,(L306*24)&lt;=8),(L306*24)*MD!$M$6,IF(AND((L306*24)&gt;8,(L306*24)&lt;=16),(MD!$N$6),IF((L306*24)&gt;16,MD!$N$6))),IF(AND(F306="Call_out",(SUMIFS(O:O,F:F,F306,I:I,I306,B:B,B306)&lt;=24)),IF(AND((L306*24)&gt;0,(L306*24)&lt;=8),(L306*24)*MD!$P$4,IF(AND((L306*24)&gt;8,(L306*24)&lt;=16),(MD!$Q$4),IF((L306*24)&gt;16,MD!$Q$4)))))))</f>
        <v>0</v>
      </c>
      <c r="N306" s="62"/>
      <c r="O306" s="72">
        <f t="shared" si="9"/>
        <v>0</v>
      </c>
    </row>
    <row r="307" spans="1:15" x14ac:dyDescent="0.25">
      <c r="A307" s="62">
        <v>306</v>
      </c>
      <c r="B307" s="62"/>
      <c r="C307" s="68" t="str">
        <f>IF(ISNA(VLOOKUP($B307,CPY!$B:$G,2,FALSE))=TRUE," ",VLOOKUP($B307,CPY!$B:$G,2,FALSE))</f>
        <v> </v>
      </c>
      <c r="D307" s="50" t="str">
        <f>IF(ISNA(VLOOKUP($B307,CPY!$B:$G,3,FALSE))=TRUE," ",VLOOKUP($B307,CPY!$B:$G,3,FALSE))</f>
        <v> </v>
      </c>
      <c r="E307" s="65" t="str">
        <f>IF(ISNA(VLOOKUP($B307,CPY!$B:$G,4,FALSE))=TRUE," ",VLOOKUP($B307,CPY!$B:$G,4,FALSE))</f>
        <v> </v>
      </c>
      <c r="F307" s="62"/>
      <c r="G307" s="86"/>
      <c r="H307" s="86"/>
      <c r="I307" s="87"/>
      <c r="J307" s="88"/>
      <c r="K307" s="88"/>
      <c r="L307" s="95">
        <f t="shared" si="8"/>
        <v>0</v>
      </c>
      <c r="M307" s="96" t="b">
        <f>IF((ISNUMBER(L307)),IF(AND(F307="Workdays",(SUMIFS(O:O,F:F,F307,I:I,I307,B:B,B307)&lt;=24)),IF(AND((L307*24)&gt;0,(L307*24)&lt;=8),(L307*24)*MD!$M$5,IF(AND((L307*24)&gt;8,(L307*24)&lt;=16),(MD!$N$5),IF((L307*24)&gt;16,MD!$N$5))),IF(AND(F307="Non_workdays",(SUMIFS(O:O,F:F,F307,I:I,I307,B:B,B307)&lt;=24)),IF(AND((L307*24)&gt;0,(L307*24)&lt;=8),(L307*24)*MD!$M$6,IF(AND((L307*24)&gt;8,(L307*24)&lt;=16),(MD!$N$6),IF((L307*24)&gt;16,MD!$N$6))),IF(AND(F307="Call_out",(SUMIFS(O:O,F:F,F307,I:I,I307,B:B,B307)&lt;=24)),IF(AND((L307*24)&gt;0,(L307*24)&lt;=8),(L307*24)*MD!$P$4,IF(AND((L307*24)&gt;8,(L307*24)&lt;=16),(MD!$Q$4),IF((L307*24)&gt;16,MD!$Q$4)))))))</f>
        <v>0</v>
      </c>
      <c r="N307" s="62"/>
      <c r="O307" s="72">
        <f t="shared" si="9"/>
        <v>0</v>
      </c>
    </row>
    <row r="308" spans="1:15" x14ac:dyDescent="0.25">
      <c r="A308" s="62">
        <v>307</v>
      </c>
      <c r="B308" s="62"/>
      <c r="C308" s="68" t="str">
        <f>IF(ISNA(VLOOKUP($B308,CPY!$B:$G,2,FALSE))=TRUE," ",VLOOKUP($B308,CPY!$B:$G,2,FALSE))</f>
        <v> </v>
      </c>
      <c r="D308" s="50" t="str">
        <f>IF(ISNA(VLOOKUP($B308,CPY!$B:$G,3,FALSE))=TRUE," ",VLOOKUP($B308,CPY!$B:$G,3,FALSE))</f>
        <v> </v>
      </c>
      <c r="E308" s="65" t="str">
        <f>IF(ISNA(VLOOKUP($B308,CPY!$B:$G,4,FALSE))=TRUE," ",VLOOKUP($B308,CPY!$B:$G,4,FALSE))</f>
        <v> </v>
      </c>
      <c r="F308" s="62"/>
      <c r="G308" s="86"/>
      <c r="H308" s="86"/>
      <c r="I308" s="87"/>
      <c r="J308" s="88"/>
      <c r="K308" s="88"/>
      <c r="L308" s="95">
        <f t="shared" si="8"/>
        <v>0</v>
      </c>
      <c r="M308" s="96" t="b">
        <f>IF((ISNUMBER(L308)),IF(AND(F308="Workdays",(SUMIFS(O:O,F:F,F308,I:I,I308,B:B,B308)&lt;=24)),IF(AND((L308*24)&gt;0,(L308*24)&lt;=8),(L308*24)*MD!$M$5,IF(AND((L308*24)&gt;8,(L308*24)&lt;=16),(MD!$N$5),IF((L308*24)&gt;16,MD!$N$5))),IF(AND(F308="Non_workdays",(SUMIFS(O:O,F:F,F308,I:I,I308,B:B,B308)&lt;=24)),IF(AND((L308*24)&gt;0,(L308*24)&lt;=8),(L308*24)*MD!$M$6,IF(AND((L308*24)&gt;8,(L308*24)&lt;=16),(MD!$N$6),IF((L308*24)&gt;16,MD!$N$6))),IF(AND(F308="Call_out",(SUMIFS(O:O,F:F,F308,I:I,I308,B:B,B308)&lt;=24)),IF(AND((L308*24)&gt;0,(L308*24)&lt;=8),(L308*24)*MD!$P$4,IF(AND((L308*24)&gt;8,(L308*24)&lt;=16),(MD!$Q$4),IF((L308*24)&gt;16,MD!$Q$4)))))))</f>
        <v>0</v>
      </c>
      <c r="N308" s="62"/>
      <c r="O308" s="72">
        <f t="shared" si="9"/>
        <v>0</v>
      </c>
    </row>
    <row r="309" spans="1:15" x14ac:dyDescent="0.25">
      <c r="A309" s="62">
        <v>308</v>
      </c>
      <c r="B309" s="62"/>
      <c r="C309" s="68" t="str">
        <f>IF(ISNA(VLOOKUP($B309,CPY!$B:$G,2,FALSE))=TRUE," ",VLOOKUP($B309,CPY!$B:$G,2,FALSE))</f>
        <v> </v>
      </c>
      <c r="D309" s="50" t="str">
        <f>IF(ISNA(VLOOKUP($B309,CPY!$B:$G,3,FALSE))=TRUE," ",VLOOKUP($B309,CPY!$B:$G,3,FALSE))</f>
        <v> </v>
      </c>
      <c r="E309" s="65" t="str">
        <f>IF(ISNA(VLOOKUP($B309,CPY!$B:$G,4,FALSE))=TRUE," ",VLOOKUP($B309,CPY!$B:$G,4,FALSE))</f>
        <v> </v>
      </c>
      <c r="F309" s="62"/>
      <c r="G309" s="86"/>
      <c r="H309" s="86"/>
      <c r="I309" s="87"/>
      <c r="J309" s="88"/>
      <c r="K309" s="88"/>
      <c r="L309" s="95">
        <f t="shared" si="8"/>
        <v>0</v>
      </c>
      <c r="M309" s="96" t="b">
        <f>IF((ISNUMBER(L309)),IF(AND(F309="Workdays",(SUMIFS(O:O,F:F,F309,I:I,I309,B:B,B309)&lt;=24)),IF(AND((L309*24)&gt;0,(L309*24)&lt;=8),(L309*24)*MD!$M$5,IF(AND((L309*24)&gt;8,(L309*24)&lt;=16),(MD!$N$5),IF((L309*24)&gt;16,MD!$N$5))),IF(AND(F309="Non_workdays",(SUMIFS(O:O,F:F,F309,I:I,I309,B:B,B309)&lt;=24)),IF(AND((L309*24)&gt;0,(L309*24)&lt;=8),(L309*24)*MD!$M$6,IF(AND((L309*24)&gt;8,(L309*24)&lt;=16),(MD!$N$6),IF((L309*24)&gt;16,MD!$N$6))),IF(AND(F309="Call_out",(SUMIFS(O:O,F:F,F309,I:I,I309,B:B,B309)&lt;=24)),IF(AND((L309*24)&gt;0,(L309*24)&lt;=8),(L309*24)*MD!$P$4,IF(AND((L309*24)&gt;8,(L309*24)&lt;=16),(MD!$Q$4),IF((L309*24)&gt;16,MD!$Q$4)))))))</f>
        <v>0</v>
      </c>
      <c r="N309" s="62"/>
      <c r="O309" s="72">
        <f t="shared" si="9"/>
        <v>0</v>
      </c>
    </row>
    <row r="310" spans="1:15" x14ac:dyDescent="0.25">
      <c r="A310" s="62">
        <v>309</v>
      </c>
      <c r="B310" s="62"/>
      <c r="C310" s="68" t="str">
        <f>IF(ISNA(VLOOKUP($B310,CPY!$B:$G,2,FALSE))=TRUE," ",VLOOKUP($B310,CPY!$B:$G,2,FALSE))</f>
        <v> </v>
      </c>
      <c r="D310" s="50" t="str">
        <f>IF(ISNA(VLOOKUP($B310,CPY!$B:$G,3,FALSE))=TRUE," ",VLOOKUP($B310,CPY!$B:$G,3,FALSE))</f>
        <v> </v>
      </c>
      <c r="E310" s="65" t="str">
        <f>IF(ISNA(VLOOKUP($B310,CPY!$B:$G,4,FALSE))=TRUE," ",VLOOKUP($B310,CPY!$B:$G,4,FALSE))</f>
        <v> </v>
      </c>
      <c r="F310" s="62"/>
      <c r="G310" s="86"/>
      <c r="H310" s="86"/>
      <c r="I310" s="87"/>
      <c r="J310" s="88"/>
      <c r="K310" s="88"/>
      <c r="L310" s="95">
        <f t="shared" si="8"/>
        <v>0</v>
      </c>
      <c r="M310" s="96" t="b">
        <f>IF((ISNUMBER(L310)),IF(AND(F310="Workdays",(SUMIFS(O:O,F:F,F310,I:I,I310,B:B,B310)&lt;=24)),IF(AND((L310*24)&gt;0,(L310*24)&lt;=8),(L310*24)*MD!$M$5,IF(AND((L310*24)&gt;8,(L310*24)&lt;=16),(MD!$N$5),IF((L310*24)&gt;16,MD!$N$5))),IF(AND(F310="Non_workdays",(SUMIFS(O:O,F:F,F310,I:I,I310,B:B,B310)&lt;=24)),IF(AND((L310*24)&gt;0,(L310*24)&lt;=8),(L310*24)*MD!$M$6,IF(AND((L310*24)&gt;8,(L310*24)&lt;=16),(MD!$N$6),IF((L310*24)&gt;16,MD!$N$6))),IF(AND(F310="Call_out",(SUMIFS(O:O,F:F,F310,I:I,I310,B:B,B310)&lt;=24)),IF(AND((L310*24)&gt;0,(L310*24)&lt;=8),(L310*24)*MD!$P$4,IF(AND((L310*24)&gt;8,(L310*24)&lt;=16),(MD!$Q$4),IF((L310*24)&gt;16,MD!$Q$4)))))))</f>
        <v>0</v>
      </c>
      <c r="N310" s="62"/>
      <c r="O310" s="72">
        <f t="shared" si="9"/>
        <v>0</v>
      </c>
    </row>
    <row r="311" spans="1:15" x14ac:dyDescent="0.25">
      <c r="A311" s="62">
        <v>310</v>
      </c>
      <c r="B311" s="62"/>
      <c r="C311" s="68" t="str">
        <f>IF(ISNA(VLOOKUP($B311,CPY!$B:$G,2,FALSE))=TRUE," ",VLOOKUP($B311,CPY!$B:$G,2,FALSE))</f>
        <v> </v>
      </c>
      <c r="D311" s="50" t="str">
        <f>IF(ISNA(VLOOKUP($B311,CPY!$B:$G,3,FALSE))=TRUE," ",VLOOKUP($B311,CPY!$B:$G,3,FALSE))</f>
        <v> </v>
      </c>
      <c r="E311" s="65" t="str">
        <f>IF(ISNA(VLOOKUP($B311,CPY!$B:$G,4,FALSE))=TRUE," ",VLOOKUP($B311,CPY!$B:$G,4,FALSE))</f>
        <v> </v>
      </c>
      <c r="F311" s="62"/>
      <c r="G311" s="86"/>
      <c r="H311" s="86"/>
      <c r="I311" s="87"/>
      <c r="J311" s="88"/>
      <c r="K311" s="88"/>
      <c r="L311" s="95">
        <f t="shared" si="8"/>
        <v>0</v>
      </c>
      <c r="M311" s="96" t="b">
        <f>IF((ISNUMBER(L311)),IF(AND(F311="Workdays",(SUMIFS(O:O,F:F,F311,I:I,I311,B:B,B311)&lt;=24)),IF(AND((L311*24)&gt;0,(L311*24)&lt;=8),(L311*24)*MD!$M$5,IF(AND((L311*24)&gt;8,(L311*24)&lt;=16),(MD!$N$5),IF((L311*24)&gt;16,MD!$N$5))),IF(AND(F311="Non_workdays",(SUMIFS(O:O,F:F,F311,I:I,I311,B:B,B311)&lt;=24)),IF(AND((L311*24)&gt;0,(L311*24)&lt;=8),(L311*24)*MD!$M$6,IF(AND((L311*24)&gt;8,(L311*24)&lt;=16),(MD!$N$6),IF((L311*24)&gt;16,MD!$N$6))),IF(AND(F311="Call_out",(SUMIFS(O:O,F:F,F311,I:I,I311,B:B,B311)&lt;=24)),IF(AND((L311*24)&gt;0,(L311*24)&lt;=8),(L311*24)*MD!$P$4,IF(AND((L311*24)&gt;8,(L311*24)&lt;=16),(MD!$Q$4),IF((L311*24)&gt;16,MD!$Q$4)))))))</f>
        <v>0</v>
      </c>
      <c r="N311" s="62"/>
      <c r="O311" s="72">
        <f t="shared" si="9"/>
        <v>0</v>
      </c>
    </row>
    <row r="312" spans="1:15" x14ac:dyDescent="0.25">
      <c r="A312" s="62">
        <v>311</v>
      </c>
      <c r="B312" s="62"/>
      <c r="C312" s="68" t="str">
        <f>IF(ISNA(VLOOKUP($B312,CPY!$B:$G,2,FALSE))=TRUE," ",VLOOKUP($B312,CPY!$B:$G,2,FALSE))</f>
        <v> </v>
      </c>
      <c r="D312" s="50" t="str">
        <f>IF(ISNA(VLOOKUP($B312,CPY!$B:$G,3,FALSE))=TRUE," ",VLOOKUP($B312,CPY!$B:$G,3,FALSE))</f>
        <v> </v>
      </c>
      <c r="E312" s="65" t="str">
        <f>IF(ISNA(VLOOKUP($B312,CPY!$B:$G,4,FALSE))=TRUE," ",VLOOKUP($B312,CPY!$B:$G,4,FALSE))</f>
        <v> </v>
      </c>
      <c r="F312" s="62"/>
      <c r="G312" s="86"/>
      <c r="H312" s="86"/>
      <c r="I312" s="87"/>
      <c r="J312" s="88"/>
      <c r="K312" s="88"/>
      <c r="L312" s="95">
        <f t="shared" si="8"/>
        <v>0</v>
      </c>
      <c r="M312" s="96" t="b">
        <f>IF((ISNUMBER(L312)),IF(AND(F312="Workdays",(SUMIFS(O:O,F:F,F312,I:I,I312,B:B,B312)&lt;=24)),IF(AND((L312*24)&gt;0,(L312*24)&lt;=8),(L312*24)*MD!$M$5,IF(AND((L312*24)&gt;8,(L312*24)&lt;=16),(MD!$N$5),IF((L312*24)&gt;16,MD!$N$5))),IF(AND(F312="Non_workdays",(SUMIFS(O:O,F:F,F312,I:I,I312,B:B,B312)&lt;=24)),IF(AND((L312*24)&gt;0,(L312*24)&lt;=8),(L312*24)*MD!$M$6,IF(AND((L312*24)&gt;8,(L312*24)&lt;=16),(MD!$N$6),IF((L312*24)&gt;16,MD!$N$6))),IF(AND(F312="Call_out",(SUMIFS(O:O,F:F,F312,I:I,I312,B:B,B312)&lt;=24)),IF(AND((L312*24)&gt;0,(L312*24)&lt;=8),(L312*24)*MD!$P$4,IF(AND((L312*24)&gt;8,(L312*24)&lt;=16),(MD!$Q$4),IF((L312*24)&gt;16,MD!$Q$4)))))))</f>
        <v>0</v>
      </c>
      <c r="N312" s="62"/>
      <c r="O312" s="72">
        <f t="shared" si="9"/>
        <v>0</v>
      </c>
    </row>
    <row r="313" spans="1:15" x14ac:dyDescent="0.25">
      <c r="A313" s="62">
        <v>312</v>
      </c>
      <c r="B313" s="62"/>
      <c r="C313" s="68" t="str">
        <f>IF(ISNA(VLOOKUP($B313,CPY!$B:$G,2,FALSE))=TRUE," ",VLOOKUP($B313,CPY!$B:$G,2,FALSE))</f>
        <v> </v>
      </c>
      <c r="D313" s="50" t="str">
        <f>IF(ISNA(VLOOKUP($B313,CPY!$B:$G,3,FALSE))=TRUE," ",VLOOKUP($B313,CPY!$B:$G,3,FALSE))</f>
        <v> </v>
      </c>
      <c r="E313" s="65" t="str">
        <f>IF(ISNA(VLOOKUP($B313,CPY!$B:$G,4,FALSE))=TRUE," ",VLOOKUP($B313,CPY!$B:$G,4,FALSE))</f>
        <v> </v>
      </c>
      <c r="F313" s="62"/>
      <c r="G313" s="86"/>
      <c r="H313" s="86"/>
      <c r="I313" s="87"/>
      <c r="J313" s="88"/>
      <c r="K313" s="88"/>
      <c r="L313" s="95">
        <f t="shared" si="8"/>
        <v>0</v>
      </c>
      <c r="M313" s="96" t="b">
        <f>IF((ISNUMBER(L313)),IF(AND(F313="Workdays",(SUMIFS(O:O,F:F,F313,I:I,I313,B:B,B313)&lt;=24)),IF(AND((L313*24)&gt;0,(L313*24)&lt;=8),(L313*24)*MD!$M$5,IF(AND((L313*24)&gt;8,(L313*24)&lt;=16),(MD!$N$5),IF((L313*24)&gt;16,MD!$N$5))),IF(AND(F313="Non_workdays",(SUMIFS(O:O,F:F,F313,I:I,I313,B:B,B313)&lt;=24)),IF(AND((L313*24)&gt;0,(L313*24)&lt;=8),(L313*24)*MD!$M$6,IF(AND((L313*24)&gt;8,(L313*24)&lt;=16),(MD!$N$6),IF((L313*24)&gt;16,MD!$N$6))),IF(AND(F313="Call_out",(SUMIFS(O:O,F:F,F313,I:I,I313,B:B,B313)&lt;=24)),IF(AND((L313*24)&gt;0,(L313*24)&lt;=8),(L313*24)*MD!$P$4,IF(AND((L313*24)&gt;8,(L313*24)&lt;=16),(MD!$Q$4),IF((L313*24)&gt;16,MD!$Q$4)))))))</f>
        <v>0</v>
      </c>
      <c r="N313" s="62"/>
      <c r="O313" s="72">
        <f t="shared" si="9"/>
        <v>0</v>
      </c>
    </row>
    <row r="314" spans="1:15" x14ac:dyDescent="0.25">
      <c r="A314" s="62">
        <v>313</v>
      </c>
      <c r="B314" s="62"/>
      <c r="C314" s="68" t="str">
        <f>IF(ISNA(VLOOKUP($B314,CPY!$B:$G,2,FALSE))=TRUE," ",VLOOKUP($B314,CPY!$B:$G,2,FALSE))</f>
        <v> </v>
      </c>
      <c r="D314" s="50" t="str">
        <f>IF(ISNA(VLOOKUP($B314,CPY!$B:$G,3,FALSE))=TRUE," ",VLOOKUP($B314,CPY!$B:$G,3,FALSE))</f>
        <v> </v>
      </c>
      <c r="E314" s="65" t="str">
        <f>IF(ISNA(VLOOKUP($B314,CPY!$B:$G,4,FALSE))=TRUE," ",VLOOKUP($B314,CPY!$B:$G,4,FALSE))</f>
        <v> </v>
      </c>
      <c r="F314" s="62"/>
      <c r="G314" s="86"/>
      <c r="H314" s="86"/>
      <c r="I314" s="87"/>
      <c r="J314" s="88"/>
      <c r="K314" s="88"/>
      <c r="L314" s="95">
        <f t="shared" si="8"/>
        <v>0</v>
      </c>
      <c r="M314" s="96" t="b">
        <f>IF((ISNUMBER(L314)),IF(AND(F314="Workdays",(SUMIFS(O:O,F:F,F314,I:I,I314,B:B,B314)&lt;=24)),IF(AND((L314*24)&gt;0,(L314*24)&lt;=8),(L314*24)*MD!$M$5,IF(AND((L314*24)&gt;8,(L314*24)&lt;=16),(MD!$N$5),IF((L314*24)&gt;16,MD!$N$5))),IF(AND(F314="Non_workdays",(SUMIFS(O:O,F:F,F314,I:I,I314,B:B,B314)&lt;=24)),IF(AND((L314*24)&gt;0,(L314*24)&lt;=8),(L314*24)*MD!$M$6,IF(AND((L314*24)&gt;8,(L314*24)&lt;=16),(MD!$N$6),IF((L314*24)&gt;16,MD!$N$6))),IF(AND(F314="Call_out",(SUMIFS(O:O,F:F,F314,I:I,I314,B:B,B314)&lt;=24)),IF(AND((L314*24)&gt;0,(L314*24)&lt;=8),(L314*24)*MD!$P$4,IF(AND((L314*24)&gt;8,(L314*24)&lt;=16),(MD!$Q$4),IF((L314*24)&gt;16,MD!$Q$4)))))))</f>
        <v>0</v>
      </c>
      <c r="N314" s="62"/>
      <c r="O314" s="72">
        <f t="shared" si="9"/>
        <v>0</v>
      </c>
    </row>
    <row r="315" spans="1:15" x14ac:dyDescent="0.25">
      <c r="A315" s="62">
        <v>314</v>
      </c>
      <c r="B315" s="62"/>
      <c r="C315" s="68" t="str">
        <f>IF(ISNA(VLOOKUP($B315,CPY!$B:$G,2,FALSE))=TRUE," ",VLOOKUP($B315,CPY!$B:$G,2,FALSE))</f>
        <v> </v>
      </c>
      <c r="D315" s="50" t="str">
        <f>IF(ISNA(VLOOKUP($B315,CPY!$B:$G,3,FALSE))=TRUE," ",VLOOKUP($B315,CPY!$B:$G,3,FALSE))</f>
        <v> </v>
      </c>
      <c r="E315" s="65" t="str">
        <f>IF(ISNA(VLOOKUP($B315,CPY!$B:$G,4,FALSE))=TRUE," ",VLOOKUP($B315,CPY!$B:$G,4,FALSE))</f>
        <v> </v>
      </c>
      <c r="F315" s="62"/>
      <c r="G315" s="86"/>
      <c r="H315" s="86"/>
      <c r="I315" s="87"/>
      <c r="J315" s="88"/>
      <c r="K315" s="88"/>
      <c r="L315" s="95">
        <f t="shared" si="8"/>
        <v>0</v>
      </c>
      <c r="M315" s="96" t="b">
        <f>IF((ISNUMBER(L315)),IF(AND(F315="Workdays",(SUMIFS(O:O,F:F,F315,I:I,I315,B:B,B315)&lt;=24)),IF(AND((L315*24)&gt;0,(L315*24)&lt;=8),(L315*24)*MD!$M$5,IF(AND((L315*24)&gt;8,(L315*24)&lt;=16),(MD!$N$5),IF((L315*24)&gt;16,MD!$N$5))),IF(AND(F315="Non_workdays",(SUMIFS(O:O,F:F,F315,I:I,I315,B:B,B315)&lt;=24)),IF(AND((L315*24)&gt;0,(L315*24)&lt;=8),(L315*24)*MD!$M$6,IF(AND((L315*24)&gt;8,(L315*24)&lt;=16),(MD!$N$6),IF((L315*24)&gt;16,MD!$N$6))),IF(AND(F315="Call_out",(SUMIFS(O:O,F:F,F315,I:I,I315,B:B,B315)&lt;=24)),IF(AND((L315*24)&gt;0,(L315*24)&lt;=8),(L315*24)*MD!$P$4,IF(AND((L315*24)&gt;8,(L315*24)&lt;=16),(MD!$Q$4),IF((L315*24)&gt;16,MD!$Q$4)))))))</f>
        <v>0</v>
      </c>
      <c r="N315" s="62"/>
      <c r="O315" s="72">
        <f t="shared" si="9"/>
        <v>0</v>
      </c>
    </row>
    <row r="316" spans="1:15" x14ac:dyDescent="0.25">
      <c r="A316" s="62">
        <v>315</v>
      </c>
      <c r="B316" s="62"/>
      <c r="C316" s="68" t="str">
        <f>IF(ISNA(VLOOKUP($B316,CPY!$B:$G,2,FALSE))=TRUE," ",VLOOKUP($B316,CPY!$B:$G,2,FALSE))</f>
        <v> </v>
      </c>
      <c r="D316" s="50" t="str">
        <f>IF(ISNA(VLOOKUP($B316,CPY!$B:$G,3,FALSE))=TRUE," ",VLOOKUP($B316,CPY!$B:$G,3,FALSE))</f>
        <v> </v>
      </c>
      <c r="E316" s="65" t="str">
        <f>IF(ISNA(VLOOKUP($B316,CPY!$B:$G,4,FALSE))=TRUE," ",VLOOKUP($B316,CPY!$B:$G,4,FALSE))</f>
        <v> </v>
      </c>
      <c r="F316" s="62"/>
      <c r="G316" s="86"/>
      <c r="H316" s="86"/>
      <c r="I316" s="87"/>
      <c r="J316" s="88"/>
      <c r="K316" s="88"/>
      <c r="L316" s="95">
        <f t="shared" si="8"/>
        <v>0</v>
      </c>
      <c r="M316" s="96" t="b">
        <f>IF((ISNUMBER(L316)),IF(AND(F316="Workdays",(SUMIFS(O:O,F:F,F316,I:I,I316,B:B,B316)&lt;=24)),IF(AND((L316*24)&gt;0,(L316*24)&lt;=8),(L316*24)*MD!$M$5,IF(AND((L316*24)&gt;8,(L316*24)&lt;=16),(MD!$N$5),IF((L316*24)&gt;16,MD!$N$5))),IF(AND(F316="Non_workdays",(SUMIFS(O:O,F:F,F316,I:I,I316,B:B,B316)&lt;=24)),IF(AND((L316*24)&gt;0,(L316*24)&lt;=8),(L316*24)*MD!$M$6,IF(AND((L316*24)&gt;8,(L316*24)&lt;=16),(MD!$N$6),IF((L316*24)&gt;16,MD!$N$6))),IF(AND(F316="Call_out",(SUMIFS(O:O,F:F,F316,I:I,I316,B:B,B316)&lt;=24)),IF(AND((L316*24)&gt;0,(L316*24)&lt;=8),(L316*24)*MD!$P$4,IF(AND((L316*24)&gt;8,(L316*24)&lt;=16),(MD!$Q$4),IF((L316*24)&gt;16,MD!$Q$4)))))))</f>
        <v>0</v>
      </c>
      <c r="N316" s="62"/>
      <c r="O316" s="72">
        <f t="shared" si="9"/>
        <v>0</v>
      </c>
    </row>
    <row r="317" spans="1:15" x14ac:dyDescent="0.25">
      <c r="A317" s="62">
        <v>316</v>
      </c>
      <c r="B317" s="62"/>
      <c r="C317" s="68" t="str">
        <f>IF(ISNA(VLOOKUP($B317,CPY!$B:$G,2,FALSE))=TRUE," ",VLOOKUP($B317,CPY!$B:$G,2,FALSE))</f>
        <v> </v>
      </c>
      <c r="D317" s="50" t="str">
        <f>IF(ISNA(VLOOKUP($B317,CPY!$B:$G,3,FALSE))=TRUE," ",VLOOKUP($B317,CPY!$B:$G,3,FALSE))</f>
        <v> </v>
      </c>
      <c r="E317" s="65" t="str">
        <f>IF(ISNA(VLOOKUP($B317,CPY!$B:$G,4,FALSE))=TRUE," ",VLOOKUP($B317,CPY!$B:$G,4,FALSE))</f>
        <v> </v>
      </c>
      <c r="F317" s="62"/>
      <c r="G317" s="86"/>
      <c r="H317" s="86"/>
      <c r="I317" s="87"/>
      <c r="J317" s="88"/>
      <c r="K317" s="88"/>
      <c r="L317" s="95">
        <f t="shared" si="8"/>
        <v>0</v>
      </c>
      <c r="M317" s="96" t="b">
        <f>IF((ISNUMBER(L317)),IF(AND(F317="Workdays",(SUMIFS(O:O,F:F,F317,I:I,I317,B:B,B317)&lt;=24)),IF(AND((L317*24)&gt;0,(L317*24)&lt;=8),(L317*24)*MD!$M$5,IF(AND((L317*24)&gt;8,(L317*24)&lt;=16),(MD!$N$5),IF((L317*24)&gt;16,MD!$N$5))),IF(AND(F317="Non_workdays",(SUMIFS(O:O,F:F,F317,I:I,I317,B:B,B317)&lt;=24)),IF(AND((L317*24)&gt;0,(L317*24)&lt;=8),(L317*24)*MD!$M$6,IF(AND((L317*24)&gt;8,(L317*24)&lt;=16),(MD!$N$6),IF((L317*24)&gt;16,MD!$N$6))),IF(AND(F317="Call_out",(SUMIFS(O:O,F:F,F317,I:I,I317,B:B,B317)&lt;=24)),IF(AND((L317*24)&gt;0,(L317*24)&lt;=8),(L317*24)*MD!$P$4,IF(AND((L317*24)&gt;8,(L317*24)&lt;=16),(MD!$Q$4),IF((L317*24)&gt;16,MD!$Q$4)))))))</f>
        <v>0</v>
      </c>
      <c r="N317" s="62"/>
      <c r="O317" s="72">
        <f t="shared" si="9"/>
        <v>0</v>
      </c>
    </row>
    <row r="318" spans="1:15" x14ac:dyDescent="0.25">
      <c r="A318" s="62">
        <v>317</v>
      </c>
      <c r="B318" s="62"/>
      <c r="C318" s="68" t="str">
        <f>IF(ISNA(VLOOKUP($B318,CPY!$B:$G,2,FALSE))=TRUE," ",VLOOKUP($B318,CPY!$B:$G,2,FALSE))</f>
        <v> </v>
      </c>
      <c r="D318" s="50" t="str">
        <f>IF(ISNA(VLOOKUP($B318,CPY!$B:$G,3,FALSE))=TRUE," ",VLOOKUP($B318,CPY!$B:$G,3,FALSE))</f>
        <v> </v>
      </c>
      <c r="E318" s="65" t="str">
        <f>IF(ISNA(VLOOKUP($B318,CPY!$B:$G,4,FALSE))=TRUE," ",VLOOKUP($B318,CPY!$B:$G,4,FALSE))</f>
        <v> </v>
      </c>
      <c r="F318" s="62"/>
      <c r="G318" s="86"/>
      <c r="H318" s="86"/>
      <c r="I318" s="87"/>
      <c r="J318" s="88"/>
      <c r="K318" s="88"/>
      <c r="L318" s="95">
        <f t="shared" si="8"/>
        <v>0</v>
      </c>
      <c r="M318" s="96" t="b">
        <f>IF((ISNUMBER(L318)),IF(AND(F318="Workdays",(SUMIFS(O:O,F:F,F318,I:I,I318,B:B,B318)&lt;=24)),IF(AND((L318*24)&gt;0,(L318*24)&lt;=8),(L318*24)*MD!$M$5,IF(AND((L318*24)&gt;8,(L318*24)&lt;=16),(MD!$N$5),IF((L318*24)&gt;16,MD!$N$5))),IF(AND(F318="Non_workdays",(SUMIFS(O:O,F:F,F318,I:I,I318,B:B,B318)&lt;=24)),IF(AND((L318*24)&gt;0,(L318*24)&lt;=8),(L318*24)*MD!$M$6,IF(AND((L318*24)&gt;8,(L318*24)&lt;=16),(MD!$N$6),IF((L318*24)&gt;16,MD!$N$6))),IF(AND(F318="Call_out",(SUMIFS(O:O,F:F,F318,I:I,I318,B:B,B318)&lt;=24)),IF(AND((L318*24)&gt;0,(L318*24)&lt;=8),(L318*24)*MD!$P$4,IF(AND((L318*24)&gt;8,(L318*24)&lt;=16),(MD!$Q$4),IF((L318*24)&gt;16,MD!$Q$4)))))))</f>
        <v>0</v>
      </c>
      <c r="N318" s="62"/>
      <c r="O318" s="72">
        <f t="shared" si="9"/>
        <v>0</v>
      </c>
    </row>
    <row r="319" spans="1:15" x14ac:dyDescent="0.25">
      <c r="A319" s="62">
        <v>318</v>
      </c>
      <c r="B319" s="62"/>
      <c r="C319" s="68" t="str">
        <f>IF(ISNA(VLOOKUP($B319,CPY!$B:$G,2,FALSE))=TRUE," ",VLOOKUP($B319,CPY!$B:$G,2,FALSE))</f>
        <v> </v>
      </c>
      <c r="D319" s="50" t="str">
        <f>IF(ISNA(VLOOKUP($B319,CPY!$B:$G,3,FALSE))=TRUE," ",VLOOKUP($B319,CPY!$B:$G,3,FALSE))</f>
        <v> </v>
      </c>
      <c r="E319" s="65" t="str">
        <f>IF(ISNA(VLOOKUP($B319,CPY!$B:$G,4,FALSE))=TRUE," ",VLOOKUP($B319,CPY!$B:$G,4,FALSE))</f>
        <v> </v>
      </c>
      <c r="F319" s="62"/>
      <c r="G319" s="86"/>
      <c r="H319" s="86"/>
      <c r="I319" s="87"/>
      <c r="J319" s="88"/>
      <c r="K319" s="88"/>
      <c r="L319" s="95">
        <f t="shared" si="8"/>
        <v>0</v>
      </c>
      <c r="M319" s="96" t="b">
        <f>IF((ISNUMBER(L319)),IF(AND(F319="Workdays",(SUMIFS(O:O,F:F,F319,I:I,I319,B:B,B319)&lt;=24)),IF(AND((L319*24)&gt;0,(L319*24)&lt;=8),(L319*24)*MD!$M$5,IF(AND((L319*24)&gt;8,(L319*24)&lt;=16),(MD!$N$5),IF((L319*24)&gt;16,MD!$N$5))),IF(AND(F319="Non_workdays",(SUMIFS(O:O,F:F,F319,I:I,I319,B:B,B319)&lt;=24)),IF(AND((L319*24)&gt;0,(L319*24)&lt;=8),(L319*24)*MD!$M$6,IF(AND((L319*24)&gt;8,(L319*24)&lt;=16),(MD!$N$6),IF((L319*24)&gt;16,MD!$N$6))),IF(AND(F319="Call_out",(SUMIFS(O:O,F:F,F319,I:I,I319,B:B,B319)&lt;=24)),IF(AND((L319*24)&gt;0,(L319*24)&lt;=8),(L319*24)*MD!$P$4,IF(AND((L319*24)&gt;8,(L319*24)&lt;=16),(MD!$Q$4),IF((L319*24)&gt;16,MD!$Q$4)))))))</f>
        <v>0</v>
      </c>
      <c r="N319" s="62"/>
      <c r="O319" s="72">
        <f t="shared" si="9"/>
        <v>0</v>
      </c>
    </row>
    <row r="320" spans="1:15" x14ac:dyDescent="0.25">
      <c r="A320" s="62">
        <v>319</v>
      </c>
      <c r="B320" s="62"/>
      <c r="C320" s="68" t="str">
        <f>IF(ISNA(VLOOKUP($B320,CPY!$B:$G,2,FALSE))=TRUE," ",VLOOKUP($B320,CPY!$B:$G,2,FALSE))</f>
        <v> </v>
      </c>
      <c r="D320" s="50" t="str">
        <f>IF(ISNA(VLOOKUP($B320,CPY!$B:$G,3,FALSE))=TRUE," ",VLOOKUP($B320,CPY!$B:$G,3,FALSE))</f>
        <v> </v>
      </c>
      <c r="E320" s="65" t="str">
        <f>IF(ISNA(VLOOKUP($B320,CPY!$B:$G,4,FALSE))=TRUE," ",VLOOKUP($B320,CPY!$B:$G,4,FALSE))</f>
        <v> </v>
      </c>
      <c r="F320" s="62"/>
      <c r="G320" s="86"/>
      <c r="H320" s="86"/>
      <c r="I320" s="87"/>
      <c r="J320" s="88"/>
      <c r="K320" s="88"/>
      <c r="L320" s="95">
        <f t="shared" si="8"/>
        <v>0</v>
      </c>
      <c r="M320" s="96" t="b">
        <f>IF((ISNUMBER(L320)),IF(AND(F320="Workdays",(SUMIFS(O:O,F:F,F320,I:I,I320,B:B,B320)&lt;=24)),IF(AND((L320*24)&gt;0,(L320*24)&lt;=8),(L320*24)*MD!$M$5,IF(AND((L320*24)&gt;8,(L320*24)&lt;=16),(MD!$N$5),IF((L320*24)&gt;16,MD!$N$5))),IF(AND(F320="Non_workdays",(SUMIFS(O:O,F:F,F320,I:I,I320,B:B,B320)&lt;=24)),IF(AND((L320*24)&gt;0,(L320*24)&lt;=8),(L320*24)*MD!$M$6,IF(AND((L320*24)&gt;8,(L320*24)&lt;=16),(MD!$N$6),IF((L320*24)&gt;16,MD!$N$6))),IF(AND(F320="Call_out",(SUMIFS(O:O,F:F,F320,I:I,I320,B:B,B320)&lt;=24)),IF(AND((L320*24)&gt;0,(L320*24)&lt;=8),(L320*24)*MD!$P$4,IF(AND((L320*24)&gt;8,(L320*24)&lt;=16),(MD!$Q$4),IF((L320*24)&gt;16,MD!$Q$4)))))))</f>
        <v>0</v>
      </c>
      <c r="N320" s="62"/>
      <c r="O320" s="72">
        <f t="shared" si="9"/>
        <v>0</v>
      </c>
    </row>
    <row r="321" spans="1:15" x14ac:dyDescent="0.25">
      <c r="A321" s="62">
        <v>320</v>
      </c>
      <c r="B321" s="62"/>
      <c r="C321" s="68" t="str">
        <f>IF(ISNA(VLOOKUP($B321,CPY!$B:$G,2,FALSE))=TRUE," ",VLOOKUP($B321,CPY!$B:$G,2,FALSE))</f>
        <v> </v>
      </c>
      <c r="D321" s="50" t="str">
        <f>IF(ISNA(VLOOKUP($B321,CPY!$B:$G,3,FALSE))=TRUE," ",VLOOKUP($B321,CPY!$B:$G,3,FALSE))</f>
        <v> </v>
      </c>
      <c r="E321" s="65" t="str">
        <f>IF(ISNA(VLOOKUP($B321,CPY!$B:$G,4,FALSE))=TRUE," ",VLOOKUP($B321,CPY!$B:$G,4,FALSE))</f>
        <v> </v>
      </c>
      <c r="F321" s="62"/>
      <c r="G321" s="86"/>
      <c r="H321" s="86"/>
      <c r="I321" s="87"/>
      <c r="J321" s="88"/>
      <c r="K321" s="88"/>
      <c r="L321" s="95">
        <f t="shared" si="8"/>
        <v>0</v>
      </c>
      <c r="M321" s="96" t="b">
        <f>IF((ISNUMBER(L321)),IF(AND(F321="Workdays",(SUMIFS(O:O,F:F,F321,I:I,I321,B:B,B321)&lt;=24)),IF(AND((L321*24)&gt;0,(L321*24)&lt;=8),(L321*24)*MD!$M$5,IF(AND((L321*24)&gt;8,(L321*24)&lt;=16),(MD!$N$5),IF((L321*24)&gt;16,MD!$N$5))),IF(AND(F321="Non_workdays",(SUMIFS(O:O,F:F,F321,I:I,I321,B:B,B321)&lt;=24)),IF(AND((L321*24)&gt;0,(L321*24)&lt;=8),(L321*24)*MD!$M$6,IF(AND((L321*24)&gt;8,(L321*24)&lt;=16),(MD!$N$6),IF((L321*24)&gt;16,MD!$N$6))),IF(AND(F321="Call_out",(SUMIFS(O:O,F:F,F321,I:I,I321,B:B,B321)&lt;=24)),IF(AND((L321*24)&gt;0,(L321*24)&lt;=8),(L321*24)*MD!$P$4,IF(AND((L321*24)&gt;8,(L321*24)&lt;=16),(MD!$Q$4),IF((L321*24)&gt;16,MD!$Q$4)))))))</f>
        <v>0</v>
      </c>
      <c r="N321" s="62"/>
      <c r="O321" s="72">
        <f t="shared" si="9"/>
        <v>0</v>
      </c>
    </row>
    <row r="322" spans="1:15" x14ac:dyDescent="0.25">
      <c r="A322" s="62">
        <v>321</v>
      </c>
      <c r="B322" s="62"/>
      <c r="C322" s="68" t="str">
        <f>IF(ISNA(VLOOKUP($B322,CPY!$B:$G,2,FALSE))=TRUE," ",VLOOKUP($B322,CPY!$B:$G,2,FALSE))</f>
        <v> </v>
      </c>
      <c r="D322" s="50" t="str">
        <f>IF(ISNA(VLOOKUP($B322,CPY!$B:$G,3,FALSE))=TRUE," ",VLOOKUP($B322,CPY!$B:$G,3,FALSE))</f>
        <v> </v>
      </c>
      <c r="E322" s="65" t="str">
        <f>IF(ISNA(VLOOKUP($B322,CPY!$B:$G,4,FALSE))=TRUE," ",VLOOKUP($B322,CPY!$B:$G,4,FALSE))</f>
        <v> </v>
      </c>
      <c r="F322" s="62"/>
      <c r="G322" s="86"/>
      <c r="H322" s="86"/>
      <c r="I322" s="87"/>
      <c r="J322" s="88"/>
      <c r="K322" s="88"/>
      <c r="L322" s="95">
        <f t="shared" si="8"/>
        <v>0</v>
      </c>
      <c r="M322" s="96" t="b">
        <f>IF((ISNUMBER(L322)),IF(AND(F322="Workdays",(SUMIFS(O:O,F:F,F322,I:I,I322,B:B,B322)&lt;=24)),IF(AND((L322*24)&gt;0,(L322*24)&lt;=8),(L322*24)*MD!$M$5,IF(AND((L322*24)&gt;8,(L322*24)&lt;=16),(MD!$N$5),IF((L322*24)&gt;16,MD!$N$5))),IF(AND(F322="Non_workdays",(SUMIFS(O:O,F:F,F322,I:I,I322,B:B,B322)&lt;=24)),IF(AND((L322*24)&gt;0,(L322*24)&lt;=8),(L322*24)*MD!$M$6,IF(AND((L322*24)&gt;8,(L322*24)&lt;=16),(MD!$N$6),IF((L322*24)&gt;16,MD!$N$6))),IF(AND(F322="Call_out",(SUMIFS(O:O,F:F,F322,I:I,I322,B:B,B322)&lt;=24)),IF(AND((L322*24)&gt;0,(L322*24)&lt;=8),(L322*24)*MD!$P$4,IF(AND((L322*24)&gt;8,(L322*24)&lt;=16),(MD!$Q$4),IF((L322*24)&gt;16,MD!$Q$4)))))))</f>
        <v>0</v>
      </c>
      <c r="N322" s="62"/>
      <c r="O322" s="72">
        <f t="shared" si="9"/>
        <v>0</v>
      </c>
    </row>
    <row r="323" spans="1:15" x14ac:dyDescent="0.25">
      <c r="A323" s="62">
        <v>322</v>
      </c>
      <c r="B323" s="62"/>
      <c r="C323" s="68" t="str">
        <f>IF(ISNA(VLOOKUP($B323,CPY!$B:$G,2,FALSE))=TRUE," ",VLOOKUP($B323,CPY!$B:$G,2,FALSE))</f>
        <v> </v>
      </c>
      <c r="D323" s="50" t="str">
        <f>IF(ISNA(VLOOKUP($B323,CPY!$B:$G,3,FALSE))=TRUE," ",VLOOKUP($B323,CPY!$B:$G,3,FALSE))</f>
        <v> </v>
      </c>
      <c r="E323" s="65" t="str">
        <f>IF(ISNA(VLOOKUP($B323,CPY!$B:$G,4,FALSE))=TRUE," ",VLOOKUP($B323,CPY!$B:$G,4,FALSE))</f>
        <v> </v>
      </c>
      <c r="F323" s="62"/>
      <c r="G323" s="86"/>
      <c r="H323" s="86"/>
      <c r="I323" s="87"/>
      <c r="J323" s="88"/>
      <c r="K323" s="88"/>
      <c r="L323" s="95">
        <f t="shared" ref="L323:L386" si="10">IF($F323="Workdays",IF(NOT(ISBLANK($K323)),(IF($K323&lt;$J323,$K323+1,$K323)-$J323)),IF(OR($F323="Non_workdays",$F323="Call_out"),IF(NOT(ISBLANK($K323)),(IF($K323&lt;$J323,$K323+1,$K323)-$J323)),IF(AND(NOT(ISBLANK($F323)),NOT(ISBLANK($I323))),"Correct the On call slab")))</f>
        <v>0</v>
      </c>
      <c r="M323" s="96" t="b">
        <f>IF((ISNUMBER(L323)),IF(AND(F323="Workdays",(SUMIFS(O:O,F:F,F323,I:I,I323,B:B,B323)&lt;=24)),IF(AND((L323*24)&gt;0,(L323*24)&lt;=8),(L323*24)*MD!$M$5,IF(AND((L323*24)&gt;8,(L323*24)&lt;=16),(MD!$N$5),IF((L323*24)&gt;16,MD!$N$5))),IF(AND(F323="Non_workdays",(SUMIFS(O:O,F:F,F323,I:I,I323,B:B,B323)&lt;=24)),IF(AND((L323*24)&gt;0,(L323*24)&lt;=8),(L323*24)*MD!$M$6,IF(AND((L323*24)&gt;8,(L323*24)&lt;=16),(MD!$N$6),IF((L323*24)&gt;16,MD!$N$6))),IF(AND(F323="Call_out",(SUMIFS(O:O,F:F,F323,I:I,I323,B:B,B323)&lt;=24)),IF(AND((L323*24)&gt;0,(L323*24)&lt;=8),(L323*24)*MD!$P$4,IF(AND((L323*24)&gt;8,(L323*24)&lt;=16),(MD!$Q$4),IF((L323*24)&gt;16,MD!$Q$4)))))))</f>
        <v>0</v>
      </c>
      <c r="N323" s="62"/>
      <c r="O323" s="72">
        <f t="shared" ref="O323:O386" si="11">L323*24</f>
        <v>0</v>
      </c>
    </row>
    <row r="324" spans="1:15" x14ac:dyDescent="0.25">
      <c r="A324" s="62">
        <v>323</v>
      </c>
      <c r="B324" s="62"/>
      <c r="C324" s="68" t="str">
        <f>IF(ISNA(VLOOKUP($B324,CPY!$B:$G,2,FALSE))=TRUE," ",VLOOKUP($B324,CPY!$B:$G,2,FALSE))</f>
        <v> </v>
      </c>
      <c r="D324" s="50" t="str">
        <f>IF(ISNA(VLOOKUP($B324,CPY!$B:$G,3,FALSE))=TRUE," ",VLOOKUP($B324,CPY!$B:$G,3,FALSE))</f>
        <v> </v>
      </c>
      <c r="E324" s="65" t="str">
        <f>IF(ISNA(VLOOKUP($B324,CPY!$B:$G,4,FALSE))=TRUE," ",VLOOKUP($B324,CPY!$B:$G,4,FALSE))</f>
        <v> </v>
      </c>
      <c r="F324" s="62"/>
      <c r="G324" s="86"/>
      <c r="H324" s="86"/>
      <c r="I324" s="87"/>
      <c r="J324" s="88"/>
      <c r="K324" s="88"/>
      <c r="L324" s="95">
        <f t="shared" si="10"/>
        <v>0</v>
      </c>
      <c r="M324" s="96" t="b">
        <f>IF((ISNUMBER(L324)),IF(AND(F324="Workdays",(SUMIFS(O:O,F:F,F324,I:I,I324,B:B,B324)&lt;=24)),IF(AND((L324*24)&gt;0,(L324*24)&lt;=8),(L324*24)*MD!$M$5,IF(AND((L324*24)&gt;8,(L324*24)&lt;=16),(MD!$N$5),IF((L324*24)&gt;16,MD!$N$5))),IF(AND(F324="Non_workdays",(SUMIFS(O:O,F:F,F324,I:I,I324,B:B,B324)&lt;=24)),IF(AND((L324*24)&gt;0,(L324*24)&lt;=8),(L324*24)*MD!$M$6,IF(AND((L324*24)&gt;8,(L324*24)&lt;=16),(MD!$N$6),IF((L324*24)&gt;16,MD!$N$6))),IF(AND(F324="Call_out",(SUMIFS(O:O,F:F,F324,I:I,I324,B:B,B324)&lt;=24)),IF(AND((L324*24)&gt;0,(L324*24)&lt;=8),(L324*24)*MD!$P$4,IF(AND((L324*24)&gt;8,(L324*24)&lt;=16),(MD!$Q$4),IF((L324*24)&gt;16,MD!$Q$4)))))))</f>
        <v>0</v>
      </c>
      <c r="N324" s="62"/>
      <c r="O324" s="72">
        <f t="shared" si="11"/>
        <v>0</v>
      </c>
    </row>
    <row r="325" spans="1:15" x14ac:dyDescent="0.25">
      <c r="A325" s="62">
        <v>324</v>
      </c>
      <c r="B325" s="62"/>
      <c r="C325" s="68" t="str">
        <f>IF(ISNA(VLOOKUP($B325,CPY!$B:$G,2,FALSE))=TRUE," ",VLOOKUP($B325,CPY!$B:$G,2,FALSE))</f>
        <v> </v>
      </c>
      <c r="D325" s="50" t="str">
        <f>IF(ISNA(VLOOKUP($B325,CPY!$B:$G,3,FALSE))=TRUE," ",VLOOKUP($B325,CPY!$B:$G,3,FALSE))</f>
        <v> </v>
      </c>
      <c r="E325" s="65" t="str">
        <f>IF(ISNA(VLOOKUP($B325,CPY!$B:$G,4,FALSE))=TRUE," ",VLOOKUP($B325,CPY!$B:$G,4,FALSE))</f>
        <v> </v>
      </c>
      <c r="F325" s="62"/>
      <c r="G325" s="86"/>
      <c r="H325" s="86"/>
      <c r="I325" s="87"/>
      <c r="J325" s="88"/>
      <c r="K325" s="88"/>
      <c r="L325" s="95">
        <f t="shared" si="10"/>
        <v>0</v>
      </c>
      <c r="M325" s="96" t="b">
        <f>IF((ISNUMBER(L325)),IF(AND(F325="Workdays",(SUMIFS(O:O,F:F,F325,I:I,I325,B:B,B325)&lt;=24)),IF(AND((L325*24)&gt;0,(L325*24)&lt;=8),(L325*24)*MD!$M$5,IF(AND((L325*24)&gt;8,(L325*24)&lt;=16),(MD!$N$5),IF((L325*24)&gt;16,MD!$N$5))),IF(AND(F325="Non_workdays",(SUMIFS(O:O,F:F,F325,I:I,I325,B:B,B325)&lt;=24)),IF(AND((L325*24)&gt;0,(L325*24)&lt;=8),(L325*24)*MD!$M$6,IF(AND((L325*24)&gt;8,(L325*24)&lt;=16),(MD!$N$6),IF((L325*24)&gt;16,MD!$N$6))),IF(AND(F325="Call_out",(SUMIFS(O:O,F:F,F325,I:I,I325,B:B,B325)&lt;=24)),IF(AND((L325*24)&gt;0,(L325*24)&lt;=8),(L325*24)*MD!$P$4,IF(AND((L325*24)&gt;8,(L325*24)&lt;=16),(MD!$Q$4),IF((L325*24)&gt;16,MD!$Q$4)))))))</f>
        <v>0</v>
      </c>
      <c r="N325" s="62"/>
      <c r="O325" s="72">
        <f t="shared" si="11"/>
        <v>0</v>
      </c>
    </row>
    <row r="326" spans="1:15" x14ac:dyDescent="0.25">
      <c r="A326" s="62">
        <v>325</v>
      </c>
      <c r="B326" s="62"/>
      <c r="C326" s="68" t="str">
        <f>IF(ISNA(VLOOKUP($B326,CPY!$B:$G,2,FALSE))=TRUE," ",VLOOKUP($B326,CPY!$B:$G,2,FALSE))</f>
        <v> </v>
      </c>
      <c r="D326" s="50" t="str">
        <f>IF(ISNA(VLOOKUP($B326,CPY!$B:$G,3,FALSE))=TRUE," ",VLOOKUP($B326,CPY!$B:$G,3,FALSE))</f>
        <v> </v>
      </c>
      <c r="E326" s="65" t="str">
        <f>IF(ISNA(VLOOKUP($B326,CPY!$B:$G,4,FALSE))=TRUE," ",VLOOKUP($B326,CPY!$B:$G,4,FALSE))</f>
        <v> </v>
      </c>
      <c r="F326" s="62"/>
      <c r="G326" s="86"/>
      <c r="H326" s="86"/>
      <c r="I326" s="87"/>
      <c r="J326" s="88"/>
      <c r="K326" s="88"/>
      <c r="L326" s="95">
        <f t="shared" si="10"/>
        <v>0</v>
      </c>
      <c r="M326" s="96" t="b">
        <f>IF((ISNUMBER(L326)),IF(AND(F326="Workdays",(SUMIFS(O:O,F:F,F326,I:I,I326,B:B,B326)&lt;=24)),IF(AND((L326*24)&gt;0,(L326*24)&lt;=8),(L326*24)*MD!$M$5,IF(AND((L326*24)&gt;8,(L326*24)&lt;=16),(MD!$N$5),IF((L326*24)&gt;16,MD!$N$5))),IF(AND(F326="Non_workdays",(SUMIFS(O:O,F:F,F326,I:I,I326,B:B,B326)&lt;=24)),IF(AND((L326*24)&gt;0,(L326*24)&lt;=8),(L326*24)*MD!$M$6,IF(AND((L326*24)&gt;8,(L326*24)&lt;=16),(MD!$N$6),IF((L326*24)&gt;16,MD!$N$6))),IF(AND(F326="Call_out",(SUMIFS(O:O,F:F,F326,I:I,I326,B:B,B326)&lt;=24)),IF(AND((L326*24)&gt;0,(L326*24)&lt;=8),(L326*24)*MD!$P$4,IF(AND((L326*24)&gt;8,(L326*24)&lt;=16),(MD!$Q$4),IF((L326*24)&gt;16,MD!$Q$4)))))))</f>
        <v>0</v>
      </c>
      <c r="N326" s="62"/>
      <c r="O326" s="72">
        <f t="shared" si="11"/>
        <v>0</v>
      </c>
    </row>
    <row r="327" spans="1:15" x14ac:dyDescent="0.25">
      <c r="A327" s="62">
        <v>326</v>
      </c>
      <c r="B327" s="62"/>
      <c r="C327" s="68" t="str">
        <f>IF(ISNA(VLOOKUP($B327,CPY!$B:$G,2,FALSE))=TRUE," ",VLOOKUP($B327,CPY!$B:$G,2,FALSE))</f>
        <v> </v>
      </c>
      <c r="D327" s="50" t="str">
        <f>IF(ISNA(VLOOKUP($B327,CPY!$B:$G,3,FALSE))=TRUE," ",VLOOKUP($B327,CPY!$B:$G,3,FALSE))</f>
        <v> </v>
      </c>
      <c r="E327" s="65" t="str">
        <f>IF(ISNA(VLOOKUP($B327,CPY!$B:$G,4,FALSE))=TRUE," ",VLOOKUP($B327,CPY!$B:$G,4,FALSE))</f>
        <v> </v>
      </c>
      <c r="F327" s="62"/>
      <c r="G327" s="86"/>
      <c r="H327" s="86"/>
      <c r="I327" s="87"/>
      <c r="J327" s="88"/>
      <c r="K327" s="88"/>
      <c r="L327" s="95">
        <f t="shared" si="10"/>
        <v>0</v>
      </c>
      <c r="M327" s="96" t="b">
        <f>IF((ISNUMBER(L327)),IF(AND(F327="Workdays",(SUMIFS(O:O,F:F,F327,I:I,I327,B:B,B327)&lt;=24)),IF(AND((L327*24)&gt;0,(L327*24)&lt;=8),(L327*24)*MD!$M$5,IF(AND((L327*24)&gt;8,(L327*24)&lt;=16),(MD!$N$5),IF((L327*24)&gt;16,MD!$N$5))),IF(AND(F327="Non_workdays",(SUMIFS(O:O,F:F,F327,I:I,I327,B:B,B327)&lt;=24)),IF(AND((L327*24)&gt;0,(L327*24)&lt;=8),(L327*24)*MD!$M$6,IF(AND((L327*24)&gt;8,(L327*24)&lt;=16),(MD!$N$6),IF((L327*24)&gt;16,MD!$N$6))),IF(AND(F327="Call_out",(SUMIFS(O:O,F:F,F327,I:I,I327,B:B,B327)&lt;=24)),IF(AND((L327*24)&gt;0,(L327*24)&lt;=8),(L327*24)*MD!$P$4,IF(AND((L327*24)&gt;8,(L327*24)&lt;=16),(MD!$Q$4),IF((L327*24)&gt;16,MD!$Q$4)))))))</f>
        <v>0</v>
      </c>
      <c r="N327" s="62"/>
      <c r="O327" s="72">
        <f t="shared" si="11"/>
        <v>0</v>
      </c>
    </row>
    <row r="328" spans="1:15" x14ac:dyDescent="0.25">
      <c r="A328" s="62">
        <v>327</v>
      </c>
      <c r="B328" s="62"/>
      <c r="C328" s="68" t="str">
        <f>IF(ISNA(VLOOKUP($B328,CPY!$B:$G,2,FALSE))=TRUE," ",VLOOKUP($B328,CPY!$B:$G,2,FALSE))</f>
        <v> </v>
      </c>
      <c r="D328" s="50" t="str">
        <f>IF(ISNA(VLOOKUP($B328,CPY!$B:$G,3,FALSE))=TRUE," ",VLOOKUP($B328,CPY!$B:$G,3,FALSE))</f>
        <v> </v>
      </c>
      <c r="E328" s="65" t="str">
        <f>IF(ISNA(VLOOKUP($B328,CPY!$B:$G,4,FALSE))=TRUE," ",VLOOKUP($B328,CPY!$B:$G,4,FALSE))</f>
        <v> </v>
      </c>
      <c r="F328" s="62"/>
      <c r="G328" s="86"/>
      <c r="H328" s="86"/>
      <c r="I328" s="87"/>
      <c r="J328" s="88"/>
      <c r="K328" s="88"/>
      <c r="L328" s="95">
        <f t="shared" si="10"/>
        <v>0</v>
      </c>
      <c r="M328" s="96" t="b">
        <f>IF((ISNUMBER(L328)),IF(AND(F328="Workdays",(SUMIFS(O:O,F:F,F328,I:I,I328,B:B,B328)&lt;=24)),IF(AND((L328*24)&gt;0,(L328*24)&lt;=8),(L328*24)*MD!$M$5,IF(AND((L328*24)&gt;8,(L328*24)&lt;=16),(MD!$N$5),IF((L328*24)&gt;16,MD!$N$5))),IF(AND(F328="Non_workdays",(SUMIFS(O:O,F:F,F328,I:I,I328,B:B,B328)&lt;=24)),IF(AND((L328*24)&gt;0,(L328*24)&lt;=8),(L328*24)*MD!$M$6,IF(AND((L328*24)&gt;8,(L328*24)&lt;=16),(MD!$N$6),IF((L328*24)&gt;16,MD!$N$6))),IF(AND(F328="Call_out",(SUMIFS(O:O,F:F,F328,I:I,I328,B:B,B328)&lt;=24)),IF(AND((L328*24)&gt;0,(L328*24)&lt;=8),(L328*24)*MD!$P$4,IF(AND((L328*24)&gt;8,(L328*24)&lt;=16),(MD!$Q$4),IF((L328*24)&gt;16,MD!$Q$4)))))))</f>
        <v>0</v>
      </c>
      <c r="N328" s="62"/>
      <c r="O328" s="72">
        <f t="shared" si="11"/>
        <v>0</v>
      </c>
    </row>
    <row r="329" spans="1:15" x14ac:dyDescent="0.25">
      <c r="A329" s="62">
        <v>328</v>
      </c>
      <c r="B329" s="62"/>
      <c r="C329" s="68" t="str">
        <f>IF(ISNA(VLOOKUP($B329,CPY!$B:$G,2,FALSE))=TRUE," ",VLOOKUP($B329,CPY!$B:$G,2,FALSE))</f>
        <v> </v>
      </c>
      <c r="D329" s="50" t="str">
        <f>IF(ISNA(VLOOKUP($B329,CPY!$B:$G,3,FALSE))=TRUE," ",VLOOKUP($B329,CPY!$B:$G,3,FALSE))</f>
        <v> </v>
      </c>
      <c r="E329" s="65" t="str">
        <f>IF(ISNA(VLOOKUP($B329,CPY!$B:$G,4,FALSE))=TRUE," ",VLOOKUP($B329,CPY!$B:$G,4,FALSE))</f>
        <v> </v>
      </c>
      <c r="F329" s="62"/>
      <c r="G329" s="86"/>
      <c r="H329" s="86"/>
      <c r="I329" s="87"/>
      <c r="J329" s="88"/>
      <c r="K329" s="88"/>
      <c r="L329" s="95">
        <f t="shared" si="10"/>
        <v>0</v>
      </c>
      <c r="M329" s="96" t="b">
        <f>IF((ISNUMBER(L329)),IF(AND(F329="Workdays",(SUMIFS(O:O,F:F,F329,I:I,I329,B:B,B329)&lt;=24)),IF(AND((L329*24)&gt;0,(L329*24)&lt;=8),(L329*24)*MD!$M$5,IF(AND((L329*24)&gt;8,(L329*24)&lt;=16),(MD!$N$5),IF((L329*24)&gt;16,MD!$N$5))),IF(AND(F329="Non_workdays",(SUMIFS(O:O,F:F,F329,I:I,I329,B:B,B329)&lt;=24)),IF(AND((L329*24)&gt;0,(L329*24)&lt;=8),(L329*24)*MD!$M$6,IF(AND((L329*24)&gt;8,(L329*24)&lt;=16),(MD!$N$6),IF((L329*24)&gt;16,MD!$N$6))),IF(AND(F329="Call_out",(SUMIFS(O:O,F:F,F329,I:I,I329,B:B,B329)&lt;=24)),IF(AND((L329*24)&gt;0,(L329*24)&lt;=8),(L329*24)*MD!$P$4,IF(AND((L329*24)&gt;8,(L329*24)&lt;=16),(MD!$Q$4),IF((L329*24)&gt;16,MD!$Q$4)))))))</f>
        <v>0</v>
      </c>
      <c r="N329" s="62"/>
      <c r="O329" s="72">
        <f t="shared" si="11"/>
        <v>0</v>
      </c>
    </row>
    <row r="330" spans="1:15" x14ac:dyDescent="0.25">
      <c r="A330" s="62">
        <v>329</v>
      </c>
      <c r="B330" s="62"/>
      <c r="C330" s="68" t="str">
        <f>IF(ISNA(VLOOKUP($B330,CPY!$B:$G,2,FALSE))=TRUE," ",VLOOKUP($B330,CPY!$B:$G,2,FALSE))</f>
        <v> </v>
      </c>
      <c r="D330" s="50" t="str">
        <f>IF(ISNA(VLOOKUP($B330,CPY!$B:$G,3,FALSE))=TRUE," ",VLOOKUP($B330,CPY!$B:$G,3,FALSE))</f>
        <v> </v>
      </c>
      <c r="E330" s="65" t="str">
        <f>IF(ISNA(VLOOKUP($B330,CPY!$B:$G,4,FALSE))=TRUE," ",VLOOKUP($B330,CPY!$B:$G,4,FALSE))</f>
        <v> </v>
      </c>
      <c r="F330" s="62"/>
      <c r="G330" s="86"/>
      <c r="H330" s="86"/>
      <c r="I330" s="87"/>
      <c r="J330" s="88"/>
      <c r="K330" s="88"/>
      <c r="L330" s="95">
        <f t="shared" si="10"/>
        <v>0</v>
      </c>
      <c r="M330" s="96" t="b">
        <f>IF((ISNUMBER(L330)),IF(AND(F330="Workdays",(SUMIFS(O:O,F:F,F330,I:I,I330,B:B,B330)&lt;=24)),IF(AND((L330*24)&gt;0,(L330*24)&lt;=8),(L330*24)*MD!$M$5,IF(AND((L330*24)&gt;8,(L330*24)&lt;=16),(MD!$N$5),IF((L330*24)&gt;16,MD!$N$5))),IF(AND(F330="Non_workdays",(SUMIFS(O:O,F:F,F330,I:I,I330,B:B,B330)&lt;=24)),IF(AND((L330*24)&gt;0,(L330*24)&lt;=8),(L330*24)*MD!$M$6,IF(AND((L330*24)&gt;8,(L330*24)&lt;=16),(MD!$N$6),IF((L330*24)&gt;16,MD!$N$6))),IF(AND(F330="Call_out",(SUMIFS(O:O,F:F,F330,I:I,I330,B:B,B330)&lt;=24)),IF(AND((L330*24)&gt;0,(L330*24)&lt;=8),(L330*24)*MD!$P$4,IF(AND((L330*24)&gt;8,(L330*24)&lt;=16),(MD!$Q$4),IF((L330*24)&gt;16,MD!$Q$4)))))))</f>
        <v>0</v>
      </c>
      <c r="N330" s="62"/>
      <c r="O330" s="72">
        <f t="shared" si="11"/>
        <v>0</v>
      </c>
    </row>
    <row r="331" spans="1:15" x14ac:dyDescent="0.25">
      <c r="A331" s="62">
        <v>330</v>
      </c>
      <c r="B331" s="62"/>
      <c r="C331" s="68" t="str">
        <f>IF(ISNA(VLOOKUP($B331,CPY!$B:$G,2,FALSE))=TRUE," ",VLOOKUP($B331,CPY!$B:$G,2,FALSE))</f>
        <v> </v>
      </c>
      <c r="D331" s="50" t="str">
        <f>IF(ISNA(VLOOKUP($B331,CPY!$B:$G,3,FALSE))=TRUE," ",VLOOKUP($B331,CPY!$B:$G,3,FALSE))</f>
        <v> </v>
      </c>
      <c r="E331" s="65" t="str">
        <f>IF(ISNA(VLOOKUP($B331,CPY!$B:$G,4,FALSE))=TRUE," ",VLOOKUP($B331,CPY!$B:$G,4,FALSE))</f>
        <v> </v>
      </c>
      <c r="F331" s="62"/>
      <c r="G331" s="86"/>
      <c r="H331" s="86"/>
      <c r="I331" s="87"/>
      <c r="J331" s="88"/>
      <c r="K331" s="88"/>
      <c r="L331" s="95">
        <f t="shared" si="10"/>
        <v>0</v>
      </c>
      <c r="M331" s="96" t="b">
        <f>IF((ISNUMBER(L331)),IF(AND(F331="Workdays",(SUMIFS(O:O,F:F,F331,I:I,I331,B:B,B331)&lt;=24)),IF(AND((L331*24)&gt;0,(L331*24)&lt;=8),(L331*24)*MD!$M$5,IF(AND((L331*24)&gt;8,(L331*24)&lt;=16),(MD!$N$5),IF((L331*24)&gt;16,MD!$N$5))),IF(AND(F331="Non_workdays",(SUMIFS(O:O,F:F,F331,I:I,I331,B:B,B331)&lt;=24)),IF(AND((L331*24)&gt;0,(L331*24)&lt;=8),(L331*24)*MD!$M$6,IF(AND((L331*24)&gt;8,(L331*24)&lt;=16),(MD!$N$6),IF((L331*24)&gt;16,MD!$N$6))),IF(AND(F331="Call_out",(SUMIFS(O:O,F:F,F331,I:I,I331,B:B,B331)&lt;=24)),IF(AND((L331*24)&gt;0,(L331*24)&lt;=8),(L331*24)*MD!$P$4,IF(AND((L331*24)&gt;8,(L331*24)&lt;=16),(MD!$Q$4),IF((L331*24)&gt;16,MD!$Q$4)))))))</f>
        <v>0</v>
      </c>
      <c r="N331" s="62"/>
      <c r="O331" s="72">
        <f t="shared" si="11"/>
        <v>0</v>
      </c>
    </row>
    <row r="332" spans="1:15" x14ac:dyDescent="0.25">
      <c r="A332" s="62">
        <v>331</v>
      </c>
      <c r="B332" s="62"/>
      <c r="C332" s="68" t="str">
        <f>IF(ISNA(VLOOKUP($B332,CPY!$B:$G,2,FALSE))=TRUE," ",VLOOKUP($B332,CPY!$B:$G,2,FALSE))</f>
        <v> </v>
      </c>
      <c r="D332" s="50" t="str">
        <f>IF(ISNA(VLOOKUP($B332,CPY!$B:$G,3,FALSE))=TRUE," ",VLOOKUP($B332,CPY!$B:$G,3,FALSE))</f>
        <v> </v>
      </c>
      <c r="E332" s="65" t="str">
        <f>IF(ISNA(VLOOKUP($B332,CPY!$B:$G,4,FALSE))=TRUE," ",VLOOKUP($B332,CPY!$B:$G,4,FALSE))</f>
        <v> </v>
      </c>
      <c r="F332" s="62"/>
      <c r="G332" s="86"/>
      <c r="H332" s="86"/>
      <c r="I332" s="87"/>
      <c r="J332" s="88"/>
      <c r="K332" s="88"/>
      <c r="L332" s="95">
        <f t="shared" si="10"/>
        <v>0</v>
      </c>
      <c r="M332" s="96" t="b">
        <f>IF((ISNUMBER(L332)),IF(AND(F332="Workdays",(SUMIFS(O:O,F:F,F332,I:I,I332,B:B,B332)&lt;=24)),IF(AND((L332*24)&gt;0,(L332*24)&lt;=8),(L332*24)*MD!$M$5,IF(AND((L332*24)&gt;8,(L332*24)&lt;=16),(MD!$N$5),IF((L332*24)&gt;16,MD!$N$5))),IF(AND(F332="Non_workdays",(SUMIFS(O:O,F:F,F332,I:I,I332,B:B,B332)&lt;=24)),IF(AND((L332*24)&gt;0,(L332*24)&lt;=8),(L332*24)*MD!$M$6,IF(AND((L332*24)&gt;8,(L332*24)&lt;=16),(MD!$N$6),IF((L332*24)&gt;16,MD!$N$6))),IF(AND(F332="Call_out",(SUMIFS(O:O,F:F,F332,I:I,I332,B:B,B332)&lt;=24)),IF(AND((L332*24)&gt;0,(L332*24)&lt;=8),(L332*24)*MD!$P$4,IF(AND((L332*24)&gt;8,(L332*24)&lt;=16),(MD!$Q$4),IF((L332*24)&gt;16,MD!$Q$4)))))))</f>
        <v>0</v>
      </c>
      <c r="N332" s="62"/>
      <c r="O332" s="72">
        <f t="shared" si="11"/>
        <v>0</v>
      </c>
    </row>
    <row r="333" spans="1:15" x14ac:dyDescent="0.25">
      <c r="A333" s="62">
        <v>332</v>
      </c>
      <c r="B333" s="62"/>
      <c r="C333" s="68" t="str">
        <f>IF(ISNA(VLOOKUP($B333,CPY!$B:$G,2,FALSE))=TRUE," ",VLOOKUP($B333,CPY!$B:$G,2,FALSE))</f>
        <v> </v>
      </c>
      <c r="D333" s="50" t="str">
        <f>IF(ISNA(VLOOKUP($B333,CPY!$B:$G,3,FALSE))=TRUE," ",VLOOKUP($B333,CPY!$B:$G,3,FALSE))</f>
        <v> </v>
      </c>
      <c r="E333" s="65" t="str">
        <f>IF(ISNA(VLOOKUP($B333,CPY!$B:$G,4,FALSE))=TRUE," ",VLOOKUP($B333,CPY!$B:$G,4,FALSE))</f>
        <v> </v>
      </c>
      <c r="F333" s="62"/>
      <c r="G333" s="86"/>
      <c r="H333" s="86"/>
      <c r="I333" s="87"/>
      <c r="J333" s="88"/>
      <c r="K333" s="88"/>
      <c r="L333" s="95">
        <f t="shared" si="10"/>
        <v>0</v>
      </c>
      <c r="M333" s="96" t="b">
        <f>IF((ISNUMBER(L333)),IF(AND(F333="Workdays",(SUMIFS(O:O,F:F,F333,I:I,I333,B:B,B333)&lt;=24)),IF(AND((L333*24)&gt;0,(L333*24)&lt;=8),(L333*24)*MD!$M$5,IF(AND((L333*24)&gt;8,(L333*24)&lt;=16),(MD!$N$5),IF((L333*24)&gt;16,MD!$N$5))),IF(AND(F333="Non_workdays",(SUMIFS(O:O,F:F,F333,I:I,I333,B:B,B333)&lt;=24)),IF(AND((L333*24)&gt;0,(L333*24)&lt;=8),(L333*24)*MD!$M$6,IF(AND((L333*24)&gt;8,(L333*24)&lt;=16),(MD!$N$6),IF((L333*24)&gt;16,MD!$N$6))),IF(AND(F333="Call_out",(SUMIFS(O:O,F:F,F333,I:I,I333,B:B,B333)&lt;=24)),IF(AND((L333*24)&gt;0,(L333*24)&lt;=8),(L333*24)*MD!$P$4,IF(AND((L333*24)&gt;8,(L333*24)&lt;=16),(MD!$Q$4),IF((L333*24)&gt;16,MD!$Q$4)))))))</f>
        <v>0</v>
      </c>
      <c r="N333" s="62"/>
      <c r="O333" s="72">
        <f t="shared" si="11"/>
        <v>0</v>
      </c>
    </row>
    <row r="334" spans="1:15" x14ac:dyDescent="0.25">
      <c r="A334" s="62">
        <v>333</v>
      </c>
      <c r="B334" s="62"/>
      <c r="C334" s="68" t="str">
        <f>IF(ISNA(VLOOKUP($B334,CPY!$B:$G,2,FALSE))=TRUE," ",VLOOKUP($B334,CPY!$B:$G,2,FALSE))</f>
        <v> </v>
      </c>
      <c r="D334" s="50" t="str">
        <f>IF(ISNA(VLOOKUP($B334,CPY!$B:$G,3,FALSE))=TRUE," ",VLOOKUP($B334,CPY!$B:$G,3,FALSE))</f>
        <v> </v>
      </c>
      <c r="E334" s="65" t="str">
        <f>IF(ISNA(VLOOKUP($B334,CPY!$B:$G,4,FALSE))=TRUE," ",VLOOKUP($B334,CPY!$B:$G,4,FALSE))</f>
        <v> </v>
      </c>
      <c r="F334" s="62"/>
      <c r="G334" s="86"/>
      <c r="H334" s="86"/>
      <c r="I334" s="87"/>
      <c r="J334" s="88"/>
      <c r="K334" s="88"/>
      <c r="L334" s="95">
        <f t="shared" si="10"/>
        <v>0</v>
      </c>
      <c r="M334" s="96" t="b">
        <f>IF((ISNUMBER(L334)),IF(AND(F334="Workdays",(SUMIFS(O:O,F:F,F334,I:I,I334,B:B,B334)&lt;=24)),IF(AND((L334*24)&gt;0,(L334*24)&lt;=8),(L334*24)*MD!$M$5,IF(AND((L334*24)&gt;8,(L334*24)&lt;=16),(MD!$N$5),IF((L334*24)&gt;16,MD!$N$5))),IF(AND(F334="Non_workdays",(SUMIFS(O:O,F:F,F334,I:I,I334,B:B,B334)&lt;=24)),IF(AND((L334*24)&gt;0,(L334*24)&lt;=8),(L334*24)*MD!$M$6,IF(AND((L334*24)&gt;8,(L334*24)&lt;=16),(MD!$N$6),IF((L334*24)&gt;16,MD!$N$6))),IF(AND(F334="Call_out",(SUMIFS(O:O,F:F,F334,I:I,I334,B:B,B334)&lt;=24)),IF(AND((L334*24)&gt;0,(L334*24)&lt;=8),(L334*24)*MD!$P$4,IF(AND((L334*24)&gt;8,(L334*24)&lt;=16),(MD!$Q$4),IF((L334*24)&gt;16,MD!$Q$4)))))))</f>
        <v>0</v>
      </c>
      <c r="N334" s="62"/>
      <c r="O334" s="72">
        <f t="shared" si="11"/>
        <v>0</v>
      </c>
    </row>
    <row r="335" spans="1:15" x14ac:dyDescent="0.25">
      <c r="A335" s="62">
        <v>334</v>
      </c>
      <c r="B335" s="62"/>
      <c r="C335" s="68" t="str">
        <f>IF(ISNA(VLOOKUP($B335,CPY!$B:$G,2,FALSE))=TRUE," ",VLOOKUP($B335,CPY!$B:$G,2,FALSE))</f>
        <v> </v>
      </c>
      <c r="D335" s="50" t="str">
        <f>IF(ISNA(VLOOKUP($B335,CPY!$B:$G,3,FALSE))=TRUE," ",VLOOKUP($B335,CPY!$B:$G,3,FALSE))</f>
        <v> </v>
      </c>
      <c r="E335" s="65" t="str">
        <f>IF(ISNA(VLOOKUP($B335,CPY!$B:$G,4,FALSE))=TRUE," ",VLOOKUP($B335,CPY!$B:$G,4,FALSE))</f>
        <v> </v>
      </c>
      <c r="F335" s="62"/>
      <c r="G335" s="86"/>
      <c r="H335" s="86"/>
      <c r="I335" s="87"/>
      <c r="J335" s="88"/>
      <c r="K335" s="88"/>
      <c r="L335" s="95">
        <f t="shared" si="10"/>
        <v>0</v>
      </c>
      <c r="M335" s="96" t="b">
        <f>IF((ISNUMBER(L335)),IF(AND(F335="Workdays",(SUMIFS(O:O,F:F,F335,I:I,I335,B:B,B335)&lt;=24)),IF(AND((L335*24)&gt;0,(L335*24)&lt;=8),(L335*24)*MD!$M$5,IF(AND((L335*24)&gt;8,(L335*24)&lt;=16),(MD!$N$5),IF((L335*24)&gt;16,MD!$N$5))),IF(AND(F335="Non_workdays",(SUMIFS(O:O,F:F,F335,I:I,I335,B:B,B335)&lt;=24)),IF(AND((L335*24)&gt;0,(L335*24)&lt;=8),(L335*24)*MD!$M$6,IF(AND((L335*24)&gt;8,(L335*24)&lt;=16),(MD!$N$6),IF((L335*24)&gt;16,MD!$N$6))),IF(AND(F335="Call_out",(SUMIFS(O:O,F:F,F335,I:I,I335,B:B,B335)&lt;=24)),IF(AND((L335*24)&gt;0,(L335*24)&lt;=8),(L335*24)*MD!$P$4,IF(AND((L335*24)&gt;8,(L335*24)&lt;=16),(MD!$Q$4),IF((L335*24)&gt;16,MD!$Q$4)))))))</f>
        <v>0</v>
      </c>
      <c r="N335" s="62"/>
      <c r="O335" s="72">
        <f t="shared" si="11"/>
        <v>0</v>
      </c>
    </row>
    <row r="336" spans="1:15" x14ac:dyDescent="0.25">
      <c r="A336" s="62">
        <v>335</v>
      </c>
      <c r="B336" s="62"/>
      <c r="C336" s="68" t="str">
        <f>IF(ISNA(VLOOKUP($B336,CPY!$B:$G,2,FALSE))=TRUE," ",VLOOKUP($B336,CPY!$B:$G,2,FALSE))</f>
        <v> </v>
      </c>
      <c r="D336" s="50" t="str">
        <f>IF(ISNA(VLOOKUP($B336,CPY!$B:$G,3,FALSE))=TRUE," ",VLOOKUP($B336,CPY!$B:$G,3,FALSE))</f>
        <v> </v>
      </c>
      <c r="E336" s="65" t="str">
        <f>IF(ISNA(VLOOKUP($B336,CPY!$B:$G,4,FALSE))=TRUE," ",VLOOKUP($B336,CPY!$B:$G,4,FALSE))</f>
        <v> </v>
      </c>
      <c r="F336" s="62"/>
      <c r="G336" s="86"/>
      <c r="H336" s="86"/>
      <c r="I336" s="87"/>
      <c r="J336" s="88"/>
      <c r="K336" s="88"/>
      <c r="L336" s="95">
        <f t="shared" si="10"/>
        <v>0</v>
      </c>
      <c r="M336" s="96" t="b">
        <f>IF((ISNUMBER(L336)),IF(AND(F336="Workdays",(SUMIFS(O:O,F:F,F336,I:I,I336,B:B,B336)&lt;=24)),IF(AND((L336*24)&gt;0,(L336*24)&lt;=8),(L336*24)*MD!$M$5,IF(AND((L336*24)&gt;8,(L336*24)&lt;=16),(MD!$N$5),IF((L336*24)&gt;16,MD!$N$5))),IF(AND(F336="Non_workdays",(SUMIFS(O:O,F:F,F336,I:I,I336,B:B,B336)&lt;=24)),IF(AND((L336*24)&gt;0,(L336*24)&lt;=8),(L336*24)*MD!$M$6,IF(AND((L336*24)&gt;8,(L336*24)&lt;=16),(MD!$N$6),IF((L336*24)&gt;16,MD!$N$6))),IF(AND(F336="Call_out",(SUMIFS(O:O,F:F,F336,I:I,I336,B:B,B336)&lt;=24)),IF(AND((L336*24)&gt;0,(L336*24)&lt;=8),(L336*24)*MD!$P$4,IF(AND((L336*24)&gt;8,(L336*24)&lt;=16),(MD!$Q$4),IF((L336*24)&gt;16,MD!$Q$4)))))))</f>
        <v>0</v>
      </c>
      <c r="N336" s="62"/>
      <c r="O336" s="72">
        <f t="shared" si="11"/>
        <v>0</v>
      </c>
    </row>
    <row r="337" spans="1:15" x14ac:dyDescent="0.25">
      <c r="A337" s="62">
        <v>336</v>
      </c>
      <c r="B337" s="62"/>
      <c r="C337" s="68" t="str">
        <f>IF(ISNA(VLOOKUP($B337,CPY!$B:$G,2,FALSE))=TRUE," ",VLOOKUP($B337,CPY!$B:$G,2,FALSE))</f>
        <v> </v>
      </c>
      <c r="D337" s="50" t="str">
        <f>IF(ISNA(VLOOKUP($B337,CPY!$B:$G,3,FALSE))=TRUE," ",VLOOKUP($B337,CPY!$B:$G,3,FALSE))</f>
        <v> </v>
      </c>
      <c r="E337" s="65" t="str">
        <f>IF(ISNA(VLOOKUP($B337,CPY!$B:$G,4,FALSE))=TRUE," ",VLOOKUP($B337,CPY!$B:$G,4,FALSE))</f>
        <v> </v>
      </c>
      <c r="F337" s="62"/>
      <c r="G337" s="86"/>
      <c r="H337" s="86"/>
      <c r="I337" s="87"/>
      <c r="J337" s="88"/>
      <c r="K337" s="88"/>
      <c r="L337" s="95">
        <f t="shared" si="10"/>
        <v>0</v>
      </c>
      <c r="M337" s="96" t="b">
        <f>IF((ISNUMBER(L337)),IF(AND(F337="Workdays",(SUMIFS(O:O,F:F,F337,I:I,I337,B:B,B337)&lt;=24)),IF(AND((L337*24)&gt;0,(L337*24)&lt;=8),(L337*24)*MD!$M$5,IF(AND((L337*24)&gt;8,(L337*24)&lt;=16),(MD!$N$5),IF((L337*24)&gt;16,MD!$N$5))),IF(AND(F337="Non_workdays",(SUMIFS(O:O,F:F,F337,I:I,I337,B:B,B337)&lt;=24)),IF(AND((L337*24)&gt;0,(L337*24)&lt;=8),(L337*24)*MD!$M$6,IF(AND((L337*24)&gt;8,(L337*24)&lt;=16),(MD!$N$6),IF((L337*24)&gt;16,MD!$N$6))),IF(AND(F337="Call_out",(SUMIFS(O:O,F:F,F337,I:I,I337,B:B,B337)&lt;=24)),IF(AND((L337*24)&gt;0,(L337*24)&lt;=8),(L337*24)*MD!$P$4,IF(AND((L337*24)&gt;8,(L337*24)&lt;=16),(MD!$Q$4),IF((L337*24)&gt;16,MD!$Q$4)))))))</f>
        <v>0</v>
      </c>
      <c r="N337" s="62"/>
      <c r="O337" s="72">
        <f t="shared" si="11"/>
        <v>0</v>
      </c>
    </row>
    <row r="338" spans="1:15" x14ac:dyDescent="0.25">
      <c r="A338" s="62">
        <v>337</v>
      </c>
      <c r="B338" s="62"/>
      <c r="C338" s="68" t="str">
        <f>IF(ISNA(VLOOKUP($B338,CPY!$B:$G,2,FALSE))=TRUE," ",VLOOKUP($B338,CPY!$B:$G,2,FALSE))</f>
        <v> </v>
      </c>
      <c r="D338" s="50" t="str">
        <f>IF(ISNA(VLOOKUP($B338,CPY!$B:$G,3,FALSE))=TRUE," ",VLOOKUP($B338,CPY!$B:$G,3,FALSE))</f>
        <v> </v>
      </c>
      <c r="E338" s="65" t="str">
        <f>IF(ISNA(VLOOKUP($B338,CPY!$B:$G,4,FALSE))=TRUE," ",VLOOKUP($B338,CPY!$B:$G,4,FALSE))</f>
        <v> </v>
      </c>
      <c r="F338" s="62"/>
      <c r="G338" s="86"/>
      <c r="H338" s="86"/>
      <c r="I338" s="87"/>
      <c r="J338" s="88"/>
      <c r="K338" s="88"/>
      <c r="L338" s="95">
        <f t="shared" si="10"/>
        <v>0</v>
      </c>
      <c r="M338" s="96" t="b">
        <f>IF((ISNUMBER(L338)),IF(AND(F338="Workdays",(SUMIFS(O:O,F:F,F338,I:I,I338,B:B,B338)&lt;=24)),IF(AND((L338*24)&gt;0,(L338*24)&lt;=8),(L338*24)*MD!$M$5,IF(AND((L338*24)&gt;8,(L338*24)&lt;=16),(MD!$N$5),IF((L338*24)&gt;16,MD!$N$5))),IF(AND(F338="Non_workdays",(SUMIFS(O:O,F:F,F338,I:I,I338,B:B,B338)&lt;=24)),IF(AND((L338*24)&gt;0,(L338*24)&lt;=8),(L338*24)*MD!$M$6,IF(AND((L338*24)&gt;8,(L338*24)&lt;=16),(MD!$N$6),IF((L338*24)&gt;16,MD!$N$6))),IF(AND(F338="Call_out",(SUMIFS(O:O,F:F,F338,I:I,I338,B:B,B338)&lt;=24)),IF(AND((L338*24)&gt;0,(L338*24)&lt;=8),(L338*24)*MD!$P$4,IF(AND((L338*24)&gt;8,(L338*24)&lt;=16),(MD!$Q$4),IF((L338*24)&gt;16,MD!$Q$4)))))))</f>
        <v>0</v>
      </c>
      <c r="N338" s="62"/>
      <c r="O338" s="72">
        <f t="shared" si="11"/>
        <v>0</v>
      </c>
    </row>
    <row r="339" spans="1:15" x14ac:dyDescent="0.25">
      <c r="A339" s="62">
        <v>338</v>
      </c>
      <c r="B339" s="62"/>
      <c r="C339" s="68" t="str">
        <f>IF(ISNA(VLOOKUP($B339,CPY!$B:$G,2,FALSE))=TRUE," ",VLOOKUP($B339,CPY!$B:$G,2,FALSE))</f>
        <v> </v>
      </c>
      <c r="D339" s="50" t="str">
        <f>IF(ISNA(VLOOKUP($B339,CPY!$B:$G,3,FALSE))=TRUE," ",VLOOKUP($B339,CPY!$B:$G,3,FALSE))</f>
        <v> </v>
      </c>
      <c r="E339" s="65" t="str">
        <f>IF(ISNA(VLOOKUP($B339,CPY!$B:$G,4,FALSE))=TRUE," ",VLOOKUP($B339,CPY!$B:$G,4,FALSE))</f>
        <v> </v>
      </c>
      <c r="F339" s="62"/>
      <c r="G339" s="86"/>
      <c r="H339" s="86"/>
      <c r="I339" s="87"/>
      <c r="J339" s="88"/>
      <c r="K339" s="88"/>
      <c r="L339" s="95">
        <f t="shared" si="10"/>
        <v>0</v>
      </c>
      <c r="M339" s="96" t="b">
        <f>IF((ISNUMBER(L339)),IF(AND(F339="Workdays",(SUMIFS(O:O,F:F,F339,I:I,I339,B:B,B339)&lt;=24)),IF(AND((L339*24)&gt;0,(L339*24)&lt;=8),(L339*24)*MD!$M$5,IF(AND((L339*24)&gt;8,(L339*24)&lt;=16),(MD!$N$5),IF((L339*24)&gt;16,MD!$N$5))),IF(AND(F339="Non_workdays",(SUMIFS(O:O,F:F,F339,I:I,I339,B:B,B339)&lt;=24)),IF(AND((L339*24)&gt;0,(L339*24)&lt;=8),(L339*24)*MD!$M$6,IF(AND((L339*24)&gt;8,(L339*24)&lt;=16),(MD!$N$6),IF((L339*24)&gt;16,MD!$N$6))),IF(AND(F339="Call_out",(SUMIFS(O:O,F:F,F339,I:I,I339,B:B,B339)&lt;=24)),IF(AND((L339*24)&gt;0,(L339*24)&lt;=8),(L339*24)*MD!$P$4,IF(AND((L339*24)&gt;8,(L339*24)&lt;=16),(MD!$Q$4),IF((L339*24)&gt;16,MD!$Q$4)))))))</f>
        <v>0</v>
      </c>
      <c r="N339" s="62"/>
      <c r="O339" s="72">
        <f t="shared" si="11"/>
        <v>0</v>
      </c>
    </row>
    <row r="340" spans="1:15" x14ac:dyDescent="0.25">
      <c r="A340" s="62">
        <v>339</v>
      </c>
      <c r="B340" s="62"/>
      <c r="C340" s="68" t="str">
        <f>IF(ISNA(VLOOKUP($B340,CPY!$B:$G,2,FALSE))=TRUE," ",VLOOKUP($B340,CPY!$B:$G,2,FALSE))</f>
        <v> </v>
      </c>
      <c r="D340" s="50" t="str">
        <f>IF(ISNA(VLOOKUP($B340,CPY!$B:$G,3,FALSE))=TRUE," ",VLOOKUP($B340,CPY!$B:$G,3,FALSE))</f>
        <v> </v>
      </c>
      <c r="E340" s="65" t="str">
        <f>IF(ISNA(VLOOKUP($B340,CPY!$B:$G,4,FALSE))=TRUE," ",VLOOKUP($B340,CPY!$B:$G,4,FALSE))</f>
        <v> </v>
      </c>
      <c r="F340" s="62"/>
      <c r="G340" s="86"/>
      <c r="H340" s="86"/>
      <c r="I340" s="87"/>
      <c r="J340" s="88"/>
      <c r="K340" s="88"/>
      <c r="L340" s="95">
        <f t="shared" si="10"/>
        <v>0</v>
      </c>
      <c r="M340" s="96" t="b">
        <f>IF((ISNUMBER(L340)),IF(AND(F340="Workdays",(SUMIFS(O:O,F:F,F340,I:I,I340,B:B,B340)&lt;=24)),IF(AND((L340*24)&gt;0,(L340*24)&lt;=8),(L340*24)*MD!$M$5,IF(AND((L340*24)&gt;8,(L340*24)&lt;=16),(MD!$N$5),IF((L340*24)&gt;16,MD!$N$5))),IF(AND(F340="Non_workdays",(SUMIFS(O:O,F:F,F340,I:I,I340,B:B,B340)&lt;=24)),IF(AND((L340*24)&gt;0,(L340*24)&lt;=8),(L340*24)*MD!$M$6,IF(AND((L340*24)&gt;8,(L340*24)&lt;=16),(MD!$N$6),IF((L340*24)&gt;16,MD!$N$6))),IF(AND(F340="Call_out",(SUMIFS(O:O,F:F,F340,I:I,I340,B:B,B340)&lt;=24)),IF(AND((L340*24)&gt;0,(L340*24)&lt;=8),(L340*24)*MD!$P$4,IF(AND((L340*24)&gt;8,(L340*24)&lt;=16),(MD!$Q$4),IF((L340*24)&gt;16,MD!$Q$4)))))))</f>
        <v>0</v>
      </c>
      <c r="N340" s="62"/>
      <c r="O340" s="72">
        <f t="shared" si="11"/>
        <v>0</v>
      </c>
    </row>
    <row r="341" spans="1:15" x14ac:dyDescent="0.25">
      <c r="A341" s="62">
        <v>340</v>
      </c>
      <c r="B341" s="62"/>
      <c r="C341" s="68" t="str">
        <f>IF(ISNA(VLOOKUP($B341,CPY!$B:$G,2,FALSE))=TRUE," ",VLOOKUP($B341,CPY!$B:$G,2,FALSE))</f>
        <v> </v>
      </c>
      <c r="D341" s="50" t="str">
        <f>IF(ISNA(VLOOKUP($B341,CPY!$B:$G,3,FALSE))=TRUE," ",VLOOKUP($B341,CPY!$B:$G,3,FALSE))</f>
        <v> </v>
      </c>
      <c r="E341" s="65" t="str">
        <f>IF(ISNA(VLOOKUP($B341,CPY!$B:$G,4,FALSE))=TRUE," ",VLOOKUP($B341,CPY!$B:$G,4,FALSE))</f>
        <v> </v>
      </c>
      <c r="F341" s="62"/>
      <c r="G341" s="86"/>
      <c r="H341" s="86"/>
      <c r="I341" s="87"/>
      <c r="J341" s="88"/>
      <c r="K341" s="88"/>
      <c r="L341" s="95">
        <f t="shared" si="10"/>
        <v>0</v>
      </c>
      <c r="M341" s="96" t="b">
        <f>IF((ISNUMBER(L341)),IF(AND(F341="Workdays",(SUMIFS(O:O,F:F,F341,I:I,I341,B:B,B341)&lt;=24)),IF(AND((L341*24)&gt;0,(L341*24)&lt;=8),(L341*24)*MD!$M$5,IF(AND((L341*24)&gt;8,(L341*24)&lt;=16),(MD!$N$5),IF((L341*24)&gt;16,MD!$N$5))),IF(AND(F341="Non_workdays",(SUMIFS(O:O,F:F,F341,I:I,I341,B:B,B341)&lt;=24)),IF(AND((L341*24)&gt;0,(L341*24)&lt;=8),(L341*24)*MD!$M$6,IF(AND((L341*24)&gt;8,(L341*24)&lt;=16),(MD!$N$6),IF((L341*24)&gt;16,MD!$N$6))),IF(AND(F341="Call_out",(SUMIFS(O:O,F:F,F341,I:I,I341,B:B,B341)&lt;=24)),IF(AND((L341*24)&gt;0,(L341*24)&lt;=8),(L341*24)*MD!$P$4,IF(AND((L341*24)&gt;8,(L341*24)&lt;=16),(MD!$Q$4),IF((L341*24)&gt;16,MD!$Q$4)))))))</f>
        <v>0</v>
      </c>
      <c r="N341" s="62"/>
      <c r="O341" s="72">
        <f t="shared" si="11"/>
        <v>0</v>
      </c>
    </row>
    <row r="342" spans="1:15" x14ac:dyDescent="0.25">
      <c r="A342" s="62">
        <v>341</v>
      </c>
      <c r="B342" s="62"/>
      <c r="C342" s="68" t="str">
        <f>IF(ISNA(VLOOKUP($B342,CPY!$B:$G,2,FALSE))=TRUE," ",VLOOKUP($B342,CPY!$B:$G,2,FALSE))</f>
        <v> </v>
      </c>
      <c r="D342" s="50" t="str">
        <f>IF(ISNA(VLOOKUP($B342,CPY!$B:$G,3,FALSE))=TRUE," ",VLOOKUP($B342,CPY!$B:$G,3,FALSE))</f>
        <v> </v>
      </c>
      <c r="E342" s="65" t="str">
        <f>IF(ISNA(VLOOKUP($B342,CPY!$B:$G,4,FALSE))=TRUE," ",VLOOKUP($B342,CPY!$B:$G,4,FALSE))</f>
        <v> </v>
      </c>
      <c r="F342" s="62"/>
      <c r="G342" s="86"/>
      <c r="H342" s="86"/>
      <c r="I342" s="87"/>
      <c r="J342" s="88"/>
      <c r="K342" s="88"/>
      <c r="L342" s="95">
        <f t="shared" si="10"/>
        <v>0</v>
      </c>
      <c r="M342" s="96" t="b">
        <f>IF((ISNUMBER(L342)),IF(AND(F342="Workdays",(SUMIFS(O:O,F:F,F342,I:I,I342,B:B,B342)&lt;=24)),IF(AND((L342*24)&gt;0,(L342*24)&lt;=8),(L342*24)*MD!$M$5,IF(AND((L342*24)&gt;8,(L342*24)&lt;=16),(MD!$N$5),IF((L342*24)&gt;16,MD!$N$5))),IF(AND(F342="Non_workdays",(SUMIFS(O:O,F:F,F342,I:I,I342,B:B,B342)&lt;=24)),IF(AND((L342*24)&gt;0,(L342*24)&lt;=8),(L342*24)*MD!$M$6,IF(AND((L342*24)&gt;8,(L342*24)&lt;=16),(MD!$N$6),IF((L342*24)&gt;16,MD!$N$6))),IF(AND(F342="Call_out",(SUMIFS(O:O,F:F,F342,I:I,I342,B:B,B342)&lt;=24)),IF(AND((L342*24)&gt;0,(L342*24)&lt;=8),(L342*24)*MD!$P$4,IF(AND((L342*24)&gt;8,(L342*24)&lt;=16),(MD!$Q$4),IF((L342*24)&gt;16,MD!$Q$4)))))))</f>
        <v>0</v>
      </c>
      <c r="N342" s="62"/>
      <c r="O342" s="72">
        <f t="shared" si="11"/>
        <v>0</v>
      </c>
    </row>
    <row r="343" spans="1:15" x14ac:dyDescent="0.25">
      <c r="A343" s="62">
        <v>342</v>
      </c>
      <c r="B343" s="62"/>
      <c r="C343" s="68" t="str">
        <f>IF(ISNA(VLOOKUP($B343,CPY!$B:$G,2,FALSE))=TRUE," ",VLOOKUP($B343,CPY!$B:$G,2,FALSE))</f>
        <v> </v>
      </c>
      <c r="D343" s="50" t="str">
        <f>IF(ISNA(VLOOKUP($B343,CPY!$B:$G,3,FALSE))=TRUE," ",VLOOKUP($B343,CPY!$B:$G,3,FALSE))</f>
        <v> </v>
      </c>
      <c r="E343" s="65" t="str">
        <f>IF(ISNA(VLOOKUP($B343,CPY!$B:$G,4,FALSE))=TRUE," ",VLOOKUP($B343,CPY!$B:$G,4,FALSE))</f>
        <v> </v>
      </c>
      <c r="F343" s="62"/>
      <c r="G343" s="86"/>
      <c r="H343" s="86"/>
      <c r="I343" s="87"/>
      <c r="J343" s="88"/>
      <c r="K343" s="88"/>
      <c r="L343" s="95">
        <f t="shared" si="10"/>
        <v>0</v>
      </c>
      <c r="M343" s="96" t="b">
        <f>IF((ISNUMBER(L343)),IF(AND(F343="Workdays",(SUMIFS(O:O,F:F,F343,I:I,I343,B:B,B343)&lt;=24)),IF(AND((L343*24)&gt;0,(L343*24)&lt;=8),(L343*24)*MD!$M$5,IF(AND((L343*24)&gt;8,(L343*24)&lt;=16),(MD!$N$5),IF((L343*24)&gt;16,MD!$N$5))),IF(AND(F343="Non_workdays",(SUMIFS(O:O,F:F,F343,I:I,I343,B:B,B343)&lt;=24)),IF(AND((L343*24)&gt;0,(L343*24)&lt;=8),(L343*24)*MD!$M$6,IF(AND((L343*24)&gt;8,(L343*24)&lt;=16),(MD!$N$6),IF((L343*24)&gt;16,MD!$N$6))),IF(AND(F343="Call_out",(SUMIFS(O:O,F:F,F343,I:I,I343,B:B,B343)&lt;=24)),IF(AND((L343*24)&gt;0,(L343*24)&lt;=8),(L343*24)*MD!$P$4,IF(AND((L343*24)&gt;8,(L343*24)&lt;=16),(MD!$Q$4),IF((L343*24)&gt;16,MD!$Q$4)))))))</f>
        <v>0</v>
      </c>
      <c r="N343" s="62"/>
      <c r="O343" s="72">
        <f t="shared" si="11"/>
        <v>0</v>
      </c>
    </row>
    <row r="344" spans="1:15" x14ac:dyDescent="0.25">
      <c r="A344" s="62">
        <v>343</v>
      </c>
      <c r="B344" s="62"/>
      <c r="C344" s="68" t="str">
        <f>IF(ISNA(VLOOKUP($B344,CPY!$B:$G,2,FALSE))=TRUE," ",VLOOKUP($B344,CPY!$B:$G,2,FALSE))</f>
        <v> </v>
      </c>
      <c r="D344" s="50" t="str">
        <f>IF(ISNA(VLOOKUP($B344,CPY!$B:$G,3,FALSE))=TRUE," ",VLOOKUP($B344,CPY!$B:$G,3,FALSE))</f>
        <v> </v>
      </c>
      <c r="E344" s="65" t="str">
        <f>IF(ISNA(VLOOKUP($B344,CPY!$B:$G,4,FALSE))=TRUE," ",VLOOKUP($B344,CPY!$B:$G,4,FALSE))</f>
        <v> </v>
      </c>
      <c r="F344" s="62"/>
      <c r="G344" s="86"/>
      <c r="H344" s="86"/>
      <c r="I344" s="87"/>
      <c r="J344" s="88"/>
      <c r="K344" s="88"/>
      <c r="L344" s="95">
        <f t="shared" si="10"/>
        <v>0</v>
      </c>
      <c r="M344" s="96" t="b">
        <f>IF((ISNUMBER(L344)),IF(AND(F344="Workdays",(SUMIFS(O:O,F:F,F344,I:I,I344,B:B,B344)&lt;=24)),IF(AND((L344*24)&gt;0,(L344*24)&lt;=8),(L344*24)*MD!$M$5,IF(AND((L344*24)&gt;8,(L344*24)&lt;=16),(MD!$N$5),IF((L344*24)&gt;16,MD!$N$5))),IF(AND(F344="Non_workdays",(SUMIFS(O:O,F:F,F344,I:I,I344,B:B,B344)&lt;=24)),IF(AND((L344*24)&gt;0,(L344*24)&lt;=8),(L344*24)*MD!$M$6,IF(AND((L344*24)&gt;8,(L344*24)&lt;=16),(MD!$N$6),IF((L344*24)&gt;16,MD!$N$6))),IF(AND(F344="Call_out",(SUMIFS(O:O,F:F,F344,I:I,I344,B:B,B344)&lt;=24)),IF(AND((L344*24)&gt;0,(L344*24)&lt;=8),(L344*24)*MD!$P$4,IF(AND((L344*24)&gt;8,(L344*24)&lt;=16),(MD!$Q$4),IF((L344*24)&gt;16,MD!$Q$4)))))))</f>
        <v>0</v>
      </c>
      <c r="N344" s="62"/>
      <c r="O344" s="72">
        <f t="shared" si="11"/>
        <v>0</v>
      </c>
    </row>
    <row r="345" spans="1:15" x14ac:dyDescent="0.25">
      <c r="A345" s="62">
        <v>344</v>
      </c>
      <c r="B345" s="62"/>
      <c r="C345" s="68" t="str">
        <f>IF(ISNA(VLOOKUP($B345,CPY!$B:$G,2,FALSE))=TRUE," ",VLOOKUP($B345,CPY!$B:$G,2,FALSE))</f>
        <v> </v>
      </c>
      <c r="D345" s="50" t="str">
        <f>IF(ISNA(VLOOKUP($B345,CPY!$B:$G,3,FALSE))=TRUE," ",VLOOKUP($B345,CPY!$B:$G,3,FALSE))</f>
        <v> </v>
      </c>
      <c r="E345" s="65" t="str">
        <f>IF(ISNA(VLOOKUP($B345,CPY!$B:$G,4,FALSE))=TRUE," ",VLOOKUP($B345,CPY!$B:$G,4,FALSE))</f>
        <v> </v>
      </c>
      <c r="F345" s="62"/>
      <c r="G345" s="86"/>
      <c r="H345" s="86"/>
      <c r="I345" s="87"/>
      <c r="J345" s="88"/>
      <c r="K345" s="88"/>
      <c r="L345" s="95">
        <f t="shared" si="10"/>
        <v>0</v>
      </c>
      <c r="M345" s="96" t="b">
        <f>IF((ISNUMBER(L345)),IF(AND(F345="Workdays",(SUMIFS(O:O,F:F,F345,I:I,I345,B:B,B345)&lt;=24)),IF(AND((L345*24)&gt;0,(L345*24)&lt;=8),(L345*24)*MD!$M$5,IF(AND((L345*24)&gt;8,(L345*24)&lt;=16),(MD!$N$5),IF((L345*24)&gt;16,MD!$N$5))),IF(AND(F345="Non_workdays",(SUMIFS(O:O,F:F,F345,I:I,I345,B:B,B345)&lt;=24)),IF(AND((L345*24)&gt;0,(L345*24)&lt;=8),(L345*24)*MD!$M$6,IF(AND((L345*24)&gt;8,(L345*24)&lt;=16),(MD!$N$6),IF((L345*24)&gt;16,MD!$N$6))),IF(AND(F345="Call_out",(SUMIFS(O:O,F:F,F345,I:I,I345,B:B,B345)&lt;=24)),IF(AND((L345*24)&gt;0,(L345*24)&lt;=8),(L345*24)*MD!$P$4,IF(AND((L345*24)&gt;8,(L345*24)&lt;=16),(MD!$Q$4),IF((L345*24)&gt;16,MD!$Q$4)))))))</f>
        <v>0</v>
      </c>
      <c r="N345" s="62"/>
      <c r="O345" s="72">
        <f t="shared" si="11"/>
        <v>0</v>
      </c>
    </row>
    <row r="346" spans="1:15" x14ac:dyDescent="0.25">
      <c r="A346" s="62">
        <v>345</v>
      </c>
      <c r="B346" s="62"/>
      <c r="C346" s="68" t="str">
        <f>IF(ISNA(VLOOKUP($B346,CPY!$B:$G,2,FALSE))=TRUE," ",VLOOKUP($B346,CPY!$B:$G,2,FALSE))</f>
        <v> </v>
      </c>
      <c r="D346" s="50" t="str">
        <f>IF(ISNA(VLOOKUP($B346,CPY!$B:$G,3,FALSE))=TRUE," ",VLOOKUP($B346,CPY!$B:$G,3,FALSE))</f>
        <v> </v>
      </c>
      <c r="E346" s="65" t="str">
        <f>IF(ISNA(VLOOKUP($B346,CPY!$B:$G,4,FALSE))=TRUE," ",VLOOKUP($B346,CPY!$B:$G,4,FALSE))</f>
        <v> </v>
      </c>
      <c r="F346" s="62"/>
      <c r="G346" s="86"/>
      <c r="H346" s="86"/>
      <c r="I346" s="87"/>
      <c r="J346" s="88"/>
      <c r="K346" s="88"/>
      <c r="L346" s="95">
        <f t="shared" si="10"/>
        <v>0</v>
      </c>
      <c r="M346" s="96" t="b">
        <f>IF((ISNUMBER(L346)),IF(AND(F346="Workdays",(SUMIFS(O:O,F:F,F346,I:I,I346,B:B,B346)&lt;=24)),IF(AND((L346*24)&gt;0,(L346*24)&lt;=8),(L346*24)*MD!$M$5,IF(AND((L346*24)&gt;8,(L346*24)&lt;=16),(MD!$N$5),IF((L346*24)&gt;16,MD!$N$5))),IF(AND(F346="Non_workdays",(SUMIFS(O:O,F:F,F346,I:I,I346,B:B,B346)&lt;=24)),IF(AND((L346*24)&gt;0,(L346*24)&lt;=8),(L346*24)*MD!$M$6,IF(AND((L346*24)&gt;8,(L346*24)&lt;=16),(MD!$N$6),IF((L346*24)&gt;16,MD!$N$6))),IF(AND(F346="Call_out",(SUMIFS(O:O,F:F,F346,I:I,I346,B:B,B346)&lt;=24)),IF(AND((L346*24)&gt;0,(L346*24)&lt;=8),(L346*24)*MD!$P$4,IF(AND((L346*24)&gt;8,(L346*24)&lt;=16),(MD!$Q$4),IF((L346*24)&gt;16,MD!$Q$4)))))))</f>
        <v>0</v>
      </c>
      <c r="N346" s="62"/>
      <c r="O346" s="72">
        <f t="shared" si="11"/>
        <v>0</v>
      </c>
    </row>
    <row r="347" spans="1:15" x14ac:dyDescent="0.25">
      <c r="A347" s="62">
        <v>346</v>
      </c>
      <c r="B347" s="62"/>
      <c r="C347" s="68" t="str">
        <f>IF(ISNA(VLOOKUP($B347,CPY!$B:$G,2,FALSE))=TRUE," ",VLOOKUP($B347,CPY!$B:$G,2,FALSE))</f>
        <v> </v>
      </c>
      <c r="D347" s="50" t="str">
        <f>IF(ISNA(VLOOKUP($B347,CPY!$B:$G,3,FALSE))=TRUE," ",VLOOKUP($B347,CPY!$B:$G,3,FALSE))</f>
        <v> </v>
      </c>
      <c r="E347" s="65" t="str">
        <f>IF(ISNA(VLOOKUP($B347,CPY!$B:$G,4,FALSE))=TRUE," ",VLOOKUP($B347,CPY!$B:$G,4,FALSE))</f>
        <v> </v>
      </c>
      <c r="F347" s="62"/>
      <c r="G347" s="86"/>
      <c r="H347" s="86"/>
      <c r="I347" s="87"/>
      <c r="J347" s="88"/>
      <c r="K347" s="88"/>
      <c r="L347" s="95">
        <f t="shared" si="10"/>
        <v>0</v>
      </c>
      <c r="M347" s="96" t="b">
        <f>IF((ISNUMBER(L347)),IF(AND(F347="Workdays",(SUMIFS(O:O,F:F,F347,I:I,I347,B:B,B347)&lt;=24)),IF(AND((L347*24)&gt;0,(L347*24)&lt;=8),(L347*24)*MD!$M$5,IF(AND((L347*24)&gt;8,(L347*24)&lt;=16),(MD!$N$5),IF((L347*24)&gt;16,MD!$N$5))),IF(AND(F347="Non_workdays",(SUMIFS(O:O,F:F,F347,I:I,I347,B:B,B347)&lt;=24)),IF(AND((L347*24)&gt;0,(L347*24)&lt;=8),(L347*24)*MD!$M$6,IF(AND((L347*24)&gt;8,(L347*24)&lt;=16),(MD!$N$6),IF((L347*24)&gt;16,MD!$N$6))),IF(AND(F347="Call_out",(SUMIFS(O:O,F:F,F347,I:I,I347,B:B,B347)&lt;=24)),IF(AND((L347*24)&gt;0,(L347*24)&lt;=8),(L347*24)*MD!$P$4,IF(AND((L347*24)&gt;8,(L347*24)&lt;=16),(MD!$Q$4),IF((L347*24)&gt;16,MD!$Q$4)))))))</f>
        <v>0</v>
      </c>
      <c r="N347" s="62"/>
      <c r="O347" s="72">
        <f t="shared" si="11"/>
        <v>0</v>
      </c>
    </row>
    <row r="348" spans="1:15" x14ac:dyDescent="0.25">
      <c r="A348" s="62">
        <v>347</v>
      </c>
      <c r="B348" s="62"/>
      <c r="C348" s="68" t="str">
        <f>IF(ISNA(VLOOKUP($B348,CPY!$B:$G,2,FALSE))=TRUE," ",VLOOKUP($B348,CPY!$B:$G,2,FALSE))</f>
        <v> </v>
      </c>
      <c r="D348" s="50" t="str">
        <f>IF(ISNA(VLOOKUP($B348,CPY!$B:$G,3,FALSE))=TRUE," ",VLOOKUP($B348,CPY!$B:$G,3,FALSE))</f>
        <v> </v>
      </c>
      <c r="E348" s="65" t="str">
        <f>IF(ISNA(VLOOKUP($B348,CPY!$B:$G,4,FALSE))=TRUE," ",VLOOKUP($B348,CPY!$B:$G,4,FALSE))</f>
        <v> </v>
      </c>
      <c r="F348" s="62"/>
      <c r="G348" s="86"/>
      <c r="H348" s="86"/>
      <c r="I348" s="87"/>
      <c r="J348" s="88"/>
      <c r="K348" s="88"/>
      <c r="L348" s="95">
        <f t="shared" si="10"/>
        <v>0</v>
      </c>
      <c r="M348" s="96" t="b">
        <f>IF((ISNUMBER(L348)),IF(AND(F348="Workdays",(SUMIFS(O:O,F:F,F348,I:I,I348,B:B,B348)&lt;=24)),IF(AND((L348*24)&gt;0,(L348*24)&lt;=8),(L348*24)*MD!$M$5,IF(AND((L348*24)&gt;8,(L348*24)&lt;=16),(MD!$N$5),IF((L348*24)&gt;16,MD!$N$5))),IF(AND(F348="Non_workdays",(SUMIFS(O:O,F:F,F348,I:I,I348,B:B,B348)&lt;=24)),IF(AND((L348*24)&gt;0,(L348*24)&lt;=8),(L348*24)*MD!$M$6,IF(AND((L348*24)&gt;8,(L348*24)&lt;=16),(MD!$N$6),IF((L348*24)&gt;16,MD!$N$6))),IF(AND(F348="Call_out",(SUMIFS(O:O,F:F,F348,I:I,I348,B:B,B348)&lt;=24)),IF(AND((L348*24)&gt;0,(L348*24)&lt;=8),(L348*24)*MD!$P$4,IF(AND((L348*24)&gt;8,(L348*24)&lt;=16),(MD!$Q$4),IF((L348*24)&gt;16,MD!$Q$4)))))))</f>
        <v>0</v>
      </c>
      <c r="N348" s="62"/>
      <c r="O348" s="72">
        <f t="shared" si="11"/>
        <v>0</v>
      </c>
    </row>
    <row r="349" spans="1:15" x14ac:dyDescent="0.25">
      <c r="A349" s="62">
        <v>348</v>
      </c>
      <c r="B349" s="62"/>
      <c r="C349" s="68" t="str">
        <f>IF(ISNA(VLOOKUP($B349,CPY!$B:$G,2,FALSE))=TRUE," ",VLOOKUP($B349,CPY!$B:$G,2,FALSE))</f>
        <v> </v>
      </c>
      <c r="D349" s="50" t="str">
        <f>IF(ISNA(VLOOKUP($B349,CPY!$B:$G,3,FALSE))=TRUE," ",VLOOKUP($B349,CPY!$B:$G,3,FALSE))</f>
        <v> </v>
      </c>
      <c r="E349" s="65" t="str">
        <f>IF(ISNA(VLOOKUP($B349,CPY!$B:$G,4,FALSE))=TRUE," ",VLOOKUP($B349,CPY!$B:$G,4,FALSE))</f>
        <v> </v>
      </c>
      <c r="F349" s="62"/>
      <c r="G349" s="86"/>
      <c r="H349" s="86"/>
      <c r="I349" s="87"/>
      <c r="J349" s="88"/>
      <c r="K349" s="88"/>
      <c r="L349" s="95">
        <f t="shared" si="10"/>
        <v>0</v>
      </c>
      <c r="M349" s="96" t="b">
        <f>IF((ISNUMBER(L349)),IF(AND(F349="Workdays",(SUMIFS(O:O,F:F,F349,I:I,I349,B:B,B349)&lt;=24)),IF(AND((L349*24)&gt;0,(L349*24)&lt;=8),(L349*24)*MD!$M$5,IF(AND((L349*24)&gt;8,(L349*24)&lt;=16),(MD!$N$5),IF((L349*24)&gt;16,MD!$N$5))),IF(AND(F349="Non_workdays",(SUMIFS(O:O,F:F,F349,I:I,I349,B:B,B349)&lt;=24)),IF(AND((L349*24)&gt;0,(L349*24)&lt;=8),(L349*24)*MD!$M$6,IF(AND((L349*24)&gt;8,(L349*24)&lt;=16),(MD!$N$6),IF((L349*24)&gt;16,MD!$N$6))),IF(AND(F349="Call_out",(SUMIFS(O:O,F:F,F349,I:I,I349,B:B,B349)&lt;=24)),IF(AND((L349*24)&gt;0,(L349*24)&lt;=8),(L349*24)*MD!$P$4,IF(AND((L349*24)&gt;8,(L349*24)&lt;=16),(MD!$Q$4),IF((L349*24)&gt;16,MD!$Q$4)))))))</f>
        <v>0</v>
      </c>
      <c r="N349" s="62"/>
      <c r="O349" s="72">
        <f t="shared" si="11"/>
        <v>0</v>
      </c>
    </row>
    <row r="350" spans="1:15" x14ac:dyDescent="0.25">
      <c r="A350" s="62">
        <v>349</v>
      </c>
      <c r="B350" s="62"/>
      <c r="C350" s="68" t="str">
        <f>IF(ISNA(VLOOKUP($B350,CPY!$B:$G,2,FALSE))=TRUE," ",VLOOKUP($B350,CPY!$B:$G,2,FALSE))</f>
        <v> </v>
      </c>
      <c r="D350" s="50" t="str">
        <f>IF(ISNA(VLOOKUP($B350,CPY!$B:$G,3,FALSE))=TRUE," ",VLOOKUP($B350,CPY!$B:$G,3,FALSE))</f>
        <v> </v>
      </c>
      <c r="E350" s="65" t="str">
        <f>IF(ISNA(VLOOKUP($B350,CPY!$B:$G,4,FALSE))=TRUE," ",VLOOKUP($B350,CPY!$B:$G,4,FALSE))</f>
        <v> </v>
      </c>
      <c r="F350" s="62"/>
      <c r="G350" s="86"/>
      <c r="H350" s="86"/>
      <c r="I350" s="87"/>
      <c r="J350" s="88"/>
      <c r="K350" s="88"/>
      <c r="L350" s="95">
        <f t="shared" si="10"/>
        <v>0</v>
      </c>
      <c r="M350" s="96" t="b">
        <f>IF((ISNUMBER(L350)),IF(AND(F350="Workdays",(SUMIFS(O:O,F:F,F350,I:I,I350,B:B,B350)&lt;=24)),IF(AND((L350*24)&gt;0,(L350*24)&lt;=8),(L350*24)*MD!$M$5,IF(AND((L350*24)&gt;8,(L350*24)&lt;=16),(MD!$N$5),IF((L350*24)&gt;16,MD!$N$5))),IF(AND(F350="Non_workdays",(SUMIFS(O:O,F:F,F350,I:I,I350,B:B,B350)&lt;=24)),IF(AND((L350*24)&gt;0,(L350*24)&lt;=8),(L350*24)*MD!$M$6,IF(AND((L350*24)&gt;8,(L350*24)&lt;=16),(MD!$N$6),IF((L350*24)&gt;16,MD!$N$6))),IF(AND(F350="Call_out",(SUMIFS(O:O,F:F,F350,I:I,I350,B:B,B350)&lt;=24)),IF(AND((L350*24)&gt;0,(L350*24)&lt;=8),(L350*24)*MD!$P$4,IF(AND((L350*24)&gt;8,(L350*24)&lt;=16),(MD!$Q$4),IF((L350*24)&gt;16,MD!$Q$4)))))))</f>
        <v>0</v>
      </c>
      <c r="N350" s="62"/>
      <c r="O350" s="72">
        <f t="shared" si="11"/>
        <v>0</v>
      </c>
    </row>
    <row r="351" spans="1:15" x14ac:dyDescent="0.25">
      <c r="A351" s="62">
        <v>350</v>
      </c>
      <c r="B351" s="62"/>
      <c r="C351" s="68" t="str">
        <f>IF(ISNA(VLOOKUP($B351,CPY!$B:$G,2,FALSE))=TRUE," ",VLOOKUP($B351,CPY!$B:$G,2,FALSE))</f>
        <v> </v>
      </c>
      <c r="D351" s="50" t="str">
        <f>IF(ISNA(VLOOKUP($B351,CPY!$B:$G,3,FALSE))=TRUE," ",VLOOKUP($B351,CPY!$B:$G,3,FALSE))</f>
        <v> </v>
      </c>
      <c r="E351" s="65" t="str">
        <f>IF(ISNA(VLOOKUP($B351,CPY!$B:$G,4,FALSE))=TRUE," ",VLOOKUP($B351,CPY!$B:$G,4,FALSE))</f>
        <v> </v>
      </c>
      <c r="F351" s="62"/>
      <c r="G351" s="86"/>
      <c r="H351" s="86"/>
      <c r="I351" s="87"/>
      <c r="J351" s="88"/>
      <c r="K351" s="88"/>
      <c r="L351" s="95">
        <f t="shared" si="10"/>
        <v>0</v>
      </c>
      <c r="M351" s="96" t="b">
        <f>IF((ISNUMBER(L351)),IF(AND(F351="Workdays",(SUMIFS(O:O,F:F,F351,I:I,I351,B:B,B351)&lt;=24)),IF(AND((L351*24)&gt;0,(L351*24)&lt;=8),(L351*24)*MD!$M$5,IF(AND((L351*24)&gt;8,(L351*24)&lt;=16),(MD!$N$5),IF((L351*24)&gt;16,MD!$N$5))),IF(AND(F351="Non_workdays",(SUMIFS(O:O,F:F,F351,I:I,I351,B:B,B351)&lt;=24)),IF(AND((L351*24)&gt;0,(L351*24)&lt;=8),(L351*24)*MD!$M$6,IF(AND((L351*24)&gt;8,(L351*24)&lt;=16),(MD!$N$6),IF((L351*24)&gt;16,MD!$N$6))),IF(AND(F351="Call_out",(SUMIFS(O:O,F:F,F351,I:I,I351,B:B,B351)&lt;=24)),IF(AND((L351*24)&gt;0,(L351*24)&lt;=8),(L351*24)*MD!$P$4,IF(AND((L351*24)&gt;8,(L351*24)&lt;=16),(MD!$Q$4),IF((L351*24)&gt;16,MD!$Q$4)))))))</f>
        <v>0</v>
      </c>
      <c r="N351" s="62"/>
      <c r="O351" s="72">
        <f t="shared" si="11"/>
        <v>0</v>
      </c>
    </row>
    <row r="352" spans="1:15" x14ac:dyDescent="0.25">
      <c r="A352" s="62">
        <v>351</v>
      </c>
      <c r="B352" s="62"/>
      <c r="C352" s="68" t="str">
        <f>IF(ISNA(VLOOKUP($B352,CPY!$B:$G,2,FALSE))=TRUE," ",VLOOKUP($B352,CPY!$B:$G,2,FALSE))</f>
        <v> </v>
      </c>
      <c r="D352" s="50" t="str">
        <f>IF(ISNA(VLOOKUP($B352,CPY!$B:$G,3,FALSE))=TRUE," ",VLOOKUP($B352,CPY!$B:$G,3,FALSE))</f>
        <v> </v>
      </c>
      <c r="E352" s="65" t="str">
        <f>IF(ISNA(VLOOKUP($B352,CPY!$B:$G,4,FALSE))=TRUE," ",VLOOKUP($B352,CPY!$B:$G,4,FALSE))</f>
        <v> </v>
      </c>
      <c r="F352" s="62"/>
      <c r="G352" s="86"/>
      <c r="H352" s="86"/>
      <c r="I352" s="87"/>
      <c r="J352" s="88"/>
      <c r="K352" s="88"/>
      <c r="L352" s="95">
        <f t="shared" si="10"/>
        <v>0</v>
      </c>
      <c r="M352" s="96" t="b">
        <f>IF((ISNUMBER(L352)),IF(AND(F352="Workdays",(SUMIFS(O:O,F:F,F352,I:I,I352,B:B,B352)&lt;=24)),IF(AND((L352*24)&gt;0,(L352*24)&lt;=8),(L352*24)*MD!$M$5,IF(AND((L352*24)&gt;8,(L352*24)&lt;=16),(MD!$N$5),IF((L352*24)&gt;16,MD!$N$5))),IF(AND(F352="Non_workdays",(SUMIFS(O:O,F:F,F352,I:I,I352,B:B,B352)&lt;=24)),IF(AND((L352*24)&gt;0,(L352*24)&lt;=8),(L352*24)*MD!$M$6,IF(AND((L352*24)&gt;8,(L352*24)&lt;=16),(MD!$N$6),IF((L352*24)&gt;16,MD!$N$6))),IF(AND(F352="Call_out",(SUMIFS(O:O,F:F,F352,I:I,I352,B:B,B352)&lt;=24)),IF(AND((L352*24)&gt;0,(L352*24)&lt;=8),(L352*24)*MD!$P$4,IF(AND((L352*24)&gt;8,(L352*24)&lt;=16),(MD!$Q$4),IF((L352*24)&gt;16,MD!$Q$4)))))))</f>
        <v>0</v>
      </c>
      <c r="N352" s="62"/>
      <c r="O352" s="72">
        <f t="shared" si="11"/>
        <v>0</v>
      </c>
    </row>
    <row r="353" spans="1:15" x14ac:dyDescent="0.25">
      <c r="A353" s="62">
        <v>352</v>
      </c>
      <c r="B353" s="62"/>
      <c r="C353" s="68" t="str">
        <f>IF(ISNA(VLOOKUP($B353,CPY!$B:$G,2,FALSE))=TRUE," ",VLOOKUP($B353,CPY!$B:$G,2,FALSE))</f>
        <v> </v>
      </c>
      <c r="D353" s="50" t="str">
        <f>IF(ISNA(VLOOKUP($B353,CPY!$B:$G,3,FALSE))=TRUE," ",VLOOKUP($B353,CPY!$B:$G,3,FALSE))</f>
        <v> </v>
      </c>
      <c r="E353" s="65" t="str">
        <f>IF(ISNA(VLOOKUP($B353,CPY!$B:$G,4,FALSE))=TRUE," ",VLOOKUP($B353,CPY!$B:$G,4,FALSE))</f>
        <v> </v>
      </c>
      <c r="F353" s="62"/>
      <c r="G353" s="86"/>
      <c r="H353" s="86"/>
      <c r="I353" s="87"/>
      <c r="J353" s="88"/>
      <c r="K353" s="88"/>
      <c r="L353" s="95">
        <f t="shared" si="10"/>
        <v>0</v>
      </c>
      <c r="M353" s="96" t="b">
        <f>IF((ISNUMBER(L353)),IF(AND(F353="Workdays",(SUMIFS(O:O,F:F,F353,I:I,I353,B:B,B353)&lt;=24)),IF(AND((L353*24)&gt;0,(L353*24)&lt;=8),(L353*24)*MD!$M$5,IF(AND((L353*24)&gt;8,(L353*24)&lt;=16),(MD!$N$5),IF((L353*24)&gt;16,MD!$N$5))),IF(AND(F353="Non_workdays",(SUMIFS(O:O,F:F,F353,I:I,I353,B:B,B353)&lt;=24)),IF(AND((L353*24)&gt;0,(L353*24)&lt;=8),(L353*24)*MD!$M$6,IF(AND((L353*24)&gt;8,(L353*24)&lt;=16),(MD!$N$6),IF((L353*24)&gt;16,MD!$N$6))),IF(AND(F353="Call_out",(SUMIFS(O:O,F:F,F353,I:I,I353,B:B,B353)&lt;=24)),IF(AND((L353*24)&gt;0,(L353*24)&lt;=8),(L353*24)*MD!$P$4,IF(AND((L353*24)&gt;8,(L353*24)&lt;=16),(MD!$Q$4),IF((L353*24)&gt;16,MD!$Q$4)))))))</f>
        <v>0</v>
      </c>
      <c r="N353" s="62"/>
      <c r="O353" s="72">
        <f t="shared" si="11"/>
        <v>0</v>
      </c>
    </row>
    <row r="354" spans="1:15" x14ac:dyDescent="0.25">
      <c r="A354" s="62">
        <v>353</v>
      </c>
      <c r="B354" s="62"/>
      <c r="C354" s="68" t="str">
        <f>IF(ISNA(VLOOKUP($B354,CPY!$B:$G,2,FALSE))=TRUE," ",VLOOKUP($B354,CPY!$B:$G,2,FALSE))</f>
        <v> </v>
      </c>
      <c r="D354" s="50" t="str">
        <f>IF(ISNA(VLOOKUP($B354,CPY!$B:$G,3,FALSE))=TRUE," ",VLOOKUP($B354,CPY!$B:$G,3,FALSE))</f>
        <v> </v>
      </c>
      <c r="E354" s="65" t="str">
        <f>IF(ISNA(VLOOKUP($B354,CPY!$B:$G,4,FALSE))=TRUE," ",VLOOKUP($B354,CPY!$B:$G,4,FALSE))</f>
        <v> </v>
      </c>
      <c r="F354" s="62"/>
      <c r="G354" s="86"/>
      <c r="H354" s="86"/>
      <c r="I354" s="87"/>
      <c r="J354" s="88"/>
      <c r="K354" s="88"/>
      <c r="L354" s="95">
        <f t="shared" si="10"/>
        <v>0</v>
      </c>
      <c r="M354" s="96" t="b">
        <f>IF((ISNUMBER(L354)),IF(AND(F354="Workdays",(SUMIFS(O:O,F:F,F354,I:I,I354,B:B,B354)&lt;=24)),IF(AND((L354*24)&gt;0,(L354*24)&lt;=8),(L354*24)*MD!$M$5,IF(AND((L354*24)&gt;8,(L354*24)&lt;=16),(MD!$N$5),IF((L354*24)&gt;16,MD!$N$5))),IF(AND(F354="Non_workdays",(SUMIFS(O:O,F:F,F354,I:I,I354,B:B,B354)&lt;=24)),IF(AND((L354*24)&gt;0,(L354*24)&lt;=8),(L354*24)*MD!$M$6,IF(AND((L354*24)&gt;8,(L354*24)&lt;=16),(MD!$N$6),IF((L354*24)&gt;16,MD!$N$6))),IF(AND(F354="Call_out",(SUMIFS(O:O,F:F,F354,I:I,I354,B:B,B354)&lt;=24)),IF(AND((L354*24)&gt;0,(L354*24)&lt;=8),(L354*24)*MD!$P$4,IF(AND((L354*24)&gt;8,(L354*24)&lt;=16),(MD!$Q$4),IF((L354*24)&gt;16,MD!$Q$4)))))))</f>
        <v>0</v>
      </c>
      <c r="N354" s="62"/>
      <c r="O354" s="72">
        <f t="shared" si="11"/>
        <v>0</v>
      </c>
    </row>
    <row r="355" spans="1:15" x14ac:dyDescent="0.25">
      <c r="A355" s="62">
        <v>354</v>
      </c>
      <c r="B355" s="62"/>
      <c r="C355" s="68" t="str">
        <f>IF(ISNA(VLOOKUP($B355,CPY!$B:$G,2,FALSE))=TRUE," ",VLOOKUP($B355,CPY!$B:$G,2,FALSE))</f>
        <v> </v>
      </c>
      <c r="D355" s="50" t="str">
        <f>IF(ISNA(VLOOKUP($B355,CPY!$B:$G,3,FALSE))=TRUE," ",VLOOKUP($B355,CPY!$B:$G,3,FALSE))</f>
        <v> </v>
      </c>
      <c r="E355" s="65" t="str">
        <f>IF(ISNA(VLOOKUP($B355,CPY!$B:$G,4,FALSE))=TRUE," ",VLOOKUP($B355,CPY!$B:$G,4,FALSE))</f>
        <v> </v>
      </c>
      <c r="F355" s="62"/>
      <c r="G355" s="86"/>
      <c r="H355" s="86"/>
      <c r="I355" s="87"/>
      <c r="J355" s="88"/>
      <c r="K355" s="88"/>
      <c r="L355" s="95">
        <f t="shared" si="10"/>
        <v>0</v>
      </c>
      <c r="M355" s="96" t="b">
        <f>IF((ISNUMBER(L355)),IF(AND(F355="Workdays",(SUMIFS(O:O,F:F,F355,I:I,I355,B:B,B355)&lt;=24)),IF(AND((L355*24)&gt;0,(L355*24)&lt;=8),(L355*24)*MD!$M$5,IF(AND((L355*24)&gt;8,(L355*24)&lt;=16),(MD!$N$5),IF((L355*24)&gt;16,MD!$N$5))),IF(AND(F355="Non_workdays",(SUMIFS(O:O,F:F,F355,I:I,I355,B:B,B355)&lt;=24)),IF(AND((L355*24)&gt;0,(L355*24)&lt;=8),(L355*24)*MD!$M$6,IF(AND((L355*24)&gt;8,(L355*24)&lt;=16),(MD!$N$6),IF((L355*24)&gt;16,MD!$N$6))),IF(AND(F355="Call_out",(SUMIFS(O:O,F:F,F355,I:I,I355,B:B,B355)&lt;=24)),IF(AND((L355*24)&gt;0,(L355*24)&lt;=8),(L355*24)*MD!$P$4,IF(AND((L355*24)&gt;8,(L355*24)&lt;=16),(MD!$Q$4),IF((L355*24)&gt;16,MD!$Q$4)))))))</f>
        <v>0</v>
      </c>
      <c r="N355" s="62"/>
      <c r="O355" s="72">
        <f t="shared" si="11"/>
        <v>0</v>
      </c>
    </row>
    <row r="356" spans="1:15" x14ac:dyDescent="0.25">
      <c r="A356" s="62">
        <v>355</v>
      </c>
      <c r="B356" s="62"/>
      <c r="C356" s="68" t="str">
        <f>IF(ISNA(VLOOKUP($B356,CPY!$B:$G,2,FALSE))=TRUE," ",VLOOKUP($B356,CPY!$B:$G,2,FALSE))</f>
        <v> </v>
      </c>
      <c r="D356" s="50" t="str">
        <f>IF(ISNA(VLOOKUP($B356,CPY!$B:$G,3,FALSE))=TRUE," ",VLOOKUP($B356,CPY!$B:$G,3,FALSE))</f>
        <v> </v>
      </c>
      <c r="E356" s="65" t="str">
        <f>IF(ISNA(VLOOKUP($B356,CPY!$B:$G,4,FALSE))=TRUE," ",VLOOKUP($B356,CPY!$B:$G,4,FALSE))</f>
        <v> </v>
      </c>
      <c r="F356" s="62"/>
      <c r="G356" s="86"/>
      <c r="H356" s="86"/>
      <c r="I356" s="87"/>
      <c r="J356" s="88"/>
      <c r="K356" s="88"/>
      <c r="L356" s="95">
        <f t="shared" si="10"/>
        <v>0</v>
      </c>
      <c r="M356" s="96" t="b">
        <f>IF((ISNUMBER(L356)),IF(AND(F356="Workdays",(SUMIFS(O:O,F:F,F356,I:I,I356,B:B,B356)&lt;=24)),IF(AND((L356*24)&gt;0,(L356*24)&lt;=8),(L356*24)*MD!$M$5,IF(AND((L356*24)&gt;8,(L356*24)&lt;=16),(MD!$N$5),IF((L356*24)&gt;16,MD!$N$5))),IF(AND(F356="Non_workdays",(SUMIFS(O:O,F:F,F356,I:I,I356,B:B,B356)&lt;=24)),IF(AND((L356*24)&gt;0,(L356*24)&lt;=8),(L356*24)*MD!$M$6,IF(AND((L356*24)&gt;8,(L356*24)&lt;=16),(MD!$N$6),IF((L356*24)&gt;16,MD!$N$6))),IF(AND(F356="Call_out",(SUMIFS(O:O,F:F,F356,I:I,I356,B:B,B356)&lt;=24)),IF(AND((L356*24)&gt;0,(L356*24)&lt;=8),(L356*24)*MD!$P$4,IF(AND((L356*24)&gt;8,(L356*24)&lt;=16),(MD!$Q$4),IF((L356*24)&gt;16,MD!$Q$4)))))))</f>
        <v>0</v>
      </c>
      <c r="N356" s="62"/>
      <c r="O356" s="72">
        <f t="shared" si="11"/>
        <v>0</v>
      </c>
    </row>
    <row r="357" spans="1:15" x14ac:dyDescent="0.25">
      <c r="A357" s="62">
        <v>356</v>
      </c>
      <c r="B357" s="62"/>
      <c r="C357" s="68" t="str">
        <f>IF(ISNA(VLOOKUP($B357,CPY!$B:$G,2,FALSE))=TRUE," ",VLOOKUP($B357,CPY!$B:$G,2,FALSE))</f>
        <v> </v>
      </c>
      <c r="D357" s="50" t="str">
        <f>IF(ISNA(VLOOKUP($B357,CPY!$B:$G,3,FALSE))=TRUE," ",VLOOKUP($B357,CPY!$B:$G,3,FALSE))</f>
        <v> </v>
      </c>
      <c r="E357" s="65" t="str">
        <f>IF(ISNA(VLOOKUP($B357,CPY!$B:$G,4,FALSE))=TRUE," ",VLOOKUP($B357,CPY!$B:$G,4,FALSE))</f>
        <v> </v>
      </c>
      <c r="F357" s="62"/>
      <c r="G357" s="86"/>
      <c r="H357" s="86"/>
      <c r="I357" s="87"/>
      <c r="J357" s="88"/>
      <c r="K357" s="88"/>
      <c r="L357" s="95">
        <f t="shared" si="10"/>
        <v>0</v>
      </c>
      <c r="M357" s="96" t="b">
        <f>IF((ISNUMBER(L357)),IF(AND(F357="Workdays",(SUMIFS(O:O,F:F,F357,I:I,I357,B:B,B357)&lt;=24)),IF(AND((L357*24)&gt;0,(L357*24)&lt;=8),(L357*24)*MD!$M$5,IF(AND((L357*24)&gt;8,(L357*24)&lt;=16),(MD!$N$5),IF((L357*24)&gt;16,MD!$N$5))),IF(AND(F357="Non_workdays",(SUMIFS(O:O,F:F,F357,I:I,I357,B:B,B357)&lt;=24)),IF(AND((L357*24)&gt;0,(L357*24)&lt;=8),(L357*24)*MD!$M$6,IF(AND((L357*24)&gt;8,(L357*24)&lt;=16),(MD!$N$6),IF((L357*24)&gt;16,MD!$N$6))),IF(AND(F357="Call_out",(SUMIFS(O:O,F:F,F357,I:I,I357,B:B,B357)&lt;=24)),IF(AND((L357*24)&gt;0,(L357*24)&lt;=8),(L357*24)*MD!$P$4,IF(AND((L357*24)&gt;8,(L357*24)&lt;=16),(MD!$Q$4),IF((L357*24)&gt;16,MD!$Q$4)))))))</f>
        <v>0</v>
      </c>
      <c r="N357" s="62"/>
      <c r="O357" s="72">
        <f t="shared" si="11"/>
        <v>0</v>
      </c>
    </row>
    <row r="358" spans="1:15" x14ac:dyDescent="0.25">
      <c r="A358" s="62">
        <v>357</v>
      </c>
      <c r="B358" s="62"/>
      <c r="C358" s="68" t="str">
        <f>IF(ISNA(VLOOKUP($B358,CPY!$B:$G,2,FALSE))=TRUE," ",VLOOKUP($B358,CPY!$B:$G,2,FALSE))</f>
        <v> </v>
      </c>
      <c r="D358" s="50" t="str">
        <f>IF(ISNA(VLOOKUP($B358,CPY!$B:$G,3,FALSE))=TRUE," ",VLOOKUP($B358,CPY!$B:$G,3,FALSE))</f>
        <v> </v>
      </c>
      <c r="E358" s="65" t="str">
        <f>IF(ISNA(VLOOKUP($B358,CPY!$B:$G,4,FALSE))=TRUE," ",VLOOKUP($B358,CPY!$B:$G,4,FALSE))</f>
        <v> </v>
      </c>
      <c r="F358" s="62"/>
      <c r="G358" s="86"/>
      <c r="H358" s="86"/>
      <c r="I358" s="87"/>
      <c r="J358" s="88"/>
      <c r="K358" s="88"/>
      <c r="L358" s="95">
        <f t="shared" si="10"/>
        <v>0</v>
      </c>
      <c r="M358" s="96" t="b">
        <f>IF((ISNUMBER(L358)),IF(AND(F358="Workdays",(SUMIFS(O:O,F:F,F358,I:I,I358,B:B,B358)&lt;=24)),IF(AND((L358*24)&gt;0,(L358*24)&lt;=8),(L358*24)*MD!$M$5,IF(AND((L358*24)&gt;8,(L358*24)&lt;=16),(MD!$N$5),IF((L358*24)&gt;16,MD!$N$5))),IF(AND(F358="Non_workdays",(SUMIFS(O:O,F:F,F358,I:I,I358,B:B,B358)&lt;=24)),IF(AND((L358*24)&gt;0,(L358*24)&lt;=8),(L358*24)*MD!$M$6,IF(AND((L358*24)&gt;8,(L358*24)&lt;=16),(MD!$N$6),IF((L358*24)&gt;16,MD!$N$6))),IF(AND(F358="Call_out",(SUMIFS(O:O,F:F,F358,I:I,I358,B:B,B358)&lt;=24)),IF(AND((L358*24)&gt;0,(L358*24)&lt;=8),(L358*24)*MD!$P$4,IF(AND((L358*24)&gt;8,(L358*24)&lt;=16),(MD!$Q$4),IF((L358*24)&gt;16,MD!$Q$4)))))))</f>
        <v>0</v>
      </c>
      <c r="N358" s="62"/>
      <c r="O358" s="72">
        <f t="shared" si="11"/>
        <v>0</v>
      </c>
    </row>
    <row r="359" spans="1:15" x14ac:dyDescent="0.25">
      <c r="A359" s="62">
        <v>358</v>
      </c>
      <c r="B359" s="62"/>
      <c r="C359" s="68" t="str">
        <f>IF(ISNA(VLOOKUP($B359,CPY!$B:$G,2,FALSE))=TRUE," ",VLOOKUP($B359,CPY!$B:$G,2,FALSE))</f>
        <v> </v>
      </c>
      <c r="D359" s="50" t="str">
        <f>IF(ISNA(VLOOKUP($B359,CPY!$B:$G,3,FALSE))=TRUE," ",VLOOKUP($B359,CPY!$B:$G,3,FALSE))</f>
        <v> </v>
      </c>
      <c r="E359" s="65" t="str">
        <f>IF(ISNA(VLOOKUP($B359,CPY!$B:$G,4,FALSE))=TRUE," ",VLOOKUP($B359,CPY!$B:$G,4,FALSE))</f>
        <v> </v>
      </c>
      <c r="F359" s="62"/>
      <c r="G359" s="86"/>
      <c r="H359" s="86"/>
      <c r="I359" s="87"/>
      <c r="J359" s="88"/>
      <c r="K359" s="88"/>
      <c r="L359" s="95">
        <f t="shared" si="10"/>
        <v>0</v>
      </c>
      <c r="M359" s="96" t="b">
        <f>IF((ISNUMBER(L359)),IF(AND(F359="Workdays",(SUMIFS(O:O,F:F,F359,I:I,I359,B:B,B359)&lt;=24)),IF(AND((L359*24)&gt;0,(L359*24)&lt;=8),(L359*24)*MD!$M$5,IF(AND((L359*24)&gt;8,(L359*24)&lt;=16),(MD!$N$5),IF((L359*24)&gt;16,MD!$N$5))),IF(AND(F359="Non_workdays",(SUMIFS(O:O,F:F,F359,I:I,I359,B:B,B359)&lt;=24)),IF(AND((L359*24)&gt;0,(L359*24)&lt;=8),(L359*24)*MD!$M$6,IF(AND((L359*24)&gt;8,(L359*24)&lt;=16),(MD!$N$6),IF((L359*24)&gt;16,MD!$N$6))),IF(AND(F359="Call_out",(SUMIFS(O:O,F:F,F359,I:I,I359,B:B,B359)&lt;=24)),IF(AND((L359*24)&gt;0,(L359*24)&lt;=8),(L359*24)*MD!$P$4,IF(AND((L359*24)&gt;8,(L359*24)&lt;=16),(MD!$Q$4),IF((L359*24)&gt;16,MD!$Q$4)))))))</f>
        <v>0</v>
      </c>
      <c r="N359" s="62"/>
      <c r="O359" s="72">
        <f t="shared" si="11"/>
        <v>0</v>
      </c>
    </row>
    <row r="360" spans="1:15" x14ac:dyDescent="0.25">
      <c r="A360" s="62">
        <v>359</v>
      </c>
      <c r="B360" s="62"/>
      <c r="C360" s="68" t="str">
        <f>IF(ISNA(VLOOKUP($B360,CPY!$B:$G,2,FALSE))=TRUE," ",VLOOKUP($B360,CPY!$B:$G,2,FALSE))</f>
        <v> </v>
      </c>
      <c r="D360" s="50" t="str">
        <f>IF(ISNA(VLOOKUP($B360,CPY!$B:$G,3,FALSE))=TRUE," ",VLOOKUP($B360,CPY!$B:$G,3,FALSE))</f>
        <v> </v>
      </c>
      <c r="E360" s="65" t="str">
        <f>IF(ISNA(VLOOKUP($B360,CPY!$B:$G,4,FALSE))=TRUE," ",VLOOKUP($B360,CPY!$B:$G,4,FALSE))</f>
        <v> </v>
      </c>
      <c r="F360" s="62"/>
      <c r="G360" s="86"/>
      <c r="H360" s="86"/>
      <c r="I360" s="87"/>
      <c r="J360" s="88"/>
      <c r="K360" s="88"/>
      <c r="L360" s="95">
        <f t="shared" si="10"/>
        <v>0</v>
      </c>
      <c r="M360" s="96" t="b">
        <f>IF((ISNUMBER(L360)),IF(AND(F360="Workdays",(SUMIFS(O:O,F:F,F360,I:I,I360,B:B,B360)&lt;=24)),IF(AND((L360*24)&gt;0,(L360*24)&lt;=8),(L360*24)*MD!$M$5,IF(AND((L360*24)&gt;8,(L360*24)&lt;=16),(MD!$N$5),IF((L360*24)&gt;16,MD!$N$5))),IF(AND(F360="Non_workdays",(SUMIFS(O:O,F:F,F360,I:I,I360,B:B,B360)&lt;=24)),IF(AND((L360*24)&gt;0,(L360*24)&lt;=8),(L360*24)*MD!$M$6,IF(AND((L360*24)&gt;8,(L360*24)&lt;=16),(MD!$N$6),IF((L360*24)&gt;16,MD!$N$6))),IF(AND(F360="Call_out",(SUMIFS(O:O,F:F,F360,I:I,I360,B:B,B360)&lt;=24)),IF(AND((L360*24)&gt;0,(L360*24)&lt;=8),(L360*24)*MD!$P$4,IF(AND((L360*24)&gt;8,(L360*24)&lt;=16),(MD!$Q$4),IF((L360*24)&gt;16,MD!$Q$4)))))))</f>
        <v>0</v>
      </c>
      <c r="N360" s="62"/>
      <c r="O360" s="72">
        <f t="shared" si="11"/>
        <v>0</v>
      </c>
    </row>
    <row r="361" spans="1:15" x14ac:dyDescent="0.25">
      <c r="A361" s="62">
        <v>360</v>
      </c>
      <c r="B361" s="62"/>
      <c r="C361" s="68" t="str">
        <f>IF(ISNA(VLOOKUP($B361,CPY!$B:$G,2,FALSE))=TRUE," ",VLOOKUP($B361,CPY!$B:$G,2,FALSE))</f>
        <v> </v>
      </c>
      <c r="D361" s="50" t="str">
        <f>IF(ISNA(VLOOKUP($B361,CPY!$B:$G,3,FALSE))=TRUE," ",VLOOKUP($B361,CPY!$B:$G,3,FALSE))</f>
        <v> </v>
      </c>
      <c r="E361" s="65" t="str">
        <f>IF(ISNA(VLOOKUP($B361,CPY!$B:$G,4,FALSE))=TRUE," ",VLOOKUP($B361,CPY!$B:$G,4,FALSE))</f>
        <v> </v>
      </c>
      <c r="F361" s="62"/>
      <c r="G361" s="86"/>
      <c r="H361" s="86"/>
      <c r="I361" s="87"/>
      <c r="J361" s="88"/>
      <c r="K361" s="88"/>
      <c r="L361" s="95">
        <f t="shared" si="10"/>
        <v>0</v>
      </c>
      <c r="M361" s="96" t="b">
        <f>IF((ISNUMBER(L361)),IF(AND(F361="Workdays",(SUMIFS(O:O,F:F,F361,I:I,I361,B:B,B361)&lt;=24)),IF(AND((L361*24)&gt;0,(L361*24)&lt;=8),(L361*24)*MD!$M$5,IF(AND((L361*24)&gt;8,(L361*24)&lt;=16),(MD!$N$5),IF((L361*24)&gt;16,MD!$N$5))),IF(AND(F361="Non_workdays",(SUMIFS(O:O,F:F,F361,I:I,I361,B:B,B361)&lt;=24)),IF(AND((L361*24)&gt;0,(L361*24)&lt;=8),(L361*24)*MD!$M$6,IF(AND((L361*24)&gt;8,(L361*24)&lt;=16),(MD!$N$6),IF((L361*24)&gt;16,MD!$N$6))),IF(AND(F361="Call_out",(SUMIFS(O:O,F:F,F361,I:I,I361,B:B,B361)&lt;=24)),IF(AND((L361*24)&gt;0,(L361*24)&lt;=8),(L361*24)*MD!$P$4,IF(AND((L361*24)&gt;8,(L361*24)&lt;=16),(MD!$Q$4),IF((L361*24)&gt;16,MD!$Q$4)))))))</f>
        <v>0</v>
      </c>
      <c r="N361" s="62"/>
      <c r="O361" s="72">
        <f t="shared" si="11"/>
        <v>0</v>
      </c>
    </row>
    <row r="362" spans="1:15" x14ac:dyDescent="0.25">
      <c r="A362" s="62">
        <v>361</v>
      </c>
      <c r="B362" s="62"/>
      <c r="C362" s="68" t="str">
        <f>IF(ISNA(VLOOKUP($B362,CPY!$B:$G,2,FALSE))=TRUE," ",VLOOKUP($B362,CPY!$B:$G,2,FALSE))</f>
        <v> </v>
      </c>
      <c r="D362" s="50" t="str">
        <f>IF(ISNA(VLOOKUP($B362,CPY!$B:$G,3,FALSE))=TRUE," ",VLOOKUP($B362,CPY!$B:$G,3,FALSE))</f>
        <v> </v>
      </c>
      <c r="E362" s="65" t="str">
        <f>IF(ISNA(VLOOKUP($B362,CPY!$B:$G,4,FALSE))=TRUE," ",VLOOKUP($B362,CPY!$B:$G,4,FALSE))</f>
        <v> </v>
      </c>
      <c r="F362" s="62"/>
      <c r="G362" s="86"/>
      <c r="H362" s="86"/>
      <c r="I362" s="87"/>
      <c r="J362" s="88"/>
      <c r="K362" s="88"/>
      <c r="L362" s="95">
        <f t="shared" si="10"/>
        <v>0</v>
      </c>
      <c r="M362" s="96" t="b">
        <f>IF((ISNUMBER(L362)),IF(AND(F362="Workdays",(SUMIFS(O:O,F:F,F362,I:I,I362,B:B,B362)&lt;=24)),IF(AND((L362*24)&gt;0,(L362*24)&lt;=8),(L362*24)*MD!$M$5,IF(AND((L362*24)&gt;8,(L362*24)&lt;=16),(MD!$N$5),IF((L362*24)&gt;16,MD!$N$5))),IF(AND(F362="Non_workdays",(SUMIFS(O:O,F:F,F362,I:I,I362,B:B,B362)&lt;=24)),IF(AND((L362*24)&gt;0,(L362*24)&lt;=8),(L362*24)*MD!$M$6,IF(AND((L362*24)&gt;8,(L362*24)&lt;=16),(MD!$N$6),IF((L362*24)&gt;16,MD!$N$6))),IF(AND(F362="Call_out",(SUMIFS(O:O,F:F,F362,I:I,I362,B:B,B362)&lt;=24)),IF(AND((L362*24)&gt;0,(L362*24)&lt;=8),(L362*24)*MD!$P$4,IF(AND((L362*24)&gt;8,(L362*24)&lt;=16),(MD!$Q$4),IF((L362*24)&gt;16,MD!$Q$4)))))))</f>
        <v>0</v>
      </c>
      <c r="N362" s="62"/>
      <c r="O362" s="72">
        <f t="shared" si="11"/>
        <v>0</v>
      </c>
    </row>
    <row r="363" spans="1:15" x14ac:dyDescent="0.25">
      <c r="A363" s="62">
        <v>362</v>
      </c>
      <c r="B363" s="62"/>
      <c r="C363" s="68" t="str">
        <f>IF(ISNA(VLOOKUP($B363,CPY!$B:$G,2,FALSE))=TRUE," ",VLOOKUP($B363,CPY!$B:$G,2,FALSE))</f>
        <v> </v>
      </c>
      <c r="D363" s="50" t="str">
        <f>IF(ISNA(VLOOKUP($B363,CPY!$B:$G,3,FALSE))=TRUE," ",VLOOKUP($B363,CPY!$B:$G,3,FALSE))</f>
        <v> </v>
      </c>
      <c r="E363" s="65" t="str">
        <f>IF(ISNA(VLOOKUP($B363,CPY!$B:$G,4,FALSE))=TRUE," ",VLOOKUP($B363,CPY!$B:$G,4,FALSE))</f>
        <v> </v>
      </c>
      <c r="F363" s="62"/>
      <c r="G363" s="86"/>
      <c r="H363" s="86"/>
      <c r="I363" s="87"/>
      <c r="J363" s="88"/>
      <c r="K363" s="88"/>
      <c r="L363" s="95">
        <f t="shared" si="10"/>
        <v>0</v>
      </c>
      <c r="M363" s="96" t="b">
        <f>IF((ISNUMBER(L363)),IF(AND(F363="Workdays",(SUMIFS(O:O,F:F,F363,I:I,I363,B:B,B363)&lt;=24)),IF(AND((L363*24)&gt;0,(L363*24)&lt;=8),(L363*24)*MD!$M$5,IF(AND((L363*24)&gt;8,(L363*24)&lt;=16),(MD!$N$5),IF((L363*24)&gt;16,MD!$N$5))),IF(AND(F363="Non_workdays",(SUMIFS(O:O,F:F,F363,I:I,I363,B:B,B363)&lt;=24)),IF(AND((L363*24)&gt;0,(L363*24)&lt;=8),(L363*24)*MD!$M$6,IF(AND((L363*24)&gt;8,(L363*24)&lt;=16),(MD!$N$6),IF((L363*24)&gt;16,MD!$N$6))),IF(AND(F363="Call_out",(SUMIFS(O:O,F:F,F363,I:I,I363,B:B,B363)&lt;=24)),IF(AND((L363*24)&gt;0,(L363*24)&lt;=8),(L363*24)*MD!$P$4,IF(AND((L363*24)&gt;8,(L363*24)&lt;=16),(MD!$Q$4),IF((L363*24)&gt;16,MD!$Q$4)))))))</f>
        <v>0</v>
      </c>
      <c r="N363" s="62"/>
      <c r="O363" s="72">
        <f t="shared" si="11"/>
        <v>0</v>
      </c>
    </row>
    <row r="364" spans="1:15" x14ac:dyDescent="0.25">
      <c r="A364" s="62">
        <v>363</v>
      </c>
      <c r="B364" s="62"/>
      <c r="C364" s="68" t="str">
        <f>IF(ISNA(VLOOKUP($B364,CPY!$B:$G,2,FALSE))=TRUE," ",VLOOKUP($B364,CPY!$B:$G,2,FALSE))</f>
        <v> </v>
      </c>
      <c r="D364" s="50" t="str">
        <f>IF(ISNA(VLOOKUP($B364,CPY!$B:$G,3,FALSE))=TRUE," ",VLOOKUP($B364,CPY!$B:$G,3,FALSE))</f>
        <v> </v>
      </c>
      <c r="E364" s="65" t="str">
        <f>IF(ISNA(VLOOKUP($B364,CPY!$B:$G,4,FALSE))=TRUE," ",VLOOKUP($B364,CPY!$B:$G,4,FALSE))</f>
        <v> </v>
      </c>
      <c r="F364" s="62"/>
      <c r="G364" s="86"/>
      <c r="H364" s="86"/>
      <c r="I364" s="87"/>
      <c r="J364" s="88"/>
      <c r="K364" s="88"/>
      <c r="L364" s="95">
        <f t="shared" si="10"/>
        <v>0</v>
      </c>
      <c r="M364" s="96" t="b">
        <f>IF((ISNUMBER(L364)),IF(AND(F364="Workdays",(SUMIFS(O:O,F:F,F364,I:I,I364,B:B,B364)&lt;=24)),IF(AND((L364*24)&gt;0,(L364*24)&lt;=8),(L364*24)*MD!$M$5,IF(AND((L364*24)&gt;8,(L364*24)&lt;=16),(MD!$N$5),IF((L364*24)&gt;16,MD!$N$5))),IF(AND(F364="Non_workdays",(SUMIFS(O:O,F:F,F364,I:I,I364,B:B,B364)&lt;=24)),IF(AND((L364*24)&gt;0,(L364*24)&lt;=8),(L364*24)*MD!$M$6,IF(AND((L364*24)&gt;8,(L364*24)&lt;=16),(MD!$N$6),IF((L364*24)&gt;16,MD!$N$6))),IF(AND(F364="Call_out",(SUMIFS(O:O,F:F,F364,I:I,I364,B:B,B364)&lt;=24)),IF(AND((L364*24)&gt;0,(L364*24)&lt;=8),(L364*24)*MD!$P$4,IF(AND((L364*24)&gt;8,(L364*24)&lt;=16),(MD!$Q$4),IF((L364*24)&gt;16,MD!$Q$4)))))))</f>
        <v>0</v>
      </c>
      <c r="N364" s="62"/>
      <c r="O364" s="72">
        <f t="shared" si="11"/>
        <v>0</v>
      </c>
    </row>
    <row r="365" spans="1:15" x14ac:dyDescent="0.25">
      <c r="A365" s="62">
        <v>364</v>
      </c>
      <c r="B365" s="62"/>
      <c r="C365" s="68" t="str">
        <f>IF(ISNA(VLOOKUP($B365,CPY!$B:$G,2,FALSE))=TRUE," ",VLOOKUP($B365,CPY!$B:$G,2,FALSE))</f>
        <v> </v>
      </c>
      <c r="D365" s="50" t="str">
        <f>IF(ISNA(VLOOKUP($B365,CPY!$B:$G,3,FALSE))=TRUE," ",VLOOKUP($B365,CPY!$B:$G,3,FALSE))</f>
        <v> </v>
      </c>
      <c r="E365" s="65" t="str">
        <f>IF(ISNA(VLOOKUP($B365,CPY!$B:$G,4,FALSE))=TRUE," ",VLOOKUP($B365,CPY!$B:$G,4,FALSE))</f>
        <v> </v>
      </c>
      <c r="F365" s="62"/>
      <c r="G365" s="86"/>
      <c r="H365" s="86"/>
      <c r="I365" s="87"/>
      <c r="J365" s="88"/>
      <c r="K365" s="88"/>
      <c r="L365" s="95">
        <f t="shared" si="10"/>
        <v>0</v>
      </c>
      <c r="M365" s="96" t="b">
        <f>IF((ISNUMBER(L365)),IF(AND(F365="Workdays",(SUMIFS(O:O,F:F,F365,I:I,I365,B:B,B365)&lt;=24)),IF(AND((L365*24)&gt;0,(L365*24)&lt;=8),(L365*24)*MD!$M$5,IF(AND((L365*24)&gt;8,(L365*24)&lt;=16),(MD!$N$5),IF((L365*24)&gt;16,MD!$N$5))),IF(AND(F365="Non_workdays",(SUMIFS(O:O,F:F,F365,I:I,I365,B:B,B365)&lt;=24)),IF(AND((L365*24)&gt;0,(L365*24)&lt;=8),(L365*24)*MD!$M$6,IF(AND((L365*24)&gt;8,(L365*24)&lt;=16),(MD!$N$6),IF((L365*24)&gt;16,MD!$N$6))),IF(AND(F365="Call_out",(SUMIFS(O:O,F:F,F365,I:I,I365,B:B,B365)&lt;=24)),IF(AND((L365*24)&gt;0,(L365*24)&lt;=8),(L365*24)*MD!$P$4,IF(AND((L365*24)&gt;8,(L365*24)&lt;=16),(MD!$Q$4),IF((L365*24)&gt;16,MD!$Q$4)))))))</f>
        <v>0</v>
      </c>
      <c r="N365" s="62"/>
      <c r="O365" s="72">
        <f t="shared" si="11"/>
        <v>0</v>
      </c>
    </row>
    <row r="366" spans="1:15" x14ac:dyDescent="0.25">
      <c r="A366" s="62">
        <v>365</v>
      </c>
      <c r="B366" s="62"/>
      <c r="C366" s="68" t="str">
        <f>IF(ISNA(VLOOKUP($B366,CPY!$B:$G,2,FALSE))=TRUE," ",VLOOKUP($B366,CPY!$B:$G,2,FALSE))</f>
        <v> </v>
      </c>
      <c r="D366" s="50" t="str">
        <f>IF(ISNA(VLOOKUP($B366,CPY!$B:$G,3,FALSE))=TRUE," ",VLOOKUP($B366,CPY!$B:$G,3,FALSE))</f>
        <v> </v>
      </c>
      <c r="E366" s="65" t="str">
        <f>IF(ISNA(VLOOKUP($B366,CPY!$B:$G,4,FALSE))=TRUE," ",VLOOKUP($B366,CPY!$B:$G,4,FALSE))</f>
        <v> </v>
      </c>
      <c r="F366" s="62"/>
      <c r="G366" s="86"/>
      <c r="H366" s="86"/>
      <c r="I366" s="87"/>
      <c r="J366" s="88"/>
      <c r="K366" s="88"/>
      <c r="L366" s="95">
        <f t="shared" si="10"/>
        <v>0</v>
      </c>
      <c r="M366" s="96" t="b">
        <f>IF((ISNUMBER(L366)),IF(AND(F366="Workdays",(SUMIFS(O:O,F:F,F366,I:I,I366,B:B,B366)&lt;=24)),IF(AND((L366*24)&gt;0,(L366*24)&lt;=8),(L366*24)*MD!$M$5,IF(AND((L366*24)&gt;8,(L366*24)&lt;=16),(MD!$N$5),IF((L366*24)&gt;16,MD!$N$5))),IF(AND(F366="Non_workdays",(SUMIFS(O:O,F:F,F366,I:I,I366,B:B,B366)&lt;=24)),IF(AND((L366*24)&gt;0,(L366*24)&lt;=8),(L366*24)*MD!$M$6,IF(AND((L366*24)&gt;8,(L366*24)&lt;=16),(MD!$N$6),IF((L366*24)&gt;16,MD!$N$6))),IF(AND(F366="Call_out",(SUMIFS(O:O,F:F,F366,I:I,I366,B:B,B366)&lt;=24)),IF(AND((L366*24)&gt;0,(L366*24)&lt;=8),(L366*24)*MD!$P$4,IF(AND((L366*24)&gt;8,(L366*24)&lt;=16),(MD!$Q$4),IF((L366*24)&gt;16,MD!$Q$4)))))))</f>
        <v>0</v>
      </c>
      <c r="N366" s="62"/>
      <c r="O366" s="72">
        <f t="shared" si="11"/>
        <v>0</v>
      </c>
    </row>
    <row r="367" spans="1:15" x14ac:dyDescent="0.25">
      <c r="A367" s="62">
        <v>366</v>
      </c>
      <c r="B367" s="62"/>
      <c r="C367" s="68" t="str">
        <f>IF(ISNA(VLOOKUP($B367,CPY!$B:$G,2,FALSE))=TRUE," ",VLOOKUP($B367,CPY!$B:$G,2,FALSE))</f>
        <v> </v>
      </c>
      <c r="D367" s="50" t="str">
        <f>IF(ISNA(VLOOKUP($B367,CPY!$B:$G,3,FALSE))=TRUE," ",VLOOKUP($B367,CPY!$B:$G,3,FALSE))</f>
        <v> </v>
      </c>
      <c r="E367" s="65" t="str">
        <f>IF(ISNA(VLOOKUP($B367,CPY!$B:$G,4,FALSE))=TRUE," ",VLOOKUP($B367,CPY!$B:$G,4,FALSE))</f>
        <v> </v>
      </c>
      <c r="F367" s="62"/>
      <c r="G367" s="86"/>
      <c r="H367" s="86"/>
      <c r="I367" s="87"/>
      <c r="J367" s="88"/>
      <c r="K367" s="88"/>
      <c r="L367" s="95">
        <f t="shared" si="10"/>
        <v>0</v>
      </c>
      <c r="M367" s="96" t="b">
        <f>IF((ISNUMBER(L367)),IF(AND(F367="Workdays",(SUMIFS(O:O,F:F,F367,I:I,I367,B:B,B367)&lt;=24)),IF(AND((L367*24)&gt;0,(L367*24)&lt;=8),(L367*24)*MD!$M$5,IF(AND((L367*24)&gt;8,(L367*24)&lt;=16),(MD!$N$5),IF((L367*24)&gt;16,MD!$N$5))),IF(AND(F367="Non_workdays",(SUMIFS(O:O,F:F,F367,I:I,I367,B:B,B367)&lt;=24)),IF(AND((L367*24)&gt;0,(L367*24)&lt;=8),(L367*24)*MD!$M$6,IF(AND((L367*24)&gt;8,(L367*24)&lt;=16),(MD!$N$6),IF((L367*24)&gt;16,MD!$N$6))),IF(AND(F367="Call_out",(SUMIFS(O:O,F:F,F367,I:I,I367,B:B,B367)&lt;=24)),IF(AND((L367*24)&gt;0,(L367*24)&lt;=8),(L367*24)*MD!$P$4,IF(AND((L367*24)&gt;8,(L367*24)&lt;=16),(MD!$Q$4),IF((L367*24)&gt;16,MD!$Q$4)))))))</f>
        <v>0</v>
      </c>
      <c r="N367" s="62"/>
      <c r="O367" s="72">
        <f t="shared" si="11"/>
        <v>0</v>
      </c>
    </row>
    <row r="368" spans="1:15" x14ac:dyDescent="0.25">
      <c r="A368" s="62">
        <v>367</v>
      </c>
      <c r="B368" s="62"/>
      <c r="C368" s="68" t="str">
        <f>IF(ISNA(VLOOKUP($B368,CPY!$B:$G,2,FALSE))=TRUE," ",VLOOKUP($B368,CPY!$B:$G,2,FALSE))</f>
        <v> </v>
      </c>
      <c r="D368" s="50" t="str">
        <f>IF(ISNA(VLOOKUP($B368,CPY!$B:$G,3,FALSE))=TRUE," ",VLOOKUP($B368,CPY!$B:$G,3,FALSE))</f>
        <v> </v>
      </c>
      <c r="E368" s="65" t="str">
        <f>IF(ISNA(VLOOKUP($B368,CPY!$B:$G,4,FALSE))=TRUE," ",VLOOKUP($B368,CPY!$B:$G,4,FALSE))</f>
        <v> </v>
      </c>
      <c r="F368" s="62"/>
      <c r="G368" s="86"/>
      <c r="H368" s="86"/>
      <c r="I368" s="87"/>
      <c r="J368" s="88"/>
      <c r="K368" s="88"/>
      <c r="L368" s="95">
        <f t="shared" si="10"/>
        <v>0</v>
      </c>
      <c r="M368" s="96" t="b">
        <f>IF((ISNUMBER(L368)),IF(AND(F368="Workdays",(SUMIFS(O:O,F:F,F368,I:I,I368,B:B,B368)&lt;=24)),IF(AND((L368*24)&gt;0,(L368*24)&lt;=8),(L368*24)*MD!$M$5,IF(AND((L368*24)&gt;8,(L368*24)&lt;=16),(MD!$N$5),IF((L368*24)&gt;16,MD!$N$5))),IF(AND(F368="Non_workdays",(SUMIFS(O:O,F:F,F368,I:I,I368,B:B,B368)&lt;=24)),IF(AND((L368*24)&gt;0,(L368*24)&lt;=8),(L368*24)*MD!$M$6,IF(AND((L368*24)&gt;8,(L368*24)&lt;=16),(MD!$N$6),IF((L368*24)&gt;16,MD!$N$6))),IF(AND(F368="Call_out",(SUMIFS(O:O,F:F,F368,I:I,I368,B:B,B368)&lt;=24)),IF(AND((L368*24)&gt;0,(L368*24)&lt;=8),(L368*24)*MD!$P$4,IF(AND((L368*24)&gt;8,(L368*24)&lt;=16),(MD!$Q$4),IF((L368*24)&gt;16,MD!$Q$4)))))))</f>
        <v>0</v>
      </c>
      <c r="N368" s="62"/>
      <c r="O368" s="72">
        <f t="shared" si="11"/>
        <v>0</v>
      </c>
    </row>
    <row r="369" spans="1:15" x14ac:dyDescent="0.25">
      <c r="A369" s="62">
        <v>368</v>
      </c>
      <c r="B369" s="62"/>
      <c r="C369" s="68" t="str">
        <f>IF(ISNA(VLOOKUP($B369,CPY!$B:$G,2,FALSE))=TRUE," ",VLOOKUP($B369,CPY!$B:$G,2,FALSE))</f>
        <v> </v>
      </c>
      <c r="D369" s="50" t="str">
        <f>IF(ISNA(VLOOKUP($B369,CPY!$B:$G,3,FALSE))=TRUE," ",VLOOKUP($B369,CPY!$B:$G,3,FALSE))</f>
        <v> </v>
      </c>
      <c r="E369" s="65" t="str">
        <f>IF(ISNA(VLOOKUP($B369,CPY!$B:$G,4,FALSE))=TRUE," ",VLOOKUP($B369,CPY!$B:$G,4,FALSE))</f>
        <v> </v>
      </c>
      <c r="F369" s="62"/>
      <c r="G369" s="86"/>
      <c r="H369" s="86"/>
      <c r="I369" s="87"/>
      <c r="J369" s="88"/>
      <c r="K369" s="88"/>
      <c r="L369" s="95">
        <f t="shared" si="10"/>
        <v>0</v>
      </c>
      <c r="M369" s="96" t="b">
        <f>IF((ISNUMBER(L369)),IF(AND(F369="Workdays",(SUMIFS(O:O,F:F,F369,I:I,I369,B:B,B369)&lt;=24)),IF(AND((L369*24)&gt;0,(L369*24)&lt;=8),(L369*24)*MD!$M$5,IF(AND((L369*24)&gt;8,(L369*24)&lt;=16),(MD!$N$5),IF((L369*24)&gt;16,MD!$N$5))),IF(AND(F369="Non_workdays",(SUMIFS(O:O,F:F,F369,I:I,I369,B:B,B369)&lt;=24)),IF(AND((L369*24)&gt;0,(L369*24)&lt;=8),(L369*24)*MD!$M$6,IF(AND((L369*24)&gt;8,(L369*24)&lt;=16),(MD!$N$6),IF((L369*24)&gt;16,MD!$N$6))),IF(AND(F369="Call_out",(SUMIFS(O:O,F:F,F369,I:I,I369,B:B,B369)&lt;=24)),IF(AND((L369*24)&gt;0,(L369*24)&lt;=8),(L369*24)*MD!$P$4,IF(AND((L369*24)&gt;8,(L369*24)&lt;=16),(MD!$Q$4),IF((L369*24)&gt;16,MD!$Q$4)))))))</f>
        <v>0</v>
      </c>
      <c r="N369" s="62"/>
      <c r="O369" s="72">
        <f t="shared" si="11"/>
        <v>0</v>
      </c>
    </row>
    <row r="370" spans="1:15" x14ac:dyDescent="0.25">
      <c r="A370" s="62">
        <v>369</v>
      </c>
      <c r="B370" s="62"/>
      <c r="C370" s="68" t="str">
        <f>IF(ISNA(VLOOKUP($B370,CPY!$B:$G,2,FALSE))=TRUE," ",VLOOKUP($B370,CPY!$B:$G,2,FALSE))</f>
        <v> </v>
      </c>
      <c r="D370" s="50" t="str">
        <f>IF(ISNA(VLOOKUP($B370,CPY!$B:$G,3,FALSE))=TRUE," ",VLOOKUP($B370,CPY!$B:$G,3,FALSE))</f>
        <v> </v>
      </c>
      <c r="E370" s="65" t="str">
        <f>IF(ISNA(VLOOKUP($B370,CPY!$B:$G,4,FALSE))=TRUE," ",VLOOKUP($B370,CPY!$B:$G,4,FALSE))</f>
        <v> </v>
      </c>
      <c r="F370" s="62"/>
      <c r="G370" s="86"/>
      <c r="H370" s="86"/>
      <c r="I370" s="87"/>
      <c r="J370" s="88"/>
      <c r="K370" s="88"/>
      <c r="L370" s="95">
        <f t="shared" si="10"/>
        <v>0</v>
      </c>
      <c r="M370" s="96" t="b">
        <f>IF((ISNUMBER(L370)),IF(AND(F370="Workdays",(SUMIFS(O:O,F:F,F370,I:I,I370,B:B,B370)&lt;=24)),IF(AND((L370*24)&gt;0,(L370*24)&lt;=8),(L370*24)*MD!$M$5,IF(AND((L370*24)&gt;8,(L370*24)&lt;=16),(MD!$N$5),IF((L370*24)&gt;16,MD!$N$5))),IF(AND(F370="Non_workdays",(SUMIFS(O:O,F:F,F370,I:I,I370,B:B,B370)&lt;=24)),IF(AND((L370*24)&gt;0,(L370*24)&lt;=8),(L370*24)*MD!$M$6,IF(AND((L370*24)&gt;8,(L370*24)&lt;=16),(MD!$N$6),IF((L370*24)&gt;16,MD!$N$6))),IF(AND(F370="Call_out",(SUMIFS(O:O,F:F,F370,I:I,I370,B:B,B370)&lt;=24)),IF(AND((L370*24)&gt;0,(L370*24)&lt;=8),(L370*24)*MD!$P$4,IF(AND((L370*24)&gt;8,(L370*24)&lt;=16),(MD!$Q$4),IF((L370*24)&gt;16,MD!$Q$4)))))))</f>
        <v>0</v>
      </c>
      <c r="N370" s="62"/>
      <c r="O370" s="72">
        <f t="shared" si="11"/>
        <v>0</v>
      </c>
    </row>
    <row r="371" spans="1:15" x14ac:dyDescent="0.25">
      <c r="A371" s="62">
        <v>370</v>
      </c>
      <c r="B371" s="62"/>
      <c r="C371" s="68" t="str">
        <f>IF(ISNA(VLOOKUP($B371,CPY!$B:$G,2,FALSE))=TRUE," ",VLOOKUP($B371,CPY!$B:$G,2,FALSE))</f>
        <v> </v>
      </c>
      <c r="D371" s="50" t="str">
        <f>IF(ISNA(VLOOKUP($B371,CPY!$B:$G,3,FALSE))=TRUE," ",VLOOKUP($B371,CPY!$B:$G,3,FALSE))</f>
        <v> </v>
      </c>
      <c r="E371" s="65" t="str">
        <f>IF(ISNA(VLOOKUP($B371,CPY!$B:$G,4,FALSE))=TRUE," ",VLOOKUP($B371,CPY!$B:$G,4,FALSE))</f>
        <v> </v>
      </c>
      <c r="F371" s="62"/>
      <c r="G371" s="86"/>
      <c r="H371" s="86"/>
      <c r="I371" s="87"/>
      <c r="J371" s="88"/>
      <c r="K371" s="88"/>
      <c r="L371" s="95">
        <f t="shared" si="10"/>
        <v>0</v>
      </c>
      <c r="M371" s="96" t="b">
        <f>IF((ISNUMBER(L371)),IF(AND(F371="Workdays",(SUMIFS(O:O,F:F,F371,I:I,I371,B:B,B371)&lt;=24)),IF(AND((L371*24)&gt;0,(L371*24)&lt;=8),(L371*24)*MD!$M$5,IF(AND((L371*24)&gt;8,(L371*24)&lt;=16),(MD!$N$5),IF((L371*24)&gt;16,MD!$N$5))),IF(AND(F371="Non_workdays",(SUMIFS(O:O,F:F,F371,I:I,I371,B:B,B371)&lt;=24)),IF(AND((L371*24)&gt;0,(L371*24)&lt;=8),(L371*24)*MD!$M$6,IF(AND((L371*24)&gt;8,(L371*24)&lt;=16),(MD!$N$6),IF((L371*24)&gt;16,MD!$N$6))),IF(AND(F371="Call_out",(SUMIFS(O:O,F:F,F371,I:I,I371,B:B,B371)&lt;=24)),IF(AND((L371*24)&gt;0,(L371*24)&lt;=8),(L371*24)*MD!$P$4,IF(AND((L371*24)&gt;8,(L371*24)&lt;=16),(MD!$Q$4),IF((L371*24)&gt;16,MD!$Q$4)))))))</f>
        <v>0</v>
      </c>
      <c r="N371" s="62"/>
      <c r="O371" s="72">
        <f t="shared" si="11"/>
        <v>0</v>
      </c>
    </row>
    <row r="372" spans="1:15" x14ac:dyDescent="0.25">
      <c r="A372" s="62">
        <v>371</v>
      </c>
      <c r="B372" s="62"/>
      <c r="C372" s="68" t="str">
        <f>IF(ISNA(VLOOKUP($B372,CPY!$B:$G,2,FALSE))=TRUE," ",VLOOKUP($B372,CPY!$B:$G,2,FALSE))</f>
        <v> </v>
      </c>
      <c r="D372" s="50" t="str">
        <f>IF(ISNA(VLOOKUP($B372,CPY!$B:$G,3,FALSE))=TRUE," ",VLOOKUP($B372,CPY!$B:$G,3,FALSE))</f>
        <v> </v>
      </c>
      <c r="E372" s="65" t="str">
        <f>IF(ISNA(VLOOKUP($B372,CPY!$B:$G,4,FALSE))=TRUE," ",VLOOKUP($B372,CPY!$B:$G,4,FALSE))</f>
        <v> </v>
      </c>
      <c r="F372" s="62"/>
      <c r="G372" s="86"/>
      <c r="H372" s="86"/>
      <c r="I372" s="87"/>
      <c r="J372" s="88"/>
      <c r="K372" s="88"/>
      <c r="L372" s="95">
        <f t="shared" si="10"/>
        <v>0</v>
      </c>
      <c r="M372" s="96" t="b">
        <f>IF((ISNUMBER(L372)),IF(AND(F372="Workdays",(SUMIFS(O:O,F:F,F372,I:I,I372,B:B,B372)&lt;=24)),IF(AND((L372*24)&gt;0,(L372*24)&lt;=8),(L372*24)*MD!$M$5,IF(AND((L372*24)&gt;8,(L372*24)&lt;=16),(MD!$N$5),IF((L372*24)&gt;16,MD!$N$5))),IF(AND(F372="Non_workdays",(SUMIFS(O:O,F:F,F372,I:I,I372,B:B,B372)&lt;=24)),IF(AND((L372*24)&gt;0,(L372*24)&lt;=8),(L372*24)*MD!$M$6,IF(AND((L372*24)&gt;8,(L372*24)&lt;=16),(MD!$N$6),IF((L372*24)&gt;16,MD!$N$6))),IF(AND(F372="Call_out",(SUMIFS(O:O,F:F,F372,I:I,I372,B:B,B372)&lt;=24)),IF(AND((L372*24)&gt;0,(L372*24)&lt;=8),(L372*24)*MD!$P$4,IF(AND((L372*24)&gt;8,(L372*24)&lt;=16),(MD!$Q$4),IF((L372*24)&gt;16,MD!$Q$4)))))))</f>
        <v>0</v>
      </c>
      <c r="N372" s="62"/>
      <c r="O372" s="72">
        <f t="shared" si="11"/>
        <v>0</v>
      </c>
    </row>
    <row r="373" spans="1:15" x14ac:dyDescent="0.25">
      <c r="A373" s="62">
        <v>372</v>
      </c>
      <c r="B373" s="62"/>
      <c r="C373" s="68" t="str">
        <f>IF(ISNA(VLOOKUP($B373,CPY!$B:$G,2,FALSE))=TRUE," ",VLOOKUP($B373,CPY!$B:$G,2,FALSE))</f>
        <v> </v>
      </c>
      <c r="D373" s="50" t="str">
        <f>IF(ISNA(VLOOKUP($B373,CPY!$B:$G,3,FALSE))=TRUE," ",VLOOKUP($B373,CPY!$B:$G,3,FALSE))</f>
        <v> </v>
      </c>
      <c r="E373" s="65" t="str">
        <f>IF(ISNA(VLOOKUP($B373,CPY!$B:$G,4,FALSE))=TRUE," ",VLOOKUP($B373,CPY!$B:$G,4,FALSE))</f>
        <v> </v>
      </c>
      <c r="F373" s="62"/>
      <c r="G373" s="86"/>
      <c r="H373" s="86"/>
      <c r="I373" s="87"/>
      <c r="J373" s="88"/>
      <c r="K373" s="88"/>
      <c r="L373" s="95">
        <f t="shared" si="10"/>
        <v>0</v>
      </c>
      <c r="M373" s="96" t="b">
        <f>IF((ISNUMBER(L373)),IF(AND(F373="Workdays",(SUMIFS(O:O,F:F,F373,I:I,I373,B:B,B373)&lt;=24)),IF(AND((L373*24)&gt;0,(L373*24)&lt;=8),(L373*24)*MD!$M$5,IF(AND((L373*24)&gt;8,(L373*24)&lt;=16),(MD!$N$5),IF((L373*24)&gt;16,MD!$N$5))),IF(AND(F373="Non_workdays",(SUMIFS(O:O,F:F,F373,I:I,I373,B:B,B373)&lt;=24)),IF(AND((L373*24)&gt;0,(L373*24)&lt;=8),(L373*24)*MD!$M$6,IF(AND((L373*24)&gt;8,(L373*24)&lt;=16),(MD!$N$6),IF((L373*24)&gt;16,MD!$N$6))),IF(AND(F373="Call_out",(SUMIFS(O:O,F:F,F373,I:I,I373,B:B,B373)&lt;=24)),IF(AND((L373*24)&gt;0,(L373*24)&lt;=8),(L373*24)*MD!$P$4,IF(AND((L373*24)&gt;8,(L373*24)&lt;=16),(MD!$Q$4),IF((L373*24)&gt;16,MD!$Q$4)))))))</f>
        <v>0</v>
      </c>
      <c r="N373" s="62"/>
      <c r="O373" s="72">
        <f t="shared" si="11"/>
        <v>0</v>
      </c>
    </row>
    <row r="374" spans="1:15" x14ac:dyDescent="0.25">
      <c r="A374" s="62">
        <v>373</v>
      </c>
      <c r="B374" s="62"/>
      <c r="C374" s="68" t="str">
        <f>IF(ISNA(VLOOKUP($B374,CPY!$B:$G,2,FALSE))=TRUE," ",VLOOKUP($B374,CPY!$B:$G,2,FALSE))</f>
        <v> </v>
      </c>
      <c r="D374" s="50" t="str">
        <f>IF(ISNA(VLOOKUP($B374,CPY!$B:$G,3,FALSE))=TRUE," ",VLOOKUP($B374,CPY!$B:$G,3,FALSE))</f>
        <v> </v>
      </c>
      <c r="E374" s="65" t="str">
        <f>IF(ISNA(VLOOKUP($B374,CPY!$B:$G,4,FALSE))=TRUE," ",VLOOKUP($B374,CPY!$B:$G,4,FALSE))</f>
        <v> </v>
      </c>
      <c r="F374" s="62"/>
      <c r="G374" s="86"/>
      <c r="H374" s="86"/>
      <c r="I374" s="87"/>
      <c r="J374" s="88"/>
      <c r="K374" s="88"/>
      <c r="L374" s="95">
        <f t="shared" si="10"/>
        <v>0</v>
      </c>
      <c r="M374" s="96" t="b">
        <f>IF((ISNUMBER(L374)),IF(AND(F374="Workdays",(SUMIFS(O:O,F:F,F374,I:I,I374,B:B,B374)&lt;=24)),IF(AND((L374*24)&gt;0,(L374*24)&lt;=8),(L374*24)*MD!$M$5,IF(AND((L374*24)&gt;8,(L374*24)&lt;=16),(MD!$N$5),IF((L374*24)&gt;16,MD!$N$5))),IF(AND(F374="Non_workdays",(SUMIFS(O:O,F:F,F374,I:I,I374,B:B,B374)&lt;=24)),IF(AND((L374*24)&gt;0,(L374*24)&lt;=8),(L374*24)*MD!$M$6,IF(AND((L374*24)&gt;8,(L374*24)&lt;=16),(MD!$N$6),IF((L374*24)&gt;16,MD!$N$6))),IF(AND(F374="Call_out",(SUMIFS(O:O,F:F,F374,I:I,I374,B:B,B374)&lt;=24)),IF(AND((L374*24)&gt;0,(L374*24)&lt;=8),(L374*24)*MD!$P$4,IF(AND((L374*24)&gt;8,(L374*24)&lt;=16),(MD!$Q$4),IF((L374*24)&gt;16,MD!$Q$4)))))))</f>
        <v>0</v>
      </c>
      <c r="N374" s="62"/>
      <c r="O374" s="72">
        <f t="shared" si="11"/>
        <v>0</v>
      </c>
    </row>
    <row r="375" spans="1:15" x14ac:dyDescent="0.25">
      <c r="A375" s="62">
        <v>374</v>
      </c>
      <c r="B375" s="62"/>
      <c r="C375" s="68" t="str">
        <f>IF(ISNA(VLOOKUP($B375,CPY!$B:$G,2,FALSE))=TRUE," ",VLOOKUP($B375,CPY!$B:$G,2,FALSE))</f>
        <v> </v>
      </c>
      <c r="D375" s="50" t="str">
        <f>IF(ISNA(VLOOKUP($B375,CPY!$B:$G,3,FALSE))=TRUE," ",VLOOKUP($B375,CPY!$B:$G,3,FALSE))</f>
        <v> </v>
      </c>
      <c r="E375" s="65" t="str">
        <f>IF(ISNA(VLOOKUP($B375,CPY!$B:$G,4,FALSE))=TRUE," ",VLOOKUP($B375,CPY!$B:$G,4,FALSE))</f>
        <v> </v>
      </c>
      <c r="F375" s="62"/>
      <c r="G375" s="86"/>
      <c r="H375" s="86"/>
      <c r="I375" s="87"/>
      <c r="J375" s="88"/>
      <c r="K375" s="88"/>
      <c r="L375" s="95">
        <f t="shared" si="10"/>
        <v>0</v>
      </c>
      <c r="M375" s="96" t="b">
        <f>IF((ISNUMBER(L375)),IF(AND(F375="Workdays",(SUMIFS(O:O,F:F,F375,I:I,I375,B:B,B375)&lt;=24)),IF(AND((L375*24)&gt;0,(L375*24)&lt;=8),(L375*24)*MD!$M$5,IF(AND((L375*24)&gt;8,(L375*24)&lt;=16),(MD!$N$5),IF((L375*24)&gt;16,MD!$N$5))),IF(AND(F375="Non_workdays",(SUMIFS(O:O,F:F,F375,I:I,I375,B:B,B375)&lt;=24)),IF(AND((L375*24)&gt;0,(L375*24)&lt;=8),(L375*24)*MD!$M$6,IF(AND((L375*24)&gt;8,(L375*24)&lt;=16),(MD!$N$6),IF((L375*24)&gt;16,MD!$N$6))),IF(AND(F375="Call_out",(SUMIFS(O:O,F:F,F375,I:I,I375,B:B,B375)&lt;=24)),IF(AND((L375*24)&gt;0,(L375*24)&lt;=8),(L375*24)*MD!$P$4,IF(AND((L375*24)&gt;8,(L375*24)&lt;=16),(MD!$Q$4),IF((L375*24)&gt;16,MD!$Q$4)))))))</f>
        <v>0</v>
      </c>
      <c r="N375" s="62"/>
      <c r="O375" s="72">
        <f t="shared" si="11"/>
        <v>0</v>
      </c>
    </row>
    <row r="376" spans="1:15" x14ac:dyDescent="0.25">
      <c r="A376" s="62">
        <v>375</v>
      </c>
      <c r="B376" s="62"/>
      <c r="C376" s="68" t="str">
        <f>IF(ISNA(VLOOKUP($B376,CPY!$B:$G,2,FALSE))=TRUE," ",VLOOKUP($B376,CPY!$B:$G,2,FALSE))</f>
        <v> </v>
      </c>
      <c r="D376" s="50" t="str">
        <f>IF(ISNA(VLOOKUP($B376,CPY!$B:$G,3,FALSE))=TRUE," ",VLOOKUP($B376,CPY!$B:$G,3,FALSE))</f>
        <v> </v>
      </c>
      <c r="E376" s="65" t="str">
        <f>IF(ISNA(VLOOKUP($B376,CPY!$B:$G,4,FALSE))=TRUE," ",VLOOKUP($B376,CPY!$B:$G,4,FALSE))</f>
        <v> </v>
      </c>
      <c r="F376" s="62"/>
      <c r="G376" s="86"/>
      <c r="H376" s="86"/>
      <c r="I376" s="87"/>
      <c r="J376" s="88"/>
      <c r="K376" s="88"/>
      <c r="L376" s="95">
        <f t="shared" si="10"/>
        <v>0</v>
      </c>
      <c r="M376" s="96" t="b">
        <f>IF((ISNUMBER(L376)),IF(AND(F376="Workdays",(SUMIFS(O:O,F:F,F376,I:I,I376,B:B,B376)&lt;=24)),IF(AND((L376*24)&gt;0,(L376*24)&lt;=8),(L376*24)*MD!$M$5,IF(AND((L376*24)&gt;8,(L376*24)&lt;=16),(MD!$N$5),IF((L376*24)&gt;16,MD!$N$5))),IF(AND(F376="Non_workdays",(SUMIFS(O:O,F:F,F376,I:I,I376,B:B,B376)&lt;=24)),IF(AND((L376*24)&gt;0,(L376*24)&lt;=8),(L376*24)*MD!$M$6,IF(AND((L376*24)&gt;8,(L376*24)&lt;=16),(MD!$N$6),IF((L376*24)&gt;16,MD!$N$6))),IF(AND(F376="Call_out",(SUMIFS(O:O,F:F,F376,I:I,I376,B:B,B376)&lt;=24)),IF(AND((L376*24)&gt;0,(L376*24)&lt;=8),(L376*24)*MD!$P$4,IF(AND((L376*24)&gt;8,(L376*24)&lt;=16),(MD!$Q$4),IF((L376*24)&gt;16,MD!$Q$4)))))))</f>
        <v>0</v>
      </c>
      <c r="N376" s="62"/>
      <c r="O376" s="72">
        <f t="shared" si="11"/>
        <v>0</v>
      </c>
    </row>
    <row r="377" spans="1:15" x14ac:dyDescent="0.25">
      <c r="A377" s="62">
        <v>376</v>
      </c>
      <c r="B377" s="62"/>
      <c r="C377" s="68" t="str">
        <f>IF(ISNA(VLOOKUP($B377,CPY!$B:$G,2,FALSE))=TRUE," ",VLOOKUP($B377,CPY!$B:$G,2,FALSE))</f>
        <v> </v>
      </c>
      <c r="D377" s="50" t="str">
        <f>IF(ISNA(VLOOKUP($B377,CPY!$B:$G,3,FALSE))=TRUE," ",VLOOKUP($B377,CPY!$B:$G,3,FALSE))</f>
        <v> </v>
      </c>
      <c r="E377" s="65" t="str">
        <f>IF(ISNA(VLOOKUP($B377,CPY!$B:$G,4,FALSE))=TRUE," ",VLOOKUP($B377,CPY!$B:$G,4,FALSE))</f>
        <v> </v>
      </c>
      <c r="F377" s="62"/>
      <c r="G377" s="86"/>
      <c r="H377" s="86"/>
      <c r="I377" s="87"/>
      <c r="J377" s="88"/>
      <c r="K377" s="88"/>
      <c r="L377" s="95">
        <f t="shared" si="10"/>
        <v>0</v>
      </c>
      <c r="M377" s="96" t="b">
        <f>IF((ISNUMBER(L377)),IF(AND(F377="Workdays",(SUMIFS(O:O,F:F,F377,I:I,I377,B:B,B377)&lt;=24)),IF(AND((L377*24)&gt;0,(L377*24)&lt;=8),(L377*24)*MD!$M$5,IF(AND((L377*24)&gt;8,(L377*24)&lt;=16),(MD!$N$5),IF((L377*24)&gt;16,MD!$N$5))),IF(AND(F377="Non_workdays",(SUMIFS(O:O,F:F,F377,I:I,I377,B:B,B377)&lt;=24)),IF(AND((L377*24)&gt;0,(L377*24)&lt;=8),(L377*24)*MD!$M$6,IF(AND((L377*24)&gt;8,(L377*24)&lt;=16),(MD!$N$6),IF((L377*24)&gt;16,MD!$N$6))),IF(AND(F377="Call_out",(SUMIFS(O:O,F:F,F377,I:I,I377,B:B,B377)&lt;=24)),IF(AND((L377*24)&gt;0,(L377*24)&lt;=8),(L377*24)*MD!$P$4,IF(AND((L377*24)&gt;8,(L377*24)&lt;=16),(MD!$Q$4),IF((L377*24)&gt;16,MD!$Q$4)))))))</f>
        <v>0</v>
      </c>
      <c r="N377" s="62"/>
      <c r="O377" s="72">
        <f t="shared" si="11"/>
        <v>0</v>
      </c>
    </row>
    <row r="378" spans="1:15" x14ac:dyDescent="0.25">
      <c r="A378" s="62">
        <v>377</v>
      </c>
      <c r="B378" s="62"/>
      <c r="C378" s="68" t="str">
        <f>IF(ISNA(VLOOKUP($B378,CPY!$B:$G,2,FALSE))=TRUE," ",VLOOKUP($B378,CPY!$B:$G,2,FALSE))</f>
        <v> </v>
      </c>
      <c r="D378" s="50" t="str">
        <f>IF(ISNA(VLOOKUP($B378,CPY!$B:$G,3,FALSE))=TRUE," ",VLOOKUP($B378,CPY!$B:$G,3,FALSE))</f>
        <v> </v>
      </c>
      <c r="E378" s="65" t="str">
        <f>IF(ISNA(VLOOKUP($B378,CPY!$B:$G,4,FALSE))=TRUE," ",VLOOKUP($B378,CPY!$B:$G,4,FALSE))</f>
        <v> </v>
      </c>
      <c r="F378" s="62"/>
      <c r="G378" s="86"/>
      <c r="H378" s="86"/>
      <c r="I378" s="87"/>
      <c r="J378" s="88"/>
      <c r="K378" s="88"/>
      <c r="L378" s="95">
        <f t="shared" si="10"/>
        <v>0</v>
      </c>
      <c r="M378" s="96" t="b">
        <f>IF((ISNUMBER(L378)),IF(AND(F378="Workdays",(SUMIFS(O:O,F:F,F378,I:I,I378,B:B,B378)&lt;=24)),IF(AND((L378*24)&gt;0,(L378*24)&lt;=8),(L378*24)*MD!$M$5,IF(AND((L378*24)&gt;8,(L378*24)&lt;=16),(MD!$N$5),IF((L378*24)&gt;16,MD!$N$5))),IF(AND(F378="Non_workdays",(SUMIFS(O:O,F:F,F378,I:I,I378,B:B,B378)&lt;=24)),IF(AND((L378*24)&gt;0,(L378*24)&lt;=8),(L378*24)*MD!$M$6,IF(AND((L378*24)&gt;8,(L378*24)&lt;=16),(MD!$N$6),IF((L378*24)&gt;16,MD!$N$6))),IF(AND(F378="Call_out",(SUMIFS(O:O,F:F,F378,I:I,I378,B:B,B378)&lt;=24)),IF(AND((L378*24)&gt;0,(L378*24)&lt;=8),(L378*24)*MD!$P$4,IF(AND((L378*24)&gt;8,(L378*24)&lt;=16),(MD!$Q$4),IF((L378*24)&gt;16,MD!$Q$4)))))))</f>
        <v>0</v>
      </c>
      <c r="N378" s="62"/>
      <c r="O378" s="72">
        <f t="shared" si="11"/>
        <v>0</v>
      </c>
    </row>
    <row r="379" spans="1:15" x14ac:dyDescent="0.25">
      <c r="A379" s="62">
        <v>378</v>
      </c>
      <c r="B379" s="62"/>
      <c r="C379" s="68" t="str">
        <f>IF(ISNA(VLOOKUP($B379,CPY!$B:$G,2,FALSE))=TRUE," ",VLOOKUP($B379,CPY!$B:$G,2,FALSE))</f>
        <v> </v>
      </c>
      <c r="D379" s="50" t="str">
        <f>IF(ISNA(VLOOKUP($B379,CPY!$B:$G,3,FALSE))=TRUE," ",VLOOKUP($B379,CPY!$B:$G,3,FALSE))</f>
        <v> </v>
      </c>
      <c r="E379" s="65" t="str">
        <f>IF(ISNA(VLOOKUP($B379,CPY!$B:$G,4,FALSE))=TRUE," ",VLOOKUP($B379,CPY!$B:$G,4,FALSE))</f>
        <v> </v>
      </c>
      <c r="F379" s="62"/>
      <c r="G379" s="86"/>
      <c r="H379" s="86"/>
      <c r="I379" s="87"/>
      <c r="J379" s="88"/>
      <c r="K379" s="88"/>
      <c r="L379" s="95">
        <f t="shared" si="10"/>
        <v>0</v>
      </c>
      <c r="M379" s="96" t="b">
        <f>IF((ISNUMBER(L379)),IF(AND(F379="Workdays",(SUMIFS(O:O,F:F,F379,I:I,I379,B:B,B379)&lt;=24)),IF(AND((L379*24)&gt;0,(L379*24)&lt;=8),(L379*24)*MD!$M$5,IF(AND((L379*24)&gt;8,(L379*24)&lt;=16),(MD!$N$5),IF((L379*24)&gt;16,MD!$N$5))),IF(AND(F379="Non_workdays",(SUMIFS(O:O,F:F,F379,I:I,I379,B:B,B379)&lt;=24)),IF(AND((L379*24)&gt;0,(L379*24)&lt;=8),(L379*24)*MD!$M$6,IF(AND((L379*24)&gt;8,(L379*24)&lt;=16),(MD!$N$6),IF((L379*24)&gt;16,MD!$N$6))),IF(AND(F379="Call_out",(SUMIFS(O:O,F:F,F379,I:I,I379,B:B,B379)&lt;=24)),IF(AND((L379*24)&gt;0,(L379*24)&lt;=8),(L379*24)*MD!$P$4,IF(AND((L379*24)&gt;8,(L379*24)&lt;=16),(MD!$Q$4),IF((L379*24)&gt;16,MD!$Q$4)))))))</f>
        <v>0</v>
      </c>
      <c r="N379" s="62"/>
      <c r="O379" s="72">
        <f t="shared" si="11"/>
        <v>0</v>
      </c>
    </row>
    <row r="380" spans="1:15" x14ac:dyDescent="0.25">
      <c r="A380" s="62">
        <v>379</v>
      </c>
      <c r="B380" s="62"/>
      <c r="C380" s="68" t="str">
        <f>IF(ISNA(VLOOKUP($B380,CPY!$B:$G,2,FALSE))=TRUE," ",VLOOKUP($B380,CPY!$B:$G,2,FALSE))</f>
        <v> </v>
      </c>
      <c r="D380" s="50" t="str">
        <f>IF(ISNA(VLOOKUP($B380,CPY!$B:$G,3,FALSE))=TRUE," ",VLOOKUP($B380,CPY!$B:$G,3,FALSE))</f>
        <v> </v>
      </c>
      <c r="E380" s="65" t="str">
        <f>IF(ISNA(VLOOKUP($B380,CPY!$B:$G,4,FALSE))=TRUE," ",VLOOKUP($B380,CPY!$B:$G,4,FALSE))</f>
        <v> </v>
      </c>
      <c r="F380" s="62"/>
      <c r="G380" s="86"/>
      <c r="H380" s="86"/>
      <c r="I380" s="87"/>
      <c r="J380" s="88"/>
      <c r="K380" s="88"/>
      <c r="L380" s="95">
        <f t="shared" si="10"/>
        <v>0</v>
      </c>
      <c r="M380" s="96" t="b">
        <f>IF((ISNUMBER(L380)),IF(AND(F380="Workdays",(SUMIFS(O:O,F:F,F380,I:I,I380,B:B,B380)&lt;=24)),IF(AND((L380*24)&gt;0,(L380*24)&lt;=8),(L380*24)*MD!$M$5,IF(AND((L380*24)&gt;8,(L380*24)&lt;=16),(MD!$N$5),IF((L380*24)&gt;16,MD!$N$5))),IF(AND(F380="Non_workdays",(SUMIFS(O:O,F:F,F380,I:I,I380,B:B,B380)&lt;=24)),IF(AND((L380*24)&gt;0,(L380*24)&lt;=8),(L380*24)*MD!$M$6,IF(AND((L380*24)&gt;8,(L380*24)&lt;=16),(MD!$N$6),IF((L380*24)&gt;16,MD!$N$6))),IF(AND(F380="Call_out",(SUMIFS(O:O,F:F,F380,I:I,I380,B:B,B380)&lt;=24)),IF(AND((L380*24)&gt;0,(L380*24)&lt;=8),(L380*24)*MD!$P$4,IF(AND((L380*24)&gt;8,(L380*24)&lt;=16),(MD!$Q$4),IF((L380*24)&gt;16,MD!$Q$4)))))))</f>
        <v>0</v>
      </c>
      <c r="N380" s="62"/>
      <c r="O380" s="72">
        <f t="shared" si="11"/>
        <v>0</v>
      </c>
    </row>
    <row r="381" spans="1:15" x14ac:dyDescent="0.25">
      <c r="A381" s="62">
        <v>380</v>
      </c>
      <c r="B381" s="62"/>
      <c r="C381" s="68" t="str">
        <f>IF(ISNA(VLOOKUP($B381,CPY!$B:$G,2,FALSE))=TRUE," ",VLOOKUP($B381,CPY!$B:$G,2,FALSE))</f>
        <v> </v>
      </c>
      <c r="D381" s="50" t="str">
        <f>IF(ISNA(VLOOKUP($B381,CPY!$B:$G,3,FALSE))=TRUE," ",VLOOKUP($B381,CPY!$B:$G,3,FALSE))</f>
        <v> </v>
      </c>
      <c r="E381" s="65" t="str">
        <f>IF(ISNA(VLOOKUP($B381,CPY!$B:$G,4,FALSE))=TRUE," ",VLOOKUP($B381,CPY!$B:$G,4,FALSE))</f>
        <v> </v>
      </c>
      <c r="F381" s="62"/>
      <c r="G381" s="86"/>
      <c r="H381" s="86"/>
      <c r="I381" s="87"/>
      <c r="J381" s="88"/>
      <c r="K381" s="88"/>
      <c r="L381" s="95">
        <f t="shared" si="10"/>
        <v>0</v>
      </c>
      <c r="M381" s="96" t="b">
        <f>IF((ISNUMBER(L381)),IF(AND(F381="Workdays",(SUMIFS(O:O,F:F,F381,I:I,I381,B:B,B381)&lt;=24)),IF(AND((L381*24)&gt;0,(L381*24)&lt;=8),(L381*24)*MD!$M$5,IF(AND((L381*24)&gt;8,(L381*24)&lt;=16),(MD!$N$5),IF((L381*24)&gt;16,MD!$N$5))),IF(AND(F381="Non_workdays",(SUMIFS(O:O,F:F,F381,I:I,I381,B:B,B381)&lt;=24)),IF(AND((L381*24)&gt;0,(L381*24)&lt;=8),(L381*24)*MD!$M$6,IF(AND((L381*24)&gt;8,(L381*24)&lt;=16),(MD!$N$6),IF((L381*24)&gt;16,MD!$N$6))),IF(AND(F381="Call_out",(SUMIFS(O:O,F:F,F381,I:I,I381,B:B,B381)&lt;=24)),IF(AND((L381*24)&gt;0,(L381*24)&lt;=8),(L381*24)*MD!$P$4,IF(AND((L381*24)&gt;8,(L381*24)&lt;=16),(MD!$Q$4),IF((L381*24)&gt;16,MD!$Q$4)))))))</f>
        <v>0</v>
      </c>
      <c r="N381" s="62"/>
      <c r="O381" s="72">
        <f t="shared" si="11"/>
        <v>0</v>
      </c>
    </row>
    <row r="382" spans="1:15" x14ac:dyDescent="0.25">
      <c r="A382" s="62">
        <v>381</v>
      </c>
      <c r="B382" s="62"/>
      <c r="C382" s="68" t="str">
        <f>IF(ISNA(VLOOKUP($B382,CPY!$B:$G,2,FALSE))=TRUE," ",VLOOKUP($B382,CPY!$B:$G,2,FALSE))</f>
        <v> </v>
      </c>
      <c r="D382" s="50" t="str">
        <f>IF(ISNA(VLOOKUP($B382,CPY!$B:$G,3,FALSE))=TRUE," ",VLOOKUP($B382,CPY!$B:$G,3,FALSE))</f>
        <v> </v>
      </c>
      <c r="E382" s="65" t="str">
        <f>IF(ISNA(VLOOKUP($B382,CPY!$B:$G,4,FALSE))=TRUE," ",VLOOKUP($B382,CPY!$B:$G,4,FALSE))</f>
        <v> </v>
      </c>
      <c r="F382" s="62"/>
      <c r="G382" s="86"/>
      <c r="H382" s="86"/>
      <c r="I382" s="87"/>
      <c r="J382" s="88"/>
      <c r="K382" s="88"/>
      <c r="L382" s="95">
        <f t="shared" si="10"/>
        <v>0</v>
      </c>
      <c r="M382" s="96" t="b">
        <f>IF((ISNUMBER(L382)),IF(AND(F382="Workdays",(SUMIFS(O:O,F:F,F382,I:I,I382,B:B,B382)&lt;=24)),IF(AND((L382*24)&gt;0,(L382*24)&lt;=8),(L382*24)*MD!$M$5,IF(AND((L382*24)&gt;8,(L382*24)&lt;=16),(MD!$N$5),IF((L382*24)&gt;16,MD!$N$5))),IF(AND(F382="Non_workdays",(SUMIFS(O:O,F:F,F382,I:I,I382,B:B,B382)&lt;=24)),IF(AND((L382*24)&gt;0,(L382*24)&lt;=8),(L382*24)*MD!$M$6,IF(AND((L382*24)&gt;8,(L382*24)&lt;=16),(MD!$N$6),IF((L382*24)&gt;16,MD!$N$6))),IF(AND(F382="Call_out",(SUMIFS(O:O,F:F,F382,I:I,I382,B:B,B382)&lt;=24)),IF(AND((L382*24)&gt;0,(L382*24)&lt;=8),(L382*24)*MD!$P$4,IF(AND((L382*24)&gt;8,(L382*24)&lt;=16),(MD!$Q$4),IF((L382*24)&gt;16,MD!$Q$4)))))))</f>
        <v>0</v>
      </c>
      <c r="N382" s="62"/>
      <c r="O382" s="72">
        <f t="shared" si="11"/>
        <v>0</v>
      </c>
    </row>
    <row r="383" spans="1:15" x14ac:dyDescent="0.25">
      <c r="A383" s="62">
        <v>382</v>
      </c>
      <c r="B383" s="62"/>
      <c r="C383" s="68" t="str">
        <f>IF(ISNA(VLOOKUP($B383,CPY!$B:$G,2,FALSE))=TRUE," ",VLOOKUP($B383,CPY!$B:$G,2,FALSE))</f>
        <v> </v>
      </c>
      <c r="D383" s="50" t="str">
        <f>IF(ISNA(VLOOKUP($B383,CPY!$B:$G,3,FALSE))=TRUE," ",VLOOKUP($B383,CPY!$B:$G,3,FALSE))</f>
        <v> </v>
      </c>
      <c r="E383" s="65" t="str">
        <f>IF(ISNA(VLOOKUP($B383,CPY!$B:$G,4,FALSE))=TRUE," ",VLOOKUP($B383,CPY!$B:$G,4,FALSE))</f>
        <v> </v>
      </c>
      <c r="F383" s="62"/>
      <c r="G383" s="86"/>
      <c r="H383" s="86"/>
      <c r="I383" s="87"/>
      <c r="J383" s="88"/>
      <c r="K383" s="88"/>
      <c r="L383" s="95">
        <f t="shared" si="10"/>
        <v>0</v>
      </c>
      <c r="M383" s="96" t="b">
        <f>IF((ISNUMBER(L383)),IF(AND(F383="Workdays",(SUMIFS(O:O,F:F,F383,I:I,I383,B:B,B383)&lt;=24)),IF(AND((L383*24)&gt;0,(L383*24)&lt;=8),(L383*24)*MD!$M$5,IF(AND((L383*24)&gt;8,(L383*24)&lt;=16),(MD!$N$5),IF((L383*24)&gt;16,MD!$N$5))),IF(AND(F383="Non_workdays",(SUMIFS(O:O,F:F,F383,I:I,I383,B:B,B383)&lt;=24)),IF(AND((L383*24)&gt;0,(L383*24)&lt;=8),(L383*24)*MD!$M$6,IF(AND((L383*24)&gt;8,(L383*24)&lt;=16),(MD!$N$6),IF((L383*24)&gt;16,MD!$N$6))),IF(AND(F383="Call_out",(SUMIFS(O:O,F:F,F383,I:I,I383,B:B,B383)&lt;=24)),IF(AND((L383*24)&gt;0,(L383*24)&lt;=8),(L383*24)*MD!$P$4,IF(AND((L383*24)&gt;8,(L383*24)&lt;=16),(MD!$Q$4),IF((L383*24)&gt;16,MD!$Q$4)))))))</f>
        <v>0</v>
      </c>
      <c r="N383" s="62"/>
      <c r="O383" s="72">
        <f t="shared" si="11"/>
        <v>0</v>
      </c>
    </row>
    <row r="384" spans="1:15" x14ac:dyDescent="0.25">
      <c r="A384" s="62">
        <v>383</v>
      </c>
      <c r="B384" s="62"/>
      <c r="C384" s="68" t="str">
        <f>IF(ISNA(VLOOKUP($B384,CPY!$B:$G,2,FALSE))=TRUE," ",VLOOKUP($B384,CPY!$B:$G,2,FALSE))</f>
        <v> </v>
      </c>
      <c r="D384" s="50" t="str">
        <f>IF(ISNA(VLOOKUP($B384,CPY!$B:$G,3,FALSE))=TRUE," ",VLOOKUP($B384,CPY!$B:$G,3,FALSE))</f>
        <v> </v>
      </c>
      <c r="E384" s="65" t="str">
        <f>IF(ISNA(VLOOKUP($B384,CPY!$B:$G,4,FALSE))=TRUE," ",VLOOKUP($B384,CPY!$B:$G,4,FALSE))</f>
        <v> </v>
      </c>
      <c r="F384" s="62"/>
      <c r="G384" s="86"/>
      <c r="H384" s="86"/>
      <c r="I384" s="87"/>
      <c r="J384" s="88"/>
      <c r="K384" s="88"/>
      <c r="L384" s="95">
        <f t="shared" si="10"/>
        <v>0</v>
      </c>
      <c r="M384" s="96" t="b">
        <f>IF((ISNUMBER(L384)),IF(AND(F384="Workdays",(SUMIFS(O:O,F:F,F384,I:I,I384,B:B,B384)&lt;=24)),IF(AND((L384*24)&gt;0,(L384*24)&lt;=8),(L384*24)*MD!$M$5,IF(AND((L384*24)&gt;8,(L384*24)&lt;=16),(MD!$N$5),IF((L384*24)&gt;16,MD!$N$5))),IF(AND(F384="Non_workdays",(SUMIFS(O:O,F:F,F384,I:I,I384,B:B,B384)&lt;=24)),IF(AND((L384*24)&gt;0,(L384*24)&lt;=8),(L384*24)*MD!$M$6,IF(AND((L384*24)&gt;8,(L384*24)&lt;=16),(MD!$N$6),IF((L384*24)&gt;16,MD!$N$6))),IF(AND(F384="Call_out",(SUMIFS(O:O,F:F,F384,I:I,I384,B:B,B384)&lt;=24)),IF(AND((L384*24)&gt;0,(L384*24)&lt;=8),(L384*24)*MD!$P$4,IF(AND((L384*24)&gt;8,(L384*24)&lt;=16),(MD!$Q$4),IF((L384*24)&gt;16,MD!$Q$4)))))))</f>
        <v>0</v>
      </c>
      <c r="N384" s="62"/>
      <c r="O384" s="72">
        <f t="shared" si="11"/>
        <v>0</v>
      </c>
    </row>
    <row r="385" spans="1:15" x14ac:dyDescent="0.25">
      <c r="A385" s="62">
        <v>384</v>
      </c>
      <c r="B385" s="62"/>
      <c r="C385" s="68" t="str">
        <f>IF(ISNA(VLOOKUP($B385,CPY!$B:$G,2,FALSE))=TRUE," ",VLOOKUP($B385,CPY!$B:$G,2,FALSE))</f>
        <v> </v>
      </c>
      <c r="D385" s="50" t="str">
        <f>IF(ISNA(VLOOKUP($B385,CPY!$B:$G,3,FALSE))=TRUE," ",VLOOKUP($B385,CPY!$B:$G,3,FALSE))</f>
        <v> </v>
      </c>
      <c r="E385" s="65" t="str">
        <f>IF(ISNA(VLOOKUP($B385,CPY!$B:$G,4,FALSE))=TRUE," ",VLOOKUP($B385,CPY!$B:$G,4,FALSE))</f>
        <v> </v>
      </c>
      <c r="F385" s="62"/>
      <c r="G385" s="86"/>
      <c r="H385" s="86"/>
      <c r="I385" s="87"/>
      <c r="J385" s="88"/>
      <c r="K385" s="88"/>
      <c r="L385" s="95">
        <f t="shared" si="10"/>
        <v>0</v>
      </c>
      <c r="M385" s="96" t="b">
        <f>IF((ISNUMBER(L385)),IF(AND(F385="Workdays",(SUMIFS(O:O,F:F,F385,I:I,I385,B:B,B385)&lt;=24)),IF(AND((L385*24)&gt;0,(L385*24)&lt;=8),(L385*24)*MD!$M$5,IF(AND((L385*24)&gt;8,(L385*24)&lt;=16),(MD!$N$5),IF((L385*24)&gt;16,MD!$N$5))),IF(AND(F385="Non_workdays",(SUMIFS(O:O,F:F,F385,I:I,I385,B:B,B385)&lt;=24)),IF(AND((L385*24)&gt;0,(L385*24)&lt;=8),(L385*24)*MD!$M$6,IF(AND((L385*24)&gt;8,(L385*24)&lt;=16),(MD!$N$6),IF((L385*24)&gt;16,MD!$N$6))),IF(AND(F385="Call_out",(SUMIFS(O:O,F:F,F385,I:I,I385,B:B,B385)&lt;=24)),IF(AND((L385*24)&gt;0,(L385*24)&lt;=8),(L385*24)*MD!$P$4,IF(AND((L385*24)&gt;8,(L385*24)&lt;=16),(MD!$Q$4),IF((L385*24)&gt;16,MD!$Q$4)))))))</f>
        <v>0</v>
      </c>
      <c r="N385" s="62"/>
      <c r="O385" s="72">
        <f t="shared" si="11"/>
        <v>0</v>
      </c>
    </row>
    <row r="386" spans="1:15" x14ac:dyDescent="0.25">
      <c r="A386" s="62">
        <v>385</v>
      </c>
      <c r="B386" s="62"/>
      <c r="C386" s="68" t="str">
        <f>IF(ISNA(VLOOKUP($B386,CPY!$B:$G,2,FALSE))=TRUE," ",VLOOKUP($B386,CPY!$B:$G,2,FALSE))</f>
        <v> </v>
      </c>
      <c r="D386" s="50" t="str">
        <f>IF(ISNA(VLOOKUP($B386,CPY!$B:$G,3,FALSE))=TRUE," ",VLOOKUP($B386,CPY!$B:$G,3,FALSE))</f>
        <v> </v>
      </c>
      <c r="E386" s="65" t="str">
        <f>IF(ISNA(VLOOKUP($B386,CPY!$B:$G,4,FALSE))=TRUE," ",VLOOKUP($B386,CPY!$B:$G,4,FALSE))</f>
        <v> </v>
      </c>
      <c r="F386" s="62"/>
      <c r="G386" s="86"/>
      <c r="H386" s="86"/>
      <c r="I386" s="87"/>
      <c r="J386" s="88"/>
      <c r="K386" s="88"/>
      <c r="L386" s="95">
        <f t="shared" si="10"/>
        <v>0</v>
      </c>
      <c r="M386" s="96" t="b">
        <f>IF((ISNUMBER(L386)),IF(AND(F386="Workdays",(SUMIFS(O:O,F:F,F386,I:I,I386,B:B,B386)&lt;=24)),IF(AND((L386*24)&gt;0,(L386*24)&lt;=8),(L386*24)*MD!$M$5,IF(AND((L386*24)&gt;8,(L386*24)&lt;=16),(MD!$N$5),IF((L386*24)&gt;16,MD!$N$5))),IF(AND(F386="Non_workdays",(SUMIFS(O:O,F:F,F386,I:I,I386,B:B,B386)&lt;=24)),IF(AND((L386*24)&gt;0,(L386*24)&lt;=8),(L386*24)*MD!$M$6,IF(AND((L386*24)&gt;8,(L386*24)&lt;=16),(MD!$N$6),IF((L386*24)&gt;16,MD!$N$6))),IF(AND(F386="Call_out",(SUMIFS(O:O,F:F,F386,I:I,I386,B:B,B386)&lt;=24)),IF(AND((L386*24)&gt;0,(L386*24)&lt;=8),(L386*24)*MD!$P$4,IF(AND((L386*24)&gt;8,(L386*24)&lt;=16),(MD!$Q$4),IF((L386*24)&gt;16,MD!$Q$4)))))))</f>
        <v>0</v>
      </c>
      <c r="N386" s="62"/>
      <c r="O386" s="72">
        <f t="shared" si="11"/>
        <v>0</v>
      </c>
    </row>
    <row r="387" spans="1:15" x14ac:dyDescent="0.25">
      <c r="A387" s="62">
        <v>386</v>
      </c>
      <c r="B387" s="62"/>
      <c r="C387" s="68" t="str">
        <f>IF(ISNA(VLOOKUP($B387,CPY!$B:$G,2,FALSE))=TRUE," ",VLOOKUP($B387,CPY!$B:$G,2,FALSE))</f>
        <v> </v>
      </c>
      <c r="D387" s="50" t="str">
        <f>IF(ISNA(VLOOKUP($B387,CPY!$B:$G,3,FALSE))=TRUE," ",VLOOKUP($B387,CPY!$B:$G,3,FALSE))</f>
        <v> </v>
      </c>
      <c r="E387" s="65" t="str">
        <f>IF(ISNA(VLOOKUP($B387,CPY!$B:$G,4,FALSE))=TRUE," ",VLOOKUP($B387,CPY!$B:$G,4,FALSE))</f>
        <v> </v>
      </c>
      <c r="F387" s="62"/>
      <c r="G387" s="86"/>
      <c r="H387" s="86"/>
      <c r="I387" s="87"/>
      <c r="J387" s="88"/>
      <c r="K387" s="88"/>
      <c r="L387" s="95">
        <f t="shared" ref="L387:L450" si="12">IF($F387="Workdays",IF(NOT(ISBLANK($K387)),(IF($K387&lt;$J387,$K387+1,$K387)-$J387)),IF(OR($F387="Non_workdays",$F387="Call_out"),IF(NOT(ISBLANK($K387)),(IF($K387&lt;$J387,$K387+1,$K387)-$J387)),IF(AND(NOT(ISBLANK($F387)),NOT(ISBLANK($I387))),"Correct the On call slab")))</f>
        <v>0</v>
      </c>
      <c r="M387" s="96" t="b">
        <f>IF((ISNUMBER(L387)),IF(AND(F387="Workdays",(SUMIFS(O:O,F:F,F387,I:I,I387,B:B,B387)&lt;=24)),IF(AND((L387*24)&gt;0,(L387*24)&lt;=8),(L387*24)*MD!$M$5,IF(AND((L387*24)&gt;8,(L387*24)&lt;=16),(MD!$N$5),IF((L387*24)&gt;16,MD!$N$5))),IF(AND(F387="Non_workdays",(SUMIFS(O:O,F:F,F387,I:I,I387,B:B,B387)&lt;=24)),IF(AND((L387*24)&gt;0,(L387*24)&lt;=8),(L387*24)*MD!$M$6,IF(AND((L387*24)&gt;8,(L387*24)&lt;=16),(MD!$N$6),IF((L387*24)&gt;16,MD!$N$6))),IF(AND(F387="Call_out",(SUMIFS(O:O,F:F,F387,I:I,I387,B:B,B387)&lt;=24)),IF(AND((L387*24)&gt;0,(L387*24)&lt;=8),(L387*24)*MD!$P$4,IF(AND((L387*24)&gt;8,(L387*24)&lt;=16),(MD!$Q$4),IF((L387*24)&gt;16,MD!$Q$4)))))))</f>
        <v>0</v>
      </c>
      <c r="N387" s="62"/>
      <c r="O387" s="72">
        <f t="shared" ref="O387:O450" si="13">L387*24</f>
        <v>0</v>
      </c>
    </row>
    <row r="388" spans="1:15" x14ac:dyDescent="0.25">
      <c r="A388" s="62">
        <v>387</v>
      </c>
      <c r="B388" s="62"/>
      <c r="C388" s="68" t="str">
        <f>IF(ISNA(VLOOKUP($B388,CPY!$B:$G,2,FALSE))=TRUE," ",VLOOKUP($B388,CPY!$B:$G,2,FALSE))</f>
        <v> </v>
      </c>
      <c r="D388" s="50" t="str">
        <f>IF(ISNA(VLOOKUP($B388,CPY!$B:$G,3,FALSE))=TRUE," ",VLOOKUP($B388,CPY!$B:$G,3,FALSE))</f>
        <v> </v>
      </c>
      <c r="E388" s="65" t="str">
        <f>IF(ISNA(VLOOKUP($B388,CPY!$B:$G,4,FALSE))=TRUE," ",VLOOKUP($B388,CPY!$B:$G,4,FALSE))</f>
        <v> </v>
      </c>
      <c r="F388" s="62"/>
      <c r="G388" s="86"/>
      <c r="H388" s="86"/>
      <c r="I388" s="87"/>
      <c r="J388" s="88"/>
      <c r="K388" s="88"/>
      <c r="L388" s="95">
        <f t="shared" si="12"/>
        <v>0</v>
      </c>
      <c r="M388" s="96" t="b">
        <f>IF((ISNUMBER(L388)),IF(AND(F388="Workdays",(SUMIFS(O:O,F:F,F388,I:I,I388,B:B,B388)&lt;=24)),IF(AND((L388*24)&gt;0,(L388*24)&lt;=8),(L388*24)*MD!$M$5,IF(AND((L388*24)&gt;8,(L388*24)&lt;=16),(MD!$N$5),IF((L388*24)&gt;16,MD!$N$5))),IF(AND(F388="Non_workdays",(SUMIFS(O:O,F:F,F388,I:I,I388,B:B,B388)&lt;=24)),IF(AND((L388*24)&gt;0,(L388*24)&lt;=8),(L388*24)*MD!$M$6,IF(AND((L388*24)&gt;8,(L388*24)&lt;=16),(MD!$N$6),IF((L388*24)&gt;16,MD!$N$6))),IF(AND(F388="Call_out",(SUMIFS(O:O,F:F,F388,I:I,I388,B:B,B388)&lt;=24)),IF(AND((L388*24)&gt;0,(L388*24)&lt;=8),(L388*24)*MD!$P$4,IF(AND((L388*24)&gt;8,(L388*24)&lt;=16),(MD!$Q$4),IF((L388*24)&gt;16,MD!$Q$4)))))))</f>
        <v>0</v>
      </c>
      <c r="N388" s="62"/>
      <c r="O388" s="72">
        <f t="shared" si="13"/>
        <v>0</v>
      </c>
    </row>
    <row r="389" spans="1:15" x14ac:dyDescent="0.25">
      <c r="A389" s="62">
        <v>388</v>
      </c>
      <c r="B389" s="62"/>
      <c r="C389" s="68" t="str">
        <f>IF(ISNA(VLOOKUP($B389,CPY!$B:$G,2,FALSE))=TRUE," ",VLOOKUP($B389,CPY!$B:$G,2,FALSE))</f>
        <v> </v>
      </c>
      <c r="D389" s="50" t="str">
        <f>IF(ISNA(VLOOKUP($B389,CPY!$B:$G,3,FALSE))=TRUE," ",VLOOKUP($B389,CPY!$B:$G,3,FALSE))</f>
        <v> </v>
      </c>
      <c r="E389" s="65" t="str">
        <f>IF(ISNA(VLOOKUP($B389,CPY!$B:$G,4,FALSE))=TRUE," ",VLOOKUP($B389,CPY!$B:$G,4,FALSE))</f>
        <v> </v>
      </c>
      <c r="F389" s="62"/>
      <c r="G389" s="86"/>
      <c r="H389" s="86"/>
      <c r="I389" s="87"/>
      <c r="J389" s="88"/>
      <c r="K389" s="88"/>
      <c r="L389" s="95">
        <f t="shared" si="12"/>
        <v>0</v>
      </c>
      <c r="M389" s="96" t="b">
        <f>IF((ISNUMBER(L389)),IF(AND(F389="Workdays",(SUMIFS(O:O,F:F,F389,I:I,I389,B:B,B389)&lt;=24)),IF(AND((L389*24)&gt;0,(L389*24)&lt;=8),(L389*24)*MD!$M$5,IF(AND((L389*24)&gt;8,(L389*24)&lt;=16),(MD!$N$5),IF((L389*24)&gt;16,MD!$N$5))),IF(AND(F389="Non_workdays",(SUMIFS(O:O,F:F,F389,I:I,I389,B:B,B389)&lt;=24)),IF(AND((L389*24)&gt;0,(L389*24)&lt;=8),(L389*24)*MD!$M$6,IF(AND((L389*24)&gt;8,(L389*24)&lt;=16),(MD!$N$6),IF((L389*24)&gt;16,MD!$N$6))),IF(AND(F389="Call_out",(SUMIFS(O:O,F:F,F389,I:I,I389,B:B,B389)&lt;=24)),IF(AND((L389*24)&gt;0,(L389*24)&lt;=8),(L389*24)*MD!$P$4,IF(AND((L389*24)&gt;8,(L389*24)&lt;=16),(MD!$Q$4),IF((L389*24)&gt;16,MD!$Q$4)))))))</f>
        <v>0</v>
      </c>
      <c r="N389" s="62"/>
      <c r="O389" s="72">
        <f t="shared" si="13"/>
        <v>0</v>
      </c>
    </row>
    <row r="390" spans="1:15" x14ac:dyDescent="0.25">
      <c r="A390" s="62">
        <v>389</v>
      </c>
      <c r="B390" s="62"/>
      <c r="C390" s="68" t="str">
        <f>IF(ISNA(VLOOKUP($B390,CPY!$B:$G,2,FALSE))=TRUE," ",VLOOKUP($B390,CPY!$B:$G,2,FALSE))</f>
        <v> </v>
      </c>
      <c r="D390" s="50" t="str">
        <f>IF(ISNA(VLOOKUP($B390,CPY!$B:$G,3,FALSE))=TRUE," ",VLOOKUP($B390,CPY!$B:$G,3,FALSE))</f>
        <v> </v>
      </c>
      <c r="E390" s="65" t="str">
        <f>IF(ISNA(VLOOKUP($B390,CPY!$B:$G,4,FALSE))=TRUE," ",VLOOKUP($B390,CPY!$B:$G,4,FALSE))</f>
        <v> </v>
      </c>
      <c r="F390" s="62"/>
      <c r="G390" s="86"/>
      <c r="H390" s="86"/>
      <c r="I390" s="87"/>
      <c r="J390" s="88"/>
      <c r="K390" s="88"/>
      <c r="L390" s="95">
        <f t="shared" si="12"/>
        <v>0</v>
      </c>
      <c r="M390" s="96" t="b">
        <f>IF((ISNUMBER(L390)),IF(AND(F390="Workdays",(SUMIFS(O:O,F:F,F390,I:I,I390,B:B,B390)&lt;=24)),IF(AND((L390*24)&gt;0,(L390*24)&lt;=8),(L390*24)*MD!$M$5,IF(AND((L390*24)&gt;8,(L390*24)&lt;=16),(MD!$N$5),IF((L390*24)&gt;16,MD!$N$5))),IF(AND(F390="Non_workdays",(SUMIFS(O:O,F:F,F390,I:I,I390,B:B,B390)&lt;=24)),IF(AND((L390*24)&gt;0,(L390*24)&lt;=8),(L390*24)*MD!$M$6,IF(AND((L390*24)&gt;8,(L390*24)&lt;=16),(MD!$N$6),IF((L390*24)&gt;16,MD!$N$6))),IF(AND(F390="Call_out",(SUMIFS(O:O,F:F,F390,I:I,I390,B:B,B390)&lt;=24)),IF(AND((L390*24)&gt;0,(L390*24)&lt;=8),(L390*24)*MD!$P$4,IF(AND((L390*24)&gt;8,(L390*24)&lt;=16),(MD!$Q$4),IF((L390*24)&gt;16,MD!$Q$4)))))))</f>
        <v>0</v>
      </c>
      <c r="N390" s="62"/>
      <c r="O390" s="72">
        <f t="shared" si="13"/>
        <v>0</v>
      </c>
    </row>
    <row r="391" spans="1:15" x14ac:dyDescent="0.25">
      <c r="A391" s="62">
        <v>390</v>
      </c>
      <c r="B391" s="62"/>
      <c r="C391" s="68" t="str">
        <f>IF(ISNA(VLOOKUP($B391,CPY!$B:$G,2,FALSE))=TRUE," ",VLOOKUP($B391,CPY!$B:$G,2,FALSE))</f>
        <v> </v>
      </c>
      <c r="D391" s="50" t="str">
        <f>IF(ISNA(VLOOKUP($B391,CPY!$B:$G,3,FALSE))=TRUE," ",VLOOKUP($B391,CPY!$B:$G,3,FALSE))</f>
        <v> </v>
      </c>
      <c r="E391" s="65" t="str">
        <f>IF(ISNA(VLOOKUP($B391,CPY!$B:$G,4,FALSE))=TRUE," ",VLOOKUP($B391,CPY!$B:$G,4,FALSE))</f>
        <v> </v>
      </c>
      <c r="F391" s="62"/>
      <c r="G391" s="86"/>
      <c r="H391" s="86"/>
      <c r="I391" s="87"/>
      <c r="J391" s="88"/>
      <c r="K391" s="88"/>
      <c r="L391" s="95">
        <f t="shared" si="12"/>
        <v>0</v>
      </c>
      <c r="M391" s="96" t="b">
        <f>IF((ISNUMBER(L391)),IF(AND(F391="Workdays",(SUMIFS(O:O,F:F,F391,I:I,I391,B:B,B391)&lt;=24)),IF(AND((L391*24)&gt;0,(L391*24)&lt;=8),(L391*24)*MD!$M$5,IF(AND((L391*24)&gt;8,(L391*24)&lt;=16),(MD!$N$5),IF((L391*24)&gt;16,MD!$N$5))),IF(AND(F391="Non_workdays",(SUMIFS(O:O,F:F,F391,I:I,I391,B:B,B391)&lt;=24)),IF(AND((L391*24)&gt;0,(L391*24)&lt;=8),(L391*24)*MD!$M$6,IF(AND((L391*24)&gt;8,(L391*24)&lt;=16),(MD!$N$6),IF((L391*24)&gt;16,MD!$N$6))),IF(AND(F391="Call_out",(SUMIFS(O:O,F:F,F391,I:I,I391,B:B,B391)&lt;=24)),IF(AND((L391*24)&gt;0,(L391*24)&lt;=8),(L391*24)*MD!$P$4,IF(AND((L391*24)&gt;8,(L391*24)&lt;=16),(MD!$Q$4),IF((L391*24)&gt;16,MD!$Q$4)))))))</f>
        <v>0</v>
      </c>
      <c r="N391" s="62"/>
      <c r="O391" s="72">
        <f t="shared" si="13"/>
        <v>0</v>
      </c>
    </row>
    <row r="392" spans="1:15" x14ac:dyDescent="0.25">
      <c r="A392" s="62">
        <v>391</v>
      </c>
      <c r="B392" s="62"/>
      <c r="C392" s="68" t="str">
        <f>IF(ISNA(VLOOKUP($B392,CPY!$B:$G,2,FALSE))=TRUE," ",VLOOKUP($B392,CPY!$B:$G,2,FALSE))</f>
        <v> </v>
      </c>
      <c r="D392" s="50" t="str">
        <f>IF(ISNA(VLOOKUP($B392,CPY!$B:$G,3,FALSE))=TRUE," ",VLOOKUP($B392,CPY!$B:$G,3,FALSE))</f>
        <v> </v>
      </c>
      <c r="E392" s="65" t="str">
        <f>IF(ISNA(VLOOKUP($B392,CPY!$B:$G,4,FALSE))=TRUE," ",VLOOKUP($B392,CPY!$B:$G,4,FALSE))</f>
        <v> </v>
      </c>
      <c r="F392" s="62"/>
      <c r="G392" s="86"/>
      <c r="H392" s="86"/>
      <c r="I392" s="87"/>
      <c r="J392" s="88"/>
      <c r="K392" s="88"/>
      <c r="L392" s="95">
        <f t="shared" si="12"/>
        <v>0</v>
      </c>
      <c r="M392" s="96" t="b">
        <f>IF((ISNUMBER(L392)),IF(AND(F392="Workdays",(SUMIFS(O:O,F:F,F392,I:I,I392,B:B,B392)&lt;=24)),IF(AND((L392*24)&gt;0,(L392*24)&lt;=8),(L392*24)*MD!$M$5,IF(AND((L392*24)&gt;8,(L392*24)&lt;=16),(MD!$N$5),IF((L392*24)&gt;16,MD!$N$5))),IF(AND(F392="Non_workdays",(SUMIFS(O:O,F:F,F392,I:I,I392,B:B,B392)&lt;=24)),IF(AND((L392*24)&gt;0,(L392*24)&lt;=8),(L392*24)*MD!$M$6,IF(AND((L392*24)&gt;8,(L392*24)&lt;=16),(MD!$N$6),IF((L392*24)&gt;16,MD!$N$6))),IF(AND(F392="Call_out",(SUMIFS(O:O,F:F,F392,I:I,I392,B:B,B392)&lt;=24)),IF(AND((L392*24)&gt;0,(L392*24)&lt;=8),(L392*24)*MD!$P$4,IF(AND((L392*24)&gt;8,(L392*24)&lt;=16),(MD!$Q$4),IF((L392*24)&gt;16,MD!$Q$4)))))))</f>
        <v>0</v>
      </c>
      <c r="N392" s="62"/>
      <c r="O392" s="72">
        <f t="shared" si="13"/>
        <v>0</v>
      </c>
    </row>
    <row r="393" spans="1:15" x14ac:dyDescent="0.25">
      <c r="A393" s="62">
        <v>392</v>
      </c>
      <c r="B393" s="62"/>
      <c r="C393" s="68" t="str">
        <f>IF(ISNA(VLOOKUP($B393,CPY!$B:$G,2,FALSE))=TRUE," ",VLOOKUP($B393,CPY!$B:$G,2,FALSE))</f>
        <v> </v>
      </c>
      <c r="D393" s="50" t="str">
        <f>IF(ISNA(VLOOKUP($B393,CPY!$B:$G,3,FALSE))=TRUE," ",VLOOKUP($B393,CPY!$B:$G,3,FALSE))</f>
        <v> </v>
      </c>
      <c r="E393" s="65" t="str">
        <f>IF(ISNA(VLOOKUP($B393,CPY!$B:$G,4,FALSE))=TRUE," ",VLOOKUP($B393,CPY!$B:$G,4,FALSE))</f>
        <v> </v>
      </c>
      <c r="F393" s="62"/>
      <c r="G393" s="86"/>
      <c r="H393" s="86"/>
      <c r="I393" s="87"/>
      <c r="J393" s="88"/>
      <c r="K393" s="88"/>
      <c r="L393" s="95">
        <f t="shared" si="12"/>
        <v>0</v>
      </c>
      <c r="M393" s="96" t="b">
        <f>IF((ISNUMBER(L393)),IF(AND(F393="Workdays",(SUMIFS(O:O,F:F,F393,I:I,I393,B:B,B393)&lt;=24)),IF(AND((L393*24)&gt;0,(L393*24)&lt;=8),(L393*24)*MD!$M$5,IF(AND((L393*24)&gt;8,(L393*24)&lt;=16),(MD!$N$5),IF((L393*24)&gt;16,MD!$N$5))),IF(AND(F393="Non_workdays",(SUMIFS(O:O,F:F,F393,I:I,I393,B:B,B393)&lt;=24)),IF(AND((L393*24)&gt;0,(L393*24)&lt;=8),(L393*24)*MD!$M$6,IF(AND((L393*24)&gt;8,(L393*24)&lt;=16),(MD!$N$6),IF((L393*24)&gt;16,MD!$N$6))),IF(AND(F393="Call_out",(SUMIFS(O:O,F:F,F393,I:I,I393,B:B,B393)&lt;=24)),IF(AND((L393*24)&gt;0,(L393*24)&lt;=8),(L393*24)*MD!$P$4,IF(AND((L393*24)&gt;8,(L393*24)&lt;=16),(MD!$Q$4),IF((L393*24)&gt;16,MD!$Q$4)))))))</f>
        <v>0</v>
      </c>
      <c r="N393" s="62"/>
      <c r="O393" s="72">
        <f t="shared" si="13"/>
        <v>0</v>
      </c>
    </row>
    <row r="394" spans="1:15" x14ac:dyDescent="0.25">
      <c r="A394" s="62">
        <v>393</v>
      </c>
      <c r="B394" s="62"/>
      <c r="C394" s="68" t="str">
        <f>IF(ISNA(VLOOKUP($B394,CPY!$B:$G,2,FALSE))=TRUE," ",VLOOKUP($B394,CPY!$B:$G,2,FALSE))</f>
        <v> </v>
      </c>
      <c r="D394" s="50" t="str">
        <f>IF(ISNA(VLOOKUP($B394,CPY!$B:$G,3,FALSE))=TRUE," ",VLOOKUP($B394,CPY!$B:$G,3,FALSE))</f>
        <v> </v>
      </c>
      <c r="E394" s="65" t="str">
        <f>IF(ISNA(VLOOKUP($B394,CPY!$B:$G,4,FALSE))=TRUE," ",VLOOKUP($B394,CPY!$B:$G,4,FALSE))</f>
        <v> </v>
      </c>
      <c r="F394" s="62"/>
      <c r="G394" s="86"/>
      <c r="H394" s="86"/>
      <c r="I394" s="87"/>
      <c r="J394" s="88"/>
      <c r="K394" s="88"/>
      <c r="L394" s="95">
        <f t="shared" si="12"/>
        <v>0</v>
      </c>
      <c r="M394" s="96" t="b">
        <f>IF((ISNUMBER(L394)),IF(AND(F394="Workdays",(SUMIFS(O:O,F:F,F394,I:I,I394,B:B,B394)&lt;=24)),IF(AND((L394*24)&gt;0,(L394*24)&lt;=8),(L394*24)*MD!$M$5,IF(AND((L394*24)&gt;8,(L394*24)&lt;=16),(MD!$N$5),IF((L394*24)&gt;16,MD!$N$5))),IF(AND(F394="Non_workdays",(SUMIFS(O:O,F:F,F394,I:I,I394,B:B,B394)&lt;=24)),IF(AND((L394*24)&gt;0,(L394*24)&lt;=8),(L394*24)*MD!$M$6,IF(AND((L394*24)&gt;8,(L394*24)&lt;=16),(MD!$N$6),IF((L394*24)&gt;16,MD!$N$6))),IF(AND(F394="Call_out",(SUMIFS(O:O,F:F,F394,I:I,I394,B:B,B394)&lt;=24)),IF(AND((L394*24)&gt;0,(L394*24)&lt;=8),(L394*24)*MD!$P$4,IF(AND((L394*24)&gt;8,(L394*24)&lt;=16),(MD!$Q$4),IF((L394*24)&gt;16,MD!$Q$4)))))))</f>
        <v>0</v>
      </c>
      <c r="N394" s="62"/>
      <c r="O394" s="72">
        <f t="shared" si="13"/>
        <v>0</v>
      </c>
    </row>
    <row r="395" spans="1:15" x14ac:dyDescent="0.25">
      <c r="A395" s="62">
        <v>394</v>
      </c>
      <c r="B395" s="62"/>
      <c r="C395" s="68" t="str">
        <f>IF(ISNA(VLOOKUP($B395,CPY!$B:$G,2,FALSE))=TRUE," ",VLOOKUP($B395,CPY!$B:$G,2,FALSE))</f>
        <v> </v>
      </c>
      <c r="D395" s="50" t="str">
        <f>IF(ISNA(VLOOKUP($B395,CPY!$B:$G,3,FALSE))=TRUE," ",VLOOKUP($B395,CPY!$B:$G,3,FALSE))</f>
        <v> </v>
      </c>
      <c r="E395" s="65" t="str">
        <f>IF(ISNA(VLOOKUP($B395,CPY!$B:$G,4,FALSE))=TRUE," ",VLOOKUP($B395,CPY!$B:$G,4,FALSE))</f>
        <v> </v>
      </c>
      <c r="F395" s="62"/>
      <c r="G395" s="86"/>
      <c r="H395" s="86"/>
      <c r="I395" s="87"/>
      <c r="J395" s="88"/>
      <c r="K395" s="88"/>
      <c r="L395" s="95">
        <f t="shared" si="12"/>
        <v>0</v>
      </c>
      <c r="M395" s="96" t="b">
        <f>IF((ISNUMBER(L395)),IF(AND(F395="Workdays",(SUMIFS(O:O,F:F,F395,I:I,I395,B:B,B395)&lt;=24)),IF(AND((L395*24)&gt;0,(L395*24)&lt;=8),(L395*24)*MD!$M$5,IF(AND((L395*24)&gt;8,(L395*24)&lt;=16),(MD!$N$5),IF((L395*24)&gt;16,MD!$N$5))),IF(AND(F395="Non_workdays",(SUMIFS(O:O,F:F,F395,I:I,I395,B:B,B395)&lt;=24)),IF(AND((L395*24)&gt;0,(L395*24)&lt;=8),(L395*24)*MD!$M$6,IF(AND((L395*24)&gt;8,(L395*24)&lt;=16),(MD!$N$6),IF((L395*24)&gt;16,MD!$N$6))),IF(AND(F395="Call_out",(SUMIFS(O:O,F:F,F395,I:I,I395,B:B,B395)&lt;=24)),IF(AND((L395*24)&gt;0,(L395*24)&lt;=8),(L395*24)*MD!$P$4,IF(AND((L395*24)&gt;8,(L395*24)&lt;=16),(MD!$Q$4),IF((L395*24)&gt;16,MD!$Q$4)))))))</f>
        <v>0</v>
      </c>
      <c r="N395" s="62"/>
      <c r="O395" s="72">
        <f t="shared" si="13"/>
        <v>0</v>
      </c>
    </row>
    <row r="396" spans="1:15" x14ac:dyDescent="0.25">
      <c r="A396" s="62">
        <v>395</v>
      </c>
      <c r="B396" s="62"/>
      <c r="C396" s="68" t="str">
        <f>IF(ISNA(VLOOKUP($B396,CPY!$B:$G,2,FALSE))=TRUE," ",VLOOKUP($B396,CPY!$B:$G,2,FALSE))</f>
        <v> </v>
      </c>
      <c r="D396" s="50" t="str">
        <f>IF(ISNA(VLOOKUP($B396,CPY!$B:$G,3,FALSE))=TRUE," ",VLOOKUP($B396,CPY!$B:$G,3,FALSE))</f>
        <v> </v>
      </c>
      <c r="E396" s="65" t="str">
        <f>IF(ISNA(VLOOKUP($B396,CPY!$B:$G,4,FALSE))=TRUE," ",VLOOKUP($B396,CPY!$B:$G,4,FALSE))</f>
        <v> </v>
      </c>
      <c r="F396" s="62"/>
      <c r="G396" s="86"/>
      <c r="H396" s="86"/>
      <c r="I396" s="87"/>
      <c r="J396" s="88"/>
      <c r="K396" s="88"/>
      <c r="L396" s="95">
        <f t="shared" si="12"/>
        <v>0</v>
      </c>
      <c r="M396" s="96" t="b">
        <f>IF((ISNUMBER(L396)),IF(AND(F396="Workdays",(SUMIFS(O:O,F:F,F396,I:I,I396,B:B,B396)&lt;=24)),IF(AND((L396*24)&gt;0,(L396*24)&lt;=8),(L396*24)*MD!$M$5,IF(AND((L396*24)&gt;8,(L396*24)&lt;=16),(MD!$N$5),IF((L396*24)&gt;16,MD!$N$5))),IF(AND(F396="Non_workdays",(SUMIFS(O:O,F:F,F396,I:I,I396,B:B,B396)&lt;=24)),IF(AND((L396*24)&gt;0,(L396*24)&lt;=8),(L396*24)*MD!$M$6,IF(AND((L396*24)&gt;8,(L396*24)&lt;=16),(MD!$N$6),IF((L396*24)&gt;16,MD!$N$6))),IF(AND(F396="Call_out",(SUMIFS(O:O,F:F,F396,I:I,I396,B:B,B396)&lt;=24)),IF(AND((L396*24)&gt;0,(L396*24)&lt;=8),(L396*24)*MD!$P$4,IF(AND((L396*24)&gt;8,(L396*24)&lt;=16),(MD!$Q$4),IF((L396*24)&gt;16,MD!$Q$4)))))))</f>
        <v>0</v>
      </c>
      <c r="N396" s="62"/>
      <c r="O396" s="72">
        <f t="shared" si="13"/>
        <v>0</v>
      </c>
    </row>
    <row r="397" spans="1:15" x14ac:dyDescent="0.25">
      <c r="A397" s="62">
        <v>396</v>
      </c>
      <c r="B397" s="62"/>
      <c r="C397" s="68" t="str">
        <f>IF(ISNA(VLOOKUP($B397,CPY!$B:$G,2,FALSE))=TRUE," ",VLOOKUP($B397,CPY!$B:$G,2,FALSE))</f>
        <v> </v>
      </c>
      <c r="D397" s="50" t="str">
        <f>IF(ISNA(VLOOKUP($B397,CPY!$B:$G,3,FALSE))=TRUE," ",VLOOKUP($B397,CPY!$B:$G,3,FALSE))</f>
        <v> </v>
      </c>
      <c r="E397" s="65" t="str">
        <f>IF(ISNA(VLOOKUP($B397,CPY!$B:$G,4,FALSE))=TRUE," ",VLOOKUP($B397,CPY!$B:$G,4,FALSE))</f>
        <v> </v>
      </c>
      <c r="F397" s="62"/>
      <c r="G397" s="86"/>
      <c r="H397" s="86"/>
      <c r="I397" s="87"/>
      <c r="J397" s="88"/>
      <c r="K397" s="88"/>
      <c r="L397" s="95">
        <f t="shared" si="12"/>
        <v>0</v>
      </c>
      <c r="M397" s="96" t="b">
        <f>IF((ISNUMBER(L397)),IF(AND(F397="Workdays",(SUMIFS(O:O,F:F,F397,I:I,I397,B:B,B397)&lt;=24)),IF(AND((L397*24)&gt;0,(L397*24)&lt;=8),(L397*24)*MD!$M$5,IF(AND((L397*24)&gt;8,(L397*24)&lt;=16),(MD!$N$5),IF((L397*24)&gt;16,MD!$N$5))),IF(AND(F397="Non_workdays",(SUMIFS(O:O,F:F,F397,I:I,I397,B:B,B397)&lt;=24)),IF(AND((L397*24)&gt;0,(L397*24)&lt;=8),(L397*24)*MD!$M$6,IF(AND((L397*24)&gt;8,(L397*24)&lt;=16),(MD!$N$6),IF((L397*24)&gt;16,MD!$N$6))),IF(AND(F397="Call_out",(SUMIFS(O:O,F:F,F397,I:I,I397,B:B,B397)&lt;=24)),IF(AND((L397*24)&gt;0,(L397*24)&lt;=8),(L397*24)*MD!$P$4,IF(AND((L397*24)&gt;8,(L397*24)&lt;=16),(MD!$Q$4),IF((L397*24)&gt;16,MD!$Q$4)))))))</f>
        <v>0</v>
      </c>
      <c r="N397" s="62"/>
      <c r="O397" s="72">
        <f t="shared" si="13"/>
        <v>0</v>
      </c>
    </row>
    <row r="398" spans="1:15" x14ac:dyDescent="0.25">
      <c r="A398" s="62">
        <v>397</v>
      </c>
      <c r="B398" s="62"/>
      <c r="C398" s="68" t="str">
        <f>IF(ISNA(VLOOKUP($B398,CPY!$B:$G,2,FALSE))=TRUE," ",VLOOKUP($B398,CPY!$B:$G,2,FALSE))</f>
        <v> </v>
      </c>
      <c r="D398" s="50" t="str">
        <f>IF(ISNA(VLOOKUP($B398,CPY!$B:$G,3,FALSE))=TRUE," ",VLOOKUP($B398,CPY!$B:$G,3,FALSE))</f>
        <v> </v>
      </c>
      <c r="E398" s="65" t="str">
        <f>IF(ISNA(VLOOKUP($B398,CPY!$B:$G,4,FALSE))=TRUE," ",VLOOKUP($B398,CPY!$B:$G,4,FALSE))</f>
        <v> </v>
      </c>
      <c r="F398" s="62"/>
      <c r="G398" s="86"/>
      <c r="H398" s="86"/>
      <c r="I398" s="87"/>
      <c r="J398" s="88"/>
      <c r="K398" s="88"/>
      <c r="L398" s="95">
        <f t="shared" si="12"/>
        <v>0</v>
      </c>
      <c r="M398" s="96" t="b">
        <f>IF((ISNUMBER(L398)),IF(AND(F398="Workdays",(SUMIFS(O:O,F:F,F398,I:I,I398,B:B,B398)&lt;=24)),IF(AND((L398*24)&gt;0,(L398*24)&lt;=8),(L398*24)*MD!$M$5,IF(AND((L398*24)&gt;8,(L398*24)&lt;=16),(MD!$N$5),IF((L398*24)&gt;16,MD!$N$5))),IF(AND(F398="Non_workdays",(SUMIFS(O:O,F:F,F398,I:I,I398,B:B,B398)&lt;=24)),IF(AND((L398*24)&gt;0,(L398*24)&lt;=8),(L398*24)*MD!$M$6,IF(AND((L398*24)&gt;8,(L398*24)&lt;=16),(MD!$N$6),IF((L398*24)&gt;16,MD!$N$6))),IF(AND(F398="Call_out",(SUMIFS(O:O,F:F,F398,I:I,I398,B:B,B398)&lt;=24)),IF(AND((L398*24)&gt;0,(L398*24)&lt;=8),(L398*24)*MD!$P$4,IF(AND((L398*24)&gt;8,(L398*24)&lt;=16),(MD!$Q$4),IF((L398*24)&gt;16,MD!$Q$4)))))))</f>
        <v>0</v>
      </c>
      <c r="N398" s="62"/>
      <c r="O398" s="72">
        <f t="shared" si="13"/>
        <v>0</v>
      </c>
    </row>
    <row r="399" spans="1:15" x14ac:dyDescent="0.25">
      <c r="A399" s="62">
        <v>398</v>
      </c>
      <c r="B399" s="62"/>
      <c r="C399" s="68" t="str">
        <f>IF(ISNA(VLOOKUP($B399,CPY!$B:$G,2,FALSE))=TRUE," ",VLOOKUP($B399,CPY!$B:$G,2,FALSE))</f>
        <v> </v>
      </c>
      <c r="D399" s="50" t="str">
        <f>IF(ISNA(VLOOKUP($B399,CPY!$B:$G,3,FALSE))=TRUE," ",VLOOKUP($B399,CPY!$B:$G,3,FALSE))</f>
        <v> </v>
      </c>
      <c r="E399" s="65" t="str">
        <f>IF(ISNA(VLOOKUP($B399,CPY!$B:$G,4,FALSE))=TRUE," ",VLOOKUP($B399,CPY!$B:$G,4,FALSE))</f>
        <v> </v>
      </c>
      <c r="F399" s="62"/>
      <c r="G399" s="86"/>
      <c r="H399" s="86"/>
      <c r="I399" s="87"/>
      <c r="J399" s="88"/>
      <c r="K399" s="88"/>
      <c r="L399" s="95">
        <f t="shared" si="12"/>
        <v>0</v>
      </c>
      <c r="M399" s="96" t="b">
        <f>IF((ISNUMBER(L399)),IF(AND(F399="Workdays",(SUMIFS(O:O,F:F,F399,I:I,I399,B:B,B399)&lt;=24)),IF(AND((L399*24)&gt;0,(L399*24)&lt;=8),(L399*24)*MD!$M$5,IF(AND((L399*24)&gt;8,(L399*24)&lt;=16),(MD!$N$5),IF((L399*24)&gt;16,MD!$N$5))),IF(AND(F399="Non_workdays",(SUMIFS(O:O,F:F,F399,I:I,I399,B:B,B399)&lt;=24)),IF(AND((L399*24)&gt;0,(L399*24)&lt;=8),(L399*24)*MD!$M$6,IF(AND((L399*24)&gt;8,(L399*24)&lt;=16),(MD!$N$6),IF((L399*24)&gt;16,MD!$N$6))),IF(AND(F399="Call_out",(SUMIFS(O:O,F:F,F399,I:I,I399,B:B,B399)&lt;=24)),IF(AND((L399*24)&gt;0,(L399*24)&lt;=8),(L399*24)*MD!$P$4,IF(AND((L399*24)&gt;8,(L399*24)&lt;=16),(MD!$Q$4),IF((L399*24)&gt;16,MD!$Q$4)))))))</f>
        <v>0</v>
      </c>
      <c r="N399" s="62"/>
      <c r="O399" s="72">
        <f t="shared" si="13"/>
        <v>0</v>
      </c>
    </row>
    <row r="400" spans="1:15" x14ac:dyDescent="0.25">
      <c r="A400" s="62">
        <v>399</v>
      </c>
      <c r="B400" s="62"/>
      <c r="C400" s="68" t="str">
        <f>IF(ISNA(VLOOKUP($B400,CPY!$B:$G,2,FALSE))=TRUE," ",VLOOKUP($B400,CPY!$B:$G,2,FALSE))</f>
        <v> </v>
      </c>
      <c r="D400" s="50" t="str">
        <f>IF(ISNA(VLOOKUP($B400,CPY!$B:$G,3,FALSE))=TRUE," ",VLOOKUP($B400,CPY!$B:$G,3,FALSE))</f>
        <v> </v>
      </c>
      <c r="E400" s="65" t="str">
        <f>IF(ISNA(VLOOKUP($B400,CPY!$B:$G,4,FALSE))=TRUE," ",VLOOKUP($B400,CPY!$B:$G,4,FALSE))</f>
        <v> </v>
      </c>
      <c r="F400" s="62"/>
      <c r="G400" s="86"/>
      <c r="H400" s="86"/>
      <c r="I400" s="87"/>
      <c r="J400" s="88"/>
      <c r="K400" s="88"/>
      <c r="L400" s="95">
        <f t="shared" si="12"/>
        <v>0</v>
      </c>
      <c r="M400" s="96" t="b">
        <f>IF((ISNUMBER(L400)),IF(AND(F400="Workdays",(SUMIFS(O:O,F:F,F400,I:I,I400,B:B,B400)&lt;=24)),IF(AND((L400*24)&gt;0,(L400*24)&lt;=8),(L400*24)*MD!$M$5,IF(AND((L400*24)&gt;8,(L400*24)&lt;=16),(MD!$N$5),IF((L400*24)&gt;16,MD!$N$5))),IF(AND(F400="Non_workdays",(SUMIFS(O:O,F:F,F400,I:I,I400,B:B,B400)&lt;=24)),IF(AND((L400*24)&gt;0,(L400*24)&lt;=8),(L400*24)*MD!$M$6,IF(AND((L400*24)&gt;8,(L400*24)&lt;=16),(MD!$N$6),IF((L400*24)&gt;16,MD!$N$6))),IF(AND(F400="Call_out",(SUMIFS(O:O,F:F,F400,I:I,I400,B:B,B400)&lt;=24)),IF(AND((L400*24)&gt;0,(L400*24)&lt;=8),(L400*24)*MD!$P$4,IF(AND((L400*24)&gt;8,(L400*24)&lt;=16),(MD!$Q$4),IF((L400*24)&gt;16,MD!$Q$4)))))))</f>
        <v>0</v>
      </c>
      <c r="N400" s="62"/>
      <c r="O400" s="72">
        <f t="shared" si="13"/>
        <v>0</v>
      </c>
    </row>
    <row r="401" spans="1:15" x14ac:dyDescent="0.25">
      <c r="A401" s="62">
        <v>400</v>
      </c>
      <c r="B401" s="62"/>
      <c r="C401" s="68" t="str">
        <f>IF(ISNA(VLOOKUP($B401,CPY!$B:$G,2,FALSE))=TRUE," ",VLOOKUP($B401,CPY!$B:$G,2,FALSE))</f>
        <v> </v>
      </c>
      <c r="D401" s="50" t="str">
        <f>IF(ISNA(VLOOKUP($B401,CPY!$B:$G,3,FALSE))=TRUE," ",VLOOKUP($B401,CPY!$B:$G,3,FALSE))</f>
        <v> </v>
      </c>
      <c r="E401" s="65" t="str">
        <f>IF(ISNA(VLOOKUP($B401,CPY!$B:$G,4,FALSE))=TRUE," ",VLOOKUP($B401,CPY!$B:$G,4,FALSE))</f>
        <v> </v>
      </c>
      <c r="F401" s="62"/>
      <c r="G401" s="86"/>
      <c r="H401" s="86"/>
      <c r="I401" s="87"/>
      <c r="J401" s="88"/>
      <c r="K401" s="88"/>
      <c r="L401" s="95">
        <f t="shared" si="12"/>
        <v>0</v>
      </c>
      <c r="M401" s="96" t="b">
        <f>IF((ISNUMBER(L401)),IF(AND(F401="Workdays",(SUMIFS(O:O,F:F,F401,I:I,I401,B:B,B401)&lt;=24)),IF(AND((L401*24)&gt;0,(L401*24)&lt;=8),(L401*24)*MD!$M$5,IF(AND((L401*24)&gt;8,(L401*24)&lt;=16),(MD!$N$5),IF((L401*24)&gt;16,MD!$N$5))),IF(AND(F401="Non_workdays",(SUMIFS(O:O,F:F,F401,I:I,I401,B:B,B401)&lt;=24)),IF(AND((L401*24)&gt;0,(L401*24)&lt;=8),(L401*24)*MD!$M$6,IF(AND((L401*24)&gt;8,(L401*24)&lt;=16),(MD!$N$6),IF((L401*24)&gt;16,MD!$N$6))),IF(AND(F401="Call_out",(SUMIFS(O:O,F:F,F401,I:I,I401,B:B,B401)&lt;=24)),IF(AND((L401*24)&gt;0,(L401*24)&lt;=8),(L401*24)*MD!$P$4,IF(AND((L401*24)&gt;8,(L401*24)&lt;=16),(MD!$Q$4),IF((L401*24)&gt;16,MD!$Q$4)))))))</f>
        <v>0</v>
      </c>
      <c r="N401" s="62"/>
      <c r="O401" s="72">
        <f t="shared" si="13"/>
        <v>0</v>
      </c>
    </row>
    <row r="402" spans="1:15" x14ac:dyDescent="0.25">
      <c r="A402" s="62">
        <v>401</v>
      </c>
      <c r="B402" s="62"/>
      <c r="C402" s="68" t="str">
        <f>IF(ISNA(VLOOKUP($B402,CPY!$B:$G,2,FALSE))=TRUE," ",VLOOKUP($B402,CPY!$B:$G,2,FALSE))</f>
        <v> </v>
      </c>
      <c r="D402" s="50" t="str">
        <f>IF(ISNA(VLOOKUP($B402,CPY!$B:$G,3,FALSE))=TRUE," ",VLOOKUP($B402,CPY!$B:$G,3,FALSE))</f>
        <v> </v>
      </c>
      <c r="E402" s="65" t="str">
        <f>IF(ISNA(VLOOKUP($B402,CPY!$B:$G,4,FALSE))=TRUE," ",VLOOKUP($B402,CPY!$B:$G,4,FALSE))</f>
        <v> </v>
      </c>
      <c r="F402" s="62"/>
      <c r="G402" s="86"/>
      <c r="H402" s="86"/>
      <c r="I402" s="87"/>
      <c r="J402" s="88"/>
      <c r="K402" s="88"/>
      <c r="L402" s="95">
        <f t="shared" si="12"/>
        <v>0</v>
      </c>
      <c r="M402" s="96" t="b">
        <f>IF((ISNUMBER(L402)),IF(AND(F402="Workdays",(SUMIFS(O:O,F:F,F402,I:I,I402,B:B,B402)&lt;=24)),IF(AND((L402*24)&gt;0,(L402*24)&lt;=8),(L402*24)*MD!$M$5,IF(AND((L402*24)&gt;8,(L402*24)&lt;=16),(MD!$N$5),IF((L402*24)&gt;16,MD!$N$5))),IF(AND(F402="Non_workdays",(SUMIFS(O:O,F:F,F402,I:I,I402,B:B,B402)&lt;=24)),IF(AND((L402*24)&gt;0,(L402*24)&lt;=8),(L402*24)*MD!$M$6,IF(AND((L402*24)&gt;8,(L402*24)&lt;=16),(MD!$N$6),IF((L402*24)&gt;16,MD!$N$6))),IF(AND(F402="Call_out",(SUMIFS(O:O,F:F,F402,I:I,I402,B:B,B402)&lt;=24)),IF(AND((L402*24)&gt;0,(L402*24)&lt;=8),(L402*24)*MD!$P$4,IF(AND((L402*24)&gt;8,(L402*24)&lt;=16),(MD!$Q$4),IF((L402*24)&gt;16,MD!$Q$4)))))))</f>
        <v>0</v>
      </c>
      <c r="N402" s="62"/>
      <c r="O402" s="72">
        <f t="shared" si="13"/>
        <v>0</v>
      </c>
    </row>
    <row r="403" spans="1:15" x14ac:dyDescent="0.25">
      <c r="A403" s="62">
        <v>402</v>
      </c>
      <c r="B403" s="62"/>
      <c r="C403" s="68" t="str">
        <f>IF(ISNA(VLOOKUP($B403,CPY!$B:$G,2,FALSE))=TRUE," ",VLOOKUP($B403,CPY!$B:$G,2,FALSE))</f>
        <v> </v>
      </c>
      <c r="D403" s="50" t="str">
        <f>IF(ISNA(VLOOKUP($B403,CPY!$B:$G,3,FALSE))=TRUE," ",VLOOKUP($B403,CPY!$B:$G,3,FALSE))</f>
        <v> </v>
      </c>
      <c r="E403" s="65" t="str">
        <f>IF(ISNA(VLOOKUP($B403,CPY!$B:$G,4,FALSE))=TRUE," ",VLOOKUP($B403,CPY!$B:$G,4,FALSE))</f>
        <v> </v>
      </c>
      <c r="F403" s="62"/>
      <c r="G403" s="86"/>
      <c r="H403" s="86"/>
      <c r="I403" s="87"/>
      <c r="J403" s="88"/>
      <c r="K403" s="88"/>
      <c r="L403" s="95">
        <f t="shared" si="12"/>
        <v>0</v>
      </c>
      <c r="M403" s="96" t="b">
        <f>IF((ISNUMBER(L403)),IF(AND(F403="Workdays",(SUMIFS(O:O,F:F,F403,I:I,I403,B:B,B403)&lt;=24)),IF(AND((L403*24)&gt;0,(L403*24)&lt;=8),(L403*24)*MD!$M$5,IF(AND((L403*24)&gt;8,(L403*24)&lt;=16),(MD!$N$5),IF((L403*24)&gt;16,MD!$N$5))),IF(AND(F403="Non_workdays",(SUMIFS(O:O,F:F,F403,I:I,I403,B:B,B403)&lt;=24)),IF(AND((L403*24)&gt;0,(L403*24)&lt;=8),(L403*24)*MD!$M$6,IF(AND((L403*24)&gt;8,(L403*24)&lt;=16),(MD!$N$6),IF((L403*24)&gt;16,MD!$N$6))),IF(AND(F403="Call_out",(SUMIFS(O:O,F:F,F403,I:I,I403,B:B,B403)&lt;=24)),IF(AND((L403*24)&gt;0,(L403*24)&lt;=8),(L403*24)*MD!$P$4,IF(AND((L403*24)&gt;8,(L403*24)&lt;=16),(MD!$Q$4),IF((L403*24)&gt;16,MD!$Q$4)))))))</f>
        <v>0</v>
      </c>
      <c r="N403" s="62"/>
      <c r="O403" s="72">
        <f t="shared" si="13"/>
        <v>0</v>
      </c>
    </row>
    <row r="404" spans="1:15" x14ac:dyDescent="0.25">
      <c r="A404" s="62">
        <v>403</v>
      </c>
      <c r="B404" s="62"/>
      <c r="C404" s="68" t="str">
        <f>IF(ISNA(VLOOKUP($B404,CPY!$B:$G,2,FALSE))=TRUE," ",VLOOKUP($B404,CPY!$B:$G,2,FALSE))</f>
        <v> </v>
      </c>
      <c r="D404" s="50" t="str">
        <f>IF(ISNA(VLOOKUP($B404,CPY!$B:$G,3,FALSE))=TRUE," ",VLOOKUP($B404,CPY!$B:$G,3,FALSE))</f>
        <v> </v>
      </c>
      <c r="E404" s="65" t="str">
        <f>IF(ISNA(VLOOKUP($B404,CPY!$B:$G,4,FALSE))=TRUE," ",VLOOKUP($B404,CPY!$B:$G,4,FALSE))</f>
        <v> </v>
      </c>
      <c r="F404" s="62"/>
      <c r="G404" s="86"/>
      <c r="H404" s="86"/>
      <c r="I404" s="87"/>
      <c r="J404" s="88"/>
      <c r="K404" s="88"/>
      <c r="L404" s="95">
        <f t="shared" si="12"/>
        <v>0</v>
      </c>
      <c r="M404" s="96" t="b">
        <f>IF((ISNUMBER(L404)),IF(AND(F404="Workdays",(SUMIFS(O:O,F:F,F404,I:I,I404,B:B,B404)&lt;=24)),IF(AND((L404*24)&gt;0,(L404*24)&lt;=8),(L404*24)*MD!$M$5,IF(AND((L404*24)&gt;8,(L404*24)&lt;=16),(MD!$N$5),IF((L404*24)&gt;16,MD!$N$5))),IF(AND(F404="Non_workdays",(SUMIFS(O:O,F:F,F404,I:I,I404,B:B,B404)&lt;=24)),IF(AND((L404*24)&gt;0,(L404*24)&lt;=8),(L404*24)*MD!$M$6,IF(AND((L404*24)&gt;8,(L404*24)&lt;=16),(MD!$N$6),IF((L404*24)&gt;16,MD!$N$6))),IF(AND(F404="Call_out",(SUMIFS(O:O,F:F,F404,I:I,I404,B:B,B404)&lt;=24)),IF(AND((L404*24)&gt;0,(L404*24)&lt;=8),(L404*24)*MD!$P$4,IF(AND((L404*24)&gt;8,(L404*24)&lt;=16),(MD!$Q$4),IF((L404*24)&gt;16,MD!$Q$4)))))))</f>
        <v>0</v>
      </c>
      <c r="N404" s="62"/>
      <c r="O404" s="72">
        <f t="shared" si="13"/>
        <v>0</v>
      </c>
    </row>
    <row r="405" spans="1:15" x14ac:dyDescent="0.25">
      <c r="A405" s="62">
        <v>404</v>
      </c>
      <c r="B405" s="62"/>
      <c r="C405" s="68" t="str">
        <f>IF(ISNA(VLOOKUP($B405,CPY!$B:$G,2,FALSE))=TRUE," ",VLOOKUP($B405,CPY!$B:$G,2,FALSE))</f>
        <v> </v>
      </c>
      <c r="D405" s="50" t="str">
        <f>IF(ISNA(VLOOKUP($B405,CPY!$B:$G,3,FALSE))=TRUE," ",VLOOKUP($B405,CPY!$B:$G,3,FALSE))</f>
        <v> </v>
      </c>
      <c r="E405" s="65" t="str">
        <f>IF(ISNA(VLOOKUP($B405,CPY!$B:$G,4,FALSE))=TRUE," ",VLOOKUP($B405,CPY!$B:$G,4,FALSE))</f>
        <v> </v>
      </c>
      <c r="F405" s="62"/>
      <c r="G405" s="86"/>
      <c r="H405" s="86"/>
      <c r="I405" s="87"/>
      <c r="J405" s="88"/>
      <c r="K405" s="88"/>
      <c r="L405" s="95">
        <f t="shared" si="12"/>
        <v>0</v>
      </c>
      <c r="M405" s="96" t="b">
        <f>IF((ISNUMBER(L405)),IF(AND(F405="Workdays",(SUMIFS(O:O,F:F,F405,I:I,I405,B:B,B405)&lt;=24)),IF(AND((L405*24)&gt;0,(L405*24)&lt;=8),(L405*24)*MD!$M$5,IF(AND((L405*24)&gt;8,(L405*24)&lt;=16),(MD!$N$5),IF((L405*24)&gt;16,MD!$N$5))),IF(AND(F405="Non_workdays",(SUMIFS(O:O,F:F,F405,I:I,I405,B:B,B405)&lt;=24)),IF(AND((L405*24)&gt;0,(L405*24)&lt;=8),(L405*24)*MD!$M$6,IF(AND((L405*24)&gt;8,(L405*24)&lt;=16),(MD!$N$6),IF((L405*24)&gt;16,MD!$N$6))),IF(AND(F405="Call_out",(SUMIFS(O:O,F:F,F405,I:I,I405,B:B,B405)&lt;=24)),IF(AND((L405*24)&gt;0,(L405*24)&lt;=8),(L405*24)*MD!$P$4,IF(AND((L405*24)&gt;8,(L405*24)&lt;=16),(MD!$Q$4),IF((L405*24)&gt;16,MD!$Q$4)))))))</f>
        <v>0</v>
      </c>
      <c r="N405" s="62"/>
      <c r="O405" s="72">
        <f t="shared" si="13"/>
        <v>0</v>
      </c>
    </row>
    <row r="406" spans="1:15" x14ac:dyDescent="0.25">
      <c r="A406" s="62">
        <v>405</v>
      </c>
      <c r="B406" s="62"/>
      <c r="C406" s="68" t="str">
        <f>IF(ISNA(VLOOKUP($B406,CPY!$B:$G,2,FALSE))=TRUE," ",VLOOKUP($B406,CPY!$B:$G,2,FALSE))</f>
        <v> </v>
      </c>
      <c r="D406" s="50" t="str">
        <f>IF(ISNA(VLOOKUP($B406,CPY!$B:$G,3,FALSE))=TRUE," ",VLOOKUP($B406,CPY!$B:$G,3,FALSE))</f>
        <v> </v>
      </c>
      <c r="E406" s="65" t="str">
        <f>IF(ISNA(VLOOKUP($B406,CPY!$B:$G,4,FALSE))=TRUE," ",VLOOKUP($B406,CPY!$B:$G,4,FALSE))</f>
        <v> </v>
      </c>
      <c r="F406" s="62"/>
      <c r="G406" s="86"/>
      <c r="H406" s="86"/>
      <c r="I406" s="87"/>
      <c r="J406" s="88"/>
      <c r="K406" s="88"/>
      <c r="L406" s="95">
        <f t="shared" si="12"/>
        <v>0</v>
      </c>
      <c r="M406" s="96" t="b">
        <f>IF((ISNUMBER(L406)),IF(AND(F406="Workdays",(SUMIFS(O:O,F:F,F406,I:I,I406,B:B,B406)&lt;=24)),IF(AND((L406*24)&gt;0,(L406*24)&lt;=8),(L406*24)*MD!$M$5,IF(AND((L406*24)&gt;8,(L406*24)&lt;=16),(MD!$N$5),IF((L406*24)&gt;16,MD!$N$5))),IF(AND(F406="Non_workdays",(SUMIFS(O:O,F:F,F406,I:I,I406,B:B,B406)&lt;=24)),IF(AND((L406*24)&gt;0,(L406*24)&lt;=8),(L406*24)*MD!$M$6,IF(AND((L406*24)&gt;8,(L406*24)&lt;=16),(MD!$N$6),IF((L406*24)&gt;16,MD!$N$6))),IF(AND(F406="Call_out",(SUMIFS(O:O,F:F,F406,I:I,I406,B:B,B406)&lt;=24)),IF(AND((L406*24)&gt;0,(L406*24)&lt;=8),(L406*24)*MD!$P$4,IF(AND((L406*24)&gt;8,(L406*24)&lt;=16),(MD!$Q$4),IF((L406*24)&gt;16,MD!$Q$4)))))))</f>
        <v>0</v>
      </c>
      <c r="N406" s="62"/>
      <c r="O406" s="72">
        <f t="shared" si="13"/>
        <v>0</v>
      </c>
    </row>
    <row r="407" spans="1:15" x14ac:dyDescent="0.25">
      <c r="A407" s="62">
        <v>406</v>
      </c>
      <c r="B407" s="62"/>
      <c r="C407" s="68" t="str">
        <f>IF(ISNA(VLOOKUP($B407,CPY!$B:$G,2,FALSE))=TRUE," ",VLOOKUP($B407,CPY!$B:$G,2,FALSE))</f>
        <v> </v>
      </c>
      <c r="D407" s="50" t="str">
        <f>IF(ISNA(VLOOKUP($B407,CPY!$B:$G,3,FALSE))=TRUE," ",VLOOKUP($B407,CPY!$B:$G,3,FALSE))</f>
        <v> </v>
      </c>
      <c r="E407" s="65" t="str">
        <f>IF(ISNA(VLOOKUP($B407,CPY!$B:$G,4,FALSE))=TRUE," ",VLOOKUP($B407,CPY!$B:$G,4,FALSE))</f>
        <v> </v>
      </c>
      <c r="F407" s="62"/>
      <c r="G407" s="86"/>
      <c r="H407" s="86"/>
      <c r="I407" s="87"/>
      <c r="J407" s="88"/>
      <c r="K407" s="88"/>
      <c r="L407" s="95">
        <f t="shared" si="12"/>
        <v>0</v>
      </c>
      <c r="M407" s="96" t="b">
        <f>IF((ISNUMBER(L407)),IF(AND(F407="Workdays",(SUMIFS(O:O,F:F,F407,I:I,I407,B:B,B407)&lt;=24)),IF(AND((L407*24)&gt;0,(L407*24)&lt;=8),(L407*24)*MD!$M$5,IF(AND((L407*24)&gt;8,(L407*24)&lt;=16),(MD!$N$5),IF((L407*24)&gt;16,MD!$N$5))),IF(AND(F407="Non_workdays",(SUMIFS(O:O,F:F,F407,I:I,I407,B:B,B407)&lt;=24)),IF(AND((L407*24)&gt;0,(L407*24)&lt;=8),(L407*24)*MD!$M$6,IF(AND((L407*24)&gt;8,(L407*24)&lt;=16),(MD!$N$6),IF((L407*24)&gt;16,MD!$N$6))),IF(AND(F407="Call_out",(SUMIFS(O:O,F:F,F407,I:I,I407,B:B,B407)&lt;=24)),IF(AND((L407*24)&gt;0,(L407*24)&lt;=8),(L407*24)*MD!$P$4,IF(AND((L407*24)&gt;8,(L407*24)&lt;=16),(MD!$Q$4),IF((L407*24)&gt;16,MD!$Q$4)))))))</f>
        <v>0</v>
      </c>
      <c r="N407" s="62"/>
      <c r="O407" s="72">
        <f t="shared" si="13"/>
        <v>0</v>
      </c>
    </row>
    <row r="408" spans="1:15" x14ac:dyDescent="0.25">
      <c r="A408" s="62">
        <v>407</v>
      </c>
      <c r="B408" s="62"/>
      <c r="C408" s="68" t="str">
        <f>IF(ISNA(VLOOKUP($B408,CPY!$B:$G,2,FALSE))=TRUE," ",VLOOKUP($B408,CPY!$B:$G,2,FALSE))</f>
        <v> </v>
      </c>
      <c r="D408" s="50" t="str">
        <f>IF(ISNA(VLOOKUP($B408,CPY!$B:$G,3,FALSE))=TRUE," ",VLOOKUP($B408,CPY!$B:$G,3,FALSE))</f>
        <v> </v>
      </c>
      <c r="E408" s="65" t="str">
        <f>IF(ISNA(VLOOKUP($B408,CPY!$B:$G,4,FALSE))=TRUE," ",VLOOKUP($B408,CPY!$B:$G,4,FALSE))</f>
        <v> </v>
      </c>
      <c r="F408" s="62"/>
      <c r="G408" s="86"/>
      <c r="H408" s="86"/>
      <c r="I408" s="87"/>
      <c r="J408" s="88"/>
      <c r="K408" s="88"/>
      <c r="L408" s="95">
        <f t="shared" si="12"/>
        <v>0</v>
      </c>
      <c r="M408" s="96" t="b">
        <f>IF((ISNUMBER(L408)),IF(AND(F408="Workdays",(SUMIFS(O:O,F:F,F408,I:I,I408,B:B,B408)&lt;=24)),IF(AND((L408*24)&gt;0,(L408*24)&lt;=8),(L408*24)*MD!$M$5,IF(AND((L408*24)&gt;8,(L408*24)&lt;=16),(MD!$N$5),IF((L408*24)&gt;16,MD!$N$5))),IF(AND(F408="Non_workdays",(SUMIFS(O:O,F:F,F408,I:I,I408,B:B,B408)&lt;=24)),IF(AND((L408*24)&gt;0,(L408*24)&lt;=8),(L408*24)*MD!$M$6,IF(AND((L408*24)&gt;8,(L408*24)&lt;=16),(MD!$N$6),IF((L408*24)&gt;16,MD!$N$6))),IF(AND(F408="Call_out",(SUMIFS(O:O,F:F,F408,I:I,I408,B:B,B408)&lt;=24)),IF(AND((L408*24)&gt;0,(L408*24)&lt;=8),(L408*24)*MD!$P$4,IF(AND((L408*24)&gt;8,(L408*24)&lt;=16),(MD!$Q$4),IF((L408*24)&gt;16,MD!$Q$4)))))))</f>
        <v>0</v>
      </c>
      <c r="N408" s="62"/>
      <c r="O408" s="72">
        <f t="shared" si="13"/>
        <v>0</v>
      </c>
    </row>
    <row r="409" spans="1:15" x14ac:dyDescent="0.25">
      <c r="A409" s="62">
        <v>408</v>
      </c>
      <c r="B409" s="62"/>
      <c r="C409" s="68" t="str">
        <f>IF(ISNA(VLOOKUP($B409,CPY!$B:$G,2,FALSE))=TRUE," ",VLOOKUP($B409,CPY!$B:$G,2,FALSE))</f>
        <v> </v>
      </c>
      <c r="D409" s="50" t="str">
        <f>IF(ISNA(VLOOKUP($B409,CPY!$B:$G,3,FALSE))=TRUE," ",VLOOKUP($B409,CPY!$B:$G,3,FALSE))</f>
        <v> </v>
      </c>
      <c r="E409" s="65" t="str">
        <f>IF(ISNA(VLOOKUP($B409,CPY!$B:$G,4,FALSE))=TRUE," ",VLOOKUP($B409,CPY!$B:$G,4,FALSE))</f>
        <v> </v>
      </c>
      <c r="F409" s="62"/>
      <c r="G409" s="86"/>
      <c r="H409" s="86"/>
      <c r="I409" s="87"/>
      <c r="J409" s="88"/>
      <c r="K409" s="88"/>
      <c r="L409" s="95">
        <f t="shared" si="12"/>
        <v>0</v>
      </c>
      <c r="M409" s="96" t="b">
        <f>IF((ISNUMBER(L409)),IF(AND(F409="Workdays",(SUMIFS(O:O,F:F,F409,I:I,I409,B:B,B409)&lt;=24)),IF(AND((L409*24)&gt;0,(L409*24)&lt;=8),(L409*24)*MD!$M$5,IF(AND((L409*24)&gt;8,(L409*24)&lt;=16),(MD!$N$5),IF((L409*24)&gt;16,MD!$N$5))),IF(AND(F409="Non_workdays",(SUMIFS(O:O,F:F,F409,I:I,I409,B:B,B409)&lt;=24)),IF(AND((L409*24)&gt;0,(L409*24)&lt;=8),(L409*24)*MD!$M$6,IF(AND((L409*24)&gt;8,(L409*24)&lt;=16),(MD!$N$6),IF((L409*24)&gt;16,MD!$N$6))),IF(AND(F409="Call_out",(SUMIFS(O:O,F:F,F409,I:I,I409,B:B,B409)&lt;=24)),IF(AND((L409*24)&gt;0,(L409*24)&lt;=8),(L409*24)*MD!$P$4,IF(AND((L409*24)&gt;8,(L409*24)&lt;=16),(MD!$Q$4),IF((L409*24)&gt;16,MD!$Q$4)))))))</f>
        <v>0</v>
      </c>
      <c r="N409" s="62"/>
      <c r="O409" s="72">
        <f t="shared" si="13"/>
        <v>0</v>
      </c>
    </row>
    <row r="410" spans="1:15" x14ac:dyDescent="0.25">
      <c r="A410" s="62">
        <v>409</v>
      </c>
      <c r="B410" s="62"/>
      <c r="C410" s="68" t="str">
        <f>IF(ISNA(VLOOKUP($B410,CPY!$B:$G,2,FALSE))=TRUE," ",VLOOKUP($B410,CPY!$B:$G,2,FALSE))</f>
        <v> </v>
      </c>
      <c r="D410" s="50" t="str">
        <f>IF(ISNA(VLOOKUP($B410,CPY!$B:$G,3,FALSE))=TRUE," ",VLOOKUP($B410,CPY!$B:$G,3,FALSE))</f>
        <v> </v>
      </c>
      <c r="E410" s="65" t="str">
        <f>IF(ISNA(VLOOKUP($B410,CPY!$B:$G,4,FALSE))=TRUE," ",VLOOKUP($B410,CPY!$B:$G,4,FALSE))</f>
        <v> </v>
      </c>
      <c r="F410" s="62"/>
      <c r="G410" s="86"/>
      <c r="H410" s="86"/>
      <c r="I410" s="87"/>
      <c r="J410" s="88"/>
      <c r="K410" s="88"/>
      <c r="L410" s="95">
        <f t="shared" si="12"/>
        <v>0</v>
      </c>
      <c r="M410" s="96" t="b">
        <f>IF((ISNUMBER(L410)),IF(AND(F410="Workdays",(SUMIFS(O:O,F:F,F410,I:I,I410,B:B,B410)&lt;=24)),IF(AND((L410*24)&gt;0,(L410*24)&lt;=8),(L410*24)*MD!$M$5,IF(AND((L410*24)&gt;8,(L410*24)&lt;=16),(MD!$N$5),IF((L410*24)&gt;16,MD!$N$5))),IF(AND(F410="Non_workdays",(SUMIFS(O:O,F:F,F410,I:I,I410,B:B,B410)&lt;=24)),IF(AND((L410*24)&gt;0,(L410*24)&lt;=8),(L410*24)*MD!$M$6,IF(AND((L410*24)&gt;8,(L410*24)&lt;=16),(MD!$N$6),IF((L410*24)&gt;16,MD!$N$6))),IF(AND(F410="Call_out",(SUMIFS(O:O,F:F,F410,I:I,I410,B:B,B410)&lt;=24)),IF(AND((L410*24)&gt;0,(L410*24)&lt;=8),(L410*24)*MD!$P$4,IF(AND((L410*24)&gt;8,(L410*24)&lt;=16),(MD!$Q$4),IF((L410*24)&gt;16,MD!$Q$4)))))))</f>
        <v>0</v>
      </c>
      <c r="N410" s="62"/>
      <c r="O410" s="72">
        <f t="shared" si="13"/>
        <v>0</v>
      </c>
    </row>
    <row r="411" spans="1:15" x14ac:dyDescent="0.25">
      <c r="A411" s="62">
        <v>410</v>
      </c>
      <c r="B411" s="62"/>
      <c r="C411" s="68" t="str">
        <f>IF(ISNA(VLOOKUP($B411,CPY!$B:$G,2,FALSE))=TRUE," ",VLOOKUP($B411,CPY!$B:$G,2,FALSE))</f>
        <v> </v>
      </c>
      <c r="D411" s="50" t="str">
        <f>IF(ISNA(VLOOKUP($B411,CPY!$B:$G,3,FALSE))=TRUE," ",VLOOKUP($B411,CPY!$B:$G,3,FALSE))</f>
        <v> </v>
      </c>
      <c r="E411" s="65" t="str">
        <f>IF(ISNA(VLOOKUP($B411,CPY!$B:$G,4,FALSE))=TRUE," ",VLOOKUP($B411,CPY!$B:$G,4,FALSE))</f>
        <v> </v>
      </c>
      <c r="F411" s="62"/>
      <c r="G411" s="86"/>
      <c r="H411" s="86"/>
      <c r="I411" s="87"/>
      <c r="J411" s="88"/>
      <c r="K411" s="88"/>
      <c r="L411" s="95">
        <f t="shared" si="12"/>
        <v>0</v>
      </c>
      <c r="M411" s="96" t="b">
        <f>IF((ISNUMBER(L411)),IF(AND(F411="Workdays",(SUMIFS(O:O,F:F,F411,I:I,I411,B:B,B411)&lt;=24)),IF(AND((L411*24)&gt;0,(L411*24)&lt;=8),(L411*24)*MD!$M$5,IF(AND((L411*24)&gt;8,(L411*24)&lt;=16),(MD!$N$5),IF((L411*24)&gt;16,MD!$N$5))),IF(AND(F411="Non_workdays",(SUMIFS(O:O,F:F,F411,I:I,I411,B:B,B411)&lt;=24)),IF(AND((L411*24)&gt;0,(L411*24)&lt;=8),(L411*24)*MD!$M$6,IF(AND((L411*24)&gt;8,(L411*24)&lt;=16),(MD!$N$6),IF((L411*24)&gt;16,MD!$N$6))),IF(AND(F411="Call_out",(SUMIFS(O:O,F:F,F411,I:I,I411,B:B,B411)&lt;=24)),IF(AND((L411*24)&gt;0,(L411*24)&lt;=8),(L411*24)*MD!$P$4,IF(AND((L411*24)&gt;8,(L411*24)&lt;=16),(MD!$Q$4),IF((L411*24)&gt;16,MD!$Q$4)))))))</f>
        <v>0</v>
      </c>
      <c r="N411" s="62"/>
      <c r="O411" s="72">
        <f t="shared" si="13"/>
        <v>0</v>
      </c>
    </row>
    <row r="412" spans="1:15" x14ac:dyDescent="0.25">
      <c r="A412" s="62">
        <v>411</v>
      </c>
      <c r="B412" s="62"/>
      <c r="C412" s="68" t="str">
        <f>IF(ISNA(VLOOKUP($B412,CPY!$B:$G,2,FALSE))=TRUE," ",VLOOKUP($B412,CPY!$B:$G,2,FALSE))</f>
        <v> </v>
      </c>
      <c r="D412" s="50" t="str">
        <f>IF(ISNA(VLOOKUP($B412,CPY!$B:$G,3,FALSE))=TRUE," ",VLOOKUP($B412,CPY!$B:$G,3,FALSE))</f>
        <v> </v>
      </c>
      <c r="E412" s="65" t="str">
        <f>IF(ISNA(VLOOKUP($B412,CPY!$B:$G,4,FALSE))=TRUE," ",VLOOKUP($B412,CPY!$B:$G,4,FALSE))</f>
        <v> </v>
      </c>
      <c r="F412" s="62"/>
      <c r="G412" s="86"/>
      <c r="H412" s="86"/>
      <c r="I412" s="87"/>
      <c r="J412" s="88"/>
      <c r="K412" s="88"/>
      <c r="L412" s="95">
        <f t="shared" si="12"/>
        <v>0</v>
      </c>
      <c r="M412" s="96" t="b">
        <f>IF((ISNUMBER(L412)),IF(AND(F412="Workdays",(SUMIFS(O:O,F:F,F412,I:I,I412,B:B,B412)&lt;=24)),IF(AND((L412*24)&gt;0,(L412*24)&lt;=8),(L412*24)*MD!$M$5,IF(AND((L412*24)&gt;8,(L412*24)&lt;=16),(MD!$N$5),IF((L412*24)&gt;16,MD!$N$5))),IF(AND(F412="Non_workdays",(SUMIFS(O:O,F:F,F412,I:I,I412,B:B,B412)&lt;=24)),IF(AND((L412*24)&gt;0,(L412*24)&lt;=8),(L412*24)*MD!$M$6,IF(AND((L412*24)&gt;8,(L412*24)&lt;=16),(MD!$N$6),IF((L412*24)&gt;16,MD!$N$6))),IF(AND(F412="Call_out",(SUMIFS(O:O,F:F,F412,I:I,I412,B:B,B412)&lt;=24)),IF(AND((L412*24)&gt;0,(L412*24)&lt;=8),(L412*24)*MD!$P$4,IF(AND((L412*24)&gt;8,(L412*24)&lt;=16),(MD!$Q$4),IF((L412*24)&gt;16,MD!$Q$4)))))))</f>
        <v>0</v>
      </c>
      <c r="N412" s="62"/>
      <c r="O412" s="72">
        <f t="shared" si="13"/>
        <v>0</v>
      </c>
    </row>
    <row r="413" spans="1:15" x14ac:dyDescent="0.25">
      <c r="A413" s="62">
        <v>412</v>
      </c>
      <c r="B413" s="62"/>
      <c r="C413" s="68" t="str">
        <f>IF(ISNA(VLOOKUP($B413,CPY!$B:$G,2,FALSE))=TRUE," ",VLOOKUP($B413,CPY!$B:$G,2,FALSE))</f>
        <v> </v>
      </c>
      <c r="D413" s="50" t="str">
        <f>IF(ISNA(VLOOKUP($B413,CPY!$B:$G,3,FALSE))=TRUE," ",VLOOKUP($B413,CPY!$B:$G,3,FALSE))</f>
        <v> </v>
      </c>
      <c r="E413" s="65" t="str">
        <f>IF(ISNA(VLOOKUP($B413,CPY!$B:$G,4,FALSE))=TRUE," ",VLOOKUP($B413,CPY!$B:$G,4,FALSE))</f>
        <v> </v>
      </c>
      <c r="F413" s="62"/>
      <c r="G413" s="86"/>
      <c r="H413" s="86"/>
      <c r="I413" s="87"/>
      <c r="J413" s="88"/>
      <c r="K413" s="88"/>
      <c r="L413" s="95">
        <f t="shared" si="12"/>
        <v>0</v>
      </c>
      <c r="M413" s="96" t="b">
        <f>IF((ISNUMBER(L413)),IF(AND(F413="Workdays",(SUMIFS(O:O,F:F,F413,I:I,I413,B:B,B413)&lt;=24)),IF(AND((L413*24)&gt;0,(L413*24)&lt;=8),(L413*24)*MD!$M$5,IF(AND((L413*24)&gt;8,(L413*24)&lt;=16),(MD!$N$5),IF((L413*24)&gt;16,MD!$N$5))),IF(AND(F413="Non_workdays",(SUMIFS(O:O,F:F,F413,I:I,I413,B:B,B413)&lt;=24)),IF(AND((L413*24)&gt;0,(L413*24)&lt;=8),(L413*24)*MD!$M$6,IF(AND((L413*24)&gt;8,(L413*24)&lt;=16),(MD!$N$6),IF((L413*24)&gt;16,MD!$N$6))),IF(AND(F413="Call_out",(SUMIFS(O:O,F:F,F413,I:I,I413,B:B,B413)&lt;=24)),IF(AND((L413*24)&gt;0,(L413*24)&lt;=8),(L413*24)*MD!$P$4,IF(AND((L413*24)&gt;8,(L413*24)&lt;=16),(MD!$Q$4),IF((L413*24)&gt;16,MD!$Q$4)))))))</f>
        <v>0</v>
      </c>
      <c r="N413" s="62"/>
      <c r="O413" s="72">
        <f t="shared" si="13"/>
        <v>0</v>
      </c>
    </row>
    <row r="414" spans="1:15" x14ac:dyDescent="0.25">
      <c r="A414" s="62">
        <v>413</v>
      </c>
      <c r="B414" s="62"/>
      <c r="C414" s="68" t="str">
        <f>IF(ISNA(VLOOKUP($B414,CPY!$B:$G,2,FALSE))=TRUE," ",VLOOKUP($B414,CPY!$B:$G,2,FALSE))</f>
        <v> </v>
      </c>
      <c r="D414" s="50" t="str">
        <f>IF(ISNA(VLOOKUP($B414,CPY!$B:$G,3,FALSE))=TRUE," ",VLOOKUP($B414,CPY!$B:$G,3,FALSE))</f>
        <v> </v>
      </c>
      <c r="E414" s="65" t="str">
        <f>IF(ISNA(VLOOKUP($B414,CPY!$B:$G,4,FALSE))=TRUE," ",VLOOKUP($B414,CPY!$B:$G,4,FALSE))</f>
        <v> </v>
      </c>
      <c r="F414" s="62"/>
      <c r="G414" s="86"/>
      <c r="H414" s="86"/>
      <c r="I414" s="87"/>
      <c r="J414" s="88"/>
      <c r="K414" s="88"/>
      <c r="L414" s="95">
        <f t="shared" si="12"/>
        <v>0</v>
      </c>
      <c r="M414" s="96" t="b">
        <f>IF((ISNUMBER(L414)),IF(AND(F414="Workdays",(SUMIFS(O:O,F:F,F414,I:I,I414,B:B,B414)&lt;=24)),IF(AND((L414*24)&gt;0,(L414*24)&lt;=8),(L414*24)*MD!$M$5,IF(AND((L414*24)&gt;8,(L414*24)&lt;=16),(MD!$N$5),IF((L414*24)&gt;16,MD!$N$5))),IF(AND(F414="Non_workdays",(SUMIFS(O:O,F:F,F414,I:I,I414,B:B,B414)&lt;=24)),IF(AND((L414*24)&gt;0,(L414*24)&lt;=8),(L414*24)*MD!$M$6,IF(AND((L414*24)&gt;8,(L414*24)&lt;=16),(MD!$N$6),IF((L414*24)&gt;16,MD!$N$6))),IF(AND(F414="Call_out",(SUMIFS(O:O,F:F,F414,I:I,I414,B:B,B414)&lt;=24)),IF(AND((L414*24)&gt;0,(L414*24)&lt;=8),(L414*24)*MD!$P$4,IF(AND((L414*24)&gt;8,(L414*24)&lt;=16),(MD!$Q$4),IF((L414*24)&gt;16,MD!$Q$4)))))))</f>
        <v>0</v>
      </c>
      <c r="N414" s="62"/>
      <c r="O414" s="72">
        <f t="shared" si="13"/>
        <v>0</v>
      </c>
    </row>
    <row r="415" spans="1:15" x14ac:dyDescent="0.25">
      <c r="A415" s="62">
        <v>414</v>
      </c>
      <c r="B415" s="62"/>
      <c r="C415" s="68" t="str">
        <f>IF(ISNA(VLOOKUP($B415,CPY!$B:$G,2,FALSE))=TRUE," ",VLOOKUP($B415,CPY!$B:$G,2,FALSE))</f>
        <v> </v>
      </c>
      <c r="D415" s="50" t="str">
        <f>IF(ISNA(VLOOKUP($B415,CPY!$B:$G,3,FALSE))=TRUE," ",VLOOKUP($B415,CPY!$B:$G,3,FALSE))</f>
        <v> </v>
      </c>
      <c r="E415" s="65" t="str">
        <f>IF(ISNA(VLOOKUP($B415,CPY!$B:$G,4,FALSE))=TRUE," ",VLOOKUP($B415,CPY!$B:$G,4,FALSE))</f>
        <v> </v>
      </c>
      <c r="F415" s="62"/>
      <c r="G415" s="86"/>
      <c r="H415" s="86"/>
      <c r="I415" s="87"/>
      <c r="J415" s="88"/>
      <c r="K415" s="88"/>
      <c r="L415" s="95">
        <f t="shared" si="12"/>
        <v>0</v>
      </c>
      <c r="M415" s="96" t="b">
        <f>IF((ISNUMBER(L415)),IF(AND(F415="Workdays",(SUMIFS(O:O,F:F,F415,I:I,I415,B:B,B415)&lt;=24)),IF(AND((L415*24)&gt;0,(L415*24)&lt;=8),(L415*24)*MD!$M$5,IF(AND((L415*24)&gt;8,(L415*24)&lt;=16),(MD!$N$5),IF((L415*24)&gt;16,MD!$N$5))),IF(AND(F415="Non_workdays",(SUMIFS(O:O,F:F,F415,I:I,I415,B:B,B415)&lt;=24)),IF(AND((L415*24)&gt;0,(L415*24)&lt;=8),(L415*24)*MD!$M$6,IF(AND((L415*24)&gt;8,(L415*24)&lt;=16),(MD!$N$6),IF((L415*24)&gt;16,MD!$N$6))),IF(AND(F415="Call_out",(SUMIFS(O:O,F:F,F415,I:I,I415,B:B,B415)&lt;=24)),IF(AND((L415*24)&gt;0,(L415*24)&lt;=8),(L415*24)*MD!$P$4,IF(AND((L415*24)&gt;8,(L415*24)&lt;=16),(MD!$Q$4),IF((L415*24)&gt;16,MD!$Q$4)))))))</f>
        <v>0</v>
      </c>
      <c r="N415" s="62"/>
      <c r="O415" s="72">
        <f t="shared" si="13"/>
        <v>0</v>
      </c>
    </row>
    <row r="416" spans="1:15" x14ac:dyDescent="0.25">
      <c r="A416" s="62">
        <v>415</v>
      </c>
      <c r="B416" s="62"/>
      <c r="C416" s="68" t="str">
        <f>IF(ISNA(VLOOKUP($B416,CPY!$B:$G,2,FALSE))=TRUE," ",VLOOKUP($B416,CPY!$B:$G,2,FALSE))</f>
        <v> </v>
      </c>
      <c r="D416" s="50" t="str">
        <f>IF(ISNA(VLOOKUP($B416,CPY!$B:$G,3,FALSE))=TRUE," ",VLOOKUP($B416,CPY!$B:$G,3,FALSE))</f>
        <v> </v>
      </c>
      <c r="E416" s="65" t="str">
        <f>IF(ISNA(VLOOKUP($B416,CPY!$B:$G,4,FALSE))=TRUE," ",VLOOKUP($B416,CPY!$B:$G,4,FALSE))</f>
        <v> </v>
      </c>
      <c r="F416" s="62"/>
      <c r="G416" s="86"/>
      <c r="H416" s="86"/>
      <c r="I416" s="87"/>
      <c r="J416" s="88"/>
      <c r="K416" s="88"/>
      <c r="L416" s="95">
        <f t="shared" si="12"/>
        <v>0</v>
      </c>
      <c r="M416" s="96" t="b">
        <f>IF((ISNUMBER(L416)),IF(AND(F416="Workdays",(SUMIFS(O:O,F:F,F416,I:I,I416,B:B,B416)&lt;=24)),IF(AND((L416*24)&gt;0,(L416*24)&lt;=8),(L416*24)*MD!$M$5,IF(AND((L416*24)&gt;8,(L416*24)&lt;=16),(MD!$N$5),IF((L416*24)&gt;16,MD!$N$5))),IF(AND(F416="Non_workdays",(SUMIFS(O:O,F:F,F416,I:I,I416,B:B,B416)&lt;=24)),IF(AND((L416*24)&gt;0,(L416*24)&lt;=8),(L416*24)*MD!$M$6,IF(AND((L416*24)&gt;8,(L416*24)&lt;=16),(MD!$N$6),IF((L416*24)&gt;16,MD!$N$6))),IF(AND(F416="Call_out",(SUMIFS(O:O,F:F,F416,I:I,I416,B:B,B416)&lt;=24)),IF(AND((L416*24)&gt;0,(L416*24)&lt;=8),(L416*24)*MD!$P$4,IF(AND((L416*24)&gt;8,(L416*24)&lt;=16),(MD!$Q$4),IF((L416*24)&gt;16,MD!$Q$4)))))))</f>
        <v>0</v>
      </c>
      <c r="N416" s="62"/>
      <c r="O416" s="72">
        <f t="shared" si="13"/>
        <v>0</v>
      </c>
    </row>
    <row r="417" spans="1:15" x14ac:dyDescent="0.25">
      <c r="A417" s="62">
        <v>416</v>
      </c>
      <c r="B417" s="62"/>
      <c r="C417" s="68" t="str">
        <f>IF(ISNA(VLOOKUP($B417,CPY!$B:$G,2,FALSE))=TRUE," ",VLOOKUP($B417,CPY!$B:$G,2,FALSE))</f>
        <v> </v>
      </c>
      <c r="D417" s="50" t="str">
        <f>IF(ISNA(VLOOKUP($B417,CPY!$B:$G,3,FALSE))=TRUE," ",VLOOKUP($B417,CPY!$B:$G,3,FALSE))</f>
        <v> </v>
      </c>
      <c r="E417" s="65" t="str">
        <f>IF(ISNA(VLOOKUP($B417,CPY!$B:$G,4,FALSE))=TRUE," ",VLOOKUP($B417,CPY!$B:$G,4,FALSE))</f>
        <v> </v>
      </c>
      <c r="F417" s="62"/>
      <c r="G417" s="86"/>
      <c r="H417" s="86"/>
      <c r="I417" s="87"/>
      <c r="J417" s="88"/>
      <c r="K417" s="88"/>
      <c r="L417" s="95">
        <f t="shared" si="12"/>
        <v>0</v>
      </c>
      <c r="M417" s="96" t="b">
        <f>IF((ISNUMBER(L417)),IF(AND(F417="Workdays",(SUMIFS(O:O,F:F,F417,I:I,I417,B:B,B417)&lt;=24)),IF(AND((L417*24)&gt;0,(L417*24)&lt;=8),(L417*24)*MD!$M$5,IF(AND((L417*24)&gt;8,(L417*24)&lt;=16),(MD!$N$5),IF((L417*24)&gt;16,MD!$N$5))),IF(AND(F417="Non_workdays",(SUMIFS(O:O,F:F,F417,I:I,I417,B:B,B417)&lt;=24)),IF(AND((L417*24)&gt;0,(L417*24)&lt;=8),(L417*24)*MD!$M$6,IF(AND((L417*24)&gt;8,(L417*24)&lt;=16),(MD!$N$6),IF((L417*24)&gt;16,MD!$N$6))),IF(AND(F417="Call_out",(SUMIFS(O:O,F:F,F417,I:I,I417,B:B,B417)&lt;=24)),IF(AND((L417*24)&gt;0,(L417*24)&lt;=8),(L417*24)*MD!$P$4,IF(AND((L417*24)&gt;8,(L417*24)&lt;=16),(MD!$Q$4),IF((L417*24)&gt;16,MD!$Q$4)))))))</f>
        <v>0</v>
      </c>
      <c r="N417" s="62"/>
      <c r="O417" s="72">
        <f t="shared" si="13"/>
        <v>0</v>
      </c>
    </row>
    <row r="418" spans="1:15" x14ac:dyDescent="0.25">
      <c r="A418" s="62">
        <v>417</v>
      </c>
      <c r="B418" s="62"/>
      <c r="C418" s="68" t="str">
        <f>IF(ISNA(VLOOKUP($B418,CPY!$B:$G,2,FALSE))=TRUE," ",VLOOKUP($B418,CPY!$B:$G,2,FALSE))</f>
        <v> </v>
      </c>
      <c r="D418" s="50" t="str">
        <f>IF(ISNA(VLOOKUP($B418,CPY!$B:$G,3,FALSE))=TRUE," ",VLOOKUP($B418,CPY!$B:$G,3,FALSE))</f>
        <v> </v>
      </c>
      <c r="E418" s="65" t="str">
        <f>IF(ISNA(VLOOKUP($B418,CPY!$B:$G,4,FALSE))=TRUE," ",VLOOKUP($B418,CPY!$B:$G,4,FALSE))</f>
        <v> </v>
      </c>
      <c r="F418" s="62"/>
      <c r="G418" s="86"/>
      <c r="H418" s="86"/>
      <c r="I418" s="87"/>
      <c r="J418" s="88"/>
      <c r="K418" s="88"/>
      <c r="L418" s="95">
        <f t="shared" si="12"/>
        <v>0</v>
      </c>
      <c r="M418" s="96" t="b">
        <f>IF((ISNUMBER(L418)),IF(AND(F418="Workdays",(SUMIFS(O:O,F:F,F418,I:I,I418,B:B,B418)&lt;=24)),IF(AND((L418*24)&gt;0,(L418*24)&lt;=8),(L418*24)*MD!$M$5,IF(AND((L418*24)&gt;8,(L418*24)&lt;=16),(MD!$N$5),IF((L418*24)&gt;16,MD!$N$5))),IF(AND(F418="Non_workdays",(SUMIFS(O:O,F:F,F418,I:I,I418,B:B,B418)&lt;=24)),IF(AND((L418*24)&gt;0,(L418*24)&lt;=8),(L418*24)*MD!$M$6,IF(AND((L418*24)&gt;8,(L418*24)&lt;=16),(MD!$N$6),IF((L418*24)&gt;16,MD!$N$6))),IF(AND(F418="Call_out",(SUMIFS(O:O,F:F,F418,I:I,I418,B:B,B418)&lt;=24)),IF(AND((L418*24)&gt;0,(L418*24)&lt;=8),(L418*24)*MD!$P$4,IF(AND((L418*24)&gt;8,(L418*24)&lt;=16),(MD!$Q$4),IF((L418*24)&gt;16,MD!$Q$4)))))))</f>
        <v>0</v>
      </c>
      <c r="N418" s="62"/>
      <c r="O418" s="72">
        <f t="shared" si="13"/>
        <v>0</v>
      </c>
    </row>
    <row r="419" spans="1:15" x14ac:dyDescent="0.25">
      <c r="A419" s="62">
        <v>418</v>
      </c>
      <c r="B419" s="62"/>
      <c r="C419" s="68" t="str">
        <f>IF(ISNA(VLOOKUP($B419,CPY!$B:$G,2,FALSE))=TRUE," ",VLOOKUP($B419,CPY!$B:$G,2,FALSE))</f>
        <v> </v>
      </c>
      <c r="D419" s="50" t="str">
        <f>IF(ISNA(VLOOKUP($B419,CPY!$B:$G,3,FALSE))=TRUE," ",VLOOKUP($B419,CPY!$B:$G,3,FALSE))</f>
        <v> </v>
      </c>
      <c r="E419" s="65" t="str">
        <f>IF(ISNA(VLOOKUP($B419,CPY!$B:$G,4,FALSE))=TRUE," ",VLOOKUP($B419,CPY!$B:$G,4,FALSE))</f>
        <v> </v>
      </c>
      <c r="F419" s="62"/>
      <c r="G419" s="86"/>
      <c r="H419" s="86"/>
      <c r="I419" s="87"/>
      <c r="J419" s="88"/>
      <c r="K419" s="88"/>
      <c r="L419" s="95">
        <f t="shared" si="12"/>
        <v>0</v>
      </c>
      <c r="M419" s="96" t="b">
        <f>IF((ISNUMBER(L419)),IF(AND(F419="Workdays",(SUMIFS(O:O,F:F,F419,I:I,I419,B:B,B419)&lt;=24)),IF(AND((L419*24)&gt;0,(L419*24)&lt;=8),(L419*24)*MD!$M$5,IF(AND((L419*24)&gt;8,(L419*24)&lt;=16),(MD!$N$5),IF((L419*24)&gt;16,MD!$N$5))),IF(AND(F419="Non_workdays",(SUMIFS(O:O,F:F,F419,I:I,I419,B:B,B419)&lt;=24)),IF(AND((L419*24)&gt;0,(L419*24)&lt;=8),(L419*24)*MD!$M$6,IF(AND((L419*24)&gt;8,(L419*24)&lt;=16),(MD!$N$6),IF((L419*24)&gt;16,MD!$N$6))),IF(AND(F419="Call_out",(SUMIFS(O:O,F:F,F419,I:I,I419,B:B,B419)&lt;=24)),IF(AND((L419*24)&gt;0,(L419*24)&lt;=8),(L419*24)*MD!$P$4,IF(AND((L419*24)&gt;8,(L419*24)&lt;=16),(MD!$Q$4),IF((L419*24)&gt;16,MD!$Q$4)))))))</f>
        <v>0</v>
      </c>
      <c r="N419" s="62"/>
      <c r="O419" s="72">
        <f t="shared" si="13"/>
        <v>0</v>
      </c>
    </row>
    <row r="420" spans="1:15" x14ac:dyDescent="0.25">
      <c r="A420" s="62">
        <v>419</v>
      </c>
      <c r="B420" s="62"/>
      <c r="C420" s="68" t="str">
        <f>IF(ISNA(VLOOKUP($B420,CPY!$B:$G,2,FALSE))=TRUE," ",VLOOKUP($B420,CPY!$B:$G,2,FALSE))</f>
        <v> </v>
      </c>
      <c r="D420" s="50" t="str">
        <f>IF(ISNA(VLOOKUP($B420,CPY!$B:$G,3,FALSE))=TRUE," ",VLOOKUP($B420,CPY!$B:$G,3,FALSE))</f>
        <v> </v>
      </c>
      <c r="E420" s="65" t="str">
        <f>IF(ISNA(VLOOKUP($B420,CPY!$B:$G,4,FALSE))=TRUE," ",VLOOKUP($B420,CPY!$B:$G,4,FALSE))</f>
        <v> </v>
      </c>
      <c r="F420" s="62"/>
      <c r="G420" s="86"/>
      <c r="H420" s="86"/>
      <c r="I420" s="87"/>
      <c r="J420" s="88"/>
      <c r="K420" s="88"/>
      <c r="L420" s="95">
        <f t="shared" si="12"/>
        <v>0</v>
      </c>
      <c r="M420" s="96" t="b">
        <f>IF((ISNUMBER(L420)),IF(AND(F420="Workdays",(SUMIFS(O:O,F:F,F420,I:I,I420,B:B,B420)&lt;=24)),IF(AND((L420*24)&gt;0,(L420*24)&lt;=8),(L420*24)*MD!$M$5,IF(AND((L420*24)&gt;8,(L420*24)&lt;=16),(MD!$N$5),IF((L420*24)&gt;16,MD!$N$5))),IF(AND(F420="Non_workdays",(SUMIFS(O:O,F:F,F420,I:I,I420,B:B,B420)&lt;=24)),IF(AND((L420*24)&gt;0,(L420*24)&lt;=8),(L420*24)*MD!$M$6,IF(AND((L420*24)&gt;8,(L420*24)&lt;=16),(MD!$N$6),IF((L420*24)&gt;16,MD!$N$6))),IF(AND(F420="Call_out",(SUMIFS(O:O,F:F,F420,I:I,I420,B:B,B420)&lt;=24)),IF(AND((L420*24)&gt;0,(L420*24)&lt;=8),(L420*24)*MD!$P$4,IF(AND((L420*24)&gt;8,(L420*24)&lt;=16),(MD!$Q$4),IF((L420*24)&gt;16,MD!$Q$4)))))))</f>
        <v>0</v>
      </c>
      <c r="N420" s="62"/>
      <c r="O420" s="72">
        <f t="shared" si="13"/>
        <v>0</v>
      </c>
    </row>
    <row r="421" spans="1:15" x14ac:dyDescent="0.25">
      <c r="A421" s="62">
        <v>420</v>
      </c>
      <c r="B421" s="62"/>
      <c r="C421" s="68" t="str">
        <f>IF(ISNA(VLOOKUP($B421,CPY!$B:$G,2,FALSE))=TRUE," ",VLOOKUP($B421,CPY!$B:$G,2,FALSE))</f>
        <v> </v>
      </c>
      <c r="D421" s="50" t="str">
        <f>IF(ISNA(VLOOKUP($B421,CPY!$B:$G,3,FALSE))=TRUE," ",VLOOKUP($B421,CPY!$B:$G,3,FALSE))</f>
        <v> </v>
      </c>
      <c r="E421" s="65" t="str">
        <f>IF(ISNA(VLOOKUP($B421,CPY!$B:$G,4,FALSE))=TRUE," ",VLOOKUP($B421,CPY!$B:$G,4,FALSE))</f>
        <v> </v>
      </c>
      <c r="F421" s="62"/>
      <c r="G421" s="86"/>
      <c r="H421" s="86"/>
      <c r="I421" s="87"/>
      <c r="J421" s="88"/>
      <c r="K421" s="88"/>
      <c r="L421" s="95">
        <f t="shared" si="12"/>
        <v>0</v>
      </c>
      <c r="M421" s="96" t="b">
        <f>IF((ISNUMBER(L421)),IF(AND(F421="Workdays",(SUMIFS(O:O,F:F,F421,I:I,I421,B:B,B421)&lt;=24)),IF(AND((L421*24)&gt;0,(L421*24)&lt;=8),(L421*24)*MD!$M$5,IF(AND((L421*24)&gt;8,(L421*24)&lt;=16),(MD!$N$5),IF((L421*24)&gt;16,MD!$N$5))),IF(AND(F421="Non_workdays",(SUMIFS(O:O,F:F,F421,I:I,I421,B:B,B421)&lt;=24)),IF(AND((L421*24)&gt;0,(L421*24)&lt;=8),(L421*24)*MD!$M$6,IF(AND((L421*24)&gt;8,(L421*24)&lt;=16),(MD!$N$6),IF((L421*24)&gt;16,MD!$N$6))),IF(AND(F421="Call_out",(SUMIFS(O:O,F:F,F421,I:I,I421,B:B,B421)&lt;=24)),IF(AND((L421*24)&gt;0,(L421*24)&lt;=8),(L421*24)*MD!$P$4,IF(AND((L421*24)&gt;8,(L421*24)&lt;=16),(MD!$Q$4),IF((L421*24)&gt;16,MD!$Q$4)))))))</f>
        <v>0</v>
      </c>
      <c r="N421" s="62"/>
      <c r="O421" s="72">
        <f t="shared" si="13"/>
        <v>0</v>
      </c>
    </row>
    <row r="422" spans="1:15" x14ac:dyDescent="0.25">
      <c r="A422" s="62">
        <v>421</v>
      </c>
      <c r="B422" s="62"/>
      <c r="C422" s="68" t="str">
        <f>IF(ISNA(VLOOKUP($B422,CPY!$B:$G,2,FALSE))=TRUE," ",VLOOKUP($B422,CPY!$B:$G,2,FALSE))</f>
        <v> </v>
      </c>
      <c r="D422" s="50" t="str">
        <f>IF(ISNA(VLOOKUP($B422,CPY!$B:$G,3,FALSE))=TRUE," ",VLOOKUP($B422,CPY!$B:$G,3,FALSE))</f>
        <v> </v>
      </c>
      <c r="E422" s="65" t="str">
        <f>IF(ISNA(VLOOKUP($B422,CPY!$B:$G,4,FALSE))=TRUE," ",VLOOKUP($B422,CPY!$B:$G,4,FALSE))</f>
        <v> </v>
      </c>
      <c r="F422" s="62"/>
      <c r="G422" s="86"/>
      <c r="H422" s="86"/>
      <c r="I422" s="87"/>
      <c r="J422" s="88"/>
      <c r="K422" s="88"/>
      <c r="L422" s="95">
        <f t="shared" si="12"/>
        <v>0</v>
      </c>
      <c r="M422" s="96" t="b">
        <f>IF((ISNUMBER(L422)),IF(AND(F422="Workdays",(SUMIFS(O:O,F:F,F422,I:I,I422,B:B,B422)&lt;=24)),IF(AND((L422*24)&gt;0,(L422*24)&lt;=8),(L422*24)*MD!$M$5,IF(AND((L422*24)&gt;8,(L422*24)&lt;=16),(MD!$N$5),IF((L422*24)&gt;16,MD!$N$5))),IF(AND(F422="Non_workdays",(SUMIFS(O:O,F:F,F422,I:I,I422,B:B,B422)&lt;=24)),IF(AND((L422*24)&gt;0,(L422*24)&lt;=8),(L422*24)*MD!$M$6,IF(AND((L422*24)&gt;8,(L422*24)&lt;=16),(MD!$N$6),IF((L422*24)&gt;16,MD!$N$6))),IF(AND(F422="Call_out",(SUMIFS(O:O,F:F,F422,I:I,I422,B:B,B422)&lt;=24)),IF(AND((L422*24)&gt;0,(L422*24)&lt;=8),(L422*24)*MD!$P$4,IF(AND((L422*24)&gt;8,(L422*24)&lt;=16),(MD!$Q$4),IF((L422*24)&gt;16,MD!$Q$4)))))))</f>
        <v>0</v>
      </c>
      <c r="N422" s="62"/>
      <c r="O422" s="72">
        <f t="shared" si="13"/>
        <v>0</v>
      </c>
    </row>
    <row r="423" spans="1:15" x14ac:dyDescent="0.25">
      <c r="A423" s="62">
        <v>422</v>
      </c>
      <c r="B423" s="62"/>
      <c r="C423" s="68" t="str">
        <f>IF(ISNA(VLOOKUP($B423,CPY!$B:$G,2,FALSE))=TRUE," ",VLOOKUP($B423,CPY!$B:$G,2,FALSE))</f>
        <v> </v>
      </c>
      <c r="D423" s="50" t="str">
        <f>IF(ISNA(VLOOKUP($B423,CPY!$B:$G,3,FALSE))=TRUE," ",VLOOKUP($B423,CPY!$B:$G,3,FALSE))</f>
        <v> </v>
      </c>
      <c r="E423" s="65" t="str">
        <f>IF(ISNA(VLOOKUP($B423,CPY!$B:$G,4,FALSE))=TRUE," ",VLOOKUP($B423,CPY!$B:$G,4,FALSE))</f>
        <v> </v>
      </c>
      <c r="F423" s="62"/>
      <c r="G423" s="86"/>
      <c r="H423" s="86"/>
      <c r="I423" s="87"/>
      <c r="J423" s="88"/>
      <c r="K423" s="88"/>
      <c r="L423" s="95">
        <f t="shared" si="12"/>
        <v>0</v>
      </c>
      <c r="M423" s="96" t="b">
        <f>IF((ISNUMBER(L423)),IF(AND(F423="Workdays",(SUMIFS(O:O,F:F,F423,I:I,I423,B:B,B423)&lt;=24)),IF(AND((L423*24)&gt;0,(L423*24)&lt;=8),(L423*24)*MD!$M$5,IF(AND((L423*24)&gt;8,(L423*24)&lt;=16),(MD!$N$5),IF((L423*24)&gt;16,MD!$N$5))),IF(AND(F423="Non_workdays",(SUMIFS(O:O,F:F,F423,I:I,I423,B:B,B423)&lt;=24)),IF(AND((L423*24)&gt;0,(L423*24)&lt;=8),(L423*24)*MD!$M$6,IF(AND((L423*24)&gt;8,(L423*24)&lt;=16),(MD!$N$6),IF((L423*24)&gt;16,MD!$N$6))),IF(AND(F423="Call_out",(SUMIFS(O:O,F:F,F423,I:I,I423,B:B,B423)&lt;=24)),IF(AND((L423*24)&gt;0,(L423*24)&lt;=8),(L423*24)*MD!$P$4,IF(AND((L423*24)&gt;8,(L423*24)&lt;=16),(MD!$Q$4),IF((L423*24)&gt;16,MD!$Q$4)))))))</f>
        <v>0</v>
      </c>
      <c r="N423" s="62"/>
      <c r="O423" s="72">
        <f t="shared" si="13"/>
        <v>0</v>
      </c>
    </row>
    <row r="424" spans="1:15" x14ac:dyDescent="0.25">
      <c r="A424" s="62">
        <v>423</v>
      </c>
      <c r="B424" s="62"/>
      <c r="C424" s="68" t="str">
        <f>IF(ISNA(VLOOKUP($B424,CPY!$B:$G,2,FALSE))=TRUE," ",VLOOKUP($B424,CPY!$B:$G,2,FALSE))</f>
        <v> </v>
      </c>
      <c r="D424" s="50" t="str">
        <f>IF(ISNA(VLOOKUP($B424,CPY!$B:$G,3,FALSE))=TRUE," ",VLOOKUP($B424,CPY!$B:$G,3,FALSE))</f>
        <v> </v>
      </c>
      <c r="E424" s="65" t="str">
        <f>IF(ISNA(VLOOKUP($B424,CPY!$B:$G,4,FALSE))=TRUE," ",VLOOKUP($B424,CPY!$B:$G,4,FALSE))</f>
        <v> </v>
      </c>
      <c r="F424" s="62"/>
      <c r="G424" s="86"/>
      <c r="H424" s="86"/>
      <c r="I424" s="87"/>
      <c r="J424" s="88"/>
      <c r="K424" s="88"/>
      <c r="L424" s="95">
        <f t="shared" si="12"/>
        <v>0</v>
      </c>
      <c r="M424" s="96" t="b">
        <f>IF((ISNUMBER(L424)),IF(AND(F424="Workdays",(SUMIFS(O:O,F:F,F424,I:I,I424,B:B,B424)&lt;=24)),IF(AND((L424*24)&gt;0,(L424*24)&lt;=8),(L424*24)*MD!$M$5,IF(AND((L424*24)&gt;8,(L424*24)&lt;=16),(MD!$N$5),IF((L424*24)&gt;16,MD!$N$5))),IF(AND(F424="Non_workdays",(SUMIFS(O:O,F:F,F424,I:I,I424,B:B,B424)&lt;=24)),IF(AND((L424*24)&gt;0,(L424*24)&lt;=8),(L424*24)*MD!$M$6,IF(AND((L424*24)&gt;8,(L424*24)&lt;=16),(MD!$N$6),IF((L424*24)&gt;16,MD!$N$6))),IF(AND(F424="Call_out",(SUMIFS(O:O,F:F,F424,I:I,I424,B:B,B424)&lt;=24)),IF(AND((L424*24)&gt;0,(L424*24)&lt;=8),(L424*24)*MD!$P$4,IF(AND((L424*24)&gt;8,(L424*24)&lt;=16),(MD!$Q$4),IF((L424*24)&gt;16,MD!$Q$4)))))))</f>
        <v>0</v>
      </c>
      <c r="N424" s="62"/>
      <c r="O424" s="72">
        <f t="shared" si="13"/>
        <v>0</v>
      </c>
    </row>
    <row r="425" spans="1:15" x14ac:dyDescent="0.25">
      <c r="A425" s="62">
        <v>424</v>
      </c>
      <c r="B425" s="62"/>
      <c r="C425" s="68" t="str">
        <f>IF(ISNA(VLOOKUP($B425,CPY!$B:$G,2,FALSE))=TRUE," ",VLOOKUP($B425,CPY!$B:$G,2,FALSE))</f>
        <v> </v>
      </c>
      <c r="D425" s="50" t="str">
        <f>IF(ISNA(VLOOKUP($B425,CPY!$B:$G,3,FALSE))=TRUE," ",VLOOKUP($B425,CPY!$B:$G,3,FALSE))</f>
        <v> </v>
      </c>
      <c r="E425" s="65" t="str">
        <f>IF(ISNA(VLOOKUP($B425,CPY!$B:$G,4,FALSE))=TRUE," ",VLOOKUP($B425,CPY!$B:$G,4,FALSE))</f>
        <v> </v>
      </c>
      <c r="F425" s="62"/>
      <c r="G425" s="86"/>
      <c r="H425" s="86"/>
      <c r="I425" s="87"/>
      <c r="J425" s="88"/>
      <c r="K425" s="88"/>
      <c r="L425" s="95">
        <f t="shared" si="12"/>
        <v>0</v>
      </c>
      <c r="M425" s="96" t="b">
        <f>IF((ISNUMBER(L425)),IF(AND(F425="Workdays",(SUMIFS(O:O,F:F,F425,I:I,I425,B:B,B425)&lt;=24)),IF(AND((L425*24)&gt;0,(L425*24)&lt;=8),(L425*24)*MD!$M$5,IF(AND((L425*24)&gt;8,(L425*24)&lt;=16),(MD!$N$5),IF((L425*24)&gt;16,MD!$N$5))),IF(AND(F425="Non_workdays",(SUMIFS(O:O,F:F,F425,I:I,I425,B:B,B425)&lt;=24)),IF(AND((L425*24)&gt;0,(L425*24)&lt;=8),(L425*24)*MD!$M$6,IF(AND((L425*24)&gt;8,(L425*24)&lt;=16),(MD!$N$6),IF((L425*24)&gt;16,MD!$N$6))),IF(AND(F425="Call_out",(SUMIFS(O:O,F:F,F425,I:I,I425,B:B,B425)&lt;=24)),IF(AND((L425*24)&gt;0,(L425*24)&lt;=8),(L425*24)*MD!$P$4,IF(AND((L425*24)&gt;8,(L425*24)&lt;=16),(MD!$Q$4),IF((L425*24)&gt;16,MD!$Q$4)))))))</f>
        <v>0</v>
      </c>
      <c r="N425" s="62"/>
      <c r="O425" s="72">
        <f t="shared" si="13"/>
        <v>0</v>
      </c>
    </row>
    <row r="426" spans="1:15" x14ac:dyDescent="0.25">
      <c r="A426" s="62">
        <v>425</v>
      </c>
      <c r="B426" s="62"/>
      <c r="C426" s="68" t="str">
        <f>IF(ISNA(VLOOKUP($B426,CPY!$B:$G,2,FALSE))=TRUE," ",VLOOKUP($B426,CPY!$B:$G,2,FALSE))</f>
        <v> </v>
      </c>
      <c r="D426" s="50" t="str">
        <f>IF(ISNA(VLOOKUP($B426,CPY!$B:$G,3,FALSE))=TRUE," ",VLOOKUP($B426,CPY!$B:$G,3,FALSE))</f>
        <v> </v>
      </c>
      <c r="E426" s="65" t="str">
        <f>IF(ISNA(VLOOKUP($B426,CPY!$B:$G,4,FALSE))=TRUE," ",VLOOKUP($B426,CPY!$B:$G,4,FALSE))</f>
        <v> </v>
      </c>
      <c r="F426" s="62"/>
      <c r="G426" s="86"/>
      <c r="H426" s="86"/>
      <c r="I426" s="87"/>
      <c r="J426" s="88"/>
      <c r="K426" s="88"/>
      <c r="L426" s="95">
        <f t="shared" si="12"/>
        <v>0</v>
      </c>
      <c r="M426" s="96" t="b">
        <f>IF((ISNUMBER(L426)),IF(AND(F426="Workdays",(SUMIFS(O:O,F:F,F426,I:I,I426,B:B,B426)&lt;=24)),IF(AND((L426*24)&gt;0,(L426*24)&lt;=8),(L426*24)*MD!$M$5,IF(AND((L426*24)&gt;8,(L426*24)&lt;=16),(MD!$N$5),IF((L426*24)&gt;16,MD!$N$5))),IF(AND(F426="Non_workdays",(SUMIFS(O:O,F:F,F426,I:I,I426,B:B,B426)&lt;=24)),IF(AND((L426*24)&gt;0,(L426*24)&lt;=8),(L426*24)*MD!$M$6,IF(AND((L426*24)&gt;8,(L426*24)&lt;=16),(MD!$N$6),IF((L426*24)&gt;16,MD!$N$6))),IF(AND(F426="Call_out",(SUMIFS(O:O,F:F,F426,I:I,I426,B:B,B426)&lt;=24)),IF(AND((L426*24)&gt;0,(L426*24)&lt;=8),(L426*24)*MD!$P$4,IF(AND((L426*24)&gt;8,(L426*24)&lt;=16),(MD!$Q$4),IF((L426*24)&gt;16,MD!$Q$4)))))))</f>
        <v>0</v>
      </c>
      <c r="N426" s="62"/>
      <c r="O426" s="72">
        <f t="shared" si="13"/>
        <v>0</v>
      </c>
    </row>
    <row r="427" spans="1:15" x14ac:dyDescent="0.25">
      <c r="A427" s="62">
        <v>426</v>
      </c>
      <c r="B427" s="62"/>
      <c r="C427" s="68" t="str">
        <f>IF(ISNA(VLOOKUP($B427,CPY!$B:$G,2,FALSE))=TRUE," ",VLOOKUP($B427,CPY!$B:$G,2,FALSE))</f>
        <v> </v>
      </c>
      <c r="D427" s="50" t="str">
        <f>IF(ISNA(VLOOKUP($B427,CPY!$B:$G,3,FALSE))=TRUE," ",VLOOKUP($B427,CPY!$B:$G,3,FALSE))</f>
        <v> </v>
      </c>
      <c r="E427" s="65" t="str">
        <f>IF(ISNA(VLOOKUP($B427,CPY!$B:$G,4,FALSE))=TRUE," ",VLOOKUP($B427,CPY!$B:$G,4,FALSE))</f>
        <v> </v>
      </c>
      <c r="F427" s="62"/>
      <c r="G427" s="86"/>
      <c r="H427" s="86"/>
      <c r="I427" s="87"/>
      <c r="J427" s="88"/>
      <c r="K427" s="88"/>
      <c r="L427" s="95">
        <f t="shared" si="12"/>
        <v>0</v>
      </c>
      <c r="M427" s="96" t="b">
        <f>IF((ISNUMBER(L427)),IF(AND(F427="Workdays",(SUMIFS(O:O,F:F,F427,I:I,I427,B:B,B427)&lt;=24)),IF(AND((L427*24)&gt;0,(L427*24)&lt;=8),(L427*24)*MD!$M$5,IF(AND((L427*24)&gt;8,(L427*24)&lt;=16),(MD!$N$5),IF((L427*24)&gt;16,MD!$N$5))),IF(AND(F427="Non_workdays",(SUMIFS(O:O,F:F,F427,I:I,I427,B:B,B427)&lt;=24)),IF(AND((L427*24)&gt;0,(L427*24)&lt;=8),(L427*24)*MD!$M$6,IF(AND((L427*24)&gt;8,(L427*24)&lt;=16),(MD!$N$6),IF((L427*24)&gt;16,MD!$N$6))),IF(AND(F427="Call_out",(SUMIFS(O:O,F:F,F427,I:I,I427,B:B,B427)&lt;=24)),IF(AND((L427*24)&gt;0,(L427*24)&lt;=8),(L427*24)*MD!$P$4,IF(AND((L427*24)&gt;8,(L427*24)&lt;=16),(MD!$Q$4),IF((L427*24)&gt;16,MD!$Q$4)))))))</f>
        <v>0</v>
      </c>
      <c r="N427" s="62"/>
      <c r="O427" s="72">
        <f t="shared" si="13"/>
        <v>0</v>
      </c>
    </row>
    <row r="428" spans="1:15" x14ac:dyDescent="0.25">
      <c r="A428" s="62">
        <v>427</v>
      </c>
      <c r="B428" s="62"/>
      <c r="C428" s="68" t="str">
        <f>IF(ISNA(VLOOKUP($B428,CPY!$B:$G,2,FALSE))=TRUE," ",VLOOKUP($B428,CPY!$B:$G,2,FALSE))</f>
        <v> </v>
      </c>
      <c r="D428" s="50" t="str">
        <f>IF(ISNA(VLOOKUP($B428,CPY!$B:$G,3,FALSE))=TRUE," ",VLOOKUP($B428,CPY!$B:$G,3,FALSE))</f>
        <v> </v>
      </c>
      <c r="E428" s="65" t="str">
        <f>IF(ISNA(VLOOKUP($B428,CPY!$B:$G,4,FALSE))=TRUE," ",VLOOKUP($B428,CPY!$B:$G,4,FALSE))</f>
        <v> </v>
      </c>
      <c r="F428" s="62"/>
      <c r="G428" s="86"/>
      <c r="H428" s="86"/>
      <c r="I428" s="87"/>
      <c r="J428" s="88"/>
      <c r="K428" s="88"/>
      <c r="L428" s="95">
        <f t="shared" si="12"/>
        <v>0</v>
      </c>
      <c r="M428" s="96" t="b">
        <f>IF((ISNUMBER(L428)),IF(AND(F428="Workdays",(SUMIFS(O:O,F:F,F428,I:I,I428,B:B,B428)&lt;=24)),IF(AND((L428*24)&gt;0,(L428*24)&lt;=8),(L428*24)*MD!$M$5,IF(AND((L428*24)&gt;8,(L428*24)&lt;=16),(MD!$N$5),IF((L428*24)&gt;16,MD!$N$5))),IF(AND(F428="Non_workdays",(SUMIFS(O:O,F:F,F428,I:I,I428,B:B,B428)&lt;=24)),IF(AND((L428*24)&gt;0,(L428*24)&lt;=8),(L428*24)*MD!$M$6,IF(AND((L428*24)&gt;8,(L428*24)&lt;=16),(MD!$N$6),IF((L428*24)&gt;16,MD!$N$6))),IF(AND(F428="Call_out",(SUMIFS(O:O,F:F,F428,I:I,I428,B:B,B428)&lt;=24)),IF(AND((L428*24)&gt;0,(L428*24)&lt;=8),(L428*24)*MD!$P$4,IF(AND((L428*24)&gt;8,(L428*24)&lt;=16),(MD!$Q$4),IF((L428*24)&gt;16,MD!$Q$4)))))))</f>
        <v>0</v>
      </c>
      <c r="N428" s="62"/>
      <c r="O428" s="72">
        <f t="shared" si="13"/>
        <v>0</v>
      </c>
    </row>
    <row r="429" spans="1:15" x14ac:dyDescent="0.25">
      <c r="A429" s="62">
        <v>428</v>
      </c>
      <c r="B429" s="62"/>
      <c r="C429" s="68" t="str">
        <f>IF(ISNA(VLOOKUP($B429,CPY!$B:$G,2,FALSE))=TRUE," ",VLOOKUP($B429,CPY!$B:$G,2,FALSE))</f>
        <v> </v>
      </c>
      <c r="D429" s="50" t="str">
        <f>IF(ISNA(VLOOKUP($B429,CPY!$B:$G,3,FALSE))=TRUE," ",VLOOKUP($B429,CPY!$B:$G,3,FALSE))</f>
        <v> </v>
      </c>
      <c r="E429" s="65" t="str">
        <f>IF(ISNA(VLOOKUP($B429,CPY!$B:$G,4,FALSE))=TRUE," ",VLOOKUP($B429,CPY!$B:$G,4,FALSE))</f>
        <v> </v>
      </c>
      <c r="F429" s="62"/>
      <c r="G429" s="86"/>
      <c r="H429" s="86"/>
      <c r="I429" s="87"/>
      <c r="J429" s="88"/>
      <c r="K429" s="88"/>
      <c r="L429" s="95">
        <f t="shared" si="12"/>
        <v>0</v>
      </c>
      <c r="M429" s="96" t="b">
        <f>IF((ISNUMBER(L429)),IF(AND(F429="Workdays",(SUMIFS(O:O,F:F,F429,I:I,I429,B:B,B429)&lt;=24)),IF(AND((L429*24)&gt;0,(L429*24)&lt;=8),(L429*24)*MD!$M$5,IF(AND((L429*24)&gt;8,(L429*24)&lt;=16),(MD!$N$5),IF((L429*24)&gt;16,MD!$N$5))),IF(AND(F429="Non_workdays",(SUMIFS(O:O,F:F,F429,I:I,I429,B:B,B429)&lt;=24)),IF(AND((L429*24)&gt;0,(L429*24)&lt;=8),(L429*24)*MD!$M$6,IF(AND((L429*24)&gt;8,(L429*24)&lt;=16),(MD!$N$6),IF((L429*24)&gt;16,MD!$N$6))),IF(AND(F429="Call_out",(SUMIFS(O:O,F:F,F429,I:I,I429,B:B,B429)&lt;=24)),IF(AND((L429*24)&gt;0,(L429*24)&lt;=8),(L429*24)*MD!$P$4,IF(AND((L429*24)&gt;8,(L429*24)&lt;=16),(MD!$Q$4),IF((L429*24)&gt;16,MD!$Q$4)))))))</f>
        <v>0</v>
      </c>
      <c r="N429" s="62"/>
      <c r="O429" s="72">
        <f t="shared" si="13"/>
        <v>0</v>
      </c>
    </row>
    <row r="430" spans="1:15" x14ac:dyDescent="0.25">
      <c r="A430" s="62">
        <v>429</v>
      </c>
      <c r="B430" s="62"/>
      <c r="C430" s="68" t="str">
        <f>IF(ISNA(VLOOKUP($B430,CPY!$B:$G,2,FALSE))=TRUE," ",VLOOKUP($B430,CPY!$B:$G,2,FALSE))</f>
        <v> </v>
      </c>
      <c r="D430" s="50" t="str">
        <f>IF(ISNA(VLOOKUP($B430,CPY!$B:$G,3,FALSE))=TRUE," ",VLOOKUP($B430,CPY!$B:$G,3,FALSE))</f>
        <v> </v>
      </c>
      <c r="E430" s="65" t="str">
        <f>IF(ISNA(VLOOKUP($B430,CPY!$B:$G,4,FALSE))=TRUE," ",VLOOKUP($B430,CPY!$B:$G,4,FALSE))</f>
        <v> </v>
      </c>
      <c r="F430" s="62"/>
      <c r="G430" s="86"/>
      <c r="H430" s="86"/>
      <c r="I430" s="87"/>
      <c r="J430" s="88"/>
      <c r="K430" s="88"/>
      <c r="L430" s="95">
        <f t="shared" si="12"/>
        <v>0</v>
      </c>
      <c r="M430" s="96" t="b">
        <f>IF((ISNUMBER(L430)),IF(AND(F430="Workdays",(SUMIFS(O:O,F:F,F430,I:I,I430,B:B,B430)&lt;=24)),IF(AND((L430*24)&gt;0,(L430*24)&lt;=8),(L430*24)*MD!$M$5,IF(AND((L430*24)&gt;8,(L430*24)&lt;=16),(MD!$N$5),IF((L430*24)&gt;16,MD!$N$5))),IF(AND(F430="Non_workdays",(SUMIFS(O:O,F:F,F430,I:I,I430,B:B,B430)&lt;=24)),IF(AND((L430*24)&gt;0,(L430*24)&lt;=8),(L430*24)*MD!$M$6,IF(AND((L430*24)&gt;8,(L430*24)&lt;=16),(MD!$N$6),IF((L430*24)&gt;16,MD!$N$6))),IF(AND(F430="Call_out",(SUMIFS(O:O,F:F,F430,I:I,I430,B:B,B430)&lt;=24)),IF(AND((L430*24)&gt;0,(L430*24)&lt;=8),(L430*24)*MD!$P$4,IF(AND((L430*24)&gt;8,(L430*24)&lt;=16),(MD!$Q$4),IF((L430*24)&gt;16,MD!$Q$4)))))))</f>
        <v>0</v>
      </c>
      <c r="N430" s="62"/>
      <c r="O430" s="72">
        <f t="shared" si="13"/>
        <v>0</v>
      </c>
    </row>
    <row r="431" spans="1:15" x14ac:dyDescent="0.25">
      <c r="A431" s="62">
        <v>430</v>
      </c>
      <c r="B431" s="62"/>
      <c r="C431" s="68" t="str">
        <f>IF(ISNA(VLOOKUP($B431,CPY!$B:$G,2,FALSE))=TRUE," ",VLOOKUP($B431,CPY!$B:$G,2,FALSE))</f>
        <v> </v>
      </c>
      <c r="D431" s="50" t="str">
        <f>IF(ISNA(VLOOKUP($B431,CPY!$B:$G,3,FALSE))=TRUE," ",VLOOKUP($B431,CPY!$B:$G,3,FALSE))</f>
        <v> </v>
      </c>
      <c r="E431" s="65" t="str">
        <f>IF(ISNA(VLOOKUP($B431,CPY!$B:$G,4,FALSE))=TRUE," ",VLOOKUP($B431,CPY!$B:$G,4,FALSE))</f>
        <v> </v>
      </c>
      <c r="F431" s="62"/>
      <c r="G431" s="86"/>
      <c r="H431" s="86"/>
      <c r="I431" s="87"/>
      <c r="J431" s="88"/>
      <c r="K431" s="88"/>
      <c r="L431" s="95">
        <f t="shared" si="12"/>
        <v>0</v>
      </c>
      <c r="M431" s="96" t="b">
        <f>IF((ISNUMBER(L431)),IF(AND(F431="Workdays",(SUMIFS(O:O,F:F,F431,I:I,I431,B:B,B431)&lt;=24)),IF(AND((L431*24)&gt;0,(L431*24)&lt;=8),(L431*24)*MD!$M$5,IF(AND((L431*24)&gt;8,(L431*24)&lt;=16),(MD!$N$5),IF((L431*24)&gt;16,MD!$N$5))),IF(AND(F431="Non_workdays",(SUMIFS(O:O,F:F,F431,I:I,I431,B:B,B431)&lt;=24)),IF(AND((L431*24)&gt;0,(L431*24)&lt;=8),(L431*24)*MD!$M$6,IF(AND((L431*24)&gt;8,(L431*24)&lt;=16),(MD!$N$6),IF((L431*24)&gt;16,MD!$N$6))),IF(AND(F431="Call_out",(SUMIFS(O:O,F:F,F431,I:I,I431,B:B,B431)&lt;=24)),IF(AND((L431*24)&gt;0,(L431*24)&lt;=8),(L431*24)*MD!$P$4,IF(AND((L431*24)&gt;8,(L431*24)&lt;=16),(MD!$Q$4),IF((L431*24)&gt;16,MD!$Q$4)))))))</f>
        <v>0</v>
      </c>
      <c r="N431" s="62"/>
      <c r="O431" s="72">
        <f t="shared" si="13"/>
        <v>0</v>
      </c>
    </row>
    <row r="432" spans="1:15" x14ac:dyDescent="0.25">
      <c r="A432" s="62">
        <v>431</v>
      </c>
      <c r="B432" s="62"/>
      <c r="C432" s="68" t="str">
        <f>IF(ISNA(VLOOKUP($B432,CPY!$B:$G,2,FALSE))=TRUE," ",VLOOKUP($B432,CPY!$B:$G,2,FALSE))</f>
        <v> </v>
      </c>
      <c r="D432" s="50" t="str">
        <f>IF(ISNA(VLOOKUP($B432,CPY!$B:$G,3,FALSE))=TRUE," ",VLOOKUP($B432,CPY!$B:$G,3,FALSE))</f>
        <v> </v>
      </c>
      <c r="E432" s="65" t="str">
        <f>IF(ISNA(VLOOKUP($B432,CPY!$B:$G,4,FALSE))=TRUE," ",VLOOKUP($B432,CPY!$B:$G,4,FALSE))</f>
        <v> </v>
      </c>
      <c r="F432" s="62"/>
      <c r="G432" s="86"/>
      <c r="H432" s="86"/>
      <c r="I432" s="87"/>
      <c r="J432" s="88"/>
      <c r="K432" s="88"/>
      <c r="L432" s="95">
        <f t="shared" si="12"/>
        <v>0</v>
      </c>
      <c r="M432" s="96" t="b">
        <f>IF((ISNUMBER(L432)),IF(AND(F432="Workdays",(SUMIFS(O:O,F:F,F432,I:I,I432,B:B,B432)&lt;=24)),IF(AND((L432*24)&gt;0,(L432*24)&lt;=8),(L432*24)*MD!$M$5,IF(AND((L432*24)&gt;8,(L432*24)&lt;=16),(MD!$N$5),IF((L432*24)&gt;16,MD!$N$5))),IF(AND(F432="Non_workdays",(SUMIFS(O:O,F:F,F432,I:I,I432,B:B,B432)&lt;=24)),IF(AND((L432*24)&gt;0,(L432*24)&lt;=8),(L432*24)*MD!$M$6,IF(AND((L432*24)&gt;8,(L432*24)&lt;=16),(MD!$N$6),IF((L432*24)&gt;16,MD!$N$6))),IF(AND(F432="Call_out",(SUMIFS(O:O,F:F,F432,I:I,I432,B:B,B432)&lt;=24)),IF(AND((L432*24)&gt;0,(L432*24)&lt;=8),(L432*24)*MD!$P$4,IF(AND((L432*24)&gt;8,(L432*24)&lt;=16),(MD!$Q$4),IF((L432*24)&gt;16,MD!$Q$4)))))))</f>
        <v>0</v>
      </c>
      <c r="N432" s="62"/>
      <c r="O432" s="72">
        <f t="shared" si="13"/>
        <v>0</v>
      </c>
    </row>
    <row r="433" spans="1:15" x14ac:dyDescent="0.25">
      <c r="A433" s="62">
        <v>432</v>
      </c>
      <c r="B433" s="62"/>
      <c r="C433" s="68" t="str">
        <f>IF(ISNA(VLOOKUP($B433,CPY!$B:$G,2,FALSE))=TRUE," ",VLOOKUP($B433,CPY!$B:$G,2,FALSE))</f>
        <v> </v>
      </c>
      <c r="D433" s="50" t="str">
        <f>IF(ISNA(VLOOKUP($B433,CPY!$B:$G,3,FALSE))=TRUE," ",VLOOKUP($B433,CPY!$B:$G,3,FALSE))</f>
        <v> </v>
      </c>
      <c r="E433" s="65" t="str">
        <f>IF(ISNA(VLOOKUP($B433,CPY!$B:$G,4,FALSE))=TRUE," ",VLOOKUP($B433,CPY!$B:$G,4,FALSE))</f>
        <v> </v>
      </c>
      <c r="F433" s="62"/>
      <c r="G433" s="86"/>
      <c r="H433" s="86"/>
      <c r="I433" s="87"/>
      <c r="J433" s="88"/>
      <c r="K433" s="88"/>
      <c r="L433" s="95">
        <f t="shared" si="12"/>
        <v>0</v>
      </c>
      <c r="M433" s="96" t="b">
        <f>IF((ISNUMBER(L433)),IF(AND(F433="Workdays",(SUMIFS(O:O,F:F,F433,I:I,I433,B:B,B433)&lt;=24)),IF(AND((L433*24)&gt;0,(L433*24)&lt;=8),(L433*24)*MD!$M$5,IF(AND((L433*24)&gt;8,(L433*24)&lt;=16),(MD!$N$5),IF((L433*24)&gt;16,MD!$N$5))),IF(AND(F433="Non_workdays",(SUMIFS(O:O,F:F,F433,I:I,I433,B:B,B433)&lt;=24)),IF(AND((L433*24)&gt;0,(L433*24)&lt;=8),(L433*24)*MD!$M$6,IF(AND((L433*24)&gt;8,(L433*24)&lt;=16),(MD!$N$6),IF((L433*24)&gt;16,MD!$N$6))),IF(AND(F433="Call_out",(SUMIFS(O:O,F:F,F433,I:I,I433,B:B,B433)&lt;=24)),IF(AND((L433*24)&gt;0,(L433*24)&lt;=8),(L433*24)*MD!$P$4,IF(AND((L433*24)&gt;8,(L433*24)&lt;=16),(MD!$Q$4),IF((L433*24)&gt;16,MD!$Q$4)))))))</f>
        <v>0</v>
      </c>
      <c r="N433" s="62"/>
      <c r="O433" s="72">
        <f t="shared" si="13"/>
        <v>0</v>
      </c>
    </row>
    <row r="434" spans="1:15" x14ac:dyDescent="0.25">
      <c r="A434" s="62">
        <v>433</v>
      </c>
      <c r="B434" s="62"/>
      <c r="C434" s="68" t="str">
        <f>IF(ISNA(VLOOKUP($B434,CPY!$B:$G,2,FALSE))=TRUE," ",VLOOKUP($B434,CPY!$B:$G,2,FALSE))</f>
        <v> </v>
      </c>
      <c r="D434" s="50" t="str">
        <f>IF(ISNA(VLOOKUP($B434,CPY!$B:$G,3,FALSE))=TRUE," ",VLOOKUP($B434,CPY!$B:$G,3,FALSE))</f>
        <v> </v>
      </c>
      <c r="E434" s="65" t="str">
        <f>IF(ISNA(VLOOKUP($B434,CPY!$B:$G,4,FALSE))=TRUE," ",VLOOKUP($B434,CPY!$B:$G,4,FALSE))</f>
        <v> </v>
      </c>
      <c r="F434" s="62"/>
      <c r="G434" s="86"/>
      <c r="H434" s="86"/>
      <c r="I434" s="87"/>
      <c r="J434" s="88"/>
      <c r="K434" s="88"/>
      <c r="L434" s="95">
        <f t="shared" si="12"/>
        <v>0</v>
      </c>
      <c r="M434" s="96" t="b">
        <f>IF((ISNUMBER(L434)),IF(AND(F434="Workdays",(SUMIFS(O:O,F:F,F434,I:I,I434,B:B,B434)&lt;=24)),IF(AND((L434*24)&gt;0,(L434*24)&lt;=8),(L434*24)*MD!$M$5,IF(AND((L434*24)&gt;8,(L434*24)&lt;=16),(MD!$N$5),IF((L434*24)&gt;16,MD!$N$5))),IF(AND(F434="Non_workdays",(SUMIFS(O:O,F:F,F434,I:I,I434,B:B,B434)&lt;=24)),IF(AND((L434*24)&gt;0,(L434*24)&lt;=8),(L434*24)*MD!$M$6,IF(AND((L434*24)&gt;8,(L434*24)&lt;=16),(MD!$N$6),IF((L434*24)&gt;16,MD!$N$6))),IF(AND(F434="Call_out",(SUMIFS(O:O,F:F,F434,I:I,I434,B:B,B434)&lt;=24)),IF(AND((L434*24)&gt;0,(L434*24)&lt;=8),(L434*24)*MD!$P$4,IF(AND((L434*24)&gt;8,(L434*24)&lt;=16),(MD!$Q$4),IF((L434*24)&gt;16,MD!$Q$4)))))))</f>
        <v>0</v>
      </c>
      <c r="N434" s="62"/>
      <c r="O434" s="72">
        <f t="shared" si="13"/>
        <v>0</v>
      </c>
    </row>
    <row r="435" spans="1:15" x14ac:dyDescent="0.25">
      <c r="A435" s="62">
        <v>434</v>
      </c>
      <c r="B435" s="62"/>
      <c r="C435" s="68" t="str">
        <f>IF(ISNA(VLOOKUP($B435,CPY!$B:$G,2,FALSE))=TRUE," ",VLOOKUP($B435,CPY!$B:$G,2,FALSE))</f>
        <v> </v>
      </c>
      <c r="D435" s="50" t="str">
        <f>IF(ISNA(VLOOKUP($B435,CPY!$B:$G,3,FALSE))=TRUE," ",VLOOKUP($B435,CPY!$B:$G,3,FALSE))</f>
        <v> </v>
      </c>
      <c r="E435" s="65" t="str">
        <f>IF(ISNA(VLOOKUP($B435,CPY!$B:$G,4,FALSE))=TRUE," ",VLOOKUP($B435,CPY!$B:$G,4,FALSE))</f>
        <v> </v>
      </c>
      <c r="F435" s="62"/>
      <c r="G435" s="86"/>
      <c r="H435" s="86"/>
      <c r="I435" s="87"/>
      <c r="J435" s="88"/>
      <c r="K435" s="88"/>
      <c r="L435" s="95">
        <f t="shared" si="12"/>
        <v>0</v>
      </c>
      <c r="M435" s="96" t="b">
        <f>IF((ISNUMBER(L435)),IF(AND(F435="Workdays",(SUMIFS(O:O,F:F,F435,I:I,I435,B:B,B435)&lt;=24)),IF(AND((L435*24)&gt;0,(L435*24)&lt;=8),(L435*24)*MD!$M$5,IF(AND((L435*24)&gt;8,(L435*24)&lt;=16),(MD!$N$5),IF((L435*24)&gt;16,MD!$N$5))),IF(AND(F435="Non_workdays",(SUMIFS(O:O,F:F,F435,I:I,I435,B:B,B435)&lt;=24)),IF(AND((L435*24)&gt;0,(L435*24)&lt;=8),(L435*24)*MD!$M$6,IF(AND((L435*24)&gt;8,(L435*24)&lt;=16),(MD!$N$6),IF((L435*24)&gt;16,MD!$N$6))),IF(AND(F435="Call_out",(SUMIFS(O:O,F:F,F435,I:I,I435,B:B,B435)&lt;=24)),IF(AND((L435*24)&gt;0,(L435*24)&lt;=8),(L435*24)*MD!$P$4,IF(AND((L435*24)&gt;8,(L435*24)&lt;=16),(MD!$Q$4),IF((L435*24)&gt;16,MD!$Q$4)))))))</f>
        <v>0</v>
      </c>
      <c r="N435" s="62"/>
      <c r="O435" s="72">
        <f t="shared" si="13"/>
        <v>0</v>
      </c>
    </row>
    <row r="436" spans="1:15" x14ac:dyDescent="0.25">
      <c r="A436" s="62">
        <v>435</v>
      </c>
      <c r="B436" s="62"/>
      <c r="C436" s="68" t="str">
        <f>IF(ISNA(VLOOKUP($B436,CPY!$B:$G,2,FALSE))=TRUE," ",VLOOKUP($B436,CPY!$B:$G,2,FALSE))</f>
        <v> </v>
      </c>
      <c r="D436" s="50" t="str">
        <f>IF(ISNA(VLOOKUP($B436,CPY!$B:$G,3,FALSE))=TRUE," ",VLOOKUP($B436,CPY!$B:$G,3,FALSE))</f>
        <v> </v>
      </c>
      <c r="E436" s="65" t="str">
        <f>IF(ISNA(VLOOKUP($B436,CPY!$B:$G,4,FALSE))=TRUE," ",VLOOKUP($B436,CPY!$B:$G,4,FALSE))</f>
        <v> </v>
      </c>
      <c r="F436" s="62"/>
      <c r="G436" s="86"/>
      <c r="H436" s="86"/>
      <c r="I436" s="87"/>
      <c r="J436" s="88"/>
      <c r="K436" s="88"/>
      <c r="L436" s="95">
        <f t="shared" si="12"/>
        <v>0</v>
      </c>
      <c r="M436" s="96" t="b">
        <f>IF((ISNUMBER(L436)),IF(AND(F436="Workdays",(SUMIFS(O:O,F:F,F436,I:I,I436,B:B,B436)&lt;=24)),IF(AND((L436*24)&gt;0,(L436*24)&lt;=8),(L436*24)*MD!$M$5,IF(AND((L436*24)&gt;8,(L436*24)&lt;=16),(MD!$N$5),IF((L436*24)&gt;16,MD!$N$5))),IF(AND(F436="Non_workdays",(SUMIFS(O:O,F:F,F436,I:I,I436,B:B,B436)&lt;=24)),IF(AND((L436*24)&gt;0,(L436*24)&lt;=8),(L436*24)*MD!$M$6,IF(AND((L436*24)&gt;8,(L436*24)&lt;=16),(MD!$N$6),IF((L436*24)&gt;16,MD!$N$6))),IF(AND(F436="Call_out",(SUMIFS(O:O,F:F,F436,I:I,I436,B:B,B436)&lt;=24)),IF(AND((L436*24)&gt;0,(L436*24)&lt;=8),(L436*24)*MD!$P$4,IF(AND((L436*24)&gt;8,(L436*24)&lt;=16),(MD!$Q$4),IF((L436*24)&gt;16,MD!$Q$4)))))))</f>
        <v>0</v>
      </c>
      <c r="N436" s="62"/>
      <c r="O436" s="72">
        <f t="shared" si="13"/>
        <v>0</v>
      </c>
    </row>
    <row r="437" spans="1:15" x14ac:dyDescent="0.25">
      <c r="A437" s="62">
        <v>436</v>
      </c>
      <c r="B437" s="62"/>
      <c r="C437" s="68" t="str">
        <f>IF(ISNA(VLOOKUP($B437,CPY!$B:$G,2,FALSE))=TRUE," ",VLOOKUP($B437,CPY!$B:$G,2,FALSE))</f>
        <v> </v>
      </c>
      <c r="D437" s="50" t="str">
        <f>IF(ISNA(VLOOKUP($B437,CPY!$B:$G,3,FALSE))=TRUE," ",VLOOKUP($B437,CPY!$B:$G,3,FALSE))</f>
        <v> </v>
      </c>
      <c r="E437" s="65" t="str">
        <f>IF(ISNA(VLOOKUP($B437,CPY!$B:$G,4,FALSE))=TRUE," ",VLOOKUP($B437,CPY!$B:$G,4,FALSE))</f>
        <v> </v>
      </c>
      <c r="F437" s="62"/>
      <c r="G437" s="86"/>
      <c r="H437" s="86"/>
      <c r="I437" s="87"/>
      <c r="J437" s="88"/>
      <c r="K437" s="88"/>
      <c r="L437" s="95">
        <f t="shared" si="12"/>
        <v>0</v>
      </c>
      <c r="M437" s="96" t="b">
        <f>IF((ISNUMBER(L437)),IF(AND(F437="Workdays",(SUMIFS(O:O,F:F,F437,I:I,I437,B:B,B437)&lt;=24)),IF(AND((L437*24)&gt;0,(L437*24)&lt;=8),(L437*24)*MD!$M$5,IF(AND((L437*24)&gt;8,(L437*24)&lt;=16),(MD!$N$5),IF((L437*24)&gt;16,MD!$N$5))),IF(AND(F437="Non_workdays",(SUMIFS(O:O,F:F,F437,I:I,I437,B:B,B437)&lt;=24)),IF(AND((L437*24)&gt;0,(L437*24)&lt;=8),(L437*24)*MD!$M$6,IF(AND((L437*24)&gt;8,(L437*24)&lt;=16),(MD!$N$6),IF((L437*24)&gt;16,MD!$N$6))),IF(AND(F437="Call_out",(SUMIFS(O:O,F:F,F437,I:I,I437,B:B,B437)&lt;=24)),IF(AND((L437*24)&gt;0,(L437*24)&lt;=8),(L437*24)*MD!$P$4,IF(AND((L437*24)&gt;8,(L437*24)&lt;=16),(MD!$Q$4),IF((L437*24)&gt;16,MD!$Q$4)))))))</f>
        <v>0</v>
      </c>
      <c r="N437" s="62"/>
      <c r="O437" s="72">
        <f t="shared" si="13"/>
        <v>0</v>
      </c>
    </row>
    <row r="438" spans="1:15" x14ac:dyDescent="0.25">
      <c r="A438" s="62">
        <v>437</v>
      </c>
      <c r="B438" s="62"/>
      <c r="C438" s="68" t="str">
        <f>IF(ISNA(VLOOKUP($B438,CPY!$B:$G,2,FALSE))=TRUE," ",VLOOKUP($B438,CPY!$B:$G,2,FALSE))</f>
        <v> </v>
      </c>
      <c r="D438" s="50" t="str">
        <f>IF(ISNA(VLOOKUP($B438,CPY!$B:$G,3,FALSE))=TRUE," ",VLOOKUP($B438,CPY!$B:$G,3,FALSE))</f>
        <v> </v>
      </c>
      <c r="E438" s="65" t="str">
        <f>IF(ISNA(VLOOKUP($B438,CPY!$B:$G,4,FALSE))=TRUE," ",VLOOKUP($B438,CPY!$B:$G,4,FALSE))</f>
        <v> </v>
      </c>
      <c r="F438" s="62"/>
      <c r="G438" s="86"/>
      <c r="H438" s="86"/>
      <c r="I438" s="87"/>
      <c r="J438" s="88"/>
      <c r="K438" s="88"/>
      <c r="L438" s="95">
        <f t="shared" si="12"/>
        <v>0</v>
      </c>
      <c r="M438" s="96" t="b">
        <f>IF((ISNUMBER(L438)),IF(AND(F438="Workdays",(SUMIFS(O:O,F:F,F438,I:I,I438,B:B,B438)&lt;=24)),IF(AND((L438*24)&gt;0,(L438*24)&lt;=8),(L438*24)*MD!$M$5,IF(AND((L438*24)&gt;8,(L438*24)&lt;=16),(MD!$N$5),IF((L438*24)&gt;16,MD!$N$5))),IF(AND(F438="Non_workdays",(SUMIFS(O:O,F:F,F438,I:I,I438,B:B,B438)&lt;=24)),IF(AND((L438*24)&gt;0,(L438*24)&lt;=8),(L438*24)*MD!$M$6,IF(AND((L438*24)&gt;8,(L438*24)&lt;=16),(MD!$N$6),IF((L438*24)&gt;16,MD!$N$6))),IF(AND(F438="Call_out",(SUMIFS(O:O,F:F,F438,I:I,I438,B:B,B438)&lt;=24)),IF(AND((L438*24)&gt;0,(L438*24)&lt;=8),(L438*24)*MD!$P$4,IF(AND((L438*24)&gt;8,(L438*24)&lt;=16),(MD!$Q$4),IF((L438*24)&gt;16,MD!$Q$4)))))))</f>
        <v>0</v>
      </c>
      <c r="N438" s="62"/>
      <c r="O438" s="72">
        <f t="shared" si="13"/>
        <v>0</v>
      </c>
    </row>
    <row r="439" spans="1:15" x14ac:dyDescent="0.25">
      <c r="A439" s="62">
        <v>438</v>
      </c>
      <c r="B439" s="62"/>
      <c r="C439" s="68" t="str">
        <f>IF(ISNA(VLOOKUP($B439,CPY!$B:$G,2,FALSE))=TRUE," ",VLOOKUP($B439,CPY!$B:$G,2,FALSE))</f>
        <v> </v>
      </c>
      <c r="D439" s="50" t="str">
        <f>IF(ISNA(VLOOKUP($B439,CPY!$B:$G,3,FALSE))=TRUE," ",VLOOKUP($B439,CPY!$B:$G,3,FALSE))</f>
        <v> </v>
      </c>
      <c r="E439" s="65" t="str">
        <f>IF(ISNA(VLOOKUP($B439,CPY!$B:$G,4,FALSE))=TRUE," ",VLOOKUP($B439,CPY!$B:$G,4,FALSE))</f>
        <v> </v>
      </c>
      <c r="F439" s="62"/>
      <c r="G439" s="86"/>
      <c r="H439" s="86"/>
      <c r="I439" s="87"/>
      <c r="J439" s="88"/>
      <c r="K439" s="88"/>
      <c r="L439" s="95">
        <f t="shared" si="12"/>
        <v>0</v>
      </c>
      <c r="M439" s="96" t="b">
        <f>IF((ISNUMBER(L439)),IF(AND(F439="Workdays",(SUMIFS(O:O,F:F,F439,I:I,I439,B:B,B439)&lt;=24)),IF(AND((L439*24)&gt;0,(L439*24)&lt;=8),(L439*24)*MD!$M$5,IF(AND((L439*24)&gt;8,(L439*24)&lt;=16),(MD!$N$5),IF((L439*24)&gt;16,MD!$N$5))),IF(AND(F439="Non_workdays",(SUMIFS(O:O,F:F,F439,I:I,I439,B:B,B439)&lt;=24)),IF(AND((L439*24)&gt;0,(L439*24)&lt;=8),(L439*24)*MD!$M$6,IF(AND((L439*24)&gt;8,(L439*24)&lt;=16),(MD!$N$6),IF((L439*24)&gt;16,MD!$N$6))),IF(AND(F439="Call_out",(SUMIFS(O:O,F:F,F439,I:I,I439,B:B,B439)&lt;=24)),IF(AND((L439*24)&gt;0,(L439*24)&lt;=8),(L439*24)*MD!$P$4,IF(AND((L439*24)&gt;8,(L439*24)&lt;=16),(MD!$Q$4),IF((L439*24)&gt;16,MD!$Q$4)))))))</f>
        <v>0</v>
      </c>
      <c r="N439" s="62"/>
      <c r="O439" s="72">
        <f t="shared" si="13"/>
        <v>0</v>
      </c>
    </row>
    <row r="440" spans="1:15" x14ac:dyDescent="0.25">
      <c r="A440" s="62">
        <v>439</v>
      </c>
      <c r="B440" s="62"/>
      <c r="C440" s="68" t="str">
        <f>IF(ISNA(VLOOKUP($B440,CPY!$B:$G,2,FALSE))=TRUE," ",VLOOKUP($B440,CPY!$B:$G,2,FALSE))</f>
        <v> </v>
      </c>
      <c r="D440" s="50" t="str">
        <f>IF(ISNA(VLOOKUP($B440,CPY!$B:$G,3,FALSE))=TRUE," ",VLOOKUP($B440,CPY!$B:$G,3,FALSE))</f>
        <v> </v>
      </c>
      <c r="E440" s="65" t="str">
        <f>IF(ISNA(VLOOKUP($B440,CPY!$B:$G,4,FALSE))=TRUE," ",VLOOKUP($B440,CPY!$B:$G,4,FALSE))</f>
        <v> </v>
      </c>
      <c r="F440" s="62"/>
      <c r="G440" s="86"/>
      <c r="H440" s="86"/>
      <c r="I440" s="87"/>
      <c r="J440" s="88"/>
      <c r="K440" s="88"/>
      <c r="L440" s="95">
        <f t="shared" si="12"/>
        <v>0</v>
      </c>
      <c r="M440" s="96" t="b">
        <f>IF((ISNUMBER(L440)),IF(AND(F440="Workdays",(SUMIFS(O:O,F:F,F440,I:I,I440,B:B,B440)&lt;=24)),IF(AND((L440*24)&gt;0,(L440*24)&lt;=8),(L440*24)*MD!$M$5,IF(AND((L440*24)&gt;8,(L440*24)&lt;=16),(MD!$N$5),IF((L440*24)&gt;16,MD!$N$5))),IF(AND(F440="Non_workdays",(SUMIFS(O:O,F:F,F440,I:I,I440,B:B,B440)&lt;=24)),IF(AND((L440*24)&gt;0,(L440*24)&lt;=8),(L440*24)*MD!$M$6,IF(AND((L440*24)&gt;8,(L440*24)&lt;=16),(MD!$N$6),IF((L440*24)&gt;16,MD!$N$6))),IF(AND(F440="Call_out",(SUMIFS(O:O,F:F,F440,I:I,I440,B:B,B440)&lt;=24)),IF(AND((L440*24)&gt;0,(L440*24)&lt;=8),(L440*24)*MD!$P$4,IF(AND((L440*24)&gt;8,(L440*24)&lt;=16),(MD!$Q$4),IF((L440*24)&gt;16,MD!$Q$4)))))))</f>
        <v>0</v>
      </c>
      <c r="N440" s="62"/>
      <c r="O440" s="72">
        <f t="shared" si="13"/>
        <v>0</v>
      </c>
    </row>
    <row r="441" spans="1:15" x14ac:dyDescent="0.25">
      <c r="A441" s="62">
        <v>440</v>
      </c>
      <c r="B441" s="62"/>
      <c r="C441" s="68" t="str">
        <f>IF(ISNA(VLOOKUP($B441,CPY!$B:$G,2,FALSE))=TRUE," ",VLOOKUP($B441,CPY!$B:$G,2,FALSE))</f>
        <v> </v>
      </c>
      <c r="D441" s="50" t="str">
        <f>IF(ISNA(VLOOKUP($B441,CPY!$B:$G,3,FALSE))=TRUE," ",VLOOKUP($B441,CPY!$B:$G,3,FALSE))</f>
        <v> </v>
      </c>
      <c r="E441" s="65" t="str">
        <f>IF(ISNA(VLOOKUP($B441,CPY!$B:$G,4,FALSE))=TRUE," ",VLOOKUP($B441,CPY!$B:$G,4,FALSE))</f>
        <v> </v>
      </c>
      <c r="F441" s="62"/>
      <c r="G441" s="86"/>
      <c r="H441" s="86"/>
      <c r="I441" s="87"/>
      <c r="J441" s="88"/>
      <c r="K441" s="88"/>
      <c r="L441" s="95">
        <f t="shared" si="12"/>
        <v>0</v>
      </c>
      <c r="M441" s="96" t="b">
        <f>IF((ISNUMBER(L441)),IF(AND(F441="Workdays",(SUMIFS(O:O,F:F,F441,I:I,I441,B:B,B441)&lt;=24)),IF(AND((L441*24)&gt;0,(L441*24)&lt;=8),(L441*24)*MD!$M$5,IF(AND((L441*24)&gt;8,(L441*24)&lt;=16),(MD!$N$5),IF((L441*24)&gt;16,MD!$N$5))),IF(AND(F441="Non_workdays",(SUMIFS(O:O,F:F,F441,I:I,I441,B:B,B441)&lt;=24)),IF(AND((L441*24)&gt;0,(L441*24)&lt;=8),(L441*24)*MD!$M$6,IF(AND((L441*24)&gt;8,(L441*24)&lt;=16),(MD!$N$6),IF((L441*24)&gt;16,MD!$N$6))),IF(AND(F441="Call_out",(SUMIFS(O:O,F:F,F441,I:I,I441,B:B,B441)&lt;=24)),IF(AND((L441*24)&gt;0,(L441*24)&lt;=8),(L441*24)*MD!$P$4,IF(AND((L441*24)&gt;8,(L441*24)&lt;=16),(MD!$Q$4),IF((L441*24)&gt;16,MD!$Q$4)))))))</f>
        <v>0</v>
      </c>
      <c r="N441" s="62"/>
      <c r="O441" s="72">
        <f t="shared" si="13"/>
        <v>0</v>
      </c>
    </row>
    <row r="442" spans="1:15" x14ac:dyDescent="0.25">
      <c r="A442" s="62">
        <v>441</v>
      </c>
      <c r="B442" s="62"/>
      <c r="C442" s="68" t="str">
        <f>IF(ISNA(VLOOKUP($B442,CPY!$B:$G,2,FALSE))=TRUE," ",VLOOKUP($B442,CPY!$B:$G,2,FALSE))</f>
        <v> </v>
      </c>
      <c r="D442" s="50" t="str">
        <f>IF(ISNA(VLOOKUP($B442,CPY!$B:$G,3,FALSE))=TRUE," ",VLOOKUP($B442,CPY!$B:$G,3,FALSE))</f>
        <v> </v>
      </c>
      <c r="E442" s="65" t="str">
        <f>IF(ISNA(VLOOKUP($B442,CPY!$B:$G,4,FALSE))=TRUE," ",VLOOKUP($B442,CPY!$B:$G,4,FALSE))</f>
        <v> </v>
      </c>
      <c r="F442" s="62"/>
      <c r="G442" s="86"/>
      <c r="H442" s="86"/>
      <c r="I442" s="87"/>
      <c r="J442" s="88"/>
      <c r="K442" s="88"/>
      <c r="L442" s="95">
        <f t="shared" si="12"/>
        <v>0</v>
      </c>
      <c r="M442" s="96" t="b">
        <f>IF((ISNUMBER(L442)),IF(AND(F442="Workdays",(SUMIFS(O:O,F:F,F442,I:I,I442,B:B,B442)&lt;=24)),IF(AND((L442*24)&gt;0,(L442*24)&lt;=8),(L442*24)*MD!$M$5,IF(AND((L442*24)&gt;8,(L442*24)&lt;=16),(MD!$N$5),IF((L442*24)&gt;16,MD!$N$5))),IF(AND(F442="Non_workdays",(SUMIFS(O:O,F:F,F442,I:I,I442,B:B,B442)&lt;=24)),IF(AND((L442*24)&gt;0,(L442*24)&lt;=8),(L442*24)*MD!$M$6,IF(AND((L442*24)&gt;8,(L442*24)&lt;=16),(MD!$N$6),IF((L442*24)&gt;16,MD!$N$6))),IF(AND(F442="Call_out",(SUMIFS(O:O,F:F,F442,I:I,I442,B:B,B442)&lt;=24)),IF(AND((L442*24)&gt;0,(L442*24)&lt;=8),(L442*24)*MD!$P$4,IF(AND((L442*24)&gt;8,(L442*24)&lt;=16),(MD!$Q$4),IF((L442*24)&gt;16,MD!$Q$4)))))))</f>
        <v>0</v>
      </c>
      <c r="N442" s="62"/>
      <c r="O442" s="72">
        <f t="shared" si="13"/>
        <v>0</v>
      </c>
    </row>
    <row r="443" spans="1:15" x14ac:dyDescent="0.25">
      <c r="A443" s="62">
        <v>442</v>
      </c>
      <c r="B443" s="62"/>
      <c r="C443" s="68" t="str">
        <f>IF(ISNA(VLOOKUP($B443,CPY!$B:$G,2,FALSE))=TRUE," ",VLOOKUP($B443,CPY!$B:$G,2,FALSE))</f>
        <v> </v>
      </c>
      <c r="D443" s="50" t="str">
        <f>IF(ISNA(VLOOKUP($B443,CPY!$B:$G,3,FALSE))=TRUE," ",VLOOKUP($B443,CPY!$B:$G,3,FALSE))</f>
        <v> </v>
      </c>
      <c r="E443" s="65" t="str">
        <f>IF(ISNA(VLOOKUP($B443,CPY!$B:$G,4,FALSE))=TRUE," ",VLOOKUP($B443,CPY!$B:$G,4,FALSE))</f>
        <v> </v>
      </c>
      <c r="F443" s="62"/>
      <c r="G443" s="86"/>
      <c r="H443" s="86"/>
      <c r="I443" s="87"/>
      <c r="J443" s="88"/>
      <c r="K443" s="88"/>
      <c r="L443" s="95">
        <f t="shared" si="12"/>
        <v>0</v>
      </c>
      <c r="M443" s="96" t="b">
        <f>IF((ISNUMBER(L443)),IF(AND(F443="Workdays",(SUMIFS(O:O,F:F,F443,I:I,I443,B:B,B443)&lt;=24)),IF(AND((L443*24)&gt;0,(L443*24)&lt;=8),(L443*24)*MD!$M$5,IF(AND((L443*24)&gt;8,(L443*24)&lt;=16),(MD!$N$5),IF((L443*24)&gt;16,MD!$N$5))),IF(AND(F443="Non_workdays",(SUMIFS(O:O,F:F,F443,I:I,I443,B:B,B443)&lt;=24)),IF(AND((L443*24)&gt;0,(L443*24)&lt;=8),(L443*24)*MD!$M$6,IF(AND((L443*24)&gt;8,(L443*24)&lt;=16),(MD!$N$6),IF((L443*24)&gt;16,MD!$N$6))),IF(AND(F443="Call_out",(SUMIFS(O:O,F:F,F443,I:I,I443,B:B,B443)&lt;=24)),IF(AND((L443*24)&gt;0,(L443*24)&lt;=8),(L443*24)*MD!$P$4,IF(AND((L443*24)&gt;8,(L443*24)&lt;=16),(MD!$Q$4),IF((L443*24)&gt;16,MD!$Q$4)))))))</f>
        <v>0</v>
      </c>
      <c r="N443" s="62"/>
      <c r="O443" s="72">
        <f t="shared" si="13"/>
        <v>0</v>
      </c>
    </row>
    <row r="444" spans="1:15" x14ac:dyDescent="0.25">
      <c r="A444" s="62">
        <v>443</v>
      </c>
      <c r="B444" s="62"/>
      <c r="C444" s="68" t="str">
        <f>IF(ISNA(VLOOKUP($B444,CPY!$B:$G,2,FALSE))=TRUE," ",VLOOKUP($B444,CPY!$B:$G,2,FALSE))</f>
        <v> </v>
      </c>
      <c r="D444" s="50" t="str">
        <f>IF(ISNA(VLOOKUP($B444,CPY!$B:$G,3,FALSE))=TRUE," ",VLOOKUP($B444,CPY!$B:$G,3,FALSE))</f>
        <v> </v>
      </c>
      <c r="E444" s="65" t="str">
        <f>IF(ISNA(VLOOKUP($B444,CPY!$B:$G,4,FALSE))=TRUE," ",VLOOKUP($B444,CPY!$B:$G,4,FALSE))</f>
        <v> </v>
      </c>
      <c r="F444" s="62"/>
      <c r="G444" s="86"/>
      <c r="H444" s="86"/>
      <c r="I444" s="87"/>
      <c r="J444" s="88"/>
      <c r="K444" s="88"/>
      <c r="L444" s="95">
        <f t="shared" si="12"/>
        <v>0</v>
      </c>
      <c r="M444" s="96" t="b">
        <f>IF((ISNUMBER(L444)),IF(AND(F444="Workdays",(SUMIFS(O:O,F:F,F444,I:I,I444,B:B,B444)&lt;=24)),IF(AND((L444*24)&gt;0,(L444*24)&lt;=8),(L444*24)*MD!$M$5,IF(AND((L444*24)&gt;8,(L444*24)&lt;=16),(MD!$N$5),IF((L444*24)&gt;16,MD!$N$5))),IF(AND(F444="Non_workdays",(SUMIFS(O:O,F:F,F444,I:I,I444,B:B,B444)&lt;=24)),IF(AND((L444*24)&gt;0,(L444*24)&lt;=8),(L444*24)*MD!$M$6,IF(AND((L444*24)&gt;8,(L444*24)&lt;=16),(MD!$N$6),IF((L444*24)&gt;16,MD!$N$6))),IF(AND(F444="Call_out",(SUMIFS(O:O,F:F,F444,I:I,I444,B:B,B444)&lt;=24)),IF(AND((L444*24)&gt;0,(L444*24)&lt;=8),(L444*24)*MD!$P$4,IF(AND((L444*24)&gt;8,(L444*24)&lt;=16),(MD!$Q$4),IF((L444*24)&gt;16,MD!$Q$4)))))))</f>
        <v>0</v>
      </c>
      <c r="N444" s="62"/>
      <c r="O444" s="72">
        <f t="shared" si="13"/>
        <v>0</v>
      </c>
    </row>
    <row r="445" spans="1:15" x14ac:dyDescent="0.25">
      <c r="A445" s="62">
        <v>444</v>
      </c>
      <c r="B445" s="62"/>
      <c r="C445" s="68" t="str">
        <f>IF(ISNA(VLOOKUP($B445,CPY!$B:$G,2,FALSE))=TRUE," ",VLOOKUP($B445,CPY!$B:$G,2,FALSE))</f>
        <v> </v>
      </c>
      <c r="D445" s="50" t="str">
        <f>IF(ISNA(VLOOKUP($B445,CPY!$B:$G,3,FALSE))=TRUE," ",VLOOKUP($B445,CPY!$B:$G,3,FALSE))</f>
        <v> </v>
      </c>
      <c r="E445" s="65" t="str">
        <f>IF(ISNA(VLOOKUP($B445,CPY!$B:$G,4,FALSE))=TRUE," ",VLOOKUP($B445,CPY!$B:$G,4,FALSE))</f>
        <v> </v>
      </c>
      <c r="F445" s="62"/>
      <c r="G445" s="86"/>
      <c r="H445" s="86"/>
      <c r="I445" s="87"/>
      <c r="J445" s="88"/>
      <c r="K445" s="88"/>
      <c r="L445" s="95">
        <f t="shared" si="12"/>
        <v>0</v>
      </c>
      <c r="M445" s="96" t="b">
        <f>IF((ISNUMBER(L445)),IF(AND(F445="Workdays",(SUMIFS(O:O,F:F,F445,I:I,I445,B:B,B445)&lt;=24)),IF(AND((L445*24)&gt;0,(L445*24)&lt;=8),(L445*24)*MD!$M$5,IF(AND((L445*24)&gt;8,(L445*24)&lt;=16),(MD!$N$5),IF((L445*24)&gt;16,MD!$N$5))),IF(AND(F445="Non_workdays",(SUMIFS(O:O,F:F,F445,I:I,I445,B:B,B445)&lt;=24)),IF(AND((L445*24)&gt;0,(L445*24)&lt;=8),(L445*24)*MD!$M$6,IF(AND((L445*24)&gt;8,(L445*24)&lt;=16),(MD!$N$6),IF((L445*24)&gt;16,MD!$N$6))),IF(AND(F445="Call_out",(SUMIFS(O:O,F:F,F445,I:I,I445,B:B,B445)&lt;=24)),IF(AND((L445*24)&gt;0,(L445*24)&lt;=8),(L445*24)*MD!$P$4,IF(AND((L445*24)&gt;8,(L445*24)&lt;=16),(MD!$Q$4),IF((L445*24)&gt;16,MD!$Q$4)))))))</f>
        <v>0</v>
      </c>
      <c r="N445" s="62"/>
      <c r="O445" s="72">
        <f t="shared" si="13"/>
        <v>0</v>
      </c>
    </row>
    <row r="446" spans="1:15" x14ac:dyDescent="0.25">
      <c r="A446" s="62">
        <v>445</v>
      </c>
      <c r="B446" s="62"/>
      <c r="C446" s="68" t="str">
        <f>IF(ISNA(VLOOKUP($B446,CPY!$B:$G,2,FALSE))=TRUE," ",VLOOKUP($B446,CPY!$B:$G,2,FALSE))</f>
        <v> </v>
      </c>
      <c r="D446" s="50" t="str">
        <f>IF(ISNA(VLOOKUP($B446,CPY!$B:$G,3,FALSE))=TRUE," ",VLOOKUP($B446,CPY!$B:$G,3,FALSE))</f>
        <v> </v>
      </c>
      <c r="E446" s="65" t="str">
        <f>IF(ISNA(VLOOKUP($B446,CPY!$B:$G,4,FALSE))=TRUE," ",VLOOKUP($B446,CPY!$B:$G,4,FALSE))</f>
        <v> </v>
      </c>
      <c r="F446" s="62"/>
      <c r="G446" s="86"/>
      <c r="H446" s="86"/>
      <c r="I446" s="87"/>
      <c r="J446" s="88"/>
      <c r="K446" s="88"/>
      <c r="L446" s="95">
        <f t="shared" si="12"/>
        <v>0</v>
      </c>
      <c r="M446" s="96" t="b">
        <f>IF((ISNUMBER(L446)),IF(AND(F446="Workdays",(SUMIFS(O:O,F:F,F446,I:I,I446,B:B,B446)&lt;=24)),IF(AND((L446*24)&gt;0,(L446*24)&lt;=8),(L446*24)*MD!$M$5,IF(AND((L446*24)&gt;8,(L446*24)&lt;=16),(MD!$N$5),IF((L446*24)&gt;16,MD!$N$5))),IF(AND(F446="Non_workdays",(SUMIFS(O:O,F:F,F446,I:I,I446,B:B,B446)&lt;=24)),IF(AND((L446*24)&gt;0,(L446*24)&lt;=8),(L446*24)*MD!$M$6,IF(AND((L446*24)&gt;8,(L446*24)&lt;=16),(MD!$N$6),IF((L446*24)&gt;16,MD!$N$6))),IF(AND(F446="Call_out",(SUMIFS(O:O,F:F,F446,I:I,I446,B:B,B446)&lt;=24)),IF(AND((L446*24)&gt;0,(L446*24)&lt;=8),(L446*24)*MD!$P$4,IF(AND((L446*24)&gt;8,(L446*24)&lt;=16),(MD!$Q$4),IF((L446*24)&gt;16,MD!$Q$4)))))))</f>
        <v>0</v>
      </c>
      <c r="N446" s="62"/>
      <c r="O446" s="72">
        <f t="shared" si="13"/>
        <v>0</v>
      </c>
    </row>
    <row r="447" spans="1:15" x14ac:dyDescent="0.25">
      <c r="A447" s="62">
        <v>446</v>
      </c>
      <c r="B447" s="62"/>
      <c r="C447" s="68" t="str">
        <f>IF(ISNA(VLOOKUP($B447,CPY!$B:$G,2,FALSE))=TRUE," ",VLOOKUP($B447,CPY!$B:$G,2,FALSE))</f>
        <v> </v>
      </c>
      <c r="D447" s="50" t="str">
        <f>IF(ISNA(VLOOKUP($B447,CPY!$B:$G,3,FALSE))=TRUE," ",VLOOKUP($B447,CPY!$B:$G,3,FALSE))</f>
        <v> </v>
      </c>
      <c r="E447" s="65" t="str">
        <f>IF(ISNA(VLOOKUP($B447,CPY!$B:$G,4,FALSE))=TRUE," ",VLOOKUP($B447,CPY!$B:$G,4,FALSE))</f>
        <v> </v>
      </c>
      <c r="F447" s="62"/>
      <c r="G447" s="86"/>
      <c r="H447" s="86"/>
      <c r="I447" s="87"/>
      <c r="J447" s="88"/>
      <c r="K447" s="88"/>
      <c r="L447" s="95">
        <f t="shared" si="12"/>
        <v>0</v>
      </c>
      <c r="M447" s="96" t="b">
        <f>IF((ISNUMBER(L447)),IF(AND(F447="Workdays",(SUMIFS(O:O,F:F,F447,I:I,I447,B:B,B447)&lt;=24)),IF(AND((L447*24)&gt;0,(L447*24)&lt;=8),(L447*24)*MD!$M$5,IF(AND((L447*24)&gt;8,(L447*24)&lt;=16),(MD!$N$5),IF((L447*24)&gt;16,MD!$N$5))),IF(AND(F447="Non_workdays",(SUMIFS(O:O,F:F,F447,I:I,I447,B:B,B447)&lt;=24)),IF(AND((L447*24)&gt;0,(L447*24)&lt;=8),(L447*24)*MD!$M$6,IF(AND((L447*24)&gt;8,(L447*24)&lt;=16),(MD!$N$6),IF((L447*24)&gt;16,MD!$N$6))),IF(AND(F447="Call_out",(SUMIFS(O:O,F:F,F447,I:I,I447,B:B,B447)&lt;=24)),IF(AND((L447*24)&gt;0,(L447*24)&lt;=8),(L447*24)*MD!$P$4,IF(AND((L447*24)&gt;8,(L447*24)&lt;=16),(MD!$Q$4),IF((L447*24)&gt;16,MD!$Q$4)))))))</f>
        <v>0</v>
      </c>
      <c r="N447" s="62"/>
      <c r="O447" s="72">
        <f t="shared" si="13"/>
        <v>0</v>
      </c>
    </row>
    <row r="448" spans="1:15" x14ac:dyDescent="0.25">
      <c r="A448" s="62">
        <v>447</v>
      </c>
      <c r="B448" s="62"/>
      <c r="C448" s="68" t="str">
        <f>IF(ISNA(VLOOKUP($B448,CPY!$B:$G,2,FALSE))=TRUE," ",VLOOKUP($B448,CPY!$B:$G,2,FALSE))</f>
        <v> </v>
      </c>
      <c r="D448" s="50" t="str">
        <f>IF(ISNA(VLOOKUP($B448,CPY!$B:$G,3,FALSE))=TRUE," ",VLOOKUP($B448,CPY!$B:$G,3,FALSE))</f>
        <v> </v>
      </c>
      <c r="E448" s="65" t="str">
        <f>IF(ISNA(VLOOKUP($B448,CPY!$B:$G,4,FALSE))=TRUE," ",VLOOKUP($B448,CPY!$B:$G,4,FALSE))</f>
        <v> </v>
      </c>
      <c r="F448" s="62"/>
      <c r="G448" s="86"/>
      <c r="H448" s="86"/>
      <c r="I448" s="87"/>
      <c r="J448" s="88"/>
      <c r="K448" s="88"/>
      <c r="L448" s="95">
        <f t="shared" si="12"/>
        <v>0</v>
      </c>
      <c r="M448" s="96" t="b">
        <f>IF((ISNUMBER(L448)),IF(AND(F448="Workdays",(SUMIFS(O:O,F:F,F448,I:I,I448,B:B,B448)&lt;=24)),IF(AND((L448*24)&gt;0,(L448*24)&lt;=8),(L448*24)*MD!$M$5,IF(AND((L448*24)&gt;8,(L448*24)&lt;=16),(MD!$N$5),IF((L448*24)&gt;16,MD!$N$5))),IF(AND(F448="Non_workdays",(SUMIFS(O:O,F:F,F448,I:I,I448,B:B,B448)&lt;=24)),IF(AND((L448*24)&gt;0,(L448*24)&lt;=8),(L448*24)*MD!$M$6,IF(AND((L448*24)&gt;8,(L448*24)&lt;=16),(MD!$N$6),IF((L448*24)&gt;16,MD!$N$6))),IF(AND(F448="Call_out",(SUMIFS(O:O,F:F,F448,I:I,I448,B:B,B448)&lt;=24)),IF(AND((L448*24)&gt;0,(L448*24)&lt;=8),(L448*24)*MD!$P$4,IF(AND((L448*24)&gt;8,(L448*24)&lt;=16),(MD!$Q$4),IF((L448*24)&gt;16,MD!$Q$4)))))))</f>
        <v>0</v>
      </c>
      <c r="N448" s="62"/>
      <c r="O448" s="72">
        <f t="shared" si="13"/>
        <v>0</v>
      </c>
    </row>
    <row r="449" spans="1:15" x14ac:dyDescent="0.25">
      <c r="A449" s="62">
        <v>448</v>
      </c>
      <c r="B449" s="62"/>
      <c r="C449" s="68" t="str">
        <f>IF(ISNA(VLOOKUP($B449,CPY!$B:$G,2,FALSE))=TRUE," ",VLOOKUP($B449,CPY!$B:$G,2,FALSE))</f>
        <v> </v>
      </c>
      <c r="D449" s="50" t="str">
        <f>IF(ISNA(VLOOKUP($B449,CPY!$B:$G,3,FALSE))=TRUE," ",VLOOKUP($B449,CPY!$B:$G,3,FALSE))</f>
        <v> </v>
      </c>
      <c r="E449" s="65" t="str">
        <f>IF(ISNA(VLOOKUP($B449,CPY!$B:$G,4,FALSE))=TRUE," ",VLOOKUP($B449,CPY!$B:$G,4,FALSE))</f>
        <v> </v>
      </c>
      <c r="F449" s="62"/>
      <c r="G449" s="86"/>
      <c r="H449" s="86"/>
      <c r="I449" s="87"/>
      <c r="J449" s="88"/>
      <c r="K449" s="88"/>
      <c r="L449" s="95">
        <f t="shared" si="12"/>
        <v>0</v>
      </c>
      <c r="M449" s="96" t="b">
        <f>IF((ISNUMBER(L449)),IF(AND(F449="Workdays",(SUMIFS(O:O,F:F,F449,I:I,I449,B:B,B449)&lt;=24)),IF(AND((L449*24)&gt;0,(L449*24)&lt;=8),(L449*24)*MD!$M$5,IF(AND((L449*24)&gt;8,(L449*24)&lt;=16),(MD!$N$5),IF((L449*24)&gt;16,MD!$N$5))),IF(AND(F449="Non_workdays",(SUMIFS(O:O,F:F,F449,I:I,I449,B:B,B449)&lt;=24)),IF(AND((L449*24)&gt;0,(L449*24)&lt;=8),(L449*24)*MD!$M$6,IF(AND((L449*24)&gt;8,(L449*24)&lt;=16),(MD!$N$6),IF((L449*24)&gt;16,MD!$N$6))),IF(AND(F449="Call_out",(SUMIFS(O:O,F:F,F449,I:I,I449,B:B,B449)&lt;=24)),IF(AND((L449*24)&gt;0,(L449*24)&lt;=8),(L449*24)*MD!$P$4,IF(AND((L449*24)&gt;8,(L449*24)&lt;=16),(MD!$Q$4),IF((L449*24)&gt;16,MD!$Q$4)))))))</f>
        <v>0</v>
      </c>
      <c r="N449" s="62"/>
      <c r="O449" s="72">
        <f t="shared" si="13"/>
        <v>0</v>
      </c>
    </row>
    <row r="450" spans="1:15" x14ac:dyDescent="0.25">
      <c r="A450" s="62">
        <v>449</v>
      </c>
      <c r="B450" s="62"/>
      <c r="C450" s="68" t="str">
        <f>IF(ISNA(VLOOKUP($B450,CPY!$B:$G,2,FALSE))=TRUE," ",VLOOKUP($B450,CPY!$B:$G,2,FALSE))</f>
        <v> </v>
      </c>
      <c r="D450" s="50" t="str">
        <f>IF(ISNA(VLOOKUP($B450,CPY!$B:$G,3,FALSE))=TRUE," ",VLOOKUP($B450,CPY!$B:$G,3,FALSE))</f>
        <v> </v>
      </c>
      <c r="E450" s="65" t="str">
        <f>IF(ISNA(VLOOKUP($B450,CPY!$B:$G,4,FALSE))=TRUE," ",VLOOKUP($B450,CPY!$B:$G,4,FALSE))</f>
        <v> </v>
      </c>
      <c r="F450" s="62"/>
      <c r="G450" s="86"/>
      <c r="H450" s="86"/>
      <c r="I450" s="87"/>
      <c r="J450" s="88"/>
      <c r="K450" s="88"/>
      <c r="L450" s="95">
        <f t="shared" si="12"/>
        <v>0</v>
      </c>
      <c r="M450" s="96" t="b">
        <f>IF((ISNUMBER(L450)),IF(AND(F450="Workdays",(SUMIFS(O:O,F:F,F450,I:I,I450,B:B,B450)&lt;=24)),IF(AND((L450*24)&gt;0,(L450*24)&lt;=8),(L450*24)*MD!$M$5,IF(AND((L450*24)&gt;8,(L450*24)&lt;=16),(MD!$N$5),IF((L450*24)&gt;16,MD!$N$5))),IF(AND(F450="Non_workdays",(SUMIFS(O:O,F:F,F450,I:I,I450,B:B,B450)&lt;=24)),IF(AND((L450*24)&gt;0,(L450*24)&lt;=8),(L450*24)*MD!$M$6,IF(AND((L450*24)&gt;8,(L450*24)&lt;=16),(MD!$N$6),IF((L450*24)&gt;16,MD!$N$6))),IF(AND(F450="Call_out",(SUMIFS(O:O,F:F,F450,I:I,I450,B:B,B450)&lt;=24)),IF(AND((L450*24)&gt;0,(L450*24)&lt;=8),(L450*24)*MD!$P$4,IF(AND((L450*24)&gt;8,(L450*24)&lt;=16),(MD!$Q$4),IF((L450*24)&gt;16,MD!$Q$4)))))))</f>
        <v>0</v>
      </c>
      <c r="N450" s="62"/>
      <c r="O450" s="72">
        <f t="shared" si="13"/>
        <v>0</v>
      </c>
    </row>
    <row r="451" spans="1:15" x14ac:dyDescent="0.25">
      <c r="A451" s="62">
        <v>450</v>
      </c>
      <c r="B451" s="62"/>
      <c r="C451" s="68" t="str">
        <f>IF(ISNA(VLOOKUP($B451,CPY!$B:$G,2,FALSE))=TRUE," ",VLOOKUP($B451,CPY!$B:$G,2,FALSE))</f>
        <v> </v>
      </c>
      <c r="D451" s="50" t="str">
        <f>IF(ISNA(VLOOKUP($B451,CPY!$B:$G,3,FALSE))=TRUE," ",VLOOKUP($B451,CPY!$B:$G,3,FALSE))</f>
        <v> </v>
      </c>
      <c r="E451" s="65" t="str">
        <f>IF(ISNA(VLOOKUP($B451,CPY!$B:$G,4,FALSE))=TRUE," ",VLOOKUP($B451,CPY!$B:$G,4,FALSE))</f>
        <v> </v>
      </c>
      <c r="F451" s="62"/>
      <c r="G451" s="86"/>
      <c r="H451" s="86"/>
      <c r="I451" s="87"/>
      <c r="J451" s="88"/>
      <c r="K451" s="88"/>
      <c r="L451" s="95">
        <f t="shared" ref="L451:L500" si="14">IF($F451="Workdays",IF(NOT(ISBLANK($K451)),(IF($K451&lt;$J451,$K451+1,$K451)-$J451)),IF(OR($F451="Non_workdays",$F451="Call_out"),IF(NOT(ISBLANK($K451)),(IF($K451&lt;$J451,$K451+1,$K451)-$J451)),IF(AND(NOT(ISBLANK($F451)),NOT(ISBLANK($I451))),"Correct the On call slab")))</f>
        <v>0</v>
      </c>
      <c r="M451" s="96" t="b">
        <f>IF((ISNUMBER(L451)),IF(AND(F451="Workdays",(SUMIFS(O:O,F:F,F451,I:I,I451,B:B,B451)&lt;=24)),IF(AND((L451*24)&gt;0,(L451*24)&lt;=8),(L451*24)*MD!$M$5,IF(AND((L451*24)&gt;8,(L451*24)&lt;=16),(MD!$N$5),IF((L451*24)&gt;16,MD!$N$5))),IF(AND(F451="Non_workdays",(SUMIFS(O:O,F:F,F451,I:I,I451,B:B,B451)&lt;=24)),IF(AND((L451*24)&gt;0,(L451*24)&lt;=8),(L451*24)*MD!$M$6,IF(AND((L451*24)&gt;8,(L451*24)&lt;=16),(MD!$N$6),IF((L451*24)&gt;16,MD!$N$6))),IF(AND(F451="Call_out",(SUMIFS(O:O,F:F,F451,I:I,I451,B:B,B451)&lt;=24)),IF(AND((L451*24)&gt;0,(L451*24)&lt;=8),(L451*24)*MD!$P$4,IF(AND((L451*24)&gt;8,(L451*24)&lt;=16),(MD!$Q$4),IF((L451*24)&gt;16,MD!$Q$4)))))))</f>
        <v>0</v>
      </c>
      <c r="N451" s="62"/>
      <c r="O451" s="72">
        <f t="shared" ref="O451:O500" si="15">L451*24</f>
        <v>0</v>
      </c>
    </row>
    <row r="452" spans="1:15" x14ac:dyDescent="0.25">
      <c r="A452" s="62">
        <v>451</v>
      </c>
      <c r="B452" s="62"/>
      <c r="C452" s="68" t="str">
        <f>IF(ISNA(VLOOKUP($B452,CPY!$B:$G,2,FALSE))=TRUE," ",VLOOKUP($B452,CPY!$B:$G,2,FALSE))</f>
        <v> </v>
      </c>
      <c r="D452" s="50" t="str">
        <f>IF(ISNA(VLOOKUP($B452,CPY!$B:$G,3,FALSE))=TRUE," ",VLOOKUP($B452,CPY!$B:$G,3,FALSE))</f>
        <v> </v>
      </c>
      <c r="E452" s="65" t="str">
        <f>IF(ISNA(VLOOKUP($B452,CPY!$B:$G,4,FALSE))=TRUE," ",VLOOKUP($B452,CPY!$B:$G,4,FALSE))</f>
        <v> </v>
      </c>
      <c r="F452" s="62"/>
      <c r="G452" s="86"/>
      <c r="H452" s="86"/>
      <c r="I452" s="87"/>
      <c r="J452" s="88"/>
      <c r="K452" s="88"/>
      <c r="L452" s="95">
        <f t="shared" si="14"/>
        <v>0</v>
      </c>
      <c r="M452" s="96" t="b">
        <f>IF((ISNUMBER(L452)),IF(AND(F452="Workdays",(SUMIFS(O:O,F:F,F452,I:I,I452,B:B,B452)&lt;=24)),IF(AND((L452*24)&gt;0,(L452*24)&lt;=8),(L452*24)*MD!$M$5,IF(AND((L452*24)&gt;8,(L452*24)&lt;=16),(MD!$N$5),IF((L452*24)&gt;16,MD!$N$5))),IF(AND(F452="Non_workdays",(SUMIFS(O:O,F:F,F452,I:I,I452,B:B,B452)&lt;=24)),IF(AND((L452*24)&gt;0,(L452*24)&lt;=8),(L452*24)*MD!$M$6,IF(AND((L452*24)&gt;8,(L452*24)&lt;=16),(MD!$N$6),IF((L452*24)&gt;16,MD!$N$6))),IF(AND(F452="Call_out",(SUMIFS(O:O,F:F,F452,I:I,I452,B:B,B452)&lt;=24)),IF(AND((L452*24)&gt;0,(L452*24)&lt;=8),(L452*24)*MD!$P$4,IF(AND((L452*24)&gt;8,(L452*24)&lt;=16),(MD!$Q$4),IF((L452*24)&gt;16,MD!$Q$4)))))))</f>
        <v>0</v>
      </c>
      <c r="N452" s="62"/>
      <c r="O452" s="72">
        <f t="shared" si="15"/>
        <v>0</v>
      </c>
    </row>
    <row r="453" spans="1:15" x14ac:dyDescent="0.25">
      <c r="A453" s="62">
        <v>452</v>
      </c>
      <c r="B453" s="62"/>
      <c r="C453" s="68" t="str">
        <f>IF(ISNA(VLOOKUP($B453,CPY!$B:$G,2,FALSE))=TRUE," ",VLOOKUP($B453,CPY!$B:$G,2,FALSE))</f>
        <v> </v>
      </c>
      <c r="D453" s="50" t="str">
        <f>IF(ISNA(VLOOKUP($B453,CPY!$B:$G,3,FALSE))=TRUE," ",VLOOKUP($B453,CPY!$B:$G,3,FALSE))</f>
        <v> </v>
      </c>
      <c r="E453" s="65" t="str">
        <f>IF(ISNA(VLOOKUP($B453,CPY!$B:$G,4,FALSE))=TRUE," ",VLOOKUP($B453,CPY!$B:$G,4,FALSE))</f>
        <v> </v>
      </c>
      <c r="F453" s="62"/>
      <c r="G453" s="86"/>
      <c r="H453" s="86"/>
      <c r="I453" s="87"/>
      <c r="J453" s="88"/>
      <c r="K453" s="88"/>
      <c r="L453" s="95">
        <f t="shared" si="14"/>
        <v>0</v>
      </c>
      <c r="M453" s="96" t="b">
        <f>IF((ISNUMBER(L453)),IF(AND(F453="Workdays",(SUMIFS(O:O,F:F,F453,I:I,I453,B:B,B453)&lt;=24)),IF(AND((L453*24)&gt;0,(L453*24)&lt;=8),(L453*24)*MD!$M$5,IF(AND((L453*24)&gt;8,(L453*24)&lt;=16),(MD!$N$5),IF((L453*24)&gt;16,MD!$N$5))),IF(AND(F453="Non_workdays",(SUMIFS(O:O,F:F,F453,I:I,I453,B:B,B453)&lt;=24)),IF(AND((L453*24)&gt;0,(L453*24)&lt;=8),(L453*24)*MD!$M$6,IF(AND((L453*24)&gt;8,(L453*24)&lt;=16),(MD!$N$6),IF((L453*24)&gt;16,MD!$N$6))),IF(AND(F453="Call_out",(SUMIFS(O:O,F:F,F453,I:I,I453,B:B,B453)&lt;=24)),IF(AND((L453*24)&gt;0,(L453*24)&lt;=8),(L453*24)*MD!$P$4,IF(AND((L453*24)&gt;8,(L453*24)&lt;=16),(MD!$Q$4),IF((L453*24)&gt;16,MD!$Q$4)))))))</f>
        <v>0</v>
      </c>
      <c r="N453" s="62"/>
      <c r="O453" s="72">
        <f t="shared" si="15"/>
        <v>0</v>
      </c>
    </row>
    <row r="454" spans="1:15" x14ac:dyDescent="0.25">
      <c r="A454" s="62">
        <v>453</v>
      </c>
      <c r="B454" s="62"/>
      <c r="C454" s="68" t="str">
        <f>IF(ISNA(VLOOKUP($B454,CPY!$B:$G,2,FALSE))=TRUE," ",VLOOKUP($B454,CPY!$B:$G,2,FALSE))</f>
        <v> </v>
      </c>
      <c r="D454" s="50" t="str">
        <f>IF(ISNA(VLOOKUP($B454,CPY!$B:$G,3,FALSE))=TRUE," ",VLOOKUP($B454,CPY!$B:$G,3,FALSE))</f>
        <v> </v>
      </c>
      <c r="E454" s="65" t="str">
        <f>IF(ISNA(VLOOKUP($B454,CPY!$B:$G,4,FALSE))=TRUE," ",VLOOKUP($B454,CPY!$B:$G,4,FALSE))</f>
        <v> </v>
      </c>
      <c r="F454" s="62"/>
      <c r="G454" s="86"/>
      <c r="H454" s="86"/>
      <c r="I454" s="87"/>
      <c r="J454" s="88"/>
      <c r="K454" s="88"/>
      <c r="L454" s="95">
        <f t="shared" si="14"/>
        <v>0</v>
      </c>
      <c r="M454" s="96" t="b">
        <f>IF((ISNUMBER(L454)),IF(AND(F454="Workdays",(SUMIFS(O:O,F:F,F454,I:I,I454,B:B,B454)&lt;=24)),IF(AND((L454*24)&gt;0,(L454*24)&lt;=8),(L454*24)*MD!$M$5,IF(AND((L454*24)&gt;8,(L454*24)&lt;=16),(MD!$N$5),IF((L454*24)&gt;16,MD!$N$5))),IF(AND(F454="Non_workdays",(SUMIFS(O:O,F:F,F454,I:I,I454,B:B,B454)&lt;=24)),IF(AND((L454*24)&gt;0,(L454*24)&lt;=8),(L454*24)*MD!$M$6,IF(AND((L454*24)&gt;8,(L454*24)&lt;=16),(MD!$N$6),IF((L454*24)&gt;16,MD!$N$6))),IF(AND(F454="Call_out",(SUMIFS(O:O,F:F,F454,I:I,I454,B:B,B454)&lt;=24)),IF(AND((L454*24)&gt;0,(L454*24)&lt;=8),(L454*24)*MD!$P$4,IF(AND((L454*24)&gt;8,(L454*24)&lt;=16),(MD!$Q$4),IF((L454*24)&gt;16,MD!$Q$4)))))))</f>
        <v>0</v>
      </c>
      <c r="N454" s="62"/>
      <c r="O454" s="72">
        <f t="shared" si="15"/>
        <v>0</v>
      </c>
    </row>
    <row r="455" spans="1:15" x14ac:dyDescent="0.25">
      <c r="A455" s="62">
        <v>454</v>
      </c>
      <c r="B455" s="62"/>
      <c r="C455" s="68" t="str">
        <f>IF(ISNA(VLOOKUP($B455,CPY!$B:$G,2,FALSE))=TRUE," ",VLOOKUP($B455,CPY!$B:$G,2,FALSE))</f>
        <v> </v>
      </c>
      <c r="D455" s="50" t="str">
        <f>IF(ISNA(VLOOKUP($B455,CPY!$B:$G,3,FALSE))=TRUE," ",VLOOKUP($B455,CPY!$B:$G,3,FALSE))</f>
        <v> </v>
      </c>
      <c r="E455" s="65" t="str">
        <f>IF(ISNA(VLOOKUP($B455,CPY!$B:$G,4,FALSE))=TRUE," ",VLOOKUP($B455,CPY!$B:$G,4,FALSE))</f>
        <v> </v>
      </c>
      <c r="F455" s="62"/>
      <c r="G455" s="86"/>
      <c r="H455" s="86"/>
      <c r="I455" s="87"/>
      <c r="J455" s="88"/>
      <c r="K455" s="88"/>
      <c r="L455" s="95">
        <f t="shared" si="14"/>
        <v>0</v>
      </c>
      <c r="M455" s="96" t="b">
        <f>IF((ISNUMBER(L455)),IF(AND(F455="Workdays",(SUMIFS(O:O,F:F,F455,I:I,I455,B:B,B455)&lt;=24)),IF(AND((L455*24)&gt;0,(L455*24)&lt;=8),(L455*24)*MD!$M$5,IF(AND((L455*24)&gt;8,(L455*24)&lt;=16),(MD!$N$5),IF((L455*24)&gt;16,MD!$N$5))),IF(AND(F455="Non_workdays",(SUMIFS(O:O,F:F,F455,I:I,I455,B:B,B455)&lt;=24)),IF(AND((L455*24)&gt;0,(L455*24)&lt;=8),(L455*24)*MD!$M$6,IF(AND((L455*24)&gt;8,(L455*24)&lt;=16),(MD!$N$6),IF((L455*24)&gt;16,MD!$N$6))),IF(AND(F455="Call_out",(SUMIFS(O:O,F:F,F455,I:I,I455,B:B,B455)&lt;=24)),IF(AND((L455*24)&gt;0,(L455*24)&lt;=8),(L455*24)*MD!$P$4,IF(AND((L455*24)&gt;8,(L455*24)&lt;=16),(MD!$Q$4),IF((L455*24)&gt;16,MD!$Q$4)))))))</f>
        <v>0</v>
      </c>
      <c r="N455" s="62"/>
      <c r="O455" s="72">
        <f t="shared" si="15"/>
        <v>0</v>
      </c>
    </row>
    <row r="456" spans="1:15" x14ac:dyDescent="0.25">
      <c r="A456" s="62">
        <v>455</v>
      </c>
      <c r="B456" s="62"/>
      <c r="C456" s="68" t="str">
        <f>IF(ISNA(VLOOKUP($B456,CPY!$B:$G,2,FALSE))=TRUE," ",VLOOKUP($B456,CPY!$B:$G,2,FALSE))</f>
        <v> </v>
      </c>
      <c r="D456" s="50" t="str">
        <f>IF(ISNA(VLOOKUP($B456,CPY!$B:$G,3,FALSE))=TRUE," ",VLOOKUP($B456,CPY!$B:$G,3,FALSE))</f>
        <v> </v>
      </c>
      <c r="E456" s="65" t="str">
        <f>IF(ISNA(VLOOKUP($B456,CPY!$B:$G,4,FALSE))=TRUE," ",VLOOKUP($B456,CPY!$B:$G,4,FALSE))</f>
        <v> </v>
      </c>
      <c r="F456" s="62"/>
      <c r="G456" s="86"/>
      <c r="H456" s="86"/>
      <c r="I456" s="87"/>
      <c r="J456" s="88"/>
      <c r="K456" s="88"/>
      <c r="L456" s="95">
        <f t="shared" si="14"/>
        <v>0</v>
      </c>
      <c r="M456" s="96" t="b">
        <f>IF((ISNUMBER(L456)),IF(AND(F456="Workdays",(SUMIFS(O:O,F:F,F456,I:I,I456,B:B,B456)&lt;=24)),IF(AND((L456*24)&gt;0,(L456*24)&lt;=8),(L456*24)*MD!$M$5,IF(AND((L456*24)&gt;8,(L456*24)&lt;=16),(MD!$N$5),IF((L456*24)&gt;16,MD!$N$5))),IF(AND(F456="Non_workdays",(SUMIFS(O:O,F:F,F456,I:I,I456,B:B,B456)&lt;=24)),IF(AND((L456*24)&gt;0,(L456*24)&lt;=8),(L456*24)*MD!$M$6,IF(AND((L456*24)&gt;8,(L456*24)&lt;=16),(MD!$N$6),IF((L456*24)&gt;16,MD!$N$6))),IF(AND(F456="Call_out",(SUMIFS(O:O,F:F,F456,I:I,I456,B:B,B456)&lt;=24)),IF(AND((L456*24)&gt;0,(L456*24)&lt;=8),(L456*24)*MD!$P$4,IF(AND((L456*24)&gt;8,(L456*24)&lt;=16),(MD!$Q$4),IF((L456*24)&gt;16,MD!$Q$4)))))))</f>
        <v>0</v>
      </c>
      <c r="N456" s="62"/>
      <c r="O456" s="72">
        <f t="shared" si="15"/>
        <v>0</v>
      </c>
    </row>
    <row r="457" spans="1:15" x14ac:dyDescent="0.25">
      <c r="A457" s="62">
        <v>456</v>
      </c>
      <c r="B457" s="62"/>
      <c r="C457" s="68" t="str">
        <f>IF(ISNA(VLOOKUP($B457,CPY!$B:$G,2,FALSE))=TRUE," ",VLOOKUP($B457,CPY!$B:$G,2,FALSE))</f>
        <v> </v>
      </c>
      <c r="D457" s="50" t="str">
        <f>IF(ISNA(VLOOKUP($B457,CPY!$B:$G,3,FALSE))=TRUE," ",VLOOKUP($B457,CPY!$B:$G,3,FALSE))</f>
        <v> </v>
      </c>
      <c r="E457" s="65" t="str">
        <f>IF(ISNA(VLOOKUP($B457,CPY!$B:$G,4,FALSE))=TRUE," ",VLOOKUP($B457,CPY!$B:$G,4,FALSE))</f>
        <v> </v>
      </c>
      <c r="F457" s="62"/>
      <c r="G457" s="86"/>
      <c r="H457" s="86"/>
      <c r="I457" s="87"/>
      <c r="J457" s="88"/>
      <c r="K457" s="88"/>
      <c r="L457" s="95">
        <f t="shared" si="14"/>
        <v>0</v>
      </c>
      <c r="M457" s="96" t="b">
        <f>IF((ISNUMBER(L457)),IF(AND(F457="Workdays",(SUMIFS(O:O,F:F,F457,I:I,I457,B:B,B457)&lt;=24)),IF(AND((L457*24)&gt;0,(L457*24)&lt;=8),(L457*24)*MD!$M$5,IF(AND((L457*24)&gt;8,(L457*24)&lt;=16),(MD!$N$5),IF((L457*24)&gt;16,MD!$N$5))),IF(AND(F457="Non_workdays",(SUMIFS(O:O,F:F,F457,I:I,I457,B:B,B457)&lt;=24)),IF(AND((L457*24)&gt;0,(L457*24)&lt;=8),(L457*24)*MD!$M$6,IF(AND((L457*24)&gt;8,(L457*24)&lt;=16),(MD!$N$6),IF((L457*24)&gt;16,MD!$N$6))),IF(AND(F457="Call_out",(SUMIFS(O:O,F:F,F457,I:I,I457,B:B,B457)&lt;=24)),IF(AND((L457*24)&gt;0,(L457*24)&lt;=8),(L457*24)*MD!$P$4,IF(AND((L457*24)&gt;8,(L457*24)&lt;=16),(MD!$Q$4),IF((L457*24)&gt;16,MD!$Q$4)))))))</f>
        <v>0</v>
      </c>
      <c r="N457" s="62"/>
      <c r="O457" s="72">
        <f t="shared" si="15"/>
        <v>0</v>
      </c>
    </row>
    <row r="458" spans="1:15" x14ac:dyDescent="0.25">
      <c r="A458" s="62">
        <v>457</v>
      </c>
      <c r="B458" s="62"/>
      <c r="C458" s="68" t="str">
        <f>IF(ISNA(VLOOKUP($B458,CPY!$B:$G,2,FALSE))=TRUE," ",VLOOKUP($B458,CPY!$B:$G,2,FALSE))</f>
        <v> </v>
      </c>
      <c r="D458" s="50" t="str">
        <f>IF(ISNA(VLOOKUP($B458,CPY!$B:$G,3,FALSE))=TRUE," ",VLOOKUP($B458,CPY!$B:$G,3,FALSE))</f>
        <v> </v>
      </c>
      <c r="E458" s="65" t="str">
        <f>IF(ISNA(VLOOKUP($B458,CPY!$B:$G,4,FALSE))=TRUE," ",VLOOKUP($B458,CPY!$B:$G,4,FALSE))</f>
        <v> </v>
      </c>
      <c r="F458" s="62"/>
      <c r="G458" s="86"/>
      <c r="H458" s="86"/>
      <c r="I458" s="87"/>
      <c r="J458" s="88"/>
      <c r="K458" s="88"/>
      <c r="L458" s="95">
        <f t="shared" si="14"/>
        <v>0</v>
      </c>
      <c r="M458" s="96" t="b">
        <f>IF((ISNUMBER(L458)),IF(AND(F458="Workdays",(SUMIFS(O:O,F:F,F458,I:I,I458,B:B,B458)&lt;=24)),IF(AND((L458*24)&gt;0,(L458*24)&lt;=8),(L458*24)*MD!$M$5,IF(AND((L458*24)&gt;8,(L458*24)&lt;=16),(MD!$N$5),IF((L458*24)&gt;16,MD!$N$5))),IF(AND(F458="Non_workdays",(SUMIFS(O:O,F:F,F458,I:I,I458,B:B,B458)&lt;=24)),IF(AND((L458*24)&gt;0,(L458*24)&lt;=8),(L458*24)*MD!$M$6,IF(AND((L458*24)&gt;8,(L458*24)&lt;=16),(MD!$N$6),IF((L458*24)&gt;16,MD!$N$6))),IF(AND(F458="Call_out",(SUMIFS(O:O,F:F,F458,I:I,I458,B:B,B458)&lt;=24)),IF(AND((L458*24)&gt;0,(L458*24)&lt;=8),(L458*24)*MD!$P$4,IF(AND((L458*24)&gt;8,(L458*24)&lt;=16),(MD!$Q$4),IF((L458*24)&gt;16,MD!$Q$4)))))))</f>
        <v>0</v>
      </c>
      <c r="N458" s="62"/>
      <c r="O458" s="72">
        <f t="shared" si="15"/>
        <v>0</v>
      </c>
    </row>
    <row r="459" spans="1:15" x14ac:dyDescent="0.25">
      <c r="A459" s="62">
        <v>458</v>
      </c>
      <c r="B459" s="62"/>
      <c r="C459" s="68" t="str">
        <f>IF(ISNA(VLOOKUP($B459,CPY!$B:$G,2,FALSE))=TRUE," ",VLOOKUP($B459,CPY!$B:$G,2,FALSE))</f>
        <v> </v>
      </c>
      <c r="D459" s="50" t="str">
        <f>IF(ISNA(VLOOKUP($B459,CPY!$B:$G,3,FALSE))=TRUE," ",VLOOKUP($B459,CPY!$B:$G,3,FALSE))</f>
        <v> </v>
      </c>
      <c r="E459" s="65" t="str">
        <f>IF(ISNA(VLOOKUP($B459,CPY!$B:$G,4,FALSE))=TRUE," ",VLOOKUP($B459,CPY!$B:$G,4,FALSE))</f>
        <v> </v>
      </c>
      <c r="F459" s="62"/>
      <c r="G459" s="86"/>
      <c r="H459" s="86"/>
      <c r="I459" s="87"/>
      <c r="J459" s="88"/>
      <c r="K459" s="88"/>
      <c r="L459" s="95">
        <f t="shared" si="14"/>
        <v>0</v>
      </c>
      <c r="M459" s="96" t="b">
        <f>IF((ISNUMBER(L459)),IF(AND(F459="Workdays",(SUMIFS(O:O,F:F,F459,I:I,I459,B:B,B459)&lt;=24)),IF(AND((L459*24)&gt;0,(L459*24)&lt;=8),(L459*24)*MD!$M$5,IF(AND((L459*24)&gt;8,(L459*24)&lt;=16),(MD!$N$5),IF((L459*24)&gt;16,MD!$N$5))),IF(AND(F459="Non_workdays",(SUMIFS(O:O,F:F,F459,I:I,I459,B:B,B459)&lt;=24)),IF(AND((L459*24)&gt;0,(L459*24)&lt;=8),(L459*24)*MD!$M$6,IF(AND((L459*24)&gt;8,(L459*24)&lt;=16),(MD!$N$6),IF((L459*24)&gt;16,MD!$N$6))),IF(AND(F459="Call_out",(SUMIFS(O:O,F:F,F459,I:I,I459,B:B,B459)&lt;=24)),IF(AND((L459*24)&gt;0,(L459*24)&lt;=8),(L459*24)*MD!$P$4,IF(AND((L459*24)&gt;8,(L459*24)&lt;=16),(MD!$Q$4),IF((L459*24)&gt;16,MD!$Q$4)))))))</f>
        <v>0</v>
      </c>
      <c r="N459" s="62"/>
      <c r="O459" s="72">
        <f t="shared" si="15"/>
        <v>0</v>
      </c>
    </row>
    <row r="460" spans="1:15" x14ac:dyDescent="0.25">
      <c r="A460" s="62">
        <v>459</v>
      </c>
      <c r="B460" s="62"/>
      <c r="C460" s="68" t="str">
        <f>IF(ISNA(VLOOKUP($B460,CPY!$B:$G,2,FALSE))=TRUE," ",VLOOKUP($B460,CPY!$B:$G,2,FALSE))</f>
        <v> </v>
      </c>
      <c r="D460" s="50" t="str">
        <f>IF(ISNA(VLOOKUP($B460,CPY!$B:$G,3,FALSE))=TRUE," ",VLOOKUP($B460,CPY!$B:$G,3,FALSE))</f>
        <v> </v>
      </c>
      <c r="E460" s="65" t="str">
        <f>IF(ISNA(VLOOKUP($B460,CPY!$B:$G,4,FALSE))=TRUE," ",VLOOKUP($B460,CPY!$B:$G,4,FALSE))</f>
        <v> </v>
      </c>
      <c r="F460" s="62"/>
      <c r="G460" s="86"/>
      <c r="H460" s="86"/>
      <c r="I460" s="87"/>
      <c r="J460" s="88"/>
      <c r="K460" s="88"/>
      <c r="L460" s="95">
        <f t="shared" si="14"/>
        <v>0</v>
      </c>
      <c r="M460" s="96" t="b">
        <f>IF((ISNUMBER(L460)),IF(AND(F460="Workdays",(SUMIFS(O:O,F:F,F460,I:I,I460,B:B,B460)&lt;=24)),IF(AND((L460*24)&gt;0,(L460*24)&lt;=8),(L460*24)*MD!$M$5,IF(AND((L460*24)&gt;8,(L460*24)&lt;=16),(MD!$N$5),IF((L460*24)&gt;16,MD!$N$5))),IF(AND(F460="Non_workdays",(SUMIFS(O:O,F:F,F460,I:I,I460,B:B,B460)&lt;=24)),IF(AND((L460*24)&gt;0,(L460*24)&lt;=8),(L460*24)*MD!$M$6,IF(AND((L460*24)&gt;8,(L460*24)&lt;=16),(MD!$N$6),IF((L460*24)&gt;16,MD!$N$6))),IF(AND(F460="Call_out",(SUMIFS(O:O,F:F,F460,I:I,I460,B:B,B460)&lt;=24)),IF(AND((L460*24)&gt;0,(L460*24)&lt;=8),(L460*24)*MD!$P$4,IF(AND((L460*24)&gt;8,(L460*24)&lt;=16),(MD!$Q$4),IF((L460*24)&gt;16,MD!$Q$4)))))))</f>
        <v>0</v>
      </c>
      <c r="N460" s="62"/>
      <c r="O460" s="72">
        <f t="shared" si="15"/>
        <v>0</v>
      </c>
    </row>
    <row r="461" spans="1:15" x14ac:dyDescent="0.25">
      <c r="A461" s="62">
        <v>460</v>
      </c>
      <c r="B461" s="62"/>
      <c r="C461" s="68" t="str">
        <f>IF(ISNA(VLOOKUP($B461,CPY!$B:$G,2,FALSE))=TRUE," ",VLOOKUP($B461,CPY!$B:$G,2,FALSE))</f>
        <v> </v>
      </c>
      <c r="D461" s="50" t="str">
        <f>IF(ISNA(VLOOKUP($B461,CPY!$B:$G,3,FALSE))=TRUE," ",VLOOKUP($B461,CPY!$B:$G,3,FALSE))</f>
        <v> </v>
      </c>
      <c r="E461" s="65" t="str">
        <f>IF(ISNA(VLOOKUP($B461,CPY!$B:$G,4,FALSE))=TRUE," ",VLOOKUP($B461,CPY!$B:$G,4,FALSE))</f>
        <v> </v>
      </c>
      <c r="F461" s="62"/>
      <c r="G461" s="86"/>
      <c r="H461" s="86"/>
      <c r="I461" s="87"/>
      <c r="J461" s="88"/>
      <c r="K461" s="88"/>
      <c r="L461" s="95">
        <f t="shared" si="14"/>
        <v>0</v>
      </c>
      <c r="M461" s="96" t="b">
        <f>IF((ISNUMBER(L461)),IF(AND(F461="Workdays",(SUMIFS(O:O,F:F,F461,I:I,I461,B:B,B461)&lt;=24)),IF(AND((L461*24)&gt;0,(L461*24)&lt;=8),(L461*24)*MD!$M$5,IF(AND((L461*24)&gt;8,(L461*24)&lt;=16),(MD!$N$5),IF((L461*24)&gt;16,MD!$N$5))),IF(AND(F461="Non_workdays",(SUMIFS(O:O,F:F,F461,I:I,I461,B:B,B461)&lt;=24)),IF(AND((L461*24)&gt;0,(L461*24)&lt;=8),(L461*24)*MD!$M$6,IF(AND((L461*24)&gt;8,(L461*24)&lt;=16),(MD!$N$6),IF((L461*24)&gt;16,MD!$N$6))),IF(AND(F461="Call_out",(SUMIFS(O:O,F:F,F461,I:I,I461,B:B,B461)&lt;=24)),IF(AND((L461*24)&gt;0,(L461*24)&lt;=8),(L461*24)*MD!$P$4,IF(AND((L461*24)&gt;8,(L461*24)&lt;=16),(MD!$Q$4),IF((L461*24)&gt;16,MD!$Q$4)))))))</f>
        <v>0</v>
      </c>
      <c r="N461" s="62"/>
      <c r="O461" s="72">
        <f t="shared" si="15"/>
        <v>0</v>
      </c>
    </row>
    <row r="462" spans="1:15" x14ac:dyDescent="0.25">
      <c r="A462" s="62">
        <v>461</v>
      </c>
      <c r="B462" s="62"/>
      <c r="C462" s="68" t="str">
        <f>IF(ISNA(VLOOKUP($B462,CPY!$B:$G,2,FALSE))=TRUE," ",VLOOKUP($B462,CPY!$B:$G,2,FALSE))</f>
        <v> </v>
      </c>
      <c r="D462" s="50" t="str">
        <f>IF(ISNA(VLOOKUP($B462,CPY!$B:$G,3,FALSE))=TRUE," ",VLOOKUP($B462,CPY!$B:$G,3,FALSE))</f>
        <v> </v>
      </c>
      <c r="E462" s="65" t="str">
        <f>IF(ISNA(VLOOKUP($B462,CPY!$B:$G,4,FALSE))=TRUE," ",VLOOKUP($B462,CPY!$B:$G,4,FALSE))</f>
        <v> </v>
      </c>
      <c r="F462" s="62"/>
      <c r="G462" s="86"/>
      <c r="H462" s="86"/>
      <c r="I462" s="87"/>
      <c r="J462" s="88"/>
      <c r="K462" s="88"/>
      <c r="L462" s="95">
        <f t="shared" si="14"/>
        <v>0</v>
      </c>
      <c r="M462" s="96" t="b">
        <f>IF((ISNUMBER(L462)),IF(AND(F462="Workdays",(SUMIFS(O:O,F:F,F462,I:I,I462,B:B,B462)&lt;=24)),IF(AND((L462*24)&gt;0,(L462*24)&lt;=8),(L462*24)*MD!$M$5,IF(AND((L462*24)&gt;8,(L462*24)&lt;=16),(MD!$N$5),IF((L462*24)&gt;16,MD!$N$5))),IF(AND(F462="Non_workdays",(SUMIFS(O:O,F:F,F462,I:I,I462,B:B,B462)&lt;=24)),IF(AND((L462*24)&gt;0,(L462*24)&lt;=8),(L462*24)*MD!$M$6,IF(AND((L462*24)&gt;8,(L462*24)&lt;=16),(MD!$N$6),IF((L462*24)&gt;16,MD!$N$6))),IF(AND(F462="Call_out",(SUMIFS(O:O,F:F,F462,I:I,I462,B:B,B462)&lt;=24)),IF(AND((L462*24)&gt;0,(L462*24)&lt;=8),(L462*24)*MD!$P$4,IF(AND((L462*24)&gt;8,(L462*24)&lt;=16),(MD!$Q$4),IF((L462*24)&gt;16,MD!$Q$4)))))))</f>
        <v>0</v>
      </c>
      <c r="N462" s="62"/>
      <c r="O462" s="72">
        <f t="shared" si="15"/>
        <v>0</v>
      </c>
    </row>
    <row r="463" spans="1:15" x14ac:dyDescent="0.25">
      <c r="A463" s="62">
        <v>462</v>
      </c>
      <c r="B463" s="62"/>
      <c r="C463" s="68" t="str">
        <f>IF(ISNA(VLOOKUP($B463,CPY!$B:$G,2,FALSE))=TRUE," ",VLOOKUP($B463,CPY!$B:$G,2,FALSE))</f>
        <v> </v>
      </c>
      <c r="D463" s="50" t="str">
        <f>IF(ISNA(VLOOKUP($B463,CPY!$B:$G,3,FALSE))=TRUE," ",VLOOKUP($B463,CPY!$B:$G,3,FALSE))</f>
        <v> </v>
      </c>
      <c r="E463" s="65" t="str">
        <f>IF(ISNA(VLOOKUP($B463,CPY!$B:$G,4,FALSE))=TRUE," ",VLOOKUP($B463,CPY!$B:$G,4,FALSE))</f>
        <v> </v>
      </c>
      <c r="F463" s="62"/>
      <c r="G463" s="86"/>
      <c r="H463" s="86"/>
      <c r="I463" s="87"/>
      <c r="J463" s="88"/>
      <c r="K463" s="88"/>
      <c r="L463" s="95">
        <f t="shared" si="14"/>
        <v>0</v>
      </c>
      <c r="M463" s="96" t="b">
        <f>IF((ISNUMBER(L463)),IF(AND(F463="Workdays",(SUMIFS(O:O,F:F,F463,I:I,I463,B:B,B463)&lt;=24)),IF(AND((L463*24)&gt;0,(L463*24)&lt;=8),(L463*24)*MD!$M$5,IF(AND((L463*24)&gt;8,(L463*24)&lt;=16),(MD!$N$5),IF((L463*24)&gt;16,MD!$N$5))),IF(AND(F463="Non_workdays",(SUMIFS(O:O,F:F,F463,I:I,I463,B:B,B463)&lt;=24)),IF(AND((L463*24)&gt;0,(L463*24)&lt;=8),(L463*24)*MD!$M$6,IF(AND((L463*24)&gt;8,(L463*24)&lt;=16),(MD!$N$6),IF((L463*24)&gt;16,MD!$N$6))),IF(AND(F463="Call_out",(SUMIFS(O:O,F:F,F463,I:I,I463,B:B,B463)&lt;=24)),IF(AND((L463*24)&gt;0,(L463*24)&lt;=8),(L463*24)*MD!$P$4,IF(AND((L463*24)&gt;8,(L463*24)&lt;=16),(MD!$Q$4),IF((L463*24)&gt;16,MD!$Q$4)))))))</f>
        <v>0</v>
      </c>
      <c r="N463" s="62"/>
      <c r="O463" s="72">
        <f t="shared" si="15"/>
        <v>0</v>
      </c>
    </row>
    <row r="464" spans="1:15" x14ac:dyDescent="0.25">
      <c r="A464" s="62">
        <v>463</v>
      </c>
      <c r="B464" s="62"/>
      <c r="C464" s="68" t="str">
        <f>IF(ISNA(VLOOKUP($B464,CPY!$B:$G,2,FALSE))=TRUE," ",VLOOKUP($B464,CPY!$B:$G,2,FALSE))</f>
        <v> </v>
      </c>
      <c r="D464" s="50" t="str">
        <f>IF(ISNA(VLOOKUP($B464,CPY!$B:$G,3,FALSE))=TRUE," ",VLOOKUP($B464,CPY!$B:$G,3,FALSE))</f>
        <v> </v>
      </c>
      <c r="E464" s="65" t="str">
        <f>IF(ISNA(VLOOKUP($B464,CPY!$B:$G,4,FALSE))=TRUE," ",VLOOKUP($B464,CPY!$B:$G,4,FALSE))</f>
        <v> </v>
      </c>
      <c r="F464" s="62"/>
      <c r="G464" s="86"/>
      <c r="H464" s="86"/>
      <c r="I464" s="87"/>
      <c r="J464" s="88"/>
      <c r="K464" s="88"/>
      <c r="L464" s="95">
        <f t="shared" si="14"/>
        <v>0</v>
      </c>
      <c r="M464" s="96" t="b">
        <f>IF((ISNUMBER(L464)),IF(AND(F464="Workdays",(SUMIFS(O:O,F:F,F464,I:I,I464,B:B,B464)&lt;=24)),IF(AND((L464*24)&gt;0,(L464*24)&lt;=8),(L464*24)*MD!$M$5,IF(AND((L464*24)&gt;8,(L464*24)&lt;=16),(MD!$N$5),IF((L464*24)&gt;16,MD!$N$5))),IF(AND(F464="Non_workdays",(SUMIFS(O:O,F:F,F464,I:I,I464,B:B,B464)&lt;=24)),IF(AND((L464*24)&gt;0,(L464*24)&lt;=8),(L464*24)*MD!$M$6,IF(AND((L464*24)&gt;8,(L464*24)&lt;=16),(MD!$N$6),IF((L464*24)&gt;16,MD!$N$6))),IF(AND(F464="Call_out",(SUMIFS(O:O,F:F,F464,I:I,I464,B:B,B464)&lt;=24)),IF(AND((L464*24)&gt;0,(L464*24)&lt;=8),(L464*24)*MD!$P$4,IF(AND((L464*24)&gt;8,(L464*24)&lt;=16),(MD!$Q$4),IF((L464*24)&gt;16,MD!$Q$4)))))))</f>
        <v>0</v>
      </c>
      <c r="N464" s="62"/>
      <c r="O464" s="72">
        <f t="shared" si="15"/>
        <v>0</v>
      </c>
    </row>
    <row r="465" spans="1:15" x14ac:dyDescent="0.25">
      <c r="A465" s="62">
        <v>464</v>
      </c>
      <c r="B465" s="62"/>
      <c r="C465" s="68" t="str">
        <f>IF(ISNA(VLOOKUP($B465,CPY!$B:$G,2,FALSE))=TRUE," ",VLOOKUP($B465,CPY!$B:$G,2,FALSE))</f>
        <v> </v>
      </c>
      <c r="D465" s="50" t="str">
        <f>IF(ISNA(VLOOKUP($B465,CPY!$B:$G,3,FALSE))=TRUE," ",VLOOKUP($B465,CPY!$B:$G,3,FALSE))</f>
        <v> </v>
      </c>
      <c r="E465" s="65" t="str">
        <f>IF(ISNA(VLOOKUP($B465,CPY!$B:$G,4,FALSE))=TRUE," ",VLOOKUP($B465,CPY!$B:$G,4,FALSE))</f>
        <v> </v>
      </c>
      <c r="F465" s="62"/>
      <c r="G465" s="86"/>
      <c r="H465" s="86"/>
      <c r="I465" s="87"/>
      <c r="J465" s="88"/>
      <c r="K465" s="88"/>
      <c r="L465" s="95">
        <f t="shared" si="14"/>
        <v>0</v>
      </c>
      <c r="M465" s="96" t="b">
        <f>IF((ISNUMBER(L465)),IF(AND(F465="Workdays",(SUMIFS(O:O,F:F,F465,I:I,I465,B:B,B465)&lt;=24)),IF(AND((L465*24)&gt;0,(L465*24)&lt;=8),(L465*24)*MD!$M$5,IF(AND((L465*24)&gt;8,(L465*24)&lt;=16),(MD!$N$5),IF((L465*24)&gt;16,MD!$N$5))),IF(AND(F465="Non_workdays",(SUMIFS(O:O,F:F,F465,I:I,I465,B:B,B465)&lt;=24)),IF(AND((L465*24)&gt;0,(L465*24)&lt;=8),(L465*24)*MD!$M$6,IF(AND((L465*24)&gt;8,(L465*24)&lt;=16),(MD!$N$6),IF((L465*24)&gt;16,MD!$N$6))),IF(AND(F465="Call_out",(SUMIFS(O:O,F:F,F465,I:I,I465,B:B,B465)&lt;=24)),IF(AND((L465*24)&gt;0,(L465*24)&lt;=8),(L465*24)*MD!$P$4,IF(AND((L465*24)&gt;8,(L465*24)&lt;=16),(MD!$Q$4),IF((L465*24)&gt;16,MD!$Q$4)))))))</f>
        <v>0</v>
      </c>
      <c r="N465" s="62"/>
      <c r="O465" s="72">
        <f t="shared" si="15"/>
        <v>0</v>
      </c>
    </row>
    <row r="466" spans="1:15" x14ac:dyDescent="0.25">
      <c r="A466" s="62">
        <v>465</v>
      </c>
      <c r="B466" s="62"/>
      <c r="C466" s="68" t="str">
        <f>IF(ISNA(VLOOKUP($B466,CPY!$B:$G,2,FALSE))=TRUE," ",VLOOKUP($B466,CPY!$B:$G,2,FALSE))</f>
        <v> </v>
      </c>
      <c r="D466" s="50" t="str">
        <f>IF(ISNA(VLOOKUP($B466,CPY!$B:$G,3,FALSE))=TRUE," ",VLOOKUP($B466,CPY!$B:$G,3,FALSE))</f>
        <v> </v>
      </c>
      <c r="E466" s="65" t="str">
        <f>IF(ISNA(VLOOKUP($B466,CPY!$B:$G,4,FALSE))=TRUE," ",VLOOKUP($B466,CPY!$B:$G,4,FALSE))</f>
        <v> </v>
      </c>
      <c r="F466" s="62"/>
      <c r="G466" s="86"/>
      <c r="H466" s="86"/>
      <c r="I466" s="87"/>
      <c r="J466" s="88"/>
      <c r="K466" s="88"/>
      <c r="L466" s="95">
        <f t="shared" si="14"/>
        <v>0</v>
      </c>
      <c r="M466" s="96" t="b">
        <f>IF((ISNUMBER(L466)),IF(AND(F466="Workdays",(SUMIFS(O:O,F:F,F466,I:I,I466,B:B,B466)&lt;=24)),IF(AND((L466*24)&gt;0,(L466*24)&lt;=8),(L466*24)*MD!$M$5,IF(AND((L466*24)&gt;8,(L466*24)&lt;=16),(MD!$N$5),IF((L466*24)&gt;16,MD!$N$5))),IF(AND(F466="Non_workdays",(SUMIFS(O:O,F:F,F466,I:I,I466,B:B,B466)&lt;=24)),IF(AND((L466*24)&gt;0,(L466*24)&lt;=8),(L466*24)*MD!$M$6,IF(AND((L466*24)&gt;8,(L466*24)&lt;=16),(MD!$N$6),IF((L466*24)&gt;16,MD!$N$6))),IF(AND(F466="Call_out",(SUMIFS(O:O,F:F,F466,I:I,I466,B:B,B466)&lt;=24)),IF(AND((L466*24)&gt;0,(L466*24)&lt;=8),(L466*24)*MD!$P$4,IF(AND((L466*24)&gt;8,(L466*24)&lt;=16),(MD!$Q$4),IF((L466*24)&gt;16,MD!$Q$4)))))))</f>
        <v>0</v>
      </c>
      <c r="N466" s="62"/>
      <c r="O466" s="72">
        <f t="shared" si="15"/>
        <v>0</v>
      </c>
    </row>
    <row r="467" spans="1:15" x14ac:dyDescent="0.25">
      <c r="A467" s="62">
        <v>466</v>
      </c>
      <c r="B467" s="62"/>
      <c r="C467" s="68" t="str">
        <f>IF(ISNA(VLOOKUP($B467,CPY!$B:$G,2,FALSE))=TRUE," ",VLOOKUP($B467,CPY!$B:$G,2,FALSE))</f>
        <v> </v>
      </c>
      <c r="D467" s="50" t="str">
        <f>IF(ISNA(VLOOKUP($B467,CPY!$B:$G,3,FALSE))=TRUE," ",VLOOKUP($B467,CPY!$B:$G,3,FALSE))</f>
        <v> </v>
      </c>
      <c r="E467" s="65" t="str">
        <f>IF(ISNA(VLOOKUP($B467,CPY!$B:$G,4,FALSE))=TRUE," ",VLOOKUP($B467,CPY!$B:$G,4,FALSE))</f>
        <v> </v>
      </c>
      <c r="F467" s="62"/>
      <c r="G467" s="86"/>
      <c r="H467" s="86"/>
      <c r="I467" s="87"/>
      <c r="J467" s="88"/>
      <c r="K467" s="88"/>
      <c r="L467" s="95">
        <f t="shared" si="14"/>
        <v>0</v>
      </c>
      <c r="M467" s="96" t="b">
        <f>IF((ISNUMBER(L467)),IF(AND(F467="Workdays",(SUMIFS(O:O,F:F,F467,I:I,I467,B:B,B467)&lt;=24)),IF(AND((L467*24)&gt;0,(L467*24)&lt;=8),(L467*24)*MD!$M$5,IF(AND((L467*24)&gt;8,(L467*24)&lt;=16),(MD!$N$5),IF((L467*24)&gt;16,MD!$N$5))),IF(AND(F467="Non_workdays",(SUMIFS(O:O,F:F,F467,I:I,I467,B:B,B467)&lt;=24)),IF(AND((L467*24)&gt;0,(L467*24)&lt;=8),(L467*24)*MD!$M$6,IF(AND((L467*24)&gt;8,(L467*24)&lt;=16),(MD!$N$6),IF((L467*24)&gt;16,MD!$N$6))),IF(AND(F467="Call_out",(SUMIFS(O:O,F:F,F467,I:I,I467,B:B,B467)&lt;=24)),IF(AND((L467*24)&gt;0,(L467*24)&lt;=8),(L467*24)*MD!$P$4,IF(AND((L467*24)&gt;8,(L467*24)&lt;=16),(MD!$Q$4),IF((L467*24)&gt;16,MD!$Q$4)))))))</f>
        <v>0</v>
      </c>
      <c r="N467" s="62"/>
      <c r="O467" s="72">
        <f t="shared" si="15"/>
        <v>0</v>
      </c>
    </row>
    <row r="468" spans="1:15" x14ac:dyDescent="0.25">
      <c r="A468" s="62">
        <v>467</v>
      </c>
      <c r="B468" s="62"/>
      <c r="C468" s="68" t="str">
        <f>IF(ISNA(VLOOKUP($B468,CPY!$B:$G,2,FALSE))=TRUE," ",VLOOKUP($B468,CPY!$B:$G,2,FALSE))</f>
        <v> </v>
      </c>
      <c r="D468" s="50" t="str">
        <f>IF(ISNA(VLOOKUP($B468,CPY!$B:$G,3,FALSE))=TRUE," ",VLOOKUP($B468,CPY!$B:$G,3,FALSE))</f>
        <v> </v>
      </c>
      <c r="E468" s="65" t="str">
        <f>IF(ISNA(VLOOKUP($B468,CPY!$B:$G,4,FALSE))=TRUE," ",VLOOKUP($B468,CPY!$B:$G,4,FALSE))</f>
        <v> </v>
      </c>
      <c r="F468" s="62"/>
      <c r="G468" s="86"/>
      <c r="H468" s="86"/>
      <c r="I468" s="87"/>
      <c r="J468" s="88"/>
      <c r="K468" s="88"/>
      <c r="L468" s="95">
        <f t="shared" si="14"/>
        <v>0</v>
      </c>
      <c r="M468" s="96" t="b">
        <f>IF((ISNUMBER(L468)),IF(AND(F468="Workdays",(SUMIFS(O:O,F:F,F468,I:I,I468,B:B,B468)&lt;=24)),IF(AND((L468*24)&gt;0,(L468*24)&lt;=8),(L468*24)*MD!$M$5,IF(AND((L468*24)&gt;8,(L468*24)&lt;=16),(MD!$N$5),IF((L468*24)&gt;16,MD!$N$5))),IF(AND(F468="Non_workdays",(SUMIFS(O:O,F:F,F468,I:I,I468,B:B,B468)&lt;=24)),IF(AND((L468*24)&gt;0,(L468*24)&lt;=8),(L468*24)*MD!$M$6,IF(AND((L468*24)&gt;8,(L468*24)&lt;=16),(MD!$N$6),IF((L468*24)&gt;16,MD!$N$6))),IF(AND(F468="Call_out",(SUMIFS(O:O,F:F,F468,I:I,I468,B:B,B468)&lt;=24)),IF(AND((L468*24)&gt;0,(L468*24)&lt;=8),(L468*24)*MD!$P$4,IF(AND((L468*24)&gt;8,(L468*24)&lt;=16),(MD!$Q$4),IF((L468*24)&gt;16,MD!$Q$4)))))))</f>
        <v>0</v>
      </c>
      <c r="N468" s="62"/>
      <c r="O468" s="72">
        <f t="shared" si="15"/>
        <v>0</v>
      </c>
    </row>
    <row r="469" spans="1:15" x14ac:dyDescent="0.25">
      <c r="A469" s="62">
        <v>468</v>
      </c>
      <c r="B469" s="62"/>
      <c r="C469" s="68" t="str">
        <f>IF(ISNA(VLOOKUP($B469,CPY!$B:$G,2,FALSE))=TRUE," ",VLOOKUP($B469,CPY!$B:$G,2,FALSE))</f>
        <v> </v>
      </c>
      <c r="D469" s="50" t="str">
        <f>IF(ISNA(VLOOKUP($B469,CPY!$B:$G,3,FALSE))=TRUE," ",VLOOKUP($B469,CPY!$B:$G,3,FALSE))</f>
        <v> </v>
      </c>
      <c r="E469" s="65" t="str">
        <f>IF(ISNA(VLOOKUP($B469,CPY!$B:$G,4,FALSE))=TRUE," ",VLOOKUP($B469,CPY!$B:$G,4,FALSE))</f>
        <v> </v>
      </c>
      <c r="F469" s="62"/>
      <c r="G469" s="86"/>
      <c r="H469" s="86"/>
      <c r="I469" s="87"/>
      <c r="J469" s="88"/>
      <c r="K469" s="88"/>
      <c r="L469" s="95">
        <f t="shared" si="14"/>
        <v>0</v>
      </c>
      <c r="M469" s="96" t="b">
        <f>IF((ISNUMBER(L469)),IF(AND(F469="Workdays",(SUMIFS(O:O,F:F,F469,I:I,I469,B:B,B469)&lt;=24)),IF(AND((L469*24)&gt;0,(L469*24)&lt;=8),(L469*24)*MD!$M$5,IF(AND((L469*24)&gt;8,(L469*24)&lt;=16),(MD!$N$5),IF((L469*24)&gt;16,MD!$N$5))),IF(AND(F469="Non_workdays",(SUMIFS(O:O,F:F,F469,I:I,I469,B:B,B469)&lt;=24)),IF(AND((L469*24)&gt;0,(L469*24)&lt;=8),(L469*24)*MD!$M$6,IF(AND((L469*24)&gt;8,(L469*24)&lt;=16),(MD!$N$6),IF((L469*24)&gt;16,MD!$N$6))),IF(AND(F469="Call_out",(SUMIFS(O:O,F:F,F469,I:I,I469,B:B,B469)&lt;=24)),IF(AND((L469*24)&gt;0,(L469*24)&lt;=8),(L469*24)*MD!$P$4,IF(AND((L469*24)&gt;8,(L469*24)&lt;=16),(MD!$Q$4),IF((L469*24)&gt;16,MD!$Q$4)))))))</f>
        <v>0</v>
      </c>
      <c r="N469" s="62"/>
      <c r="O469" s="72">
        <f t="shared" si="15"/>
        <v>0</v>
      </c>
    </row>
    <row r="470" spans="1:15" x14ac:dyDescent="0.25">
      <c r="A470" s="62">
        <v>469</v>
      </c>
      <c r="B470" s="62"/>
      <c r="C470" s="68" t="str">
        <f>IF(ISNA(VLOOKUP($B470,CPY!$B:$G,2,FALSE))=TRUE," ",VLOOKUP($B470,CPY!$B:$G,2,FALSE))</f>
        <v> </v>
      </c>
      <c r="D470" s="50" t="str">
        <f>IF(ISNA(VLOOKUP($B470,CPY!$B:$G,3,FALSE))=TRUE," ",VLOOKUP($B470,CPY!$B:$G,3,FALSE))</f>
        <v> </v>
      </c>
      <c r="E470" s="65" t="str">
        <f>IF(ISNA(VLOOKUP($B470,CPY!$B:$G,4,FALSE))=TRUE," ",VLOOKUP($B470,CPY!$B:$G,4,FALSE))</f>
        <v> </v>
      </c>
      <c r="F470" s="62"/>
      <c r="G470" s="86"/>
      <c r="H470" s="86"/>
      <c r="I470" s="87"/>
      <c r="J470" s="88"/>
      <c r="K470" s="88"/>
      <c r="L470" s="95">
        <f t="shared" si="14"/>
        <v>0</v>
      </c>
      <c r="M470" s="96" t="b">
        <f>IF((ISNUMBER(L470)),IF(AND(F470="Workdays",(SUMIFS(O:O,F:F,F470,I:I,I470,B:B,B470)&lt;=24)),IF(AND((L470*24)&gt;0,(L470*24)&lt;=8),(L470*24)*MD!$M$5,IF(AND((L470*24)&gt;8,(L470*24)&lt;=16),(MD!$N$5),IF((L470*24)&gt;16,MD!$N$5))),IF(AND(F470="Non_workdays",(SUMIFS(O:O,F:F,F470,I:I,I470,B:B,B470)&lt;=24)),IF(AND((L470*24)&gt;0,(L470*24)&lt;=8),(L470*24)*MD!$M$6,IF(AND((L470*24)&gt;8,(L470*24)&lt;=16),(MD!$N$6),IF((L470*24)&gt;16,MD!$N$6))),IF(AND(F470="Call_out",(SUMIFS(O:O,F:F,F470,I:I,I470,B:B,B470)&lt;=24)),IF(AND((L470*24)&gt;0,(L470*24)&lt;=8),(L470*24)*MD!$P$4,IF(AND((L470*24)&gt;8,(L470*24)&lt;=16),(MD!$Q$4),IF((L470*24)&gt;16,MD!$Q$4)))))))</f>
        <v>0</v>
      </c>
      <c r="N470" s="62"/>
      <c r="O470" s="72">
        <f t="shared" si="15"/>
        <v>0</v>
      </c>
    </row>
    <row r="471" spans="1:15" x14ac:dyDescent="0.25">
      <c r="A471" s="62">
        <v>470</v>
      </c>
      <c r="B471" s="62"/>
      <c r="C471" s="68" t="str">
        <f>IF(ISNA(VLOOKUP($B471,CPY!$B:$G,2,FALSE))=TRUE," ",VLOOKUP($B471,CPY!$B:$G,2,FALSE))</f>
        <v> </v>
      </c>
      <c r="D471" s="50" t="str">
        <f>IF(ISNA(VLOOKUP($B471,CPY!$B:$G,3,FALSE))=TRUE," ",VLOOKUP($B471,CPY!$B:$G,3,FALSE))</f>
        <v> </v>
      </c>
      <c r="E471" s="65" t="str">
        <f>IF(ISNA(VLOOKUP($B471,CPY!$B:$G,4,FALSE))=TRUE," ",VLOOKUP($B471,CPY!$B:$G,4,FALSE))</f>
        <v> </v>
      </c>
      <c r="F471" s="62"/>
      <c r="G471" s="86"/>
      <c r="H471" s="86"/>
      <c r="I471" s="87"/>
      <c r="J471" s="88"/>
      <c r="K471" s="88"/>
      <c r="L471" s="95">
        <f t="shared" si="14"/>
        <v>0</v>
      </c>
      <c r="M471" s="96" t="b">
        <f>IF((ISNUMBER(L471)),IF(AND(F471="Workdays",(SUMIFS(O:O,F:F,F471,I:I,I471,B:B,B471)&lt;=24)),IF(AND((L471*24)&gt;0,(L471*24)&lt;=8),(L471*24)*MD!$M$5,IF(AND((L471*24)&gt;8,(L471*24)&lt;=16),(MD!$N$5),IF((L471*24)&gt;16,MD!$N$5))),IF(AND(F471="Non_workdays",(SUMIFS(O:O,F:F,F471,I:I,I471,B:B,B471)&lt;=24)),IF(AND((L471*24)&gt;0,(L471*24)&lt;=8),(L471*24)*MD!$M$6,IF(AND((L471*24)&gt;8,(L471*24)&lt;=16),(MD!$N$6),IF((L471*24)&gt;16,MD!$N$6))),IF(AND(F471="Call_out",(SUMIFS(O:O,F:F,F471,I:I,I471,B:B,B471)&lt;=24)),IF(AND((L471*24)&gt;0,(L471*24)&lt;=8),(L471*24)*MD!$P$4,IF(AND((L471*24)&gt;8,(L471*24)&lt;=16),(MD!$Q$4),IF((L471*24)&gt;16,MD!$Q$4)))))))</f>
        <v>0</v>
      </c>
      <c r="N471" s="62"/>
      <c r="O471" s="72">
        <f t="shared" si="15"/>
        <v>0</v>
      </c>
    </row>
    <row r="472" spans="1:15" x14ac:dyDescent="0.25">
      <c r="A472" s="62">
        <v>471</v>
      </c>
      <c r="B472" s="62"/>
      <c r="C472" s="68" t="str">
        <f>IF(ISNA(VLOOKUP($B472,CPY!$B:$G,2,FALSE))=TRUE," ",VLOOKUP($B472,CPY!$B:$G,2,FALSE))</f>
        <v> </v>
      </c>
      <c r="D472" s="50" t="str">
        <f>IF(ISNA(VLOOKUP($B472,CPY!$B:$G,3,FALSE))=TRUE," ",VLOOKUP($B472,CPY!$B:$G,3,FALSE))</f>
        <v> </v>
      </c>
      <c r="E472" s="65" t="str">
        <f>IF(ISNA(VLOOKUP($B472,CPY!$B:$G,4,FALSE))=TRUE," ",VLOOKUP($B472,CPY!$B:$G,4,FALSE))</f>
        <v> </v>
      </c>
      <c r="F472" s="62"/>
      <c r="G472" s="86"/>
      <c r="H472" s="86"/>
      <c r="I472" s="87"/>
      <c r="J472" s="88"/>
      <c r="K472" s="88"/>
      <c r="L472" s="95">
        <f t="shared" si="14"/>
        <v>0</v>
      </c>
      <c r="M472" s="96" t="b">
        <f>IF((ISNUMBER(L472)),IF(AND(F472="Workdays",(SUMIFS(O:O,F:F,F472,I:I,I472,B:B,B472)&lt;=24)),IF(AND((L472*24)&gt;0,(L472*24)&lt;=8),(L472*24)*MD!$M$5,IF(AND((L472*24)&gt;8,(L472*24)&lt;=16),(MD!$N$5),IF((L472*24)&gt;16,MD!$N$5))),IF(AND(F472="Non_workdays",(SUMIFS(O:O,F:F,F472,I:I,I472,B:B,B472)&lt;=24)),IF(AND((L472*24)&gt;0,(L472*24)&lt;=8),(L472*24)*MD!$M$6,IF(AND((L472*24)&gt;8,(L472*24)&lt;=16),(MD!$N$6),IF((L472*24)&gt;16,MD!$N$6))),IF(AND(F472="Call_out",(SUMIFS(O:O,F:F,F472,I:I,I472,B:B,B472)&lt;=24)),IF(AND((L472*24)&gt;0,(L472*24)&lt;=8),(L472*24)*MD!$P$4,IF(AND((L472*24)&gt;8,(L472*24)&lt;=16),(MD!$Q$4),IF((L472*24)&gt;16,MD!$Q$4)))))))</f>
        <v>0</v>
      </c>
      <c r="N472" s="62"/>
      <c r="O472" s="72">
        <f t="shared" si="15"/>
        <v>0</v>
      </c>
    </row>
    <row r="473" spans="1:15" x14ac:dyDescent="0.25">
      <c r="A473" s="62">
        <v>472</v>
      </c>
      <c r="B473" s="62"/>
      <c r="C473" s="68" t="str">
        <f>IF(ISNA(VLOOKUP($B473,CPY!$B:$G,2,FALSE))=TRUE," ",VLOOKUP($B473,CPY!$B:$G,2,FALSE))</f>
        <v> </v>
      </c>
      <c r="D473" s="50" t="str">
        <f>IF(ISNA(VLOOKUP($B473,CPY!$B:$G,3,FALSE))=TRUE," ",VLOOKUP($B473,CPY!$B:$G,3,FALSE))</f>
        <v> </v>
      </c>
      <c r="E473" s="65" t="str">
        <f>IF(ISNA(VLOOKUP($B473,CPY!$B:$G,4,FALSE))=TRUE," ",VLOOKUP($B473,CPY!$B:$G,4,FALSE))</f>
        <v> </v>
      </c>
      <c r="F473" s="62"/>
      <c r="G473" s="86"/>
      <c r="H473" s="86"/>
      <c r="I473" s="87"/>
      <c r="J473" s="88"/>
      <c r="K473" s="88"/>
      <c r="L473" s="95">
        <f t="shared" si="14"/>
        <v>0</v>
      </c>
      <c r="M473" s="96" t="b">
        <f>IF((ISNUMBER(L473)),IF(AND(F473="Workdays",(SUMIFS(O:O,F:F,F473,I:I,I473,B:B,B473)&lt;=24)),IF(AND((L473*24)&gt;0,(L473*24)&lt;=8),(L473*24)*MD!$M$5,IF(AND((L473*24)&gt;8,(L473*24)&lt;=16),(MD!$N$5),IF((L473*24)&gt;16,MD!$N$5))),IF(AND(F473="Non_workdays",(SUMIFS(O:O,F:F,F473,I:I,I473,B:B,B473)&lt;=24)),IF(AND((L473*24)&gt;0,(L473*24)&lt;=8),(L473*24)*MD!$M$6,IF(AND((L473*24)&gt;8,(L473*24)&lt;=16),(MD!$N$6),IF((L473*24)&gt;16,MD!$N$6))),IF(AND(F473="Call_out",(SUMIFS(O:O,F:F,F473,I:I,I473,B:B,B473)&lt;=24)),IF(AND((L473*24)&gt;0,(L473*24)&lt;=8),(L473*24)*MD!$P$4,IF(AND((L473*24)&gt;8,(L473*24)&lt;=16),(MD!$Q$4),IF((L473*24)&gt;16,MD!$Q$4)))))))</f>
        <v>0</v>
      </c>
      <c r="N473" s="62"/>
      <c r="O473" s="72">
        <f t="shared" si="15"/>
        <v>0</v>
      </c>
    </row>
    <row r="474" spans="1:15" x14ac:dyDescent="0.25">
      <c r="A474" s="62">
        <v>473</v>
      </c>
      <c r="B474" s="62"/>
      <c r="C474" s="68" t="str">
        <f>IF(ISNA(VLOOKUP($B474,CPY!$B:$G,2,FALSE))=TRUE," ",VLOOKUP($B474,CPY!$B:$G,2,FALSE))</f>
        <v> </v>
      </c>
      <c r="D474" s="50" t="str">
        <f>IF(ISNA(VLOOKUP($B474,CPY!$B:$G,3,FALSE))=TRUE," ",VLOOKUP($B474,CPY!$B:$G,3,FALSE))</f>
        <v> </v>
      </c>
      <c r="E474" s="65" t="str">
        <f>IF(ISNA(VLOOKUP($B474,CPY!$B:$G,4,FALSE))=TRUE," ",VLOOKUP($B474,CPY!$B:$G,4,FALSE))</f>
        <v> </v>
      </c>
      <c r="F474" s="62"/>
      <c r="G474" s="86"/>
      <c r="H474" s="86"/>
      <c r="I474" s="87"/>
      <c r="J474" s="88"/>
      <c r="K474" s="88"/>
      <c r="L474" s="95">
        <f t="shared" si="14"/>
        <v>0</v>
      </c>
      <c r="M474" s="96" t="b">
        <f>IF((ISNUMBER(L474)),IF(AND(F474="Workdays",(SUMIFS(O:O,F:F,F474,I:I,I474,B:B,B474)&lt;=24)),IF(AND((L474*24)&gt;0,(L474*24)&lt;=8),(L474*24)*MD!$M$5,IF(AND((L474*24)&gt;8,(L474*24)&lt;=16),(MD!$N$5),IF((L474*24)&gt;16,MD!$N$5))),IF(AND(F474="Non_workdays",(SUMIFS(O:O,F:F,F474,I:I,I474,B:B,B474)&lt;=24)),IF(AND((L474*24)&gt;0,(L474*24)&lt;=8),(L474*24)*MD!$M$6,IF(AND((L474*24)&gt;8,(L474*24)&lt;=16),(MD!$N$6),IF((L474*24)&gt;16,MD!$N$6))),IF(AND(F474="Call_out",(SUMIFS(O:O,F:F,F474,I:I,I474,B:B,B474)&lt;=24)),IF(AND((L474*24)&gt;0,(L474*24)&lt;=8),(L474*24)*MD!$P$4,IF(AND((L474*24)&gt;8,(L474*24)&lt;=16),(MD!$Q$4),IF((L474*24)&gt;16,MD!$Q$4)))))))</f>
        <v>0</v>
      </c>
      <c r="N474" s="62"/>
      <c r="O474" s="72">
        <f t="shared" si="15"/>
        <v>0</v>
      </c>
    </row>
    <row r="475" spans="1:15" x14ac:dyDescent="0.25">
      <c r="A475" s="62">
        <v>474</v>
      </c>
      <c r="B475" s="62"/>
      <c r="C475" s="68" t="str">
        <f>IF(ISNA(VLOOKUP($B475,CPY!$B:$G,2,FALSE))=TRUE," ",VLOOKUP($B475,CPY!$B:$G,2,FALSE))</f>
        <v> </v>
      </c>
      <c r="D475" s="50" t="str">
        <f>IF(ISNA(VLOOKUP($B475,CPY!$B:$G,3,FALSE))=TRUE," ",VLOOKUP($B475,CPY!$B:$G,3,FALSE))</f>
        <v> </v>
      </c>
      <c r="E475" s="65" t="str">
        <f>IF(ISNA(VLOOKUP($B475,CPY!$B:$G,4,FALSE))=TRUE," ",VLOOKUP($B475,CPY!$B:$G,4,FALSE))</f>
        <v> </v>
      </c>
      <c r="F475" s="62"/>
      <c r="G475" s="86"/>
      <c r="H475" s="86"/>
      <c r="I475" s="87"/>
      <c r="J475" s="88"/>
      <c r="K475" s="88"/>
      <c r="L475" s="95">
        <f t="shared" si="14"/>
        <v>0</v>
      </c>
      <c r="M475" s="96" t="b">
        <f>IF((ISNUMBER(L475)),IF(AND(F475="Workdays",(SUMIFS(O:O,F:F,F475,I:I,I475,B:B,B475)&lt;=24)),IF(AND((L475*24)&gt;0,(L475*24)&lt;=8),(L475*24)*MD!$M$5,IF(AND((L475*24)&gt;8,(L475*24)&lt;=16),(MD!$N$5),IF((L475*24)&gt;16,MD!$N$5))),IF(AND(F475="Non_workdays",(SUMIFS(O:O,F:F,F475,I:I,I475,B:B,B475)&lt;=24)),IF(AND((L475*24)&gt;0,(L475*24)&lt;=8),(L475*24)*MD!$M$6,IF(AND((L475*24)&gt;8,(L475*24)&lt;=16),(MD!$N$6),IF((L475*24)&gt;16,MD!$N$6))),IF(AND(F475="Call_out",(SUMIFS(O:O,F:F,F475,I:I,I475,B:B,B475)&lt;=24)),IF(AND((L475*24)&gt;0,(L475*24)&lt;=8),(L475*24)*MD!$P$4,IF(AND((L475*24)&gt;8,(L475*24)&lt;=16),(MD!$Q$4),IF((L475*24)&gt;16,MD!$Q$4)))))))</f>
        <v>0</v>
      </c>
      <c r="N475" s="62"/>
      <c r="O475" s="72">
        <f t="shared" si="15"/>
        <v>0</v>
      </c>
    </row>
    <row r="476" spans="1:15" x14ac:dyDescent="0.25">
      <c r="A476" s="62">
        <v>475</v>
      </c>
      <c r="B476" s="62"/>
      <c r="C476" s="68" t="str">
        <f>IF(ISNA(VLOOKUP($B476,CPY!$B:$G,2,FALSE))=TRUE," ",VLOOKUP($B476,CPY!$B:$G,2,FALSE))</f>
        <v> </v>
      </c>
      <c r="D476" s="50" t="str">
        <f>IF(ISNA(VLOOKUP($B476,CPY!$B:$G,3,FALSE))=TRUE," ",VLOOKUP($B476,CPY!$B:$G,3,FALSE))</f>
        <v> </v>
      </c>
      <c r="E476" s="65" t="str">
        <f>IF(ISNA(VLOOKUP($B476,CPY!$B:$G,4,FALSE))=TRUE," ",VLOOKUP($B476,CPY!$B:$G,4,FALSE))</f>
        <v> </v>
      </c>
      <c r="F476" s="62"/>
      <c r="G476" s="86"/>
      <c r="H476" s="86"/>
      <c r="I476" s="87"/>
      <c r="J476" s="88"/>
      <c r="K476" s="88"/>
      <c r="L476" s="95">
        <f t="shared" si="14"/>
        <v>0</v>
      </c>
      <c r="M476" s="96" t="b">
        <f>IF((ISNUMBER(L476)),IF(AND(F476="Workdays",(SUMIFS(O:O,F:F,F476,I:I,I476,B:B,B476)&lt;=24)),IF(AND((L476*24)&gt;0,(L476*24)&lt;=8),(L476*24)*MD!$M$5,IF(AND((L476*24)&gt;8,(L476*24)&lt;=16),(MD!$N$5),IF((L476*24)&gt;16,MD!$N$5))),IF(AND(F476="Non_workdays",(SUMIFS(O:O,F:F,F476,I:I,I476,B:B,B476)&lt;=24)),IF(AND((L476*24)&gt;0,(L476*24)&lt;=8),(L476*24)*MD!$M$6,IF(AND((L476*24)&gt;8,(L476*24)&lt;=16),(MD!$N$6),IF((L476*24)&gt;16,MD!$N$6))),IF(AND(F476="Call_out",(SUMIFS(O:O,F:F,F476,I:I,I476,B:B,B476)&lt;=24)),IF(AND((L476*24)&gt;0,(L476*24)&lt;=8),(L476*24)*MD!$P$4,IF(AND((L476*24)&gt;8,(L476*24)&lt;=16),(MD!$Q$4),IF((L476*24)&gt;16,MD!$Q$4)))))))</f>
        <v>0</v>
      </c>
      <c r="N476" s="62"/>
      <c r="O476" s="72">
        <f t="shared" si="15"/>
        <v>0</v>
      </c>
    </row>
    <row r="477" spans="1:15" x14ac:dyDescent="0.25">
      <c r="A477" s="62">
        <v>476</v>
      </c>
      <c r="B477" s="62"/>
      <c r="C477" s="68" t="str">
        <f>IF(ISNA(VLOOKUP($B477,CPY!$B:$G,2,FALSE))=TRUE," ",VLOOKUP($B477,CPY!$B:$G,2,FALSE))</f>
        <v> </v>
      </c>
      <c r="D477" s="50" t="str">
        <f>IF(ISNA(VLOOKUP($B477,CPY!$B:$G,3,FALSE))=TRUE," ",VLOOKUP($B477,CPY!$B:$G,3,FALSE))</f>
        <v> </v>
      </c>
      <c r="E477" s="65" t="str">
        <f>IF(ISNA(VLOOKUP($B477,CPY!$B:$G,4,FALSE))=TRUE," ",VLOOKUP($B477,CPY!$B:$G,4,FALSE))</f>
        <v> </v>
      </c>
      <c r="F477" s="62"/>
      <c r="G477" s="86"/>
      <c r="H477" s="86"/>
      <c r="I477" s="87"/>
      <c r="J477" s="88"/>
      <c r="K477" s="88"/>
      <c r="L477" s="95">
        <f t="shared" si="14"/>
        <v>0</v>
      </c>
      <c r="M477" s="96" t="b">
        <f>IF((ISNUMBER(L477)),IF(AND(F477="Workdays",(SUMIFS(O:O,F:F,F477,I:I,I477,B:B,B477)&lt;=24)),IF(AND((L477*24)&gt;0,(L477*24)&lt;=8),(L477*24)*MD!$M$5,IF(AND((L477*24)&gt;8,(L477*24)&lt;=16),(MD!$N$5),IF((L477*24)&gt;16,MD!$N$5))),IF(AND(F477="Non_workdays",(SUMIFS(O:O,F:F,F477,I:I,I477,B:B,B477)&lt;=24)),IF(AND((L477*24)&gt;0,(L477*24)&lt;=8),(L477*24)*MD!$M$6,IF(AND((L477*24)&gt;8,(L477*24)&lt;=16),(MD!$N$6),IF((L477*24)&gt;16,MD!$N$6))),IF(AND(F477="Call_out",(SUMIFS(O:O,F:F,F477,I:I,I477,B:B,B477)&lt;=24)),IF(AND((L477*24)&gt;0,(L477*24)&lt;=8),(L477*24)*MD!$P$4,IF(AND((L477*24)&gt;8,(L477*24)&lt;=16),(MD!$Q$4),IF((L477*24)&gt;16,MD!$Q$4)))))))</f>
        <v>0</v>
      </c>
      <c r="N477" s="62"/>
      <c r="O477" s="72">
        <f t="shared" si="15"/>
        <v>0</v>
      </c>
    </row>
    <row r="478" spans="1:15" x14ac:dyDescent="0.25">
      <c r="A478" s="62">
        <v>477</v>
      </c>
      <c r="B478" s="62"/>
      <c r="C478" s="68" t="str">
        <f>IF(ISNA(VLOOKUP($B478,CPY!$B:$G,2,FALSE))=TRUE," ",VLOOKUP($B478,CPY!$B:$G,2,FALSE))</f>
        <v> </v>
      </c>
      <c r="D478" s="50" t="str">
        <f>IF(ISNA(VLOOKUP($B478,CPY!$B:$G,3,FALSE))=TRUE," ",VLOOKUP($B478,CPY!$B:$G,3,FALSE))</f>
        <v> </v>
      </c>
      <c r="E478" s="65" t="str">
        <f>IF(ISNA(VLOOKUP($B478,CPY!$B:$G,4,FALSE))=TRUE," ",VLOOKUP($B478,CPY!$B:$G,4,FALSE))</f>
        <v> </v>
      </c>
      <c r="F478" s="62"/>
      <c r="G478" s="86"/>
      <c r="H478" s="86"/>
      <c r="I478" s="87"/>
      <c r="J478" s="88"/>
      <c r="K478" s="88"/>
      <c r="L478" s="95">
        <f t="shared" si="14"/>
        <v>0</v>
      </c>
      <c r="M478" s="96" t="b">
        <f>IF((ISNUMBER(L478)),IF(AND(F478="Workdays",(SUMIFS(O:O,F:F,F478,I:I,I478,B:B,B478)&lt;=24)),IF(AND((L478*24)&gt;0,(L478*24)&lt;=8),(L478*24)*MD!$M$5,IF(AND((L478*24)&gt;8,(L478*24)&lt;=16),(MD!$N$5),IF((L478*24)&gt;16,MD!$N$5))),IF(AND(F478="Non_workdays",(SUMIFS(O:O,F:F,F478,I:I,I478,B:B,B478)&lt;=24)),IF(AND((L478*24)&gt;0,(L478*24)&lt;=8),(L478*24)*MD!$M$6,IF(AND((L478*24)&gt;8,(L478*24)&lt;=16),(MD!$N$6),IF((L478*24)&gt;16,MD!$N$6))),IF(AND(F478="Call_out",(SUMIFS(O:O,F:F,F478,I:I,I478,B:B,B478)&lt;=24)),IF(AND((L478*24)&gt;0,(L478*24)&lt;=8),(L478*24)*MD!$P$4,IF(AND((L478*24)&gt;8,(L478*24)&lt;=16),(MD!$Q$4),IF((L478*24)&gt;16,MD!$Q$4)))))))</f>
        <v>0</v>
      </c>
      <c r="N478" s="62"/>
      <c r="O478" s="72">
        <f t="shared" si="15"/>
        <v>0</v>
      </c>
    </row>
    <row r="479" spans="1:15" x14ac:dyDescent="0.25">
      <c r="A479" s="62">
        <v>478</v>
      </c>
      <c r="B479" s="62"/>
      <c r="C479" s="68" t="str">
        <f>IF(ISNA(VLOOKUP($B479,CPY!$B:$G,2,FALSE))=TRUE," ",VLOOKUP($B479,CPY!$B:$G,2,FALSE))</f>
        <v> </v>
      </c>
      <c r="D479" s="50" t="str">
        <f>IF(ISNA(VLOOKUP($B479,CPY!$B:$G,3,FALSE))=TRUE," ",VLOOKUP($B479,CPY!$B:$G,3,FALSE))</f>
        <v> </v>
      </c>
      <c r="E479" s="65" t="str">
        <f>IF(ISNA(VLOOKUP($B479,CPY!$B:$G,4,FALSE))=TRUE," ",VLOOKUP($B479,CPY!$B:$G,4,FALSE))</f>
        <v> </v>
      </c>
      <c r="F479" s="62"/>
      <c r="G479" s="86"/>
      <c r="H479" s="86"/>
      <c r="I479" s="87"/>
      <c r="J479" s="88"/>
      <c r="K479" s="88"/>
      <c r="L479" s="95">
        <f t="shared" si="14"/>
        <v>0</v>
      </c>
      <c r="M479" s="96" t="b">
        <f>IF((ISNUMBER(L479)),IF(AND(F479="Workdays",(SUMIFS(O:O,F:F,F479,I:I,I479,B:B,B479)&lt;=24)),IF(AND((L479*24)&gt;0,(L479*24)&lt;=8),(L479*24)*MD!$M$5,IF(AND((L479*24)&gt;8,(L479*24)&lt;=16),(MD!$N$5),IF((L479*24)&gt;16,MD!$N$5))),IF(AND(F479="Non_workdays",(SUMIFS(O:O,F:F,F479,I:I,I479,B:B,B479)&lt;=24)),IF(AND((L479*24)&gt;0,(L479*24)&lt;=8),(L479*24)*MD!$M$6,IF(AND((L479*24)&gt;8,(L479*24)&lt;=16),(MD!$N$6),IF((L479*24)&gt;16,MD!$N$6))),IF(AND(F479="Call_out",(SUMIFS(O:O,F:F,F479,I:I,I479,B:B,B479)&lt;=24)),IF(AND((L479*24)&gt;0,(L479*24)&lt;=8),(L479*24)*MD!$P$4,IF(AND((L479*24)&gt;8,(L479*24)&lt;=16),(MD!$Q$4),IF((L479*24)&gt;16,MD!$Q$4)))))))</f>
        <v>0</v>
      </c>
      <c r="N479" s="62"/>
      <c r="O479" s="72">
        <f t="shared" si="15"/>
        <v>0</v>
      </c>
    </row>
    <row r="480" spans="1:15" x14ac:dyDescent="0.25">
      <c r="A480" s="62">
        <v>479</v>
      </c>
      <c r="B480" s="62"/>
      <c r="C480" s="68" t="str">
        <f>IF(ISNA(VLOOKUP($B480,CPY!$B:$G,2,FALSE))=TRUE," ",VLOOKUP($B480,CPY!$B:$G,2,FALSE))</f>
        <v> </v>
      </c>
      <c r="D480" s="50" t="str">
        <f>IF(ISNA(VLOOKUP($B480,CPY!$B:$G,3,FALSE))=TRUE," ",VLOOKUP($B480,CPY!$B:$G,3,FALSE))</f>
        <v> </v>
      </c>
      <c r="E480" s="65" t="str">
        <f>IF(ISNA(VLOOKUP($B480,CPY!$B:$G,4,FALSE))=TRUE," ",VLOOKUP($B480,CPY!$B:$G,4,FALSE))</f>
        <v> </v>
      </c>
      <c r="F480" s="62"/>
      <c r="G480" s="86"/>
      <c r="H480" s="86"/>
      <c r="I480" s="87"/>
      <c r="J480" s="88"/>
      <c r="K480" s="88"/>
      <c r="L480" s="95">
        <f t="shared" si="14"/>
        <v>0</v>
      </c>
      <c r="M480" s="96" t="b">
        <f>IF((ISNUMBER(L480)),IF(AND(F480="Workdays",(SUMIFS(O:O,F:F,F480,I:I,I480,B:B,B480)&lt;=24)),IF(AND((L480*24)&gt;0,(L480*24)&lt;=8),(L480*24)*MD!$M$5,IF(AND((L480*24)&gt;8,(L480*24)&lt;=16),(MD!$N$5),IF((L480*24)&gt;16,MD!$N$5))),IF(AND(F480="Non_workdays",(SUMIFS(O:O,F:F,F480,I:I,I480,B:B,B480)&lt;=24)),IF(AND((L480*24)&gt;0,(L480*24)&lt;=8),(L480*24)*MD!$M$6,IF(AND((L480*24)&gt;8,(L480*24)&lt;=16),(MD!$N$6),IF((L480*24)&gt;16,MD!$N$6))),IF(AND(F480="Call_out",(SUMIFS(O:O,F:F,F480,I:I,I480,B:B,B480)&lt;=24)),IF(AND((L480*24)&gt;0,(L480*24)&lt;=8),(L480*24)*MD!$P$4,IF(AND((L480*24)&gt;8,(L480*24)&lt;=16),(MD!$Q$4),IF((L480*24)&gt;16,MD!$Q$4)))))))</f>
        <v>0</v>
      </c>
      <c r="N480" s="62"/>
      <c r="O480" s="72">
        <f t="shared" si="15"/>
        <v>0</v>
      </c>
    </row>
    <row r="481" spans="1:15" x14ac:dyDescent="0.25">
      <c r="A481" s="62">
        <v>480</v>
      </c>
      <c r="B481" s="62"/>
      <c r="C481" s="68" t="str">
        <f>IF(ISNA(VLOOKUP($B481,CPY!$B:$G,2,FALSE))=TRUE," ",VLOOKUP($B481,CPY!$B:$G,2,FALSE))</f>
        <v> </v>
      </c>
      <c r="D481" s="50" t="str">
        <f>IF(ISNA(VLOOKUP($B481,CPY!$B:$G,3,FALSE))=TRUE," ",VLOOKUP($B481,CPY!$B:$G,3,FALSE))</f>
        <v> </v>
      </c>
      <c r="E481" s="65" t="str">
        <f>IF(ISNA(VLOOKUP($B481,CPY!$B:$G,4,FALSE))=TRUE," ",VLOOKUP($B481,CPY!$B:$G,4,FALSE))</f>
        <v> </v>
      </c>
      <c r="F481" s="62"/>
      <c r="G481" s="86"/>
      <c r="H481" s="86"/>
      <c r="I481" s="87"/>
      <c r="J481" s="88"/>
      <c r="K481" s="88"/>
      <c r="L481" s="95">
        <f t="shared" si="14"/>
        <v>0</v>
      </c>
      <c r="M481" s="96" t="b">
        <f>IF((ISNUMBER(L481)),IF(AND(F481="Workdays",(SUMIFS(O:O,F:F,F481,I:I,I481,B:B,B481)&lt;=24)),IF(AND((L481*24)&gt;0,(L481*24)&lt;=8),(L481*24)*MD!$M$5,IF(AND((L481*24)&gt;8,(L481*24)&lt;=16),(MD!$N$5),IF((L481*24)&gt;16,MD!$N$5))),IF(AND(F481="Non_workdays",(SUMIFS(O:O,F:F,F481,I:I,I481,B:B,B481)&lt;=24)),IF(AND((L481*24)&gt;0,(L481*24)&lt;=8),(L481*24)*MD!$M$6,IF(AND((L481*24)&gt;8,(L481*24)&lt;=16),(MD!$N$6),IF((L481*24)&gt;16,MD!$N$6))),IF(AND(F481="Call_out",(SUMIFS(O:O,F:F,F481,I:I,I481,B:B,B481)&lt;=24)),IF(AND((L481*24)&gt;0,(L481*24)&lt;=8),(L481*24)*MD!$P$4,IF(AND((L481*24)&gt;8,(L481*24)&lt;=16),(MD!$Q$4),IF((L481*24)&gt;16,MD!$Q$4)))))))</f>
        <v>0</v>
      </c>
      <c r="N481" s="62"/>
      <c r="O481" s="72">
        <f t="shared" si="15"/>
        <v>0</v>
      </c>
    </row>
    <row r="482" spans="1:15" x14ac:dyDescent="0.25">
      <c r="A482" s="62">
        <v>481</v>
      </c>
      <c r="B482" s="62"/>
      <c r="C482" s="68" t="str">
        <f>IF(ISNA(VLOOKUP($B482,CPY!$B:$G,2,FALSE))=TRUE," ",VLOOKUP($B482,CPY!$B:$G,2,FALSE))</f>
        <v> </v>
      </c>
      <c r="D482" s="50" t="str">
        <f>IF(ISNA(VLOOKUP($B482,CPY!$B:$G,3,FALSE))=TRUE," ",VLOOKUP($B482,CPY!$B:$G,3,FALSE))</f>
        <v> </v>
      </c>
      <c r="E482" s="65" t="str">
        <f>IF(ISNA(VLOOKUP($B482,CPY!$B:$G,4,FALSE))=TRUE," ",VLOOKUP($B482,CPY!$B:$G,4,FALSE))</f>
        <v> </v>
      </c>
      <c r="F482" s="62"/>
      <c r="G482" s="86"/>
      <c r="H482" s="86"/>
      <c r="I482" s="87"/>
      <c r="J482" s="88"/>
      <c r="K482" s="88"/>
      <c r="L482" s="95">
        <f t="shared" si="14"/>
        <v>0</v>
      </c>
      <c r="M482" s="96" t="b">
        <f>IF((ISNUMBER(L482)),IF(AND(F482="Workdays",(SUMIFS(O:O,F:F,F482,I:I,I482,B:B,B482)&lt;=24)),IF(AND((L482*24)&gt;0,(L482*24)&lt;=8),(L482*24)*MD!$M$5,IF(AND((L482*24)&gt;8,(L482*24)&lt;=16),(MD!$N$5),IF((L482*24)&gt;16,MD!$N$5))),IF(AND(F482="Non_workdays",(SUMIFS(O:O,F:F,F482,I:I,I482,B:B,B482)&lt;=24)),IF(AND((L482*24)&gt;0,(L482*24)&lt;=8),(L482*24)*MD!$M$6,IF(AND((L482*24)&gt;8,(L482*24)&lt;=16),(MD!$N$6),IF((L482*24)&gt;16,MD!$N$6))),IF(AND(F482="Call_out",(SUMIFS(O:O,F:F,F482,I:I,I482,B:B,B482)&lt;=24)),IF(AND((L482*24)&gt;0,(L482*24)&lt;=8),(L482*24)*MD!$P$4,IF(AND((L482*24)&gt;8,(L482*24)&lt;=16),(MD!$Q$4),IF((L482*24)&gt;16,MD!$Q$4)))))))</f>
        <v>0</v>
      </c>
      <c r="N482" s="62"/>
      <c r="O482" s="72">
        <f t="shared" si="15"/>
        <v>0</v>
      </c>
    </row>
    <row r="483" spans="1:15" x14ac:dyDescent="0.25">
      <c r="A483" s="62">
        <v>482</v>
      </c>
      <c r="B483" s="62"/>
      <c r="C483" s="68" t="str">
        <f>IF(ISNA(VLOOKUP($B483,CPY!$B:$G,2,FALSE))=TRUE," ",VLOOKUP($B483,CPY!$B:$G,2,FALSE))</f>
        <v> </v>
      </c>
      <c r="D483" s="50" t="str">
        <f>IF(ISNA(VLOOKUP($B483,CPY!$B:$G,3,FALSE))=TRUE," ",VLOOKUP($B483,CPY!$B:$G,3,FALSE))</f>
        <v> </v>
      </c>
      <c r="E483" s="65" t="str">
        <f>IF(ISNA(VLOOKUP($B483,CPY!$B:$G,4,FALSE))=TRUE," ",VLOOKUP($B483,CPY!$B:$G,4,FALSE))</f>
        <v> </v>
      </c>
      <c r="F483" s="62"/>
      <c r="G483" s="86"/>
      <c r="H483" s="86"/>
      <c r="I483" s="87"/>
      <c r="J483" s="88"/>
      <c r="K483" s="88"/>
      <c r="L483" s="95">
        <f t="shared" si="14"/>
        <v>0</v>
      </c>
      <c r="M483" s="96" t="b">
        <f>IF((ISNUMBER(L483)),IF(AND(F483="Workdays",(SUMIFS(O:O,F:F,F483,I:I,I483,B:B,B483)&lt;=24)),IF(AND((L483*24)&gt;0,(L483*24)&lt;=8),(L483*24)*MD!$M$5,IF(AND((L483*24)&gt;8,(L483*24)&lt;=16),(MD!$N$5),IF((L483*24)&gt;16,MD!$N$5))),IF(AND(F483="Non_workdays",(SUMIFS(O:O,F:F,F483,I:I,I483,B:B,B483)&lt;=24)),IF(AND((L483*24)&gt;0,(L483*24)&lt;=8),(L483*24)*MD!$M$6,IF(AND((L483*24)&gt;8,(L483*24)&lt;=16),(MD!$N$6),IF((L483*24)&gt;16,MD!$N$6))),IF(AND(F483="Call_out",(SUMIFS(O:O,F:F,F483,I:I,I483,B:B,B483)&lt;=24)),IF(AND((L483*24)&gt;0,(L483*24)&lt;=8),(L483*24)*MD!$P$4,IF(AND((L483*24)&gt;8,(L483*24)&lt;=16),(MD!$Q$4),IF((L483*24)&gt;16,MD!$Q$4)))))))</f>
        <v>0</v>
      </c>
      <c r="N483" s="62"/>
      <c r="O483" s="72">
        <f t="shared" si="15"/>
        <v>0</v>
      </c>
    </row>
    <row r="484" spans="1:15" x14ac:dyDescent="0.25">
      <c r="A484" s="62">
        <v>483</v>
      </c>
      <c r="B484" s="62"/>
      <c r="C484" s="68" t="str">
        <f>IF(ISNA(VLOOKUP($B484,CPY!$B:$G,2,FALSE))=TRUE," ",VLOOKUP($B484,CPY!$B:$G,2,FALSE))</f>
        <v> </v>
      </c>
      <c r="D484" s="50" t="str">
        <f>IF(ISNA(VLOOKUP($B484,CPY!$B:$G,3,FALSE))=TRUE," ",VLOOKUP($B484,CPY!$B:$G,3,FALSE))</f>
        <v> </v>
      </c>
      <c r="E484" s="65" t="str">
        <f>IF(ISNA(VLOOKUP($B484,CPY!$B:$G,4,FALSE))=TRUE," ",VLOOKUP($B484,CPY!$B:$G,4,FALSE))</f>
        <v> </v>
      </c>
      <c r="F484" s="62"/>
      <c r="G484" s="86"/>
      <c r="H484" s="86"/>
      <c r="I484" s="87"/>
      <c r="J484" s="88"/>
      <c r="K484" s="88"/>
      <c r="L484" s="95">
        <f t="shared" si="14"/>
        <v>0</v>
      </c>
      <c r="M484" s="96" t="b">
        <f>IF((ISNUMBER(L484)),IF(AND(F484="Workdays",(SUMIFS(O:O,F:F,F484,I:I,I484,B:B,B484)&lt;=24)),IF(AND((L484*24)&gt;0,(L484*24)&lt;=8),(L484*24)*MD!$M$5,IF(AND((L484*24)&gt;8,(L484*24)&lt;=16),(MD!$N$5),IF((L484*24)&gt;16,MD!$N$5))),IF(AND(F484="Non_workdays",(SUMIFS(O:O,F:F,F484,I:I,I484,B:B,B484)&lt;=24)),IF(AND((L484*24)&gt;0,(L484*24)&lt;=8),(L484*24)*MD!$M$6,IF(AND((L484*24)&gt;8,(L484*24)&lt;=16),(MD!$N$6),IF((L484*24)&gt;16,MD!$N$6))),IF(AND(F484="Call_out",(SUMIFS(O:O,F:F,F484,I:I,I484,B:B,B484)&lt;=24)),IF(AND((L484*24)&gt;0,(L484*24)&lt;=8),(L484*24)*MD!$P$4,IF(AND((L484*24)&gt;8,(L484*24)&lt;=16),(MD!$Q$4),IF((L484*24)&gt;16,MD!$Q$4)))))))</f>
        <v>0</v>
      </c>
      <c r="N484" s="62"/>
      <c r="O484" s="72">
        <f t="shared" si="15"/>
        <v>0</v>
      </c>
    </row>
    <row r="485" spans="1:15" x14ac:dyDescent="0.25">
      <c r="A485" s="62">
        <v>484</v>
      </c>
      <c r="B485" s="62"/>
      <c r="C485" s="68" t="str">
        <f>IF(ISNA(VLOOKUP($B485,CPY!$B:$G,2,FALSE))=TRUE," ",VLOOKUP($B485,CPY!$B:$G,2,FALSE))</f>
        <v> </v>
      </c>
      <c r="D485" s="50" t="str">
        <f>IF(ISNA(VLOOKUP($B485,CPY!$B:$G,3,FALSE))=TRUE," ",VLOOKUP($B485,CPY!$B:$G,3,FALSE))</f>
        <v> </v>
      </c>
      <c r="E485" s="65" t="str">
        <f>IF(ISNA(VLOOKUP($B485,CPY!$B:$G,4,FALSE))=TRUE," ",VLOOKUP($B485,CPY!$B:$G,4,FALSE))</f>
        <v> </v>
      </c>
      <c r="F485" s="62"/>
      <c r="G485" s="86"/>
      <c r="H485" s="86"/>
      <c r="I485" s="87"/>
      <c r="J485" s="88"/>
      <c r="K485" s="88"/>
      <c r="L485" s="95">
        <f t="shared" si="14"/>
        <v>0</v>
      </c>
      <c r="M485" s="96" t="b">
        <f>IF((ISNUMBER(L485)),IF(AND(F485="Workdays",(SUMIFS(O:O,F:F,F485,I:I,I485,B:B,B485)&lt;=24)),IF(AND((L485*24)&gt;0,(L485*24)&lt;=8),(L485*24)*MD!$M$5,IF(AND((L485*24)&gt;8,(L485*24)&lt;=16),(MD!$N$5),IF((L485*24)&gt;16,MD!$N$5))),IF(AND(F485="Non_workdays",(SUMIFS(O:O,F:F,F485,I:I,I485,B:B,B485)&lt;=24)),IF(AND((L485*24)&gt;0,(L485*24)&lt;=8),(L485*24)*MD!$M$6,IF(AND((L485*24)&gt;8,(L485*24)&lt;=16),(MD!$N$6),IF((L485*24)&gt;16,MD!$N$6))),IF(AND(F485="Call_out",(SUMIFS(O:O,F:F,F485,I:I,I485,B:B,B485)&lt;=24)),IF(AND((L485*24)&gt;0,(L485*24)&lt;=8),(L485*24)*MD!$P$4,IF(AND((L485*24)&gt;8,(L485*24)&lt;=16),(MD!$Q$4),IF((L485*24)&gt;16,MD!$Q$4)))))))</f>
        <v>0</v>
      </c>
      <c r="N485" s="62"/>
      <c r="O485" s="72">
        <f t="shared" si="15"/>
        <v>0</v>
      </c>
    </row>
    <row r="486" spans="1:15" x14ac:dyDescent="0.25">
      <c r="A486" s="62">
        <v>485</v>
      </c>
      <c r="B486" s="62"/>
      <c r="C486" s="68" t="str">
        <f>IF(ISNA(VLOOKUP($B486,CPY!$B:$G,2,FALSE))=TRUE," ",VLOOKUP($B486,CPY!$B:$G,2,FALSE))</f>
        <v> </v>
      </c>
      <c r="D486" s="50" t="str">
        <f>IF(ISNA(VLOOKUP($B486,CPY!$B:$G,3,FALSE))=TRUE," ",VLOOKUP($B486,CPY!$B:$G,3,FALSE))</f>
        <v> </v>
      </c>
      <c r="E486" s="65" t="str">
        <f>IF(ISNA(VLOOKUP($B486,CPY!$B:$G,4,FALSE))=TRUE," ",VLOOKUP($B486,CPY!$B:$G,4,FALSE))</f>
        <v> </v>
      </c>
      <c r="F486" s="62"/>
      <c r="G486" s="86"/>
      <c r="H486" s="86"/>
      <c r="I486" s="87"/>
      <c r="J486" s="88"/>
      <c r="K486" s="88"/>
      <c r="L486" s="95">
        <f t="shared" si="14"/>
        <v>0</v>
      </c>
      <c r="M486" s="96" t="b">
        <f>IF((ISNUMBER(L486)),IF(AND(F486="Workdays",(SUMIFS(O:O,F:F,F486,I:I,I486,B:B,B486)&lt;=24)),IF(AND((L486*24)&gt;0,(L486*24)&lt;=8),(L486*24)*MD!$M$5,IF(AND((L486*24)&gt;8,(L486*24)&lt;=16),(MD!$N$5),IF((L486*24)&gt;16,MD!$N$5))),IF(AND(F486="Non_workdays",(SUMIFS(O:O,F:F,F486,I:I,I486,B:B,B486)&lt;=24)),IF(AND((L486*24)&gt;0,(L486*24)&lt;=8),(L486*24)*MD!$M$6,IF(AND((L486*24)&gt;8,(L486*24)&lt;=16),(MD!$N$6),IF((L486*24)&gt;16,MD!$N$6))),IF(AND(F486="Call_out",(SUMIFS(O:O,F:F,F486,I:I,I486,B:B,B486)&lt;=24)),IF(AND((L486*24)&gt;0,(L486*24)&lt;=8),(L486*24)*MD!$P$4,IF(AND((L486*24)&gt;8,(L486*24)&lt;=16),(MD!$Q$4),IF((L486*24)&gt;16,MD!$Q$4)))))))</f>
        <v>0</v>
      </c>
      <c r="N486" s="62"/>
      <c r="O486" s="72">
        <f t="shared" si="15"/>
        <v>0</v>
      </c>
    </row>
    <row r="487" spans="1:15" x14ac:dyDescent="0.25">
      <c r="A487" s="62">
        <v>486</v>
      </c>
      <c r="B487" s="62"/>
      <c r="C487" s="68" t="str">
        <f>IF(ISNA(VLOOKUP($B487,CPY!$B:$G,2,FALSE))=TRUE," ",VLOOKUP($B487,CPY!$B:$G,2,FALSE))</f>
        <v> </v>
      </c>
      <c r="D487" s="50" t="str">
        <f>IF(ISNA(VLOOKUP($B487,CPY!$B:$G,3,FALSE))=TRUE," ",VLOOKUP($B487,CPY!$B:$G,3,FALSE))</f>
        <v> </v>
      </c>
      <c r="E487" s="65" t="str">
        <f>IF(ISNA(VLOOKUP($B487,CPY!$B:$G,4,FALSE))=TRUE," ",VLOOKUP($B487,CPY!$B:$G,4,FALSE))</f>
        <v> </v>
      </c>
      <c r="F487" s="62"/>
      <c r="G487" s="86"/>
      <c r="H487" s="86"/>
      <c r="I487" s="87"/>
      <c r="J487" s="88"/>
      <c r="K487" s="88"/>
      <c r="L487" s="95">
        <f t="shared" si="14"/>
        <v>0</v>
      </c>
      <c r="M487" s="96" t="b">
        <f>IF((ISNUMBER(L487)),IF(AND(F487="Workdays",(SUMIFS(O:O,F:F,F487,I:I,I487,B:B,B487)&lt;=24)),IF(AND((L487*24)&gt;0,(L487*24)&lt;=8),(L487*24)*MD!$M$5,IF(AND((L487*24)&gt;8,(L487*24)&lt;=16),(MD!$N$5),IF((L487*24)&gt;16,MD!$N$5))),IF(AND(F487="Non_workdays",(SUMIFS(O:O,F:F,F487,I:I,I487,B:B,B487)&lt;=24)),IF(AND((L487*24)&gt;0,(L487*24)&lt;=8),(L487*24)*MD!$M$6,IF(AND((L487*24)&gt;8,(L487*24)&lt;=16),(MD!$N$6),IF((L487*24)&gt;16,MD!$N$6))),IF(AND(F487="Call_out",(SUMIFS(O:O,F:F,F487,I:I,I487,B:B,B487)&lt;=24)),IF(AND((L487*24)&gt;0,(L487*24)&lt;=8),(L487*24)*MD!$P$4,IF(AND((L487*24)&gt;8,(L487*24)&lt;=16),(MD!$Q$4),IF((L487*24)&gt;16,MD!$Q$4)))))))</f>
        <v>0</v>
      </c>
      <c r="N487" s="62"/>
      <c r="O487" s="72">
        <f t="shared" si="15"/>
        <v>0</v>
      </c>
    </row>
    <row r="488" spans="1:15" x14ac:dyDescent="0.25">
      <c r="A488" s="62">
        <v>487</v>
      </c>
      <c r="B488" s="62"/>
      <c r="C488" s="68" t="str">
        <f>IF(ISNA(VLOOKUP($B488,CPY!$B:$G,2,FALSE))=TRUE," ",VLOOKUP($B488,CPY!$B:$G,2,FALSE))</f>
        <v> </v>
      </c>
      <c r="D488" s="50" t="str">
        <f>IF(ISNA(VLOOKUP($B488,CPY!$B:$G,3,FALSE))=TRUE," ",VLOOKUP($B488,CPY!$B:$G,3,FALSE))</f>
        <v> </v>
      </c>
      <c r="E488" s="65" t="str">
        <f>IF(ISNA(VLOOKUP($B488,CPY!$B:$G,4,FALSE))=TRUE," ",VLOOKUP($B488,CPY!$B:$G,4,FALSE))</f>
        <v> </v>
      </c>
      <c r="F488" s="62"/>
      <c r="G488" s="86"/>
      <c r="H488" s="86"/>
      <c r="I488" s="87"/>
      <c r="J488" s="88"/>
      <c r="K488" s="88"/>
      <c r="L488" s="95">
        <f t="shared" si="14"/>
        <v>0</v>
      </c>
      <c r="M488" s="96" t="b">
        <f>IF((ISNUMBER(L488)),IF(AND(F488="Workdays",(SUMIFS(O:O,F:F,F488,I:I,I488,B:B,B488)&lt;=24)),IF(AND((L488*24)&gt;0,(L488*24)&lt;=8),(L488*24)*MD!$M$5,IF(AND((L488*24)&gt;8,(L488*24)&lt;=16),(MD!$N$5),IF((L488*24)&gt;16,MD!$N$5))),IF(AND(F488="Non_workdays",(SUMIFS(O:O,F:F,F488,I:I,I488,B:B,B488)&lt;=24)),IF(AND((L488*24)&gt;0,(L488*24)&lt;=8),(L488*24)*MD!$M$6,IF(AND((L488*24)&gt;8,(L488*24)&lt;=16),(MD!$N$6),IF((L488*24)&gt;16,MD!$N$6))),IF(AND(F488="Call_out",(SUMIFS(O:O,F:F,F488,I:I,I488,B:B,B488)&lt;=24)),IF(AND((L488*24)&gt;0,(L488*24)&lt;=8),(L488*24)*MD!$P$4,IF(AND((L488*24)&gt;8,(L488*24)&lt;=16),(MD!$Q$4),IF((L488*24)&gt;16,MD!$Q$4)))))))</f>
        <v>0</v>
      </c>
      <c r="N488" s="62"/>
      <c r="O488" s="72">
        <f t="shared" si="15"/>
        <v>0</v>
      </c>
    </row>
    <row r="489" spans="1:15" x14ac:dyDescent="0.25">
      <c r="A489" s="62">
        <v>488</v>
      </c>
      <c r="B489" s="62"/>
      <c r="C489" s="68" t="str">
        <f>IF(ISNA(VLOOKUP($B489,CPY!$B:$G,2,FALSE))=TRUE," ",VLOOKUP($B489,CPY!$B:$G,2,FALSE))</f>
        <v> </v>
      </c>
      <c r="D489" s="50" t="str">
        <f>IF(ISNA(VLOOKUP($B489,CPY!$B:$G,3,FALSE))=TRUE," ",VLOOKUP($B489,CPY!$B:$G,3,FALSE))</f>
        <v> </v>
      </c>
      <c r="E489" s="65" t="str">
        <f>IF(ISNA(VLOOKUP($B489,CPY!$B:$G,4,FALSE))=TRUE," ",VLOOKUP($B489,CPY!$B:$G,4,FALSE))</f>
        <v> </v>
      </c>
      <c r="F489" s="62"/>
      <c r="G489" s="86"/>
      <c r="H489" s="86"/>
      <c r="I489" s="87"/>
      <c r="J489" s="88"/>
      <c r="K489" s="88"/>
      <c r="L489" s="95">
        <f t="shared" si="14"/>
        <v>0</v>
      </c>
      <c r="M489" s="96" t="b">
        <f>IF((ISNUMBER(L489)),IF(AND(F489="Workdays",(SUMIFS(O:O,F:F,F489,I:I,I489,B:B,B489)&lt;=24)),IF(AND((L489*24)&gt;0,(L489*24)&lt;=8),(L489*24)*MD!$M$5,IF(AND((L489*24)&gt;8,(L489*24)&lt;=16),(MD!$N$5),IF((L489*24)&gt;16,MD!$N$5))),IF(AND(F489="Non_workdays",(SUMIFS(O:O,F:F,F489,I:I,I489,B:B,B489)&lt;=24)),IF(AND((L489*24)&gt;0,(L489*24)&lt;=8),(L489*24)*MD!$M$6,IF(AND((L489*24)&gt;8,(L489*24)&lt;=16),(MD!$N$6),IF((L489*24)&gt;16,MD!$N$6))),IF(AND(F489="Call_out",(SUMIFS(O:O,F:F,F489,I:I,I489,B:B,B489)&lt;=24)),IF(AND((L489*24)&gt;0,(L489*24)&lt;=8),(L489*24)*MD!$P$4,IF(AND((L489*24)&gt;8,(L489*24)&lt;=16),(MD!$Q$4),IF((L489*24)&gt;16,MD!$Q$4)))))))</f>
        <v>0</v>
      </c>
      <c r="N489" s="62"/>
      <c r="O489" s="72">
        <f t="shared" si="15"/>
        <v>0</v>
      </c>
    </row>
    <row r="490" spans="1:15" x14ac:dyDescent="0.25">
      <c r="A490" s="62">
        <v>489</v>
      </c>
      <c r="B490" s="62"/>
      <c r="C490" s="68" t="str">
        <f>IF(ISNA(VLOOKUP($B490,CPY!$B:$G,2,FALSE))=TRUE," ",VLOOKUP($B490,CPY!$B:$G,2,FALSE))</f>
        <v> </v>
      </c>
      <c r="D490" s="50" t="str">
        <f>IF(ISNA(VLOOKUP($B490,CPY!$B:$G,3,FALSE))=TRUE," ",VLOOKUP($B490,CPY!$B:$G,3,FALSE))</f>
        <v> </v>
      </c>
      <c r="E490" s="65" t="str">
        <f>IF(ISNA(VLOOKUP($B490,CPY!$B:$G,4,FALSE))=TRUE," ",VLOOKUP($B490,CPY!$B:$G,4,FALSE))</f>
        <v> </v>
      </c>
      <c r="F490" s="62"/>
      <c r="G490" s="86"/>
      <c r="H490" s="86"/>
      <c r="I490" s="87"/>
      <c r="J490" s="88"/>
      <c r="K490" s="88"/>
      <c r="L490" s="95">
        <f t="shared" si="14"/>
        <v>0</v>
      </c>
      <c r="M490" s="96" t="b">
        <f>IF((ISNUMBER(L490)),IF(AND(F490="Workdays",(SUMIFS(O:O,F:F,F490,I:I,I490,B:B,B490)&lt;=24)),IF(AND((L490*24)&gt;0,(L490*24)&lt;=8),(L490*24)*MD!$M$5,IF(AND((L490*24)&gt;8,(L490*24)&lt;=16),(MD!$N$5),IF((L490*24)&gt;16,MD!$N$5))),IF(AND(F490="Non_workdays",(SUMIFS(O:O,F:F,F490,I:I,I490,B:B,B490)&lt;=24)),IF(AND((L490*24)&gt;0,(L490*24)&lt;=8),(L490*24)*MD!$M$6,IF(AND((L490*24)&gt;8,(L490*24)&lt;=16),(MD!$N$6),IF((L490*24)&gt;16,MD!$N$6))),IF(AND(F490="Call_out",(SUMIFS(O:O,F:F,F490,I:I,I490,B:B,B490)&lt;=24)),IF(AND((L490*24)&gt;0,(L490*24)&lt;=8),(L490*24)*MD!$P$4,IF(AND((L490*24)&gt;8,(L490*24)&lt;=16),(MD!$Q$4),IF((L490*24)&gt;16,MD!$Q$4)))))))</f>
        <v>0</v>
      </c>
      <c r="N490" s="62"/>
      <c r="O490" s="72">
        <f t="shared" si="15"/>
        <v>0</v>
      </c>
    </row>
    <row r="491" spans="1:15" x14ac:dyDescent="0.25">
      <c r="A491" s="62">
        <v>490</v>
      </c>
      <c r="B491" s="62"/>
      <c r="C491" s="68" t="str">
        <f>IF(ISNA(VLOOKUP($B491,CPY!$B:$G,2,FALSE))=TRUE," ",VLOOKUP($B491,CPY!$B:$G,2,FALSE))</f>
        <v> </v>
      </c>
      <c r="D491" s="50" t="str">
        <f>IF(ISNA(VLOOKUP($B491,CPY!$B:$G,3,FALSE))=TRUE," ",VLOOKUP($B491,CPY!$B:$G,3,FALSE))</f>
        <v> </v>
      </c>
      <c r="E491" s="65" t="str">
        <f>IF(ISNA(VLOOKUP($B491,CPY!$B:$G,4,FALSE))=TRUE," ",VLOOKUP($B491,CPY!$B:$G,4,FALSE))</f>
        <v> </v>
      </c>
      <c r="F491" s="62"/>
      <c r="G491" s="86"/>
      <c r="H491" s="86"/>
      <c r="I491" s="87"/>
      <c r="J491" s="88"/>
      <c r="K491" s="88"/>
      <c r="L491" s="95">
        <f t="shared" si="14"/>
        <v>0</v>
      </c>
      <c r="M491" s="96" t="b">
        <f>IF((ISNUMBER(L491)),IF(AND(F491="Workdays",(SUMIFS(O:O,F:F,F491,I:I,I491,B:B,B491)&lt;=24)),IF(AND((L491*24)&gt;0,(L491*24)&lt;=8),(L491*24)*MD!$M$5,IF(AND((L491*24)&gt;8,(L491*24)&lt;=16),(MD!$N$5),IF((L491*24)&gt;16,MD!$N$5))),IF(AND(F491="Non_workdays",(SUMIFS(O:O,F:F,F491,I:I,I491,B:B,B491)&lt;=24)),IF(AND((L491*24)&gt;0,(L491*24)&lt;=8),(L491*24)*MD!$M$6,IF(AND((L491*24)&gt;8,(L491*24)&lt;=16),(MD!$N$6),IF((L491*24)&gt;16,MD!$N$6))),IF(AND(F491="Call_out",(SUMIFS(O:O,F:F,F491,I:I,I491,B:B,B491)&lt;=24)),IF(AND((L491*24)&gt;0,(L491*24)&lt;=8),(L491*24)*MD!$P$4,IF(AND((L491*24)&gt;8,(L491*24)&lt;=16),(MD!$Q$4),IF((L491*24)&gt;16,MD!$Q$4)))))))</f>
        <v>0</v>
      </c>
      <c r="N491" s="62"/>
      <c r="O491" s="72">
        <f t="shared" si="15"/>
        <v>0</v>
      </c>
    </row>
    <row r="492" spans="1:15" x14ac:dyDescent="0.25">
      <c r="A492" s="62">
        <v>491</v>
      </c>
      <c r="B492" s="62"/>
      <c r="C492" s="68" t="str">
        <f>IF(ISNA(VLOOKUP($B492,CPY!$B:$G,2,FALSE))=TRUE," ",VLOOKUP($B492,CPY!$B:$G,2,FALSE))</f>
        <v> </v>
      </c>
      <c r="D492" s="50" t="str">
        <f>IF(ISNA(VLOOKUP($B492,CPY!$B:$G,3,FALSE))=TRUE," ",VLOOKUP($B492,CPY!$B:$G,3,FALSE))</f>
        <v> </v>
      </c>
      <c r="E492" s="65" t="str">
        <f>IF(ISNA(VLOOKUP($B492,CPY!$B:$G,4,FALSE))=TRUE," ",VLOOKUP($B492,CPY!$B:$G,4,FALSE))</f>
        <v> </v>
      </c>
      <c r="F492" s="62"/>
      <c r="G492" s="86"/>
      <c r="H492" s="86"/>
      <c r="I492" s="87"/>
      <c r="J492" s="88"/>
      <c r="K492" s="88"/>
      <c r="L492" s="95">
        <f t="shared" si="14"/>
        <v>0</v>
      </c>
      <c r="M492" s="96" t="b">
        <f>IF((ISNUMBER(L492)),IF(AND(F492="Workdays",(SUMIFS(O:O,F:F,F492,I:I,I492,B:B,B492)&lt;=24)),IF(AND((L492*24)&gt;0,(L492*24)&lt;=8),(L492*24)*MD!$M$5,IF(AND((L492*24)&gt;8,(L492*24)&lt;=16),(MD!$N$5),IF((L492*24)&gt;16,MD!$N$5))),IF(AND(F492="Non_workdays",(SUMIFS(O:O,F:F,F492,I:I,I492,B:B,B492)&lt;=24)),IF(AND((L492*24)&gt;0,(L492*24)&lt;=8),(L492*24)*MD!$M$6,IF(AND((L492*24)&gt;8,(L492*24)&lt;=16),(MD!$N$6),IF((L492*24)&gt;16,MD!$N$6))),IF(AND(F492="Call_out",(SUMIFS(O:O,F:F,F492,I:I,I492,B:B,B492)&lt;=24)),IF(AND((L492*24)&gt;0,(L492*24)&lt;=8),(L492*24)*MD!$P$4,IF(AND((L492*24)&gt;8,(L492*24)&lt;=16),(MD!$Q$4),IF((L492*24)&gt;16,MD!$Q$4)))))))</f>
        <v>0</v>
      </c>
      <c r="N492" s="62"/>
      <c r="O492" s="72">
        <f t="shared" si="15"/>
        <v>0</v>
      </c>
    </row>
    <row r="493" spans="1:15" x14ac:dyDescent="0.25">
      <c r="A493" s="62">
        <v>492</v>
      </c>
      <c r="B493" s="62"/>
      <c r="C493" s="68" t="str">
        <f>IF(ISNA(VLOOKUP($B493,CPY!$B:$G,2,FALSE))=TRUE," ",VLOOKUP($B493,CPY!$B:$G,2,FALSE))</f>
        <v> </v>
      </c>
      <c r="D493" s="50" t="str">
        <f>IF(ISNA(VLOOKUP($B493,CPY!$B:$G,3,FALSE))=TRUE," ",VLOOKUP($B493,CPY!$B:$G,3,FALSE))</f>
        <v> </v>
      </c>
      <c r="E493" s="65" t="str">
        <f>IF(ISNA(VLOOKUP($B493,CPY!$B:$G,4,FALSE))=TRUE," ",VLOOKUP($B493,CPY!$B:$G,4,FALSE))</f>
        <v> </v>
      </c>
      <c r="F493" s="62"/>
      <c r="G493" s="86"/>
      <c r="H493" s="86"/>
      <c r="I493" s="87"/>
      <c r="J493" s="88"/>
      <c r="K493" s="88"/>
      <c r="L493" s="95">
        <f t="shared" si="14"/>
        <v>0</v>
      </c>
      <c r="M493" s="96" t="b">
        <f>IF((ISNUMBER(L493)),IF(AND(F493="Workdays",(SUMIFS(O:O,F:F,F493,I:I,I493,B:B,B493)&lt;=24)),IF(AND((L493*24)&gt;0,(L493*24)&lt;=8),(L493*24)*MD!$M$5,IF(AND((L493*24)&gt;8,(L493*24)&lt;=16),(MD!$N$5),IF((L493*24)&gt;16,MD!$N$5))),IF(AND(F493="Non_workdays",(SUMIFS(O:O,F:F,F493,I:I,I493,B:B,B493)&lt;=24)),IF(AND((L493*24)&gt;0,(L493*24)&lt;=8),(L493*24)*MD!$M$6,IF(AND((L493*24)&gt;8,(L493*24)&lt;=16),(MD!$N$6),IF((L493*24)&gt;16,MD!$N$6))),IF(AND(F493="Call_out",(SUMIFS(O:O,F:F,F493,I:I,I493,B:B,B493)&lt;=24)),IF(AND((L493*24)&gt;0,(L493*24)&lt;=8),(L493*24)*MD!$P$4,IF(AND((L493*24)&gt;8,(L493*24)&lt;=16),(MD!$Q$4),IF((L493*24)&gt;16,MD!$Q$4)))))))</f>
        <v>0</v>
      </c>
      <c r="N493" s="62"/>
      <c r="O493" s="72">
        <f t="shared" si="15"/>
        <v>0</v>
      </c>
    </row>
    <row r="494" spans="1:15" x14ac:dyDescent="0.25">
      <c r="A494" s="62">
        <v>493</v>
      </c>
      <c r="B494" s="62"/>
      <c r="C494" s="68" t="str">
        <f>IF(ISNA(VLOOKUP($B494,CPY!$B:$G,2,FALSE))=TRUE," ",VLOOKUP($B494,CPY!$B:$G,2,FALSE))</f>
        <v> </v>
      </c>
      <c r="D494" s="50" t="str">
        <f>IF(ISNA(VLOOKUP($B494,CPY!$B:$G,3,FALSE))=TRUE," ",VLOOKUP($B494,CPY!$B:$G,3,FALSE))</f>
        <v> </v>
      </c>
      <c r="E494" s="65" t="str">
        <f>IF(ISNA(VLOOKUP($B494,CPY!$B:$G,4,FALSE))=TRUE," ",VLOOKUP($B494,CPY!$B:$G,4,FALSE))</f>
        <v> </v>
      </c>
      <c r="F494" s="62"/>
      <c r="G494" s="86"/>
      <c r="H494" s="86"/>
      <c r="I494" s="87"/>
      <c r="J494" s="88"/>
      <c r="K494" s="88"/>
      <c r="L494" s="95">
        <f t="shared" si="14"/>
        <v>0</v>
      </c>
      <c r="M494" s="96" t="b">
        <f>IF((ISNUMBER(L494)),IF(AND(F494="Workdays",(SUMIFS(O:O,F:F,F494,I:I,I494,B:B,B494)&lt;=24)),IF(AND((L494*24)&gt;0,(L494*24)&lt;=8),(L494*24)*MD!$M$5,IF(AND((L494*24)&gt;8,(L494*24)&lt;=16),(MD!$N$5),IF((L494*24)&gt;16,MD!$N$5))),IF(AND(F494="Non_workdays",(SUMIFS(O:O,F:F,F494,I:I,I494,B:B,B494)&lt;=24)),IF(AND((L494*24)&gt;0,(L494*24)&lt;=8),(L494*24)*MD!$M$6,IF(AND((L494*24)&gt;8,(L494*24)&lt;=16),(MD!$N$6),IF((L494*24)&gt;16,MD!$N$6))),IF(AND(F494="Call_out",(SUMIFS(O:O,F:F,F494,I:I,I494,B:B,B494)&lt;=24)),IF(AND((L494*24)&gt;0,(L494*24)&lt;=8),(L494*24)*MD!$P$4,IF(AND((L494*24)&gt;8,(L494*24)&lt;=16),(MD!$Q$4),IF((L494*24)&gt;16,MD!$Q$4)))))))</f>
        <v>0</v>
      </c>
      <c r="N494" s="62"/>
      <c r="O494" s="72">
        <f t="shared" si="15"/>
        <v>0</v>
      </c>
    </row>
    <row r="495" spans="1:15" x14ac:dyDescent="0.25">
      <c r="A495" s="62">
        <v>494</v>
      </c>
      <c r="B495" s="62"/>
      <c r="C495" s="68" t="str">
        <f>IF(ISNA(VLOOKUP($B495,CPY!$B:$G,2,FALSE))=TRUE," ",VLOOKUP($B495,CPY!$B:$G,2,FALSE))</f>
        <v> </v>
      </c>
      <c r="D495" s="50" t="str">
        <f>IF(ISNA(VLOOKUP($B495,CPY!$B:$G,3,FALSE))=TRUE," ",VLOOKUP($B495,CPY!$B:$G,3,FALSE))</f>
        <v> </v>
      </c>
      <c r="E495" s="65" t="str">
        <f>IF(ISNA(VLOOKUP($B495,CPY!$B:$G,4,FALSE))=TRUE," ",VLOOKUP($B495,CPY!$B:$G,4,FALSE))</f>
        <v> </v>
      </c>
      <c r="F495" s="62"/>
      <c r="G495" s="86"/>
      <c r="H495" s="86"/>
      <c r="I495" s="87"/>
      <c r="J495" s="88"/>
      <c r="K495" s="88"/>
      <c r="L495" s="95">
        <f t="shared" si="14"/>
        <v>0</v>
      </c>
      <c r="M495" s="96" t="b">
        <f>IF((ISNUMBER(L495)),IF(AND(F495="Workdays",(SUMIFS(O:O,F:F,F495,I:I,I495,B:B,B495)&lt;=24)),IF(AND((L495*24)&gt;0,(L495*24)&lt;=8),(L495*24)*MD!$M$5,IF(AND((L495*24)&gt;8,(L495*24)&lt;=16),(MD!$N$5),IF((L495*24)&gt;16,MD!$N$5))),IF(AND(F495="Non_workdays",(SUMIFS(O:O,F:F,F495,I:I,I495,B:B,B495)&lt;=24)),IF(AND((L495*24)&gt;0,(L495*24)&lt;=8),(L495*24)*MD!$M$6,IF(AND((L495*24)&gt;8,(L495*24)&lt;=16),(MD!$N$6),IF((L495*24)&gt;16,MD!$N$6))),IF(AND(F495="Call_out",(SUMIFS(O:O,F:F,F495,I:I,I495,B:B,B495)&lt;=24)),IF(AND((L495*24)&gt;0,(L495*24)&lt;=8),(L495*24)*MD!$P$4,IF(AND((L495*24)&gt;8,(L495*24)&lt;=16),(MD!$Q$4),IF((L495*24)&gt;16,MD!$Q$4)))))))</f>
        <v>0</v>
      </c>
      <c r="N495" s="62"/>
      <c r="O495" s="72">
        <f t="shared" si="15"/>
        <v>0</v>
      </c>
    </row>
    <row r="496" spans="1:15" x14ac:dyDescent="0.25">
      <c r="A496" s="62">
        <v>495</v>
      </c>
      <c r="B496" s="62"/>
      <c r="C496" s="68" t="str">
        <f>IF(ISNA(VLOOKUP($B496,CPY!$B:$G,2,FALSE))=TRUE," ",VLOOKUP($B496,CPY!$B:$G,2,FALSE))</f>
        <v> </v>
      </c>
      <c r="D496" s="50" t="str">
        <f>IF(ISNA(VLOOKUP($B496,CPY!$B:$G,3,FALSE))=TRUE," ",VLOOKUP($B496,CPY!$B:$G,3,FALSE))</f>
        <v> </v>
      </c>
      <c r="E496" s="65" t="str">
        <f>IF(ISNA(VLOOKUP($B496,CPY!$B:$G,4,FALSE))=TRUE," ",VLOOKUP($B496,CPY!$B:$G,4,FALSE))</f>
        <v> </v>
      </c>
      <c r="F496" s="62"/>
      <c r="G496" s="86"/>
      <c r="H496" s="86"/>
      <c r="I496" s="87"/>
      <c r="J496" s="88"/>
      <c r="K496" s="88"/>
      <c r="L496" s="95">
        <f t="shared" si="14"/>
        <v>0</v>
      </c>
      <c r="M496" s="96" t="b">
        <f>IF((ISNUMBER(L496)),IF(AND(F496="Workdays",(SUMIFS(O:O,F:F,F496,I:I,I496,B:B,B496)&lt;=24)),IF(AND((L496*24)&gt;0,(L496*24)&lt;=8),(L496*24)*MD!$M$5,IF(AND((L496*24)&gt;8,(L496*24)&lt;=16),(MD!$N$5),IF((L496*24)&gt;16,MD!$N$5))),IF(AND(F496="Non_workdays",(SUMIFS(O:O,F:F,F496,I:I,I496,B:B,B496)&lt;=24)),IF(AND((L496*24)&gt;0,(L496*24)&lt;=8),(L496*24)*MD!$M$6,IF(AND((L496*24)&gt;8,(L496*24)&lt;=16),(MD!$N$6),IF((L496*24)&gt;16,MD!$N$6))),IF(AND(F496="Call_out",(SUMIFS(O:O,F:F,F496,I:I,I496,B:B,B496)&lt;=24)),IF(AND((L496*24)&gt;0,(L496*24)&lt;=8),(L496*24)*MD!$P$4,IF(AND((L496*24)&gt;8,(L496*24)&lt;=16),(MD!$Q$4),IF((L496*24)&gt;16,MD!$Q$4)))))))</f>
        <v>0</v>
      </c>
      <c r="N496" s="62"/>
      <c r="O496" s="72">
        <f t="shared" si="15"/>
        <v>0</v>
      </c>
    </row>
    <row r="497" spans="1:15" x14ac:dyDescent="0.25">
      <c r="A497" s="62">
        <v>496</v>
      </c>
      <c r="B497" s="62"/>
      <c r="C497" s="68" t="str">
        <f>IF(ISNA(VLOOKUP($B497,CPY!$B:$G,2,FALSE))=TRUE," ",VLOOKUP($B497,CPY!$B:$G,2,FALSE))</f>
        <v> </v>
      </c>
      <c r="D497" s="50" t="str">
        <f>IF(ISNA(VLOOKUP($B497,CPY!$B:$G,3,FALSE))=TRUE," ",VLOOKUP($B497,CPY!$B:$G,3,FALSE))</f>
        <v> </v>
      </c>
      <c r="E497" s="65" t="str">
        <f>IF(ISNA(VLOOKUP($B497,CPY!$B:$G,4,FALSE))=TRUE," ",VLOOKUP($B497,CPY!$B:$G,4,FALSE))</f>
        <v> </v>
      </c>
      <c r="F497" s="62"/>
      <c r="G497" s="86"/>
      <c r="H497" s="86"/>
      <c r="I497" s="87"/>
      <c r="J497" s="88"/>
      <c r="K497" s="88"/>
      <c r="L497" s="95">
        <f t="shared" si="14"/>
        <v>0</v>
      </c>
      <c r="M497" s="96" t="b">
        <f>IF((ISNUMBER(L497)),IF(AND(F497="Workdays",(SUMIFS(O:O,F:F,F497,I:I,I497,B:B,B497)&lt;=24)),IF(AND((L497*24)&gt;0,(L497*24)&lt;=8),(L497*24)*MD!$M$5,IF(AND((L497*24)&gt;8,(L497*24)&lt;=16),(MD!$N$5),IF((L497*24)&gt;16,MD!$N$5))),IF(AND(F497="Non_workdays",(SUMIFS(O:O,F:F,F497,I:I,I497,B:B,B497)&lt;=24)),IF(AND((L497*24)&gt;0,(L497*24)&lt;=8),(L497*24)*MD!$M$6,IF(AND((L497*24)&gt;8,(L497*24)&lt;=16),(MD!$N$6),IF((L497*24)&gt;16,MD!$N$6))),IF(AND(F497="Call_out",(SUMIFS(O:O,F:F,F497,I:I,I497,B:B,B497)&lt;=24)),IF(AND((L497*24)&gt;0,(L497*24)&lt;=8),(L497*24)*MD!$P$4,IF(AND((L497*24)&gt;8,(L497*24)&lt;=16),(MD!$Q$4),IF((L497*24)&gt;16,MD!$Q$4)))))))</f>
        <v>0</v>
      </c>
      <c r="N497" s="62"/>
      <c r="O497" s="72">
        <f t="shared" si="15"/>
        <v>0</v>
      </c>
    </row>
    <row r="498" spans="1:15" x14ac:dyDescent="0.25">
      <c r="A498" s="62">
        <v>497</v>
      </c>
      <c r="B498" s="62"/>
      <c r="C498" s="68" t="str">
        <f>IF(ISNA(VLOOKUP($B498,CPY!$B:$G,2,FALSE))=TRUE," ",VLOOKUP($B498,CPY!$B:$G,2,FALSE))</f>
        <v> </v>
      </c>
      <c r="D498" s="50" t="str">
        <f>IF(ISNA(VLOOKUP($B498,CPY!$B:$G,3,FALSE))=TRUE," ",VLOOKUP($B498,CPY!$B:$G,3,FALSE))</f>
        <v> </v>
      </c>
      <c r="E498" s="65" t="str">
        <f>IF(ISNA(VLOOKUP($B498,CPY!$B:$G,4,FALSE))=TRUE," ",VLOOKUP($B498,CPY!$B:$G,4,FALSE))</f>
        <v> </v>
      </c>
      <c r="F498" s="62"/>
      <c r="G498" s="86"/>
      <c r="H498" s="86"/>
      <c r="I498" s="87"/>
      <c r="J498" s="88"/>
      <c r="K498" s="88"/>
      <c r="L498" s="95">
        <f t="shared" si="14"/>
        <v>0</v>
      </c>
      <c r="M498" s="96" t="b">
        <f>IF((ISNUMBER(L498)),IF(AND(F498="Workdays",(SUMIFS(O:O,F:F,F498,I:I,I498,B:B,B498)&lt;=24)),IF(AND((L498*24)&gt;0,(L498*24)&lt;=8),(L498*24)*MD!$M$5,IF(AND((L498*24)&gt;8,(L498*24)&lt;=16),(MD!$N$5),IF((L498*24)&gt;16,MD!$N$5))),IF(AND(F498="Non_workdays",(SUMIFS(O:O,F:F,F498,I:I,I498,B:B,B498)&lt;=24)),IF(AND((L498*24)&gt;0,(L498*24)&lt;=8),(L498*24)*MD!$M$6,IF(AND((L498*24)&gt;8,(L498*24)&lt;=16),(MD!$N$6),IF((L498*24)&gt;16,MD!$N$6))),IF(AND(F498="Call_out",(SUMIFS(O:O,F:F,F498,I:I,I498,B:B,B498)&lt;=24)),IF(AND((L498*24)&gt;0,(L498*24)&lt;=8),(L498*24)*MD!$P$4,IF(AND((L498*24)&gt;8,(L498*24)&lt;=16),(MD!$Q$4),IF((L498*24)&gt;16,MD!$Q$4)))))))</f>
        <v>0</v>
      </c>
      <c r="N498" s="62"/>
      <c r="O498" s="72">
        <f t="shared" si="15"/>
        <v>0</v>
      </c>
    </row>
    <row r="499" spans="1:15" x14ac:dyDescent="0.25">
      <c r="A499" s="62">
        <v>498</v>
      </c>
      <c r="B499" s="62"/>
      <c r="C499" s="68" t="str">
        <f>IF(ISNA(VLOOKUP($B499,CPY!$B:$G,2,FALSE))=TRUE," ",VLOOKUP($B499,CPY!$B:$G,2,FALSE))</f>
        <v> </v>
      </c>
      <c r="D499" s="50" t="str">
        <f>IF(ISNA(VLOOKUP($B499,CPY!$B:$G,3,FALSE))=TRUE," ",VLOOKUP($B499,CPY!$B:$G,3,FALSE))</f>
        <v> </v>
      </c>
      <c r="E499" s="65" t="str">
        <f>IF(ISNA(VLOOKUP($B499,CPY!$B:$G,4,FALSE))=TRUE," ",VLOOKUP($B499,CPY!$B:$G,4,FALSE))</f>
        <v> </v>
      </c>
      <c r="F499" s="62"/>
      <c r="G499" s="86"/>
      <c r="H499" s="86"/>
      <c r="I499" s="87"/>
      <c r="J499" s="88"/>
      <c r="K499" s="88"/>
      <c r="L499" s="95">
        <f t="shared" si="14"/>
        <v>0</v>
      </c>
      <c r="M499" s="96" t="b">
        <f>IF((ISNUMBER(L499)),IF(AND(F499="Workdays",(SUMIFS(O:O,F:F,F499,I:I,I499,B:B,B499)&lt;=24)),IF(AND((L499*24)&gt;0,(L499*24)&lt;=8),(L499*24)*MD!$M$5,IF(AND((L499*24)&gt;8,(L499*24)&lt;=16),(MD!$N$5),IF((L499*24)&gt;16,MD!$N$5))),IF(AND(F499="Non_workdays",(SUMIFS(O:O,F:F,F499,I:I,I499,B:B,B499)&lt;=24)),IF(AND((L499*24)&gt;0,(L499*24)&lt;=8),(L499*24)*MD!$M$6,IF(AND((L499*24)&gt;8,(L499*24)&lt;=16),(MD!$N$6),IF((L499*24)&gt;16,MD!$N$6))),IF(AND(F499="Call_out",(SUMIFS(O:O,F:F,F499,I:I,I499,B:B,B499)&lt;=24)),IF(AND((L499*24)&gt;0,(L499*24)&lt;=8),(L499*24)*MD!$P$4,IF(AND((L499*24)&gt;8,(L499*24)&lt;=16),(MD!$Q$4),IF((L499*24)&gt;16,MD!$Q$4)))))))</f>
        <v>0</v>
      </c>
      <c r="N499" s="62"/>
      <c r="O499" s="72">
        <f t="shared" si="15"/>
        <v>0</v>
      </c>
    </row>
    <row r="500" spans="1:15" x14ac:dyDescent="0.25">
      <c r="A500" s="62">
        <v>499</v>
      </c>
      <c r="B500" s="62"/>
      <c r="C500" s="68" t="str">
        <f>IF(ISNA(VLOOKUP($B500,CPY!$B:$G,2,FALSE))=TRUE," ",VLOOKUP($B500,CPY!$B:$G,2,FALSE))</f>
        <v> </v>
      </c>
      <c r="D500" s="50" t="str">
        <f>IF(ISNA(VLOOKUP($B500,CPY!$B:$G,3,FALSE))=TRUE," ",VLOOKUP($B500,CPY!$B:$G,3,FALSE))</f>
        <v> </v>
      </c>
      <c r="E500" s="65" t="str">
        <f>IF(ISNA(VLOOKUP($B500,CPY!$B:$G,4,FALSE))=TRUE," ",VLOOKUP($B500,CPY!$B:$G,4,FALSE))</f>
        <v> </v>
      </c>
      <c r="F500" s="62"/>
      <c r="G500" s="86"/>
      <c r="H500" s="86"/>
      <c r="I500" s="87"/>
      <c r="J500" s="88"/>
      <c r="K500" s="88"/>
      <c r="L500" s="95">
        <f t="shared" si="14"/>
        <v>0</v>
      </c>
      <c r="M500" s="96" t="b">
        <f>IF((ISNUMBER(L500)),IF(AND(F500="Workdays",(SUMIFS(O:O,F:F,F500,I:I,I500,B:B,B500)&lt;=24)),IF(AND((L500*24)&gt;0,(L500*24)&lt;=8),(L500*24)*MD!$M$5,IF(AND((L500*24)&gt;8,(L500*24)&lt;=16),(MD!$N$5),IF((L500*24)&gt;16,MD!$N$5))),IF(AND(F500="Non_workdays",(SUMIFS(O:O,F:F,F500,I:I,I500,B:B,B500)&lt;=24)),IF(AND((L500*24)&gt;0,(L500*24)&lt;=8),(L500*24)*MD!$M$6,IF(AND((L500*24)&gt;8,(L500*24)&lt;=16),(MD!$N$6),IF((L500*24)&gt;16,MD!$N$6))),IF(AND(F500="Call_out",(SUMIFS(O:O,F:F,F500,I:I,I500,B:B,B500)&lt;=24)),IF(AND((L500*24)&gt;0,(L500*24)&lt;=8),(L500*24)*MD!$P$4,IF(AND((L500*24)&gt;8,(L500*24)&lt;=16),(MD!$Q$4),IF((L500*24)&gt;16,MD!$Q$4)))))))</f>
        <v>0</v>
      </c>
      <c r="N500" s="62"/>
      <c r="O500" s="72">
        <f t="shared" si="15"/>
        <v>0</v>
      </c>
    </row>
  </sheetData>
  <sheetProtection sheet="1" autoFilter="0" algorithmName="SHA-512" hashValue="EEsX1+WDmNIrLWDywxm4pbdKlFAswP1M//g33FMEQ5u/bqX66Suf0pIg968ZP+M6PIx/IbHb2zxiJdNiIlAvpQ==" saltValue="hrg9pDYS1RL141scEI5Tbw==" spinCount="100000" objects="1" scenarios="1"/>
  <autoFilter ref="A1:Q1"/>
  <dataValidations count="12">
    <dataValidation type="list" allowBlank="1" showInputMessage="1" showErrorMessage="1" sqref="F10:F500">
      <formula1>"Workdays,Non_workdays,Call_Out"</formula1>
    </dataValidation>
    <dataValidation type="list" allowBlank="1" showInputMessage="1" showErrorMessage="1" sqref="F2:F500">
      <formula1>"Workdays,Non_workdays,Call_Out"</formula1>
    </dataValidation>
    <dataValidation type="list" allowBlank="1" showInputMessage="1" showErrorMessage="1" sqref="H10:H500">
      <formula1>"9AM-6PM,6:30AM-03:30PM,1-9PM/2:30PM-11:30PM,11PM-7AM"</formula1>
    </dataValidation>
    <dataValidation type="list" allowBlank="1" showInputMessage="1" showErrorMessage="1" sqref="H2:H500">
      <formula1>"9AM-6PM,6:30AM-03:30PM,1-9PM/2:30PM-11:30PM,11PM-7AM"</formula1>
    </dataValidation>
    <dataValidation type="custom" showInputMessage="1" showErrorMessage="1" errorTitle="Date" error="Please fill the emp ID" sqref="I10:I500">
      <formula1>($B2&gt;0)</formula1>
    </dataValidation>
    <dataValidation type="custom" showInputMessage="1" showErrorMessage="1" errorTitle="Date" error="Please fill the emp ID" sqref="I2:I500">
      <formula1>($B2&gt;0)</formula1>
    </dataValidation>
    <dataValidation type="custom" showInputMessage="1" showErrorMessage="1" errorTitle="Start Time" error="Please fill the Date" sqref="J10:J500">
      <formula1>NOT(ISBLANK(I2))</formula1>
    </dataValidation>
    <dataValidation type="custom" showInputMessage="1" showErrorMessage="1" errorTitle="Start Time" error="Please fill the Date" sqref="J2:J500">
      <formula1>NOT(ISBLANK(I2))</formula1>
    </dataValidation>
    <dataValidation type="custom" showInputMessage="1" showErrorMessage="1" errorTitle="End Time" error="Please fill Start Time " sqref="K10:K500">
      <formula1>NOT(ISBLANK(J2))</formula1>
    </dataValidation>
    <dataValidation type="custom" showInputMessage="1" showErrorMessage="1" errorTitle="End Time" error="Please fill Start Time " sqref="K2:K4">
      <formula1>NOT(ISBLANK(J2))</formula1>
    </dataValidation>
    <dataValidation type="custom" showInputMessage="1" showErrorMessage="1" errorTitle="Start Time" error="Please fill the Date" sqref="K5">
      <formula1>NOT(ISBLANK(I2))</formula1>
    </dataValidation>
    <dataValidation type="custom" showInputMessage="1" showErrorMessage="1" errorTitle="End Time" error="Please fill Start Time " sqref="K6:K500">
      <formula1>NOT(ISBLANK(J2))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89"/>
  <sheetViews>
    <sheetView workbookViewId="0" showGridLines="0" zoomScale="100" zoomScaleNormal="100">
      <selection activeCell="D3" sqref="D3"/>
    </sheetView>
  </sheetViews>
  <sheetFormatPr defaultRowHeight="14.5" outlineLevelRow="0" outlineLevelCol="0" x14ac:dyDescent="0.35" customHeight="1"/>
  <cols>
    <col min="1" max="1" width="5.54296875" style="43" customWidth="1"/>
    <col min="2" max="2" width="8" style="43" customWidth="1"/>
    <col min="3" max="3" width="31.7265625" style="43" customWidth="1"/>
    <col min="4" max="4" width="11.7265625" style="43" customWidth="1"/>
    <col min="5" max="5" width="2" style="46" customWidth="1"/>
    <col min="6" max="6" width="16.1796875" style="43" customWidth="1"/>
  </cols>
  <sheetData>
    <row r="1" spans="1:6" x14ac:dyDescent="0.25">
      <c r="A1" s="47" t="s">
        <v>28</v>
      </c>
      <c r="B1" s="47" t="s">
        <v>29</v>
      </c>
      <c r="C1" s="47" t="s">
        <v>30</v>
      </c>
      <c r="D1" s="47" t="s">
        <v>31</v>
      </c>
      <c r="E1" s="48"/>
      <c r="F1" s="47" t="s">
        <v>27</v>
      </c>
    </row>
    <row r="2" spans="1:6" x14ac:dyDescent="0.25">
      <c r="A2" s="49"/>
      <c r="B2" s="49"/>
      <c r="C2" s="49"/>
      <c r="D2" s="49"/>
      <c r="F2" s="49"/>
    </row>
    <row r="3" spans="1:6" x14ac:dyDescent="0.25">
      <c r="A3" s="50">
        <v>1</v>
      </c>
      <c r="B3" s="50">
        <v>67</v>
      </c>
      <c r="C3" s="50" t="s">
        <v>32</v>
      </c>
      <c r="D3" s="51" t="s">
        <v>33</v>
      </c>
      <c r="F3" s="52">
        <f>SUMIF(CPY!$B:$B,Summary!$B3,CPY!$I:$I)</f>
        <v>0</v>
      </c>
    </row>
    <row r="4" spans="1:6" x14ac:dyDescent="0.25">
      <c r="A4" s="50">
        <f>+A3+1</f>
        <v>2</v>
      </c>
      <c r="B4" s="50">
        <v>91</v>
      </c>
      <c r="C4" s="50" t="s">
        <v>34</v>
      </c>
      <c r="D4" s="51" t="s">
        <v>35</v>
      </c>
      <c r="F4" s="52">
        <f>SUMIF(CPY!$B:$B,Summary!$B4,CPY!$I:$I)</f>
        <v>0</v>
      </c>
    </row>
    <row r="5" spans="1:6" x14ac:dyDescent="0.25">
      <c r="A5" s="50">
        <f t="shared" ref="A5:A68" si="0">+A4+1</f>
        <v>3</v>
      </c>
      <c r="B5" s="50">
        <v>101</v>
      </c>
      <c r="C5" s="50" t="s">
        <v>36</v>
      </c>
      <c r="D5" s="51" t="s">
        <v>35</v>
      </c>
      <c r="F5" s="52">
        <f>SUMIF(CPY!$B:$B,Summary!$B5,CPY!$I:$I)</f>
        <v>0</v>
      </c>
    </row>
    <row r="6" spans="1:6" x14ac:dyDescent="0.25">
      <c r="A6" s="50">
        <f t="shared" si="0"/>
        <v>4</v>
      </c>
      <c r="B6" s="50">
        <v>115</v>
      </c>
      <c r="C6" s="50" t="s">
        <v>37</v>
      </c>
      <c r="D6" s="51" t="s">
        <v>38</v>
      </c>
      <c r="F6" s="52">
        <f>SUMIF(CPY!$B:$B,Summary!$B6,CPY!$I:$I)</f>
        <v>0</v>
      </c>
    </row>
    <row r="7" spans="1:6" x14ac:dyDescent="0.25">
      <c r="A7" s="50">
        <f t="shared" si="0"/>
        <v>5</v>
      </c>
      <c r="B7" s="50">
        <v>120</v>
      </c>
      <c r="C7" s="50" t="s">
        <v>39</v>
      </c>
      <c r="D7" s="51" t="s">
        <v>40</v>
      </c>
      <c r="F7" s="52">
        <f>SUMIF(CPY!$B:$B,Summary!$B7,CPY!$I:$I)</f>
        <v>0</v>
      </c>
    </row>
    <row r="8" spans="1:6" x14ac:dyDescent="0.25">
      <c r="A8" s="50">
        <f t="shared" si="0"/>
        <v>6</v>
      </c>
      <c r="B8" s="50">
        <v>130</v>
      </c>
      <c r="C8" s="50" t="s">
        <v>41</v>
      </c>
      <c r="D8" s="51" t="s">
        <v>38</v>
      </c>
      <c r="F8" s="52">
        <f>SUMIF(CPY!$B:$B,Summary!$B8,CPY!$I:$I)</f>
        <v>0</v>
      </c>
    </row>
    <row r="9" spans="1:6" x14ac:dyDescent="0.25">
      <c r="A9" s="50">
        <f t="shared" si="0"/>
        <v>7</v>
      </c>
      <c r="B9" s="50">
        <v>213</v>
      </c>
      <c r="C9" s="50" t="s">
        <v>42</v>
      </c>
      <c r="D9" s="51" t="s">
        <v>40</v>
      </c>
      <c r="F9" s="52">
        <f>SUMIF(CPY!$B:$B,Summary!$B9,CPY!$I:$I)</f>
        <v>0</v>
      </c>
    </row>
    <row r="10" spans="1:6" x14ac:dyDescent="0.25">
      <c r="A10" s="50">
        <f t="shared" si="0"/>
        <v>8</v>
      </c>
      <c r="B10" s="50">
        <v>243</v>
      </c>
      <c r="C10" s="50" t="s">
        <v>43</v>
      </c>
      <c r="D10" s="51" t="s">
        <v>33</v>
      </c>
      <c r="F10" s="52">
        <f>SUMIF(CPY!$B:$B,Summary!$B10,CPY!$I:$I)</f>
        <v>0</v>
      </c>
    </row>
    <row r="11" spans="1:6" x14ac:dyDescent="0.25">
      <c r="A11" s="50">
        <f t="shared" si="0"/>
        <v>9</v>
      </c>
      <c r="B11" s="50">
        <v>249</v>
      </c>
      <c r="C11" s="50" t="s">
        <v>44</v>
      </c>
      <c r="D11" s="51" t="s">
        <v>40</v>
      </c>
      <c r="F11" s="52">
        <f>SUMIF(CPY!$B:$B,Summary!$B11,CPY!$I:$I)</f>
        <v>0</v>
      </c>
    </row>
    <row r="12" spans="1:6" x14ac:dyDescent="0.25">
      <c r="A12" s="50">
        <f t="shared" si="0"/>
        <v>10</v>
      </c>
      <c r="B12" s="50">
        <v>260</v>
      </c>
      <c r="C12" s="50" t="s">
        <v>45</v>
      </c>
      <c r="D12" s="51" t="s">
        <v>46</v>
      </c>
      <c r="F12" s="52">
        <f>SUMIF(CPY!$B:$B,Summary!$B12,CPY!$I:$I)</f>
        <v>0</v>
      </c>
    </row>
    <row r="13" spans="1:6" x14ac:dyDescent="0.25">
      <c r="A13" s="50">
        <f t="shared" si="0"/>
        <v>11</v>
      </c>
      <c r="B13" s="50">
        <v>324</v>
      </c>
      <c r="C13" s="50" t="s">
        <v>47</v>
      </c>
      <c r="D13" s="51" t="s">
        <v>46</v>
      </c>
      <c r="F13" s="52">
        <f>SUMIF(CPY!$B:$B,Summary!$B13,CPY!$I:$I)</f>
        <v>0</v>
      </c>
    </row>
    <row r="14" spans="1:6" x14ac:dyDescent="0.25">
      <c r="A14" s="50">
        <f t="shared" si="0"/>
        <v>12</v>
      </c>
      <c r="B14" s="50">
        <v>335</v>
      </c>
      <c r="C14" s="50" t="s">
        <v>48</v>
      </c>
      <c r="D14" s="51" t="s">
        <v>33</v>
      </c>
      <c r="F14" s="52">
        <f>SUMIF(CPY!$B:$B,Summary!$B14,CPY!$I:$I)</f>
        <v>0</v>
      </c>
    </row>
    <row r="15" spans="1:6" x14ac:dyDescent="0.25">
      <c r="A15" s="50">
        <f t="shared" si="0"/>
        <v>13</v>
      </c>
      <c r="B15" s="50">
        <v>374</v>
      </c>
      <c r="C15" s="50" t="s">
        <v>49</v>
      </c>
      <c r="D15" s="51" t="s">
        <v>33</v>
      </c>
      <c r="F15" s="52">
        <f>SUMIF(CPY!$B:$B,Summary!$B15,CPY!$I:$I)</f>
        <v>0</v>
      </c>
    </row>
    <row r="16" spans="1:6" x14ac:dyDescent="0.25">
      <c r="A16" s="50">
        <f t="shared" si="0"/>
        <v>14</v>
      </c>
      <c r="B16" s="50">
        <v>386</v>
      </c>
      <c r="C16" s="50" t="s">
        <v>50</v>
      </c>
      <c r="D16" s="51" t="s">
        <v>51</v>
      </c>
      <c r="F16" s="52">
        <f>SUMIF(CPY!$B:$B,Summary!$B16,CPY!$I:$I)</f>
        <v>0</v>
      </c>
    </row>
    <row r="17" spans="1:6" x14ac:dyDescent="0.25">
      <c r="A17" s="50">
        <f t="shared" si="0"/>
        <v>15</v>
      </c>
      <c r="B17" s="50">
        <v>390</v>
      </c>
      <c r="C17" s="50" t="s">
        <v>52</v>
      </c>
      <c r="D17" s="51" t="s">
        <v>40</v>
      </c>
      <c r="F17" s="52">
        <f>SUMIF(CPY!$B:$B,Summary!$B17,CPY!$I:$I)</f>
        <v>0</v>
      </c>
    </row>
    <row r="18" spans="1:6" x14ac:dyDescent="0.25">
      <c r="A18" s="50">
        <f t="shared" si="0"/>
        <v>16</v>
      </c>
      <c r="B18" s="50">
        <v>477</v>
      </c>
      <c r="C18" s="50" t="s">
        <v>53</v>
      </c>
      <c r="D18" s="51" t="s">
        <v>51</v>
      </c>
      <c r="F18" s="52">
        <f>SUMIF(CPY!$B:$B,Summary!$B18,CPY!$I:$I)</f>
        <v>0</v>
      </c>
    </row>
    <row r="19" spans="1:6" x14ac:dyDescent="0.25">
      <c r="A19" s="50">
        <f t="shared" si="0"/>
        <v>17</v>
      </c>
      <c r="B19" s="50">
        <v>552</v>
      </c>
      <c r="C19" s="50" t="s">
        <v>54</v>
      </c>
      <c r="D19" s="51" t="s">
        <v>33</v>
      </c>
      <c r="F19" s="52">
        <f>SUMIF(CPY!$B:$B,Summary!$B19,CPY!$I:$I)</f>
        <v>0</v>
      </c>
    </row>
    <row r="20" spans="1:6" x14ac:dyDescent="0.25">
      <c r="A20" s="50">
        <f t="shared" si="0"/>
        <v>18</v>
      </c>
      <c r="B20" s="50">
        <v>667</v>
      </c>
      <c r="C20" s="50" t="s">
        <v>55</v>
      </c>
      <c r="D20" s="51" t="s">
        <v>51</v>
      </c>
      <c r="F20" s="52">
        <f>SUMIF(CPY!$B:$B,Summary!$B20,CPY!$I:$I)</f>
        <v>0</v>
      </c>
    </row>
    <row r="21" spans="1:6" x14ac:dyDescent="0.25">
      <c r="A21" s="50">
        <f t="shared" si="0"/>
        <v>19</v>
      </c>
      <c r="B21" s="50">
        <v>677</v>
      </c>
      <c r="C21" s="50" t="s">
        <v>56</v>
      </c>
      <c r="D21" s="51" t="s">
        <v>46</v>
      </c>
      <c r="F21" s="52">
        <f>SUMIF(CPY!$B:$B,Summary!$B21,CPY!$I:$I)</f>
        <v>0</v>
      </c>
    </row>
    <row r="22" spans="1:6" x14ac:dyDescent="0.25">
      <c r="A22" s="50">
        <f t="shared" si="0"/>
        <v>20</v>
      </c>
      <c r="B22" s="50">
        <v>756</v>
      </c>
      <c r="C22" s="50" t="s">
        <v>57</v>
      </c>
      <c r="D22" s="51" t="s">
        <v>40</v>
      </c>
      <c r="F22" s="52">
        <f>SUMIF(CPY!$B:$B,Summary!$B22,CPY!$I:$I)</f>
        <v>0</v>
      </c>
    </row>
    <row r="23" spans="1:6" x14ac:dyDescent="0.25">
      <c r="A23" s="50">
        <f t="shared" si="0"/>
        <v>21</v>
      </c>
      <c r="B23" s="50">
        <v>858</v>
      </c>
      <c r="C23" s="50" t="s">
        <v>58</v>
      </c>
      <c r="D23" s="51" t="s">
        <v>51</v>
      </c>
      <c r="F23" s="52">
        <f>SUMIF(CPY!$B:$B,Summary!$B23,CPY!$I:$I)</f>
        <v>0</v>
      </c>
    </row>
    <row r="24" spans="1:6" x14ac:dyDescent="0.25">
      <c r="A24" s="50">
        <f t="shared" si="0"/>
        <v>22</v>
      </c>
      <c r="B24" s="50">
        <v>879</v>
      </c>
      <c r="C24" s="50" t="s">
        <v>59</v>
      </c>
      <c r="D24" s="51" t="s">
        <v>33</v>
      </c>
      <c r="F24" s="52">
        <f>SUMIF(CPY!$B:$B,Summary!$B24,CPY!$I:$I)</f>
        <v>0</v>
      </c>
    </row>
    <row r="25" spans="1:6" x14ac:dyDescent="0.25">
      <c r="A25" s="50">
        <f t="shared" si="0"/>
        <v>23</v>
      </c>
      <c r="B25" s="50">
        <v>953</v>
      </c>
      <c r="C25" s="50" t="s">
        <v>60</v>
      </c>
      <c r="D25" s="51" t="s">
        <v>51</v>
      </c>
      <c r="F25" s="52">
        <f>SUMIF(CPY!$B:$B,Summary!$B25,CPY!$I:$I)</f>
        <v>0</v>
      </c>
    </row>
    <row r="26" spans="1:6" x14ac:dyDescent="0.25">
      <c r="A26" s="50">
        <f t="shared" si="0"/>
        <v>24</v>
      </c>
      <c r="B26" s="50">
        <v>971</v>
      </c>
      <c r="C26" s="50" t="s">
        <v>61</v>
      </c>
      <c r="D26" s="51" t="s">
        <v>33</v>
      </c>
      <c r="F26" s="52">
        <f>SUMIF(CPY!$B:$B,Summary!$B26,CPY!$I:$I)</f>
        <v>0</v>
      </c>
    </row>
    <row r="27" spans="1:6" x14ac:dyDescent="0.25">
      <c r="A27" s="50">
        <f t="shared" si="0"/>
        <v>25</v>
      </c>
      <c r="B27" s="50">
        <v>973</v>
      </c>
      <c r="C27" s="50" t="s">
        <v>62</v>
      </c>
      <c r="D27" s="51" t="s">
        <v>33</v>
      </c>
      <c r="F27" s="52">
        <f>SUMIF(CPY!$B:$B,Summary!$B27,CPY!$I:$I)</f>
        <v>0</v>
      </c>
    </row>
    <row r="28" spans="1:6" x14ac:dyDescent="0.25">
      <c r="A28" s="50">
        <f t="shared" si="0"/>
        <v>26</v>
      </c>
      <c r="B28" s="50">
        <v>976</v>
      </c>
      <c r="C28" s="50" t="s">
        <v>63</v>
      </c>
      <c r="D28" s="51" t="s">
        <v>51</v>
      </c>
      <c r="F28" s="52">
        <f>SUMIF(CPY!$B:$B,Summary!$B28,CPY!$I:$I)</f>
        <v>0</v>
      </c>
    </row>
    <row r="29" spans="1:6" x14ac:dyDescent="0.25">
      <c r="A29" s="50">
        <f t="shared" si="0"/>
        <v>27</v>
      </c>
      <c r="B29" s="50">
        <v>1039</v>
      </c>
      <c r="C29" s="50" t="s">
        <v>64</v>
      </c>
      <c r="D29" s="51" t="s">
        <v>33</v>
      </c>
      <c r="F29" s="52">
        <f>SUMIF(CPY!$B:$B,Summary!$B29,CPY!$I:$I)</f>
        <v>0</v>
      </c>
    </row>
    <row r="30" spans="1:6" x14ac:dyDescent="0.25">
      <c r="A30" s="50">
        <f t="shared" si="0"/>
        <v>28</v>
      </c>
      <c r="B30" s="50">
        <v>1047</v>
      </c>
      <c r="C30" s="50" t="s">
        <v>65</v>
      </c>
      <c r="D30" s="51" t="s">
        <v>51</v>
      </c>
      <c r="F30" s="52">
        <f>SUMIF(CPY!$B:$B,Summary!$B30,CPY!$I:$I)</f>
        <v>0</v>
      </c>
    </row>
    <row r="31" spans="1:6" x14ac:dyDescent="0.25">
      <c r="A31" s="50">
        <f t="shared" si="0"/>
        <v>29</v>
      </c>
      <c r="B31" s="50">
        <v>1052</v>
      </c>
      <c r="C31" s="50" t="s">
        <v>66</v>
      </c>
      <c r="D31" s="51" t="s">
        <v>51</v>
      </c>
      <c r="F31" s="52">
        <f>SUMIF(CPY!$B:$B,Summary!$B31,CPY!$I:$I)</f>
        <v>0</v>
      </c>
    </row>
    <row r="32" spans="1:6" x14ac:dyDescent="0.25">
      <c r="A32" s="50">
        <f t="shared" si="0"/>
        <v>30</v>
      </c>
      <c r="B32" s="50">
        <v>1079</v>
      </c>
      <c r="C32" s="50" t="s">
        <v>67</v>
      </c>
      <c r="D32" s="51" t="s">
        <v>51</v>
      </c>
      <c r="F32" s="52">
        <f>SUMIF(CPY!$B:$B,Summary!$B32,CPY!$I:$I)</f>
        <v>0</v>
      </c>
    </row>
    <row r="33" spans="1:6" x14ac:dyDescent="0.25">
      <c r="A33" s="50">
        <f t="shared" si="0"/>
        <v>31</v>
      </c>
      <c r="B33" s="50">
        <v>1146</v>
      </c>
      <c r="C33" s="50" t="s">
        <v>68</v>
      </c>
      <c r="D33" s="51" t="s">
        <v>69</v>
      </c>
      <c r="F33" s="52">
        <f>SUMIF(CPY!$B:$B,Summary!$B33,CPY!$I:$I)</f>
        <v>0</v>
      </c>
    </row>
    <row r="34" spans="1:6" x14ac:dyDescent="0.25">
      <c r="A34" s="50">
        <f t="shared" si="0"/>
        <v>32</v>
      </c>
      <c r="B34" s="50">
        <v>1193</v>
      </c>
      <c r="C34" s="50" t="s">
        <v>70</v>
      </c>
      <c r="D34" s="51" t="s">
        <v>40</v>
      </c>
      <c r="F34" s="52">
        <f>SUMIF(CPY!$B:$B,Summary!$B34,CPY!$I:$I)</f>
        <v>0</v>
      </c>
    </row>
    <row r="35" spans="1:6" x14ac:dyDescent="0.25">
      <c r="A35" s="50">
        <f t="shared" si="0"/>
        <v>33</v>
      </c>
      <c r="B35" s="50">
        <v>1290</v>
      </c>
      <c r="C35" s="50" t="s">
        <v>71</v>
      </c>
      <c r="D35" s="51" t="s">
        <v>51</v>
      </c>
      <c r="F35" s="52">
        <f>SUMIF(CPY!$B:$B,Summary!$B35,CPY!$I:$I)</f>
        <v>0</v>
      </c>
    </row>
    <row r="36" spans="1:6" x14ac:dyDescent="0.25">
      <c r="A36" s="50">
        <f t="shared" si="0"/>
        <v>34</v>
      </c>
      <c r="B36" s="50">
        <v>1292</v>
      </c>
      <c r="C36" s="50" t="s">
        <v>72</v>
      </c>
      <c r="D36" s="51" t="s">
        <v>33</v>
      </c>
      <c r="F36" s="52">
        <f>SUMIF(CPY!$B:$B,Summary!$B36,CPY!$I:$I)</f>
        <v>0</v>
      </c>
    </row>
    <row r="37" spans="1:6" x14ac:dyDescent="0.25">
      <c r="A37" s="50">
        <f t="shared" si="0"/>
        <v>35</v>
      </c>
      <c r="B37" s="50">
        <v>1331</v>
      </c>
      <c r="C37" s="50" t="s">
        <v>73</v>
      </c>
      <c r="D37" s="51" t="s">
        <v>51</v>
      </c>
      <c r="F37" s="52">
        <f>SUMIF(CPY!$B:$B,Summary!$B37,CPY!$I:$I)</f>
        <v>0</v>
      </c>
    </row>
    <row r="38" spans="1:6" x14ac:dyDescent="0.25">
      <c r="A38" s="50">
        <f t="shared" si="0"/>
        <v>36</v>
      </c>
      <c r="B38" s="50">
        <v>1348</v>
      </c>
      <c r="C38" s="50" t="s">
        <v>74</v>
      </c>
      <c r="D38" s="51" t="s">
        <v>51</v>
      </c>
      <c r="F38" s="52">
        <f>SUMIF(CPY!$B:$B,Summary!$B38,CPY!$I:$I)</f>
        <v>0</v>
      </c>
    </row>
    <row r="39" spans="1:6" x14ac:dyDescent="0.25">
      <c r="A39" s="50">
        <f t="shared" si="0"/>
        <v>37</v>
      </c>
      <c r="B39" s="50">
        <v>1363</v>
      </c>
      <c r="C39" s="50" t="s">
        <v>75</v>
      </c>
      <c r="D39" s="51" t="s">
        <v>51</v>
      </c>
      <c r="F39" s="52">
        <f>SUMIF(CPY!$B:$B,Summary!$B39,CPY!$I:$I)</f>
        <v>0</v>
      </c>
    </row>
    <row r="40" spans="1:6" x14ac:dyDescent="0.25">
      <c r="A40" s="50">
        <f t="shared" si="0"/>
        <v>38</v>
      </c>
      <c r="B40" s="50">
        <v>1457</v>
      </c>
      <c r="C40" s="50" t="s">
        <v>76</v>
      </c>
      <c r="D40" s="51" t="s">
        <v>51</v>
      </c>
      <c r="F40" s="52">
        <f>SUMIF(CPY!$B:$B,Summary!$B40,CPY!$I:$I)</f>
        <v>0</v>
      </c>
    </row>
    <row r="41" spans="1:6" x14ac:dyDescent="0.25">
      <c r="A41" s="50">
        <f t="shared" si="0"/>
        <v>39</v>
      </c>
      <c r="B41" s="50">
        <v>1506</v>
      </c>
      <c r="C41" s="50" t="s">
        <v>77</v>
      </c>
      <c r="D41" s="51" t="s">
        <v>78</v>
      </c>
      <c r="F41" s="52">
        <f>SUMIF(CPY!$B:$B,Summary!$B41,CPY!$I:$I)</f>
        <v>0</v>
      </c>
    </row>
    <row r="42" spans="1:6" x14ac:dyDescent="0.25">
      <c r="A42" s="50">
        <f t="shared" si="0"/>
        <v>40</v>
      </c>
      <c r="B42" s="50">
        <v>1521</v>
      </c>
      <c r="C42" s="50" t="s">
        <v>79</v>
      </c>
      <c r="D42" s="51" t="s">
        <v>51</v>
      </c>
      <c r="F42" s="52">
        <f>SUMIF(CPY!$B:$B,Summary!$B42,CPY!$I:$I)</f>
        <v>0</v>
      </c>
    </row>
    <row r="43" spans="1:6" x14ac:dyDescent="0.25">
      <c r="A43" s="50">
        <f t="shared" si="0"/>
        <v>41</v>
      </c>
      <c r="B43" s="50">
        <v>1567</v>
      </c>
      <c r="C43" s="50" t="s">
        <v>80</v>
      </c>
      <c r="D43" s="51" t="s">
        <v>51</v>
      </c>
      <c r="F43" s="52">
        <f>SUMIF(CPY!$B:$B,Summary!$B43,CPY!$I:$I)</f>
        <v>0</v>
      </c>
    </row>
    <row r="44" spans="1:6" x14ac:dyDescent="0.25">
      <c r="A44" s="50">
        <f t="shared" si="0"/>
        <v>42</v>
      </c>
      <c r="B44" s="50">
        <v>1603</v>
      </c>
      <c r="C44" s="50" t="s">
        <v>81</v>
      </c>
      <c r="D44" s="51" t="s">
        <v>33</v>
      </c>
      <c r="F44" s="52">
        <f>SUMIF(CPY!$B:$B,Summary!$B44,CPY!$I:$I)</f>
        <v>0</v>
      </c>
    </row>
    <row r="45" spans="1:6" x14ac:dyDescent="0.25">
      <c r="A45" s="50">
        <f t="shared" si="0"/>
        <v>43</v>
      </c>
      <c r="B45" s="50">
        <v>1632</v>
      </c>
      <c r="C45" s="50" t="s">
        <v>82</v>
      </c>
      <c r="D45" s="51" t="s">
        <v>51</v>
      </c>
      <c r="F45" s="52">
        <f>SUMIF(CPY!$B:$B,Summary!$B45,CPY!$I:$I)</f>
        <v>0</v>
      </c>
    </row>
    <row r="46" spans="1:6" x14ac:dyDescent="0.25">
      <c r="A46" s="50">
        <f t="shared" si="0"/>
        <v>44</v>
      </c>
      <c r="B46" s="50">
        <v>1651</v>
      </c>
      <c r="C46" s="50" t="s">
        <v>83</v>
      </c>
      <c r="D46" s="51" t="s">
        <v>51</v>
      </c>
      <c r="F46" s="52">
        <f>SUMIF(CPY!$B:$B,Summary!$B46,CPY!$I:$I)</f>
        <v>0</v>
      </c>
    </row>
    <row r="47" spans="1:6" x14ac:dyDescent="0.25">
      <c r="A47" s="50">
        <f t="shared" si="0"/>
        <v>45</v>
      </c>
      <c r="B47" s="50">
        <v>1726</v>
      </c>
      <c r="C47" s="50" t="s">
        <v>84</v>
      </c>
      <c r="D47" s="51" t="s">
        <v>85</v>
      </c>
      <c r="F47" s="52">
        <f>SUMIF(CPY!$B:$B,Summary!$B47,CPY!$I:$I)</f>
        <v>0</v>
      </c>
    </row>
    <row r="48" spans="1:6" x14ac:dyDescent="0.25">
      <c r="A48" s="50">
        <f t="shared" si="0"/>
        <v>46</v>
      </c>
      <c r="B48" s="50">
        <v>1760</v>
      </c>
      <c r="C48" s="50" t="s">
        <v>86</v>
      </c>
      <c r="D48" s="51" t="s">
        <v>51</v>
      </c>
      <c r="F48" s="52">
        <f>SUMIF(CPY!$B:$B,Summary!$B48,CPY!$I:$I)</f>
        <v>0</v>
      </c>
    </row>
    <row r="49" spans="1:6" x14ac:dyDescent="0.25">
      <c r="A49" s="50">
        <f t="shared" si="0"/>
        <v>47</v>
      </c>
      <c r="B49" s="50">
        <v>1785</v>
      </c>
      <c r="C49" s="50" t="s">
        <v>87</v>
      </c>
      <c r="D49" s="51" t="s">
        <v>78</v>
      </c>
      <c r="F49" s="52">
        <f>SUMIF(CPY!$B:$B,Summary!$B49,CPY!$I:$I)</f>
        <v>0</v>
      </c>
    </row>
    <row r="50" spans="1:6" x14ac:dyDescent="0.25">
      <c r="A50" s="50">
        <f t="shared" si="0"/>
        <v>48</v>
      </c>
      <c r="B50" s="50">
        <v>1806</v>
      </c>
      <c r="C50" s="50" t="s">
        <v>88</v>
      </c>
      <c r="D50" s="51" t="s">
        <v>51</v>
      </c>
      <c r="F50" s="52">
        <f>SUMIF(CPY!$B:$B,Summary!$B50,CPY!$I:$I)</f>
        <v>0</v>
      </c>
    </row>
    <row r="51" spans="1:6" x14ac:dyDescent="0.25">
      <c r="A51" s="50">
        <f t="shared" si="0"/>
        <v>49</v>
      </c>
      <c r="B51" s="50">
        <v>1905</v>
      </c>
      <c r="C51" s="50" t="s">
        <v>89</v>
      </c>
      <c r="D51" s="51" t="s">
        <v>46</v>
      </c>
      <c r="F51" s="52">
        <f>SUMIF(CPY!$B:$B,Summary!$B51,CPY!$I:$I)</f>
        <v>0</v>
      </c>
    </row>
    <row r="52" spans="1:6" x14ac:dyDescent="0.25">
      <c r="A52" s="50">
        <f t="shared" si="0"/>
        <v>50</v>
      </c>
      <c r="B52" s="50">
        <v>1915</v>
      </c>
      <c r="C52" s="50" t="s">
        <v>90</v>
      </c>
      <c r="D52" s="51" t="s">
        <v>46</v>
      </c>
      <c r="F52" s="52">
        <f>SUMIF(CPY!$B:$B,Summary!$B52,CPY!$I:$I)</f>
        <v>0</v>
      </c>
    </row>
    <row r="53" spans="1:6" x14ac:dyDescent="0.25">
      <c r="A53" s="50">
        <f t="shared" si="0"/>
        <v>51</v>
      </c>
      <c r="B53" s="50">
        <v>1923</v>
      </c>
      <c r="C53" s="50" t="s">
        <v>91</v>
      </c>
      <c r="D53" s="51" t="s">
        <v>51</v>
      </c>
      <c r="F53" s="52">
        <f>SUMIF(CPY!$B:$B,Summary!$B53,CPY!$I:$I)</f>
        <v>0</v>
      </c>
    </row>
    <row r="54" spans="1:6" x14ac:dyDescent="0.25">
      <c r="A54" s="50">
        <f t="shared" si="0"/>
        <v>52</v>
      </c>
      <c r="B54" s="50">
        <v>1930</v>
      </c>
      <c r="C54" s="50" t="s">
        <v>92</v>
      </c>
      <c r="D54" s="51" t="s">
        <v>46</v>
      </c>
      <c r="F54" s="52">
        <f>SUMIF(CPY!$B:$B,Summary!$B54,CPY!$I:$I)</f>
        <v>0</v>
      </c>
    </row>
    <row r="55" spans="1:6" x14ac:dyDescent="0.25">
      <c r="A55" s="50">
        <f t="shared" si="0"/>
        <v>53</v>
      </c>
      <c r="B55" s="50">
        <v>1939</v>
      </c>
      <c r="C55" s="50" t="s">
        <v>93</v>
      </c>
      <c r="D55" s="51" t="s">
        <v>46</v>
      </c>
      <c r="F55" s="52">
        <f>SUMIF(CPY!$B:$B,Summary!$B55,CPY!$I:$I)</f>
        <v>0</v>
      </c>
    </row>
    <row r="56" spans="1:6" x14ac:dyDescent="0.25">
      <c r="A56" s="50">
        <f t="shared" si="0"/>
        <v>54</v>
      </c>
      <c r="B56" s="50">
        <v>1963</v>
      </c>
      <c r="C56" s="50" t="s">
        <v>94</v>
      </c>
      <c r="D56" s="51" t="s">
        <v>46</v>
      </c>
      <c r="F56" s="52">
        <f>SUMIF(CPY!$B:$B,Summary!$B56,CPY!$I:$I)</f>
        <v>0</v>
      </c>
    </row>
    <row r="57" spans="1:6" x14ac:dyDescent="0.25">
      <c r="A57" s="50">
        <f t="shared" si="0"/>
        <v>55</v>
      </c>
      <c r="B57" s="50">
        <v>1976</v>
      </c>
      <c r="C57" s="50" t="s">
        <v>95</v>
      </c>
      <c r="D57" s="51" t="s">
        <v>46</v>
      </c>
      <c r="F57" s="52">
        <f>SUMIF(CPY!$B:$B,Summary!$B57,CPY!$I:$I)</f>
        <v>0</v>
      </c>
    </row>
    <row r="58" spans="1:6" x14ac:dyDescent="0.25">
      <c r="A58" s="50">
        <f t="shared" si="0"/>
        <v>56</v>
      </c>
      <c r="B58" s="50">
        <v>2013</v>
      </c>
      <c r="C58" s="50" t="s">
        <v>96</v>
      </c>
      <c r="D58" s="51" t="s">
        <v>51</v>
      </c>
      <c r="F58" s="52">
        <f>SUMIF(CPY!$B:$B,Summary!$B58,CPY!$I:$I)</f>
        <v>0</v>
      </c>
    </row>
    <row r="59" spans="1:6" x14ac:dyDescent="0.25">
      <c r="A59" s="50">
        <f t="shared" si="0"/>
        <v>57</v>
      </c>
      <c r="B59" s="50">
        <v>2027</v>
      </c>
      <c r="C59" s="50" t="s">
        <v>97</v>
      </c>
      <c r="D59" s="51" t="s">
        <v>51</v>
      </c>
      <c r="F59" s="52">
        <f>SUMIF(CPY!$B:$B,Summary!$B59,CPY!$I:$I)</f>
        <v>0</v>
      </c>
    </row>
    <row r="60" spans="1:6" x14ac:dyDescent="0.25">
      <c r="A60" s="50">
        <f t="shared" si="0"/>
        <v>58</v>
      </c>
      <c r="B60" s="50">
        <v>2030</v>
      </c>
      <c r="C60" s="50" t="s">
        <v>98</v>
      </c>
      <c r="D60" s="51" t="s">
        <v>46</v>
      </c>
      <c r="F60" s="52">
        <f>SUMIF(CPY!$B:$B,Summary!$B60,CPY!$I:$I)</f>
        <v>0</v>
      </c>
    </row>
    <row r="61" spans="1:6" x14ac:dyDescent="0.25">
      <c r="A61" s="50">
        <f t="shared" si="0"/>
        <v>59</v>
      </c>
      <c r="B61" s="50">
        <v>2042</v>
      </c>
      <c r="C61" s="50" t="s">
        <v>99</v>
      </c>
      <c r="D61" s="51" t="s">
        <v>51</v>
      </c>
      <c r="F61" s="52">
        <f>SUMIF(CPY!$B:$B,Summary!$B61,CPY!$I:$I)</f>
        <v>0</v>
      </c>
    </row>
    <row r="62" spans="1:6" x14ac:dyDescent="0.25">
      <c r="A62" s="50">
        <f t="shared" si="0"/>
        <v>60</v>
      </c>
      <c r="B62" s="50">
        <v>2052</v>
      </c>
      <c r="C62" s="50" t="s">
        <v>100</v>
      </c>
      <c r="D62" s="51" t="s">
        <v>51</v>
      </c>
      <c r="F62" s="52">
        <f>SUMIF(CPY!$B:$B,Summary!$B62,CPY!$I:$I)</f>
        <v>0</v>
      </c>
    </row>
    <row r="63" spans="1:6" x14ac:dyDescent="0.25">
      <c r="A63" s="50">
        <f t="shared" si="0"/>
        <v>61</v>
      </c>
      <c r="B63" s="50">
        <v>2053</v>
      </c>
      <c r="C63" s="50" t="s">
        <v>101</v>
      </c>
      <c r="D63" s="51" t="s">
        <v>51</v>
      </c>
      <c r="F63" s="52">
        <f>SUMIF(CPY!$B:$B,Summary!$B63,CPY!$I:$I)</f>
        <v>0</v>
      </c>
    </row>
    <row r="64" spans="1:6" x14ac:dyDescent="0.25">
      <c r="A64" s="50">
        <f t="shared" si="0"/>
        <v>62</v>
      </c>
      <c r="B64" s="50">
        <v>2120</v>
      </c>
      <c r="C64" s="50" t="s">
        <v>102</v>
      </c>
      <c r="D64" s="51" t="s">
        <v>69</v>
      </c>
      <c r="F64" s="52">
        <f>SUMIF(CPY!$B:$B,Summary!$B64,CPY!$I:$I)</f>
        <v>0</v>
      </c>
    </row>
    <row r="65" spans="1:6" x14ac:dyDescent="0.25">
      <c r="A65" s="50">
        <f t="shared" si="0"/>
        <v>63</v>
      </c>
      <c r="B65" s="50">
        <v>2142</v>
      </c>
      <c r="C65" s="50" t="s">
        <v>103</v>
      </c>
      <c r="D65" s="51" t="s">
        <v>46</v>
      </c>
      <c r="F65" s="52">
        <f>SUMIF(CPY!$B:$B,Summary!$B65,CPY!$I:$I)</f>
        <v>0</v>
      </c>
    </row>
    <row r="66" spans="1:6" x14ac:dyDescent="0.25">
      <c r="A66" s="50">
        <f t="shared" si="0"/>
        <v>64</v>
      </c>
      <c r="B66" s="50">
        <v>2159</v>
      </c>
      <c r="C66" s="50" t="s">
        <v>104</v>
      </c>
      <c r="D66" s="51" t="s">
        <v>46</v>
      </c>
      <c r="F66" s="52">
        <f>SUMIF(CPY!$B:$B,Summary!$B66,CPY!$I:$I)</f>
        <v>0</v>
      </c>
    </row>
    <row r="67" spans="1:6" x14ac:dyDescent="0.25">
      <c r="A67" s="50">
        <f t="shared" si="0"/>
        <v>65</v>
      </c>
      <c r="B67" s="50">
        <v>2162</v>
      </c>
      <c r="C67" s="50" t="s">
        <v>105</v>
      </c>
      <c r="D67" s="51" t="s">
        <v>46</v>
      </c>
      <c r="F67" s="52">
        <f>SUMIF(CPY!$B:$B,Summary!$B67,CPY!$I:$I)</f>
        <v>0</v>
      </c>
    </row>
    <row r="68" spans="1:6" x14ac:dyDescent="0.25">
      <c r="A68" s="50">
        <f t="shared" si="0"/>
        <v>66</v>
      </c>
      <c r="B68" s="50">
        <v>2166</v>
      </c>
      <c r="C68" s="50" t="s">
        <v>106</v>
      </c>
      <c r="D68" s="51" t="s">
        <v>51</v>
      </c>
      <c r="F68" s="52">
        <f>SUMIF(CPY!$B:$B,Summary!$B68,CPY!$I:$I)</f>
        <v>0</v>
      </c>
    </row>
    <row r="69" spans="1:6" x14ac:dyDescent="0.25">
      <c r="A69" s="50">
        <f t="shared" ref="A69:A132" si="1">+A68+1</f>
        <v>67</v>
      </c>
      <c r="B69" s="50">
        <v>2171</v>
      </c>
      <c r="C69" s="50" t="s">
        <v>107</v>
      </c>
      <c r="D69" s="51" t="s">
        <v>33</v>
      </c>
      <c r="F69" s="52">
        <f>SUMIF(CPY!$B:$B,Summary!$B69,CPY!$I:$I)</f>
        <v>0</v>
      </c>
    </row>
    <row r="70" spans="1:6" x14ac:dyDescent="0.25">
      <c r="A70" s="50">
        <f t="shared" si="1"/>
        <v>68</v>
      </c>
      <c r="B70" s="50">
        <v>2183</v>
      </c>
      <c r="C70" s="50" t="s">
        <v>108</v>
      </c>
      <c r="D70" s="51" t="s">
        <v>51</v>
      </c>
      <c r="F70" s="52">
        <f>SUMIF(CPY!$B:$B,Summary!$B70,CPY!$I:$I)</f>
        <v>0</v>
      </c>
    </row>
    <row r="71" spans="1:6" x14ac:dyDescent="0.25">
      <c r="A71" s="50">
        <f t="shared" si="1"/>
        <v>69</v>
      </c>
      <c r="B71" s="50">
        <v>2206</v>
      </c>
      <c r="C71" s="50" t="s">
        <v>109</v>
      </c>
      <c r="D71" s="51" t="s">
        <v>51</v>
      </c>
      <c r="F71" s="52">
        <f>SUMIF(CPY!$B:$B,Summary!$B71,CPY!$I:$I)</f>
        <v>0</v>
      </c>
    </row>
    <row r="72" spans="1:6" x14ac:dyDescent="0.25">
      <c r="A72" s="50">
        <f t="shared" si="1"/>
        <v>70</v>
      </c>
      <c r="B72" s="50">
        <v>2253</v>
      </c>
      <c r="C72" s="50" t="s">
        <v>110</v>
      </c>
      <c r="D72" s="51" t="s">
        <v>46</v>
      </c>
      <c r="F72" s="52">
        <f>SUMIF(CPY!$B:$B,Summary!$B72,CPY!$I:$I)</f>
        <v>0</v>
      </c>
    </row>
    <row r="73" spans="1:6" x14ac:dyDescent="0.25">
      <c r="A73" s="50">
        <f t="shared" si="1"/>
        <v>71</v>
      </c>
      <c r="B73" s="50">
        <v>2279</v>
      </c>
      <c r="C73" s="50" t="s">
        <v>111</v>
      </c>
      <c r="D73" s="51" t="s">
        <v>46</v>
      </c>
      <c r="F73" s="52">
        <f>SUMIF(CPY!$B:$B,Summary!$B73,CPY!$I:$I)</f>
        <v>0</v>
      </c>
    </row>
    <row r="74" spans="1:6" x14ac:dyDescent="0.25">
      <c r="A74" s="50">
        <f t="shared" si="1"/>
        <v>72</v>
      </c>
      <c r="B74" s="50">
        <v>2286</v>
      </c>
      <c r="C74" s="50" t="s">
        <v>112</v>
      </c>
      <c r="D74" s="51" t="s">
        <v>51</v>
      </c>
      <c r="F74" s="52">
        <f>SUMIF(CPY!$B:$B,Summary!$B74,CPY!$I:$I)</f>
        <v>0</v>
      </c>
    </row>
    <row r="75" spans="1:6" x14ac:dyDescent="0.25">
      <c r="A75" s="50">
        <f t="shared" si="1"/>
        <v>73</v>
      </c>
      <c r="B75" s="50">
        <v>2289</v>
      </c>
      <c r="C75" s="50" t="s">
        <v>113</v>
      </c>
      <c r="D75" s="51" t="s">
        <v>33</v>
      </c>
      <c r="F75" s="52">
        <f>SUMIF(CPY!$B:$B,Summary!$B75,CPY!$I:$I)</f>
        <v>0</v>
      </c>
    </row>
    <row r="76" spans="1:6" x14ac:dyDescent="0.25">
      <c r="A76" s="50">
        <f t="shared" si="1"/>
        <v>74</v>
      </c>
      <c r="B76" s="50">
        <v>2295</v>
      </c>
      <c r="C76" s="50" t="s">
        <v>114</v>
      </c>
      <c r="D76" s="51" t="s">
        <v>46</v>
      </c>
      <c r="F76" s="52">
        <f>SUMIF(CPY!$B:$B,Summary!$B76,CPY!$I:$I)</f>
        <v>0</v>
      </c>
    </row>
    <row r="77" spans="1:6" x14ac:dyDescent="0.25">
      <c r="A77" s="50">
        <f t="shared" si="1"/>
        <v>75</v>
      </c>
      <c r="B77" s="50">
        <v>2296</v>
      </c>
      <c r="C77" s="50" t="s">
        <v>115</v>
      </c>
      <c r="D77" s="51" t="s">
        <v>46</v>
      </c>
      <c r="F77" s="52">
        <f>SUMIF(CPY!$B:$B,Summary!$B77,CPY!$I:$I)</f>
        <v>0</v>
      </c>
    </row>
    <row r="78" spans="1:6" x14ac:dyDescent="0.25">
      <c r="A78" s="50">
        <f t="shared" si="1"/>
        <v>76</v>
      </c>
      <c r="B78" s="50">
        <v>2298</v>
      </c>
      <c r="C78" s="50" t="s">
        <v>116</v>
      </c>
      <c r="D78" s="51" t="s">
        <v>51</v>
      </c>
      <c r="F78" s="52">
        <f>SUMIF(CPY!$B:$B,Summary!$B78,CPY!$I:$I)</f>
        <v>0</v>
      </c>
    </row>
    <row r="79" spans="1:6" x14ac:dyDescent="0.25">
      <c r="A79" s="50">
        <f t="shared" si="1"/>
        <v>77</v>
      </c>
      <c r="B79" s="50">
        <v>2300</v>
      </c>
      <c r="C79" s="50" t="s">
        <v>117</v>
      </c>
      <c r="D79" s="51" t="s">
        <v>46</v>
      </c>
      <c r="F79" s="52">
        <f>SUMIF(CPY!$B:$B,Summary!$B79,CPY!$I:$I)</f>
        <v>0</v>
      </c>
    </row>
    <row r="80" spans="1:6" x14ac:dyDescent="0.25">
      <c r="A80" s="50">
        <f t="shared" si="1"/>
        <v>78</v>
      </c>
      <c r="B80" s="50">
        <v>2301</v>
      </c>
      <c r="C80" s="50" t="s">
        <v>118</v>
      </c>
      <c r="D80" s="51" t="s">
        <v>51</v>
      </c>
      <c r="F80" s="52">
        <f>SUMIF(CPY!$B:$B,Summary!$B80,CPY!$I:$I)</f>
        <v>0</v>
      </c>
    </row>
    <row r="81" spans="1:6" x14ac:dyDescent="0.25">
      <c r="A81" s="50">
        <f t="shared" si="1"/>
        <v>79</v>
      </c>
      <c r="B81" s="50">
        <v>2307</v>
      </c>
      <c r="C81" s="50" t="s">
        <v>119</v>
      </c>
      <c r="D81" s="51" t="s">
        <v>51</v>
      </c>
      <c r="F81" s="52">
        <f>SUMIF(CPY!$B:$B,Summary!$B81,CPY!$I:$I)</f>
        <v>0</v>
      </c>
    </row>
    <row r="82" spans="1:6" x14ac:dyDescent="0.25">
      <c r="A82" s="50">
        <f t="shared" si="1"/>
        <v>80</v>
      </c>
      <c r="B82" s="50">
        <v>2313</v>
      </c>
      <c r="C82" s="50" t="s">
        <v>120</v>
      </c>
      <c r="D82" s="51" t="s">
        <v>51</v>
      </c>
      <c r="F82" s="52">
        <f>SUMIF(CPY!$B:$B,Summary!$B82,CPY!$I:$I)</f>
        <v>0</v>
      </c>
    </row>
    <row r="83" spans="1:6" x14ac:dyDescent="0.25">
      <c r="A83" s="50">
        <f t="shared" si="1"/>
        <v>81</v>
      </c>
      <c r="B83" s="50">
        <v>2316</v>
      </c>
      <c r="C83" s="50" t="s">
        <v>121</v>
      </c>
      <c r="D83" s="51" t="s">
        <v>51</v>
      </c>
      <c r="F83" s="52">
        <f>SUMIF(CPY!$B:$B,Summary!$B83,CPY!$I:$I)</f>
        <v>0</v>
      </c>
    </row>
    <row r="84" spans="1:6" x14ac:dyDescent="0.25">
      <c r="A84" s="50">
        <f t="shared" si="1"/>
        <v>82</v>
      </c>
      <c r="B84" s="50">
        <v>2319</v>
      </c>
      <c r="C84" s="50" t="s">
        <v>122</v>
      </c>
      <c r="D84" s="51" t="s">
        <v>46</v>
      </c>
      <c r="F84" s="52">
        <f>SUMIF(CPY!$B:$B,Summary!$B84,CPY!$I:$I)</f>
        <v>0</v>
      </c>
    </row>
    <row r="85" spans="1:6" x14ac:dyDescent="0.25">
      <c r="A85" s="50">
        <f t="shared" si="1"/>
        <v>83</v>
      </c>
      <c r="B85" s="50">
        <v>2328</v>
      </c>
      <c r="C85" s="50" t="s">
        <v>123</v>
      </c>
      <c r="D85" s="51" t="s">
        <v>46</v>
      </c>
      <c r="F85" s="52">
        <f>SUMIF(CPY!$B:$B,Summary!$B85,CPY!$I:$I)</f>
        <v>0</v>
      </c>
    </row>
    <row r="86" spans="1:6" x14ac:dyDescent="0.25">
      <c r="A86" s="50">
        <f t="shared" si="1"/>
        <v>84</v>
      </c>
      <c r="B86" s="50">
        <v>2331</v>
      </c>
      <c r="C86" s="50" t="s">
        <v>124</v>
      </c>
      <c r="D86" s="51" t="s">
        <v>46</v>
      </c>
      <c r="F86" s="52">
        <f>SUMIF(CPY!$B:$B,Summary!$B86,CPY!$I:$I)</f>
        <v>0</v>
      </c>
    </row>
    <row r="87" spans="1:6" x14ac:dyDescent="0.25">
      <c r="A87" s="50">
        <f t="shared" si="1"/>
        <v>85</v>
      </c>
      <c r="B87" s="50">
        <v>2363</v>
      </c>
      <c r="C87" s="50" t="s">
        <v>125</v>
      </c>
      <c r="D87" s="51" t="s">
        <v>46</v>
      </c>
      <c r="F87" s="52">
        <f>SUMIF(CPY!$B:$B,Summary!$B87,CPY!$I:$I)</f>
        <v>0</v>
      </c>
    </row>
    <row r="88" spans="1:6" x14ac:dyDescent="0.25">
      <c r="A88" s="50">
        <f t="shared" si="1"/>
        <v>86</v>
      </c>
      <c r="B88" s="50">
        <v>2388</v>
      </c>
      <c r="C88" s="50" t="s">
        <v>126</v>
      </c>
      <c r="D88" s="51" t="s">
        <v>51</v>
      </c>
      <c r="F88" s="52">
        <f>SUMIF(CPY!$B:$B,Summary!$B88,CPY!$I:$I)</f>
        <v>0</v>
      </c>
    </row>
    <row r="89" spans="1:6" x14ac:dyDescent="0.25">
      <c r="A89" s="50">
        <f t="shared" si="1"/>
        <v>87</v>
      </c>
      <c r="B89" s="50">
        <v>2390</v>
      </c>
      <c r="C89" s="50" t="s">
        <v>127</v>
      </c>
      <c r="D89" s="51" t="s">
        <v>51</v>
      </c>
      <c r="F89" s="52">
        <f>SUMIF(CPY!$B:$B,Summary!$B89,CPY!$I:$I)</f>
        <v>0</v>
      </c>
    </row>
    <row r="90" spans="1:6" x14ac:dyDescent="0.25">
      <c r="A90" s="50">
        <f t="shared" si="1"/>
        <v>88</v>
      </c>
      <c r="B90" s="50">
        <v>2394</v>
      </c>
      <c r="C90" s="50" t="s">
        <v>128</v>
      </c>
      <c r="D90" s="51" t="s">
        <v>46</v>
      </c>
      <c r="F90" s="52">
        <f>SUMIF(CPY!$B:$B,Summary!$B90,CPY!$I:$I)</f>
        <v>0</v>
      </c>
    </row>
    <row r="91" spans="1:6" x14ac:dyDescent="0.25">
      <c r="A91" s="50">
        <f t="shared" si="1"/>
        <v>89</v>
      </c>
      <c r="B91" s="50">
        <v>2399</v>
      </c>
      <c r="C91" s="50" t="s">
        <v>129</v>
      </c>
      <c r="D91" s="51" t="s">
        <v>51</v>
      </c>
      <c r="F91" s="52">
        <f>SUMIF(CPY!$B:$B,Summary!$B91,CPY!$I:$I)</f>
        <v>0</v>
      </c>
    </row>
    <row r="92" spans="1:6" x14ac:dyDescent="0.25">
      <c r="A92" s="50">
        <f t="shared" si="1"/>
        <v>90</v>
      </c>
      <c r="B92" s="50">
        <v>2404</v>
      </c>
      <c r="C92" s="50" t="s">
        <v>130</v>
      </c>
      <c r="D92" s="51" t="s">
        <v>51</v>
      </c>
      <c r="F92" s="52">
        <f>SUMIF(CPY!$B:$B,Summary!$B92,CPY!$I:$I)</f>
        <v>0</v>
      </c>
    </row>
    <row r="93" spans="1:6" x14ac:dyDescent="0.25">
      <c r="A93" s="50">
        <f t="shared" si="1"/>
        <v>91</v>
      </c>
      <c r="B93" s="50">
        <v>2406</v>
      </c>
      <c r="C93" s="50" t="s">
        <v>131</v>
      </c>
      <c r="D93" s="51" t="s">
        <v>46</v>
      </c>
      <c r="F93" s="52">
        <f>SUMIF(CPY!$B:$B,Summary!$B93,CPY!$I:$I)</f>
        <v>0</v>
      </c>
    </row>
    <row r="94" spans="1:6" x14ac:dyDescent="0.25">
      <c r="A94" s="50">
        <f t="shared" si="1"/>
        <v>92</v>
      </c>
      <c r="B94" s="50">
        <v>2408</v>
      </c>
      <c r="C94" s="50" t="s">
        <v>132</v>
      </c>
      <c r="D94" s="51" t="s">
        <v>51</v>
      </c>
      <c r="F94" s="52">
        <f>SUMIF(CPY!$B:$B,Summary!$B94,CPY!$I:$I)</f>
        <v>0</v>
      </c>
    </row>
    <row r="95" spans="1:6" x14ac:dyDescent="0.25">
      <c r="A95" s="50">
        <f t="shared" si="1"/>
        <v>93</v>
      </c>
      <c r="B95" s="50">
        <v>2451</v>
      </c>
      <c r="C95" s="50" t="s">
        <v>133</v>
      </c>
      <c r="D95" s="51" t="s">
        <v>51</v>
      </c>
      <c r="F95" s="52">
        <f>SUMIF(CPY!$B:$B,Summary!$B95,CPY!$I:$I)</f>
        <v>0</v>
      </c>
    </row>
    <row r="96" spans="1:6" x14ac:dyDescent="0.25">
      <c r="A96" s="50">
        <f t="shared" si="1"/>
        <v>94</v>
      </c>
      <c r="B96" s="50">
        <v>2476</v>
      </c>
      <c r="C96" s="50" t="s">
        <v>134</v>
      </c>
      <c r="D96" s="51" t="s">
        <v>46</v>
      </c>
      <c r="F96" s="52">
        <f>SUMIF(CPY!$B:$B,Summary!$B96,CPY!$I:$I)</f>
        <v>0</v>
      </c>
    </row>
    <row r="97" spans="1:6" x14ac:dyDescent="0.25">
      <c r="A97" s="50">
        <f t="shared" si="1"/>
        <v>95</v>
      </c>
      <c r="B97" s="50">
        <v>2477</v>
      </c>
      <c r="C97" s="50" t="s">
        <v>135</v>
      </c>
      <c r="D97" s="51" t="s">
        <v>46</v>
      </c>
      <c r="F97" s="52">
        <f>SUMIF(CPY!$B:$B,Summary!$B97,CPY!$I:$I)</f>
        <v>0</v>
      </c>
    </row>
    <row r="98" spans="1:6" x14ac:dyDescent="0.25">
      <c r="A98" s="50">
        <f t="shared" si="1"/>
        <v>96</v>
      </c>
      <c r="B98" s="50">
        <v>2489</v>
      </c>
      <c r="C98" s="50" t="s">
        <v>136</v>
      </c>
      <c r="D98" s="51" t="s">
        <v>78</v>
      </c>
      <c r="F98" s="52">
        <f>SUMIF(CPY!$B:$B,Summary!$B98,CPY!$I:$I)</f>
        <v>0</v>
      </c>
    </row>
    <row r="99" spans="1:6" x14ac:dyDescent="0.25">
      <c r="A99" s="50">
        <f t="shared" si="1"/>
        <v>97</v>
      </c>
      <c r="B99" s="50">
        <v>2525</v>
      </c>
      <c r="C99" s="50" t="s">
        <v>137</v>
      </c>
      <c r="D99" s="51" t="s">
        <v>46</v>
      </c>
      <c r="F99" s="52">
        <f>SUMIF(CPY!$B:$B,Summary!$B99,CPY!$I:$I)</f>
        <v>0</v>
      </c>
    </row>
    <row r="100" spans="1:6" x14ac:dyDescent="0.25">
      <c r="A100" s="50">
        <f t="shared" si="1"/>
        <v>98</v>
      </c>
      <c r="B100" s="50">
        <v>2528</v>
      </c>
      <c r="C100" s="50" t="s">
        <v>138</v>
      </c>
      <c r="D100" s="51" t="s">
        <v>46</v>
      </c>
      <c r="F100" s="52">
        <f>SUMIF(CPY!$B:$B,Summary!$B100,CPY!$I:$I)</f>
        <v>0</v>
      </c>
    </row>
    <row r="101" spans="1:6" x14ac:dyDescent="0.25">
      <c r="A101" s="50">
        <f t="shared" si="1"/>
        <v>99</v>
      </c>
      <c r="B101" s="50">
        <v>2545</v>
      </c>
      <c r="C101" s="50" t="s">
        <v>139</v>
      </c>
      <c r="D101" s="51" t="s">
        <v>46</v>
      </c>
      <c r="F101" s="52">
        <f>SUMIF(CPY!$B:$B,Summary!$B101,CPY!$I:$I)</f>
        <v>0</v>
      </c>
    </row>
    <row r="102" spans="1:6" x14ac:dyDescent="0.25">
      <c r="A102" s="50">
        <f t="shared" si="1"/>
        <v>100</v>
      </c>
      <c r="B102" s="50">
        <v>2549</v>
      </c>
      <c r="C102" s="50" t="s">
        <v>140</v>
      </c>
      <c r="D102" s="51" t="s">
        <v>51</v>
      </c>
      <c r="F102" s="52">
        <f>SUMIF(CPY!$B:$B,Summary!$B102,CPY!$I:$I)</f>
        <v>0</v>
      </c>
    </row>
    <row r="103" spans="1:6" x14ac:dyDescent="0.25">
      <c r="A103" s="50">
        <f t="shared" si="1"/>
        <v>101</v>
      </c>
      <c r="B103" s="50">
        <v>2555</v>
      </c>
      <c r="C103" s="50" t="s">
        <v>141</v>
      </c>
      <c r="D103" s="51" t="s">
        <v>51</v>
      </c>
      <c r="F103" s="52">
        <f>SUMIF(CPY!$B:$B,Summary!$B103,CPY!$I:$I)</f>
        <v>0</v>
      </c>
    </row>
    <row r="104" spans="1:6" x14ac:dyDescent="0.25">
      <c r="A104" s="50">
        <f t="shared" si="1"/>
        <v>102</v>
      </c>
      <c r="B104" s="50">
        <v>2559</v>
      </c>
      <c r="C104" s="50" t="s">
        <v>142</v>
      </c>
      <c r="D104" s="51" t="s">
        <v>51</v>
      </c>
      <c r="F104" s="52">
        <f>SUMIF(CPY!$B:$B,Summary!$B104,CPY!$I:$I)</f>
        <v>0</v>
      </c>
    </row>
    <row r="105" spans="1:6" x14ac:dyDescent="0.25">
      <c r="A105" s="50">
        <f t="shared" si="1"/>
        <v>103</v>
      </c>
      <c r="B105" s="50">
        <v>2571</v>
      </c>
      <c r="C105" s="50" t="s">
        <v>143</v>
      </c>
      <c r="D105" s="51" t="s">
        <v>46</v>
      </c>
      <c r="F105" s="52">
        <f>SUMIF(CPY!$B:$B,Summary!$B105,CPY!$I:$I)</f>
        <v>0</v>
      </c>
    </row>
    <row r="106" spans="1:6" x14ac:dyDescent="0.25">
      <c r="A106" s="50">
        <f t="shared" si="1"/>
        <v>104</v>
      </c>
      <c r="B106" s="50">
        <v>2572</v>
      </c>
      <c r="C106" s="50" t="s">
        <v>144</v>
      </c>
      <c r="D106" s="51" t="s">
        <v>51</v>
      </c>
      <c r="F106" s="52">
        <f>SUMIF(CPY!$B:$B,Summary!$B106,CPY!$I:$I)</f>
        <v>0</v>
      </c>
    </row>
    <row r="107" spans="1:6" x14ac:dyDescent="0.25">
      <c r="A107" s="50">
        <f t="shared" si="1"/>
        <v>105</v>
      </c>
      <c r="B107" s="50">
        <v>2577</v>
      </c>
      <c r="C107" s="50" t="s">
        <v>145</v>
      </c>
      <c r="D107" s="51" t="s">
        <v>51</v>
      </c>
      <c r="F107" s="52">
        <f>SUMIF(CPY!$B:$B,Summary!$B107,CPY!$I:$I)</f>
        <v>0</v>
      </c>
    </row>
    <row r="108" spans="1:6" x14ac:dyDescent="0.25">
      <c r="A108" s="50">
        <f t="shared" si="1"/>
        <v>106</v>
      </c>
      <c r="B108" s="50">
        <v>2581</v>
      </c>
      <c r="C108" s="50" t="s">
        <v>146</v>
      </c>
      <c r="D108" s="51" t="s">
        <v>51</v>
      </c>
      <c r="F108" s="52">
        <f>SUMIF(CPY!$B:$B,Summary!$B108,CPY!$I:$I)</f>
        <v>0</v>
      </c>
    </row>
    <row r="109" spans="1:6" x14ac:dyDescent="0.25">
      <c r="A109" s="50">
        <f t="shared" si="1"/>
        <v>107</v>
      </c>
      <c r="B109" s="50">
        <v>2597</v>
      </c>
      <c r="C109" s="50" t="s">
        <v>147</v>
      </c>
      <c r="D109" s="51" t="s">
        <v>51</v>
      </c>
      <c r="F109" s="52">
        <f>SUMIF(CPY!$B:$B,Summary!$B109,CPY!$I:$I)</f>
        <v>0</v>
      </c>
    </row>
    <row r="110" spans="1:6" x14ac:dyDescent="0.25">
      <c r="A110" s="50">
        <f t="shared" si="1"/>
        <v>108</v>
      </c>
      <c r="B110" s="50">
        <v>2627</v>
      </c>
      <c r="C110" s="50" t="s">
        <v>148</v>
      </c>
      <c r="D110" s="51" t="s">
        <v>69</v>
      </c>
      <c r="F110" s="52">
        <f>SUMIF(CPY!$B:$B,Summary!$B110,CPY!$I:$I)</f>
        <v>0</v>
      </c>
    </row>
    <row r="111" spans="1:6" x14ac:dyDescent="0.25">
      <c r="A111" s="50">
        <f t="shared" si="1"/>
        <v>109</v>
      </c>
      <c r="B111" s="50">
        <v>2657</v>
      </c>
      <c r="C111" s="50" t="s">
        <v>149</v>
      </c>
      <c r="D111" s="51" t="s">
        <v>51</v>
      </c>
      <c r="F111" s="52">
        <f>SUMIF(CPY!$B:$B,Summary!$B111,CPY!$I:$I)</f>
        <v>0</v>
      </c>
    </row>
    <row r="112" spans="1:6" x14ac:dyDescent="0.25">
      <c r="A112" s="50">
        <f t="shared" si="1"/>
        <v>110</v>
      </c>
      <c r="B112" s="50">
        <v>2685</v>
      </c>
      <c r="C112" s="50" t="s">
        <v>150</v>
      </c>
      <c r="D112" s="51" t="s">
        <v>46</v>
      </c>
      <c r="F112" s="52">
        <f>SUMIF(CPY!$B:$B,Summary!$B112,CPY!$I:$I)</f>
        <v>0</v>
      </c>
    </row>
    <row r="113" spans="1:6" x14ac:dyDescent="0.25">
      <c r="A113" s="50">
        <f t="shared" si="1"/>
        <v>111</v>
      </c>
      <c r="B113" s="50">
        <v>2757</v>
      </c>
      <c r="C113" s="50" t="s">
        <v>151</v>
      </c>
      <c r="D113" s="51" t="s">
        <v>51</v>
      </c>
      <c r="F113" s="52">
        <f>SUMIF(CPY!$B:$B,Summary!$B113,CPY!$I:$I)</f>
        <v>0</v>
      </c>
    </row>
    <row r="114" spans="1:6" x14ac:dyDescent="0.25">
      <c r="A114" s="50">
        <f t="shared" si="1"/>
        <v>112</v>
      </c>
      <c r="B114" s="50">
        <v>2758</v>
      </c>
      <c r="C114" s="50" t="s">
        <v>152</v>
      </c>
      <c r="D114" s="51" t="s">
        <v>78</v>
      </c>
      <c r="F114" s="52">
        <f>SUMIF(CPY!$B:$B,Summary!$B114,CPY!$I:$I)</f>
        <v>0</v>
      </c>
    </row>
    <row r="115" spans="1:6" x14ac:dyDescent="0.25">
      <c r="A115" s="50">
        <f t="shared" si="1"/>
        <v>113</v>
      </c>
      <c r="B115" s="50">
        <v>2759</v>
      </c>
      <c r="C115" s="50" t="s">
        <v>153</v>
      </c>
      <c r="D115" s="51" t="s">
        <v>46</v>
      </c>
      <c r="F115" s="52">
        <f>SUMIF(CPY!$B:$B,Summary!$B115,CPY!$I:$I)</f>
        <v>0</v>
      </c>
    </row>
    <row r="116" spans="1:6" x14ac:dyDescent="0.25">
      <c r="A116" s="50">
        <f t="shared" si="1"/>
        <v>114</v>
      </c>
      <c r="B116" s="50">
        <v>2769</v>
      </c>
      <c r="C116" s="50" t="s">
        <v>154</v>
      </c>
      <c r="D116" s="51" t="s">
        <v>46</v>
      </c>
      <c r="F116" s="52">
        <f>SUMIF(CPY!$B:$B,Summary!$B116,CPY!$I:$I)</f>
        <v>0</v>
      </c>
    </row>
    <row r="117" spans="1:6" x14ac:dyDescent="0.25">
      <c r="A117" s="50">
        <f t="shared" si="1"/>
        <v>115</v>
      </c>
      <c r="B117" s="50">
        <v>2786</v>
      </c>
      <c r="C117" s="50" t="s">
        <v>155</v>
      </c>
      <c r="D117" s="51" t="s">
        <v>78</v>
      </c>
      <c r="F117" s="52">
        <f>SUMIF(CPY!$B:$B,Summary!$B117,CPY!$I:$I)</f>
        <v>0</v>
      </c>
    </row>
    <row r="118" spans="1:6" x14ac:dyDescent="0.25">
      <c r="A118" s="50">
        <f t="shared" si="1"/>
        <v>116</v>
      </c>
      <c r="B118" s="50">
        <v>2793</v>
      </c>
      <c r="C118" s="50" t="s">
        <v>156</v>
      </c>
      <c r="D118" s="51" t="s">
        <v>46</v>
      </c>
      <c r="F118" s="52">
        <f>SUMIF(CPY!$B:$B,Summary!$B118,CPY!$I:$I)</f>
        <v>0</v>
      </c>
    </row>
    <row r="119" spans="1:6" x14ac:dyDescent="0.25">
      <c r="A119" s="50">
        <f t="shared" si="1"/>
        <v>117</v>
      </c>
      <c r="B119" s="50">
        <v>2818</v>
      </c>
      <c r="C119" s="50" t="s">
        <v>157</v>
      </c>
      <c r="D119" s="51" t="s">
        <v>78</v>
      </c>
      <c r="F119" s="52">
        <f>SUMIF(CPY!$B:$B,Summary!$B119,CPY!$I:$I)</f>
        <v>0</v>
      </c>
    </row>
    <row r="120" spans="1:6" x14ac:dyDescent="0.25">
      <c r="A120" s="50">
        <f t="shared" si="1"/>
        <v>118</v>
      </c>
      <c r="B120" s="50">
        <v>2822</v>
      </c>
      <c r="C120" s="50" t="s">
        <v>158</v>
      </c>
      <c r="D120" s="51" t="s">
        <v>46</v>
      </c>
      <c r="F120" s="52">
        <f>SUMIF(CPY!$B:$B,Summary!$B120,CPY!$I:$I)</f>
        <v>0</v>
      </c>
    </row>
    <row r="121" spans="1:6" x14ac:dyDescent="0.25">
      <c r="A121" s="50">
        <f t="shared" si="1"/>
        <v>119</v>
      </c>
      <c r="B121" s="50">
        <v>2831</v>
      </c>
      <c r="C121" s="50" t="s">
        <v>159</v>
      </c>
      <c r="D121" s="51" t="s">
        <v>78</v>
      </c>
      <c r="F121" s="52">
        <f>SUMIF(CPY!$B:$B,Summary!$B121,CPY!$I:$I)</f>
        <v>0</v>
      </c>
    </row>
    <row r="122" spans="1:6" x14ac:dyDescent="0.25">
      <c r="A122" s="50">
        <f t="shared" si="1"/>
        <v>120</v>
      </c>
      <c r="B122" s="50">
        <v>2840</v>
      </c>
      <c r="C122" s="50" t="s">
        <v>160</v>
      </c>
      <c r="D122" s="51" t="s">
        <v>69</v>
      </c>
      <c r="F122" s="52">
        <f>SUMIF(CPY!$B:$B,Summary!$B122,CPY!$I:$I)</f>
        <v>0</v>
      </c>
    </row>
    <row r="123" spans="1:6" x14ac:dyDescent="0.25">
      <c r="A123" s="50">
        <f t="shared" si="1"/>
        <v>121</v>
      </c>
      <c r="B123" s="50">
        <v>2845</v>
      </c>
      <c r="C123" s="50" t="s">
        <v>161</v>
      </c>
      <c r="D123" s="51" t="s">
        <v>46</v>
      </c>
      <c r="F123" s="52">
        <f>SUMIF(CPY!$B:$B,Summary!$B123,CPY!$I:$I)</f>
        <v>0</v>
      </c>
    </row>
    <row r="124" spans="1:6" x14ac:dyDescent="0.25">
      <c r="A124" s="50">
        <f t="shared" si="1"/>
        <v>122</v>
      </c>
      <c r="B124" s="50">
        <v>2858</v>
      </c>
      <c r="C124" s="50" t="s">
        <v>162</v>
      </c>
      <c r="D124" s="51" t="s">
        <v>78</v>
      </c>
      <c r="F124" s="52">
        <f>SUMIF(CPY!$B:$B,Summary!$B124,CPY!$I:$I)</f>
        <v>0</v>
      </c>
    </row>
    <row r="125" spans="1:6" x14ac:dyDescent="0.25">
      <c r="A125" s="50">
        <f t="shared" si="1"/>
        <v>123</v>
      </c>
      <c r="B125" s="50">
        <v>2859</v>
      </c>
      <c r="C125" s="50" t="s">
        <v>163</v>
      </c>
      <c r="D125" s="51" t="s">
        <v>78</v>
      </c>
      <c r="F125" s="52">
        <f>SUMIF(CPY!$B:$B,Summary!$B125,CPY!$I:$I)</f>
        <v>0</v>
      </c>
    </row>
    <row r="126" spans="1:6" x14ac:dyDescent="0.25">
      <c r="A126" s="50">
        <f t="shared" si="1"/>
        <v>124</v>
      </c>
      <c r="B126" s="50">
        <v>2875</v>
      </c>
      <c r="C126" s="50" t="s">
        <v>164</v>
      </c>
      <c r="D126" s="51" t="s">
        <v>46</v>
      </c>
      <c r="F126" s="52">
        <f>SUMIF(CPY!$B:$B,Summary!$B126,CPY!$I:$I)</f>
        <v>0</v>
      </c>
    </row>
    <row r="127" spans="1:6" x14ac:dyDescent="0.25">
      <c r="A127" s="50">
        <f t="shared" si="1"/>
        <v>125</v>
      </c>
      <c r="B127" s="50">
        <v>2880</v>
      </c>
      <c r="C127" s="50" t="s">
        <v>165</v>
      </c>
      <c r="D127" s="51" t="s">
        <v>69</v>
      </c>
      <c r="F127" s="52">
        <f>SUMIF(CPY!$B:$B,Summary!$B127,CPY!$I:$I)</f>
        <v>0</v>
      </c>
    </row>
    <row r="128" spans="1:6" x14ac:dyDescent="0.25">
      <c r="A128" s="50">
        <f t="shared" si="1"/>
        <v>126</v>
      </c>
      <c r="B128" s="50">
        <v>2883</v>
      </c>
      <c r="C128" s="50" t="s">
        <v>166</v>
      </c>
      <c r="D128" s="51" t="s">
        <v>78</v>
      </c>
      <c r="F128" s="52">
        <f>SUMIF(CPY!$B:$B,Summary!$B128,CPY!$I:$I)</f>
        <v>0</v>
      </c>
    </row>
    <row r="129" spans="1:6" x14ac:dyDescent="0.25">
      <c r="A129" s="50">
        <f t="shared" si="1"/>
        <v>127</v>
      </c>
      <c r="B129" s="50">
        <v>2900</v>
      </c>
      <c r="C129" s="50" t="s">
        <v>167</v>
      </c>
      <c r="D129" s="51" t="s">
        <v>46</v>
      </c>
      <c r="F129" s="52">
        <f>SUMIF(CPY!$B:$B,Summary!$B129,CPY!$I:$I)</f>
        <v>0</v>
      </c>
    </row>
    <row r="130" spans="1:6" x14ac:dyDescent="0.25">
      <c r="A130" s="50">
        <f t="shared" si="1"/>
        <v>128</v>
      </c>
      <c r="B130" s="50">
        <v>2904</v>
      </c>
      <c r="C130" s="50" t="s">
        <v>168</v>
      </c>
      <c r="D130" s="51" t="s">
        <v>46</v>
      </c>
      <c r="F130" s="52">
        <f>SUMIF(CPY!$B:$B,Summary!$B130,CPY!$I:$I)</f>
        <v>0</v>
      </c>
    </row>
    <row r="131" spans="1:6" x14ac:dyDescent="0.25">
      <c r="A131" s="50">
        <f t="shared" si="1"/>
        <v>129</v>
      </c>
      <c r="B131" s="50">
        <v>2907</v>
      </c>
      <c r="C131" s="50" t="s">
        <v>169</v>
      </c>
      <c r="D131" s="51" t="s">
        <v>78</v>
      </c>
      <c r="F131" s="52">
        <f>SUMIF(CPY!$B:$B,Summary!$B131,CPY!$I:$I)</f>
        <v>0</v>
      </c>
    </row>
    <row r="132" spans="1:6" x14ac:dyDescent="0.25">
      <c r="A132" s="50">
        <f t="shared" si="1"/>
        <v>130</v>
      </c>
      <c r="B132" s="50">
        <v>2915</v>
      </c>
      <c r="C132" s="50" t="s">
        <v>170</v>
      </c>
      <c r="D132" s="51" t="s">
        <v>78</v>
      </c>
      <c r="F132" s="52">
        <f>SUMIF(CPY!$B:$B,Summary!$B132,CPY!$I:$I)</f>
        <v>0</v>
      </c>
    </row>
    <row r="133" spans="1:6" x14ac:dyDescent="0.25">
      <c r="A133" s="50">
        <f t="shared" ref="A133:A196" si="2">+A132+1</f>
        <v>131</v>
      </c>
      <c r="B133" s="50">
        <v>2916</v>
      </c>
      <c r="C133" s="50" t="s">
        <v>171</v>
      </c>
      <c r="D133" s="51" t="s">
        <v>46</v>
      </c>
      <c r="F133" s="52">
        <f>SUMIF(CPY!$B:$B,Summary!$B133,CPY!$I:$I)</f>
        <v>0</v>
      </c>
    </row>
    <row r="134" spans="1:6" x14ac:dyDescent="0.25">
      <c r="A134" s="50">
        <f t="shared" si="2"/>
        <v>132</v>
      </c>
      <c r="B134" s="50">
        <v>2917</v>
      </c>
      <c r="C134" s="50" t="s">
        <v>172</v>
      </c>
      <c r="D134" s="51" t="s">
        <v>46</v>
      </c>
      <c r="F134" s="52">
        <f>SUMIF(CPY!$B:$B,Summary!$B134,CPY!$I:$I)</f>
        <v>0</v>
      </c>
    </row>
    <row r="135" spans="1:6" x14ac:dyDescent="0.25">
      <c r="A135" s="50">
        <f t="shared" si="2"/>
        <v>133</v>
      </c>
      <c r="B135" s="50">
        <v>2927</v>
      </c>
      <c r="C135" s="50" t="s">
        <v>173</v>
      </c>
      <c r="D135" s="51" t="s">
        <v>78</v>
      </c>
      <c r="F135" s="52">
        <f>SUMIF(CPY!$B:$B,Summary!$B135,CPY!$I:$I)</f>
        <v>0</v>
      </c>
    </row>
    <row r="136" spans="1:6" x14ac:dyDescent="0.25">
      <c r="A136" s="50">
        <f t="shared" si="2"/>
        <v>134</v>
      </c>
      <c r="B136" s="50">
        <v>2930</v>
      </c>
      <c r="C136" s="50" t="s">
        <v>174</v>
      </c>
      <c r="D136" s="51" t="s">
        <v>78</v>
      </c>
      <c r="F136" s="52">
        <f>SUMIF(CPY!$B:$B,Summary!$B136,CPY!$I:$I)</f>
        <v>0</v>
      </c>
    </row>
    <row r="137" spans="1:6" x14ac:dyDescent="0.25">
      <c r="A137" s="50">
        <f t="shared" si="2"/>
        <v>135</v>
      </c>
      <c r="B137" s="50">
        <v>2931</v>
      </c>
      <c r="C137" s="50" t="s">
        <v>175</v>
      </c>
      <c r="D137" s="51" t="s">
        <v>46</v>
      </c>
      <c r="F137" s="52">
        <f>SUMIF(CPY!$B:$B,Summary!$B137,CPY!$I:$I)</f>
        <v>0</v>
      </c>
    </row>
    <row r="138" spans="1:6" x14ac:dyDescent="0.25">
      <c r="A138" s="50">
        <f t="shared" si="2"/>
        <v>136</v>
      </c>
      <c r="B138" s="50">
        <v>2934</v>
      </c>
      <c r="C138" s="50" t="s">
        <v>176</v>
      </c>
      <c r="D138" s="51" t="s">
        <v>46</v>
      </c>
      <c r="F138" s="52">
        <f>SUMIF(CPY!$B:$B,Summary!$B138,CPY!$I:$I)</f>
        <v>0</v>
      </c>
    </row>
    <row r="139" spans="1:6" x14ac:dyDescent="0.25">
      <c r="A139" s="50">
        <f t="shared" si="2"/>
        <v>137</v>
      </c>
      <c r="B139" s="50">
        <v>2935</v>
      </c>
      <c r="C139" s="50" t="s">
        <v>177</v>
      </c>
      <c r="D139" s="51" t="s">
        <v>46</v>
      </c>
      <c r="F139" s="52">
        <f>SUMIF(CPY!$B:$B,Summary!$B139,CPY!$I:$I)</f>
        <v>0</v>
      </c>
    </row>
    <row r="140" spans="1:6" x14ac:dyDescent="0.25">
      <c r="A140" s="50">
        <f t="shared" si="2"/>
        <v>138</v>
      </c>
      <c r="B140" s="50">
        <v>2939</v>
      </c>
      <c r="C140" s="50" t="s">
        <v>178</v>
      </c>
      <c r="D140" s="51" t="s">
        <v>78</v>
      </c>
      <c r="F140" s="52">
        <f>SUMIF(CPY!$B:$B,Summary!$B140,CPY!$I:$I)</f>
        <v>0</v>
      </c>
    </row>
    <row r="141" spans="1:6" x14ac:dyDescent="0.25">
      <c r="A141" s="50">
        <f t="shared" si="2"/>
        <v>139</v>
      </c>
      <c r="B141" s="50">
        <v>2945</v>
      </c>
      <c r="C141" s="50" t="s">
        <v>179</v>
      </c>
      <c r="D141" s="51" t="s">
        <v>69</v>
      </c>
      <c r="F141" s="52">
        <f>SUMIF(CPY!$B:$B,Summary!$B141,CPY!$I:$I)</f>
        <v>0</v>
      </c>
    </row>
    <row r="142" spans="1:6" x14ac:dyDescent="0.25">
      <c r="A142" s="50">
        <f t="shared" si="2"/>
        <v>140</v>
      </c>
      <c r="B142" s="50">
        <v>2946</v>
      </c>
      <c r="C142" s="50" t="s">
        <v>180</v>
      </c>
      <c r="D142" s="51" t="s">
        <v>46</v>
      </c>
      <c r="F142" s="52">
        <f>SUMIF(CPY!$B:$B,Summary!$B142,CPY!$I:$I)</f>
        <v>0</v>
      </c>
    </row>
    <row r="143" spans="1:6" x14ac:dyDescent="0.25">
      <c r="A143" s="50">
        <f t="shared" si="2"/>
        <v>141</v>
      </c>
      <c r="B143" s="50">
        <v>2948</v>
      </c>
      <c r="C143" s="50" t="s">
        <v>181</v>
      </c>
      <c r="D143" s="51" t="s">
        <v>46</v>
      </c>
      <c r="F143" s="52">
        <f>SUMIF(CPY!$B:$B,Summary!$B143,CPY!$I:$I)</f>
        <v>0</v>
      </c>
    </row>
    <row r="144" spans="1:6" x14ac:dyDescent="0.25">
      <c r="A144" s="50">
        <f t="shared" si="2"/>
        <v>142</v>
      </c>
      <c r="B144" s="50">
        <v>2949</v>
      </c>
      <c r="C144" s="50" t="s">
        <v>182</v>
      </c>
      <c r="D144" s="51" t="s">
        <v>46</v>
      </c>
      <c r="F144" s="52">
        <f>SUMIF(CPY!$B:$B,Summary!$B144,CPY!$I:$I)</f>
        <v>0</v>
      </c>
    </row>
    <row r="145" spans="1:6" x14ac:dyDescent="0.25">
      <c r="A145" s="50">
        <f t="shared" si="2"/>
        <v>143</v>
      </c>
      <c r="B145" s="50">
        <v>2951</v>
      </c>
      <c r="C145" s="50" t="s">
        <v>183</v>
      </c>
      <c r="D145" s="51" t="s">
        <v>46</v>
      </c>
      <c r="F145" s="52">
        <f>SUMIF(CPY!$B:$B,Summary!$B145,CPY!$I:$I)</f>
        <v>0</v>
      </c>
    </row>
    <row r="146" spans="1:6" x14ac:dyDescent="0.25">
      <c r="A146" s="50">
        <f t="shared" si="2"/>
        <v>144</v>
      </c>
      <c r="B146" s="50">
        <v>2953</v>
      </c>
      <c r="C146" s="50" t="s">
        <v>184</v>
      </c>
      <c r="D146" s="51" t="s">
        <v>46</v>
      </c>
      <c r="F146" s="52">
        <f>SUMIF(CPY!$B:$B,Summary!$B146,CPY!$I:$I)</f>
        <v>0</v>
      </c>
    </row>
    <row r="147" spans="1:6" x14ac:dyDescent="0.25">
      <c r="A147" s="50">
        <f t="shared" si="2"/>
        <v>145</v>
      </c>
      <c r="B147" s="50">
        <v>2959</v>
      </c>
      <c r="C147" s="50" t="s">
        <v>185</v>
      </c>
      <c r="D147" s="51" t="s">
        <v>78</v>
      </c>
      <c r="F147" s="52">
        <f>SUMIF(CPY!$B:$B,Summary!$B147,CPY!$I:$I)</f>
        <v>0</v>
      </c>
    </row>
    <row r="148" spans="1:6" x14ac:dyDescent="0.25">
      <c r="A148" s="50">
        <f t="shared" si="2"/>
        <v>146</v>
      </c>
      <c r="B148" s="50">
        <v>2964</v>
      </c>
      <c r="C148" s="50" t="s">
        <v>186</v>
      </c>
      <c r="D148" s="51" t="s">
        <v>51</v>
      </c>
      <c r="F148" s="52">
        <f>SUMIF(CPY!$B:$B,Summary!$B148,CPY!$I:$I)</f>
        <v>0</v>
      </c>
    </row>
    <row r="149" spans="1:6" x14ac:dyDescent="0.25">
      <c r="A149" s="50">
        <f t="shared" si="2"/>
        <v>147</v>
      </c>
      <c r="B149" s="50">
        <v>2973</v>
      </c>
      <c r="C149" s="50" t="s">
        <v>187</v>
      </c>
      <c r="D149" s="51" t="s">
        <v>46</v>
      </c>
      <c r="F149" s="52">
        <f>SUMIF(CPY!$B:$B,Summary!$B149,CPY!$I:$I)</f>
        <v>0</v>
      </c>
    </row>
    <row r="150" spans="1:6" x14ac:dyDescent="0.25">
      <c r="A150" s="50">
        <f t="shared" si="2"/>
        <v>148</v>
      </c>
      <c r="B150" s="50">
        <v>2987</v>
      </c>
      <c r="C150" s="50" t="s">
        <v>188</v>
      </c>
      <c r="D150" s="51" t="s">
        <v>78</v>
      </c>
      <c r="F150" s="52">
        <f>SUMIF(CPY!$B:$B,Summary!$B150,CPY!$I:$I)</f>
        <v>0</v>
      </c>
    </row>
    <row r="151" spans="1:6" x14ac:dyDescent="0.25">
      <c r="A151" s="50">
        <f t="shared" si="2"/>
        <v>149</v>
      </c>
      <c r="B151" s="50">
        <v>2995</v>
      </c>
      <c r="C151" s="50" t="s">
        <v>189</v>
      </c>
      <c r="D151" s="51" t="s">
        <v>46</v>
      </c>
      <c r="F151" s="52">
        <f>SUMIF(CPY!$B:$B,Summary!$B151,CPY!$I:$I)</f>
        <v>0</v>
      </c>
    </row>
    <row r="152" spans="1:6" x14ac:dyDescent="0.25">
      <c r="A152" s="50">
        <f t="shared" si="2"/>
        <v>150</v>
      </c>
      <c r="B152" s="50">
        <v>2998</v>
      </c>
      <c r="C152" s="50" t="s">
        <v>190</v>
      </c>
      <c r="D152" s="51" t="s">
        <v>78</v>
      </c>
      <c r="F152" s="52">
        <f>SUMIF(CPY!$B:$B,Summary!$B152,CPY!$I:$I)</f>
        <v>0</v>
      </c>
    </row>
    <row r="153" spans="1:6" x14ac:dyDescent="0.25">
      <c r="A153" s="50">
        <f t="shared" si="2"/>
        <v>151</v>
      </c>
      <c r="B153" s="50">
        <v>3006</v>
      </c>
      <c r="C153" s="50" t="s">
        <v>191</v>
      </c>
      <c r="D153" s="51" t="s">
        <v>78</v>
      </c>
      <c r="F153" s="52">
        <f>SUMIF(CPY!$B:$B,Summary!$B153,CPY!$I:$I)</f>
        <v>0</v>
      </c>
    </row>
    <row r="154" spans="1:6" x14ac:dyDescent="0.25">
      <c r="A154" s="50">
        <f t="shared" si="2"/>
        <v>152</v>
      </c>
      <c r="B154" s="50">
        <v>3009</v>
      </c>
      <c r="C154" s="50" t="s">
        <v>192</v>
      </c>
      <c r="D154" s="51" t="s">
        <v>78</v>
      </c>
      <c r="F154" s="52">
        <f>SUMIF(CPY!$B:$B,Summary!$B154,CPY!$I:$I)</f>
        <v>0</v>
      </c>
    </row>
    <row r="155" spans="1:6" x14ac:dyDescent="0.25">
      <c r="A155" s="50">
        <f t="shared" si="2"/>
        <v>153</v>
      </c>
      <c r="B155" s="50">
        <v>3019</v>
      </c>
      <c r="C155" s="50" t="s">
        <v>193</v>
      </c>
      <c r="D155" s="51" t="s">
        <v>46</v>
      </c>
      <c r="F155" s="52">
        <f>SUMIF(CPY!$B:$B,Summary!$B155,CPY!$I:$I)</f>
        <v>0</v>
      </c>
    </row>
    <row r="156" spans="1:6" x14ac:dyDescent="0.25">
      <c r="A156" s="50">
        <f t="shared" si="2"/>
        <v>154</v>
      </c>
      <c r="B156" s="50">
        <v>3020</v>
      </c>
      <c r="C156" s="50" t="s">
        <v>194</v>
      </c>
      <c r="D156" s="51" t="s">
        <v>46</v>
      </c>
      <c r="F156" s="52">
        <f>SUMIF(CPY!$B:$B,Summary!$B156,CPY!$I:$I)</f>
        <v>0</v>
      </c>
    </row>
    <row r="157" spans="1:6" x14ac:dyDescent="0.25">
      <c r="A157" s="50">
        <f t="shared" si="2"/>
        <v>155</v>
      </c>
      <c r="B157" s="50">
        <v>3024</v>
      </c>
      <c r="C157" s="50" t="s">
        <v>195</v>
      </c>
      <c r="D157" s="51" t="s">
        <v>46</v>
      </c>
      <c r="F157" s="52">
        <f>SUMIF(CPY!$B:$B,Summary!$B157,CPY!$I:$I)</f>
        <v>0</v>
      </c>
    </row>
    <row r="158" spans="1:6" x14ac:dyDescent="0.25">
      <c r="A158" s="50">
        <f t="shared" si="2"/>
        <v>156</v>
      </c>
      <c r="B158" s="50">
        <v>3026</v>
      </c>
      <c r="C158" s="50" t="s">
        <v>196</v>
      </c>
      <c r="D158" s="51" t="s">
        <v>78</v>
      </c>
      <c r="F158" s="52">
        <f>SUMIF(CPY!$B:$B,Summary!$B158,CPY!$I:$I)</f>
        <v>0</v>
      </c>
    </row>
    <row r="159" spans="1:6" x14ac:dyDescent="0.25">
      <c r="A159" s="50">
        <f t="shared" si="2"/>
        <v>157</v>
      </c>
      <c r="B159" s="50">
        <v>3035</v>
      </c>
      <c r="C159" s="50" t="s">
        <v>197</v>
      </c>
      <c r="D159" s="51" t="s">
        <v>78</v>
      </c>
      <c r="F159" s="52">
        <f>SUMIF(CPY!$B:$B,Summary!$B159,CPY!$I:$I)</f>
        <v>0</v>
      </c>
    </row>
    <row r="160" spans="1:6" x14ac:dyDescent="0.25">
      <c r="A160" s="50">
        <f t="shared" si="2"/>
        <v>158</v>
      </c>
      <c r="B160" s="50">
        <v>3041</v>
      </c>
      <c r="C160" s="50" t="s">
        <v>198</v>
      </c>
      <c r="D160" s="51" t="s">
        <v>46</v>
      </c>
      <c r="F160" s="52">
        <f>SUMIF(CPY!$B:$B,Summary!$B160,CPY!$I:$I)</f>
        <v>0</v>
      </c>
    </row>
    <row r="161" spans="1:6" x14ac:dyDescent="0.25">
      <c r="A161" s="50">
        <f t="shared" si="2"/>
        <v>159</v>
      </c>
      <c r="B161" s="50">
        <v>3047</v>
      </c>
      <c r="C161" s="50" t="s">
        <v>199</v>
      </c>
      <c r="D161" s="51" t="s">
        <v>78</v>
      </c>
      <c r="F161" s="52">
        <f>SUMIF(CPY!$B:$B,Summary!$B161,CPY!$I:$I)</f>
        <v>0</v>
      </c>
    </row>
    <row r="162" spans="1:6" x14ac:dyDescent="0.25">
      <c r="A162" s="50">
        <f t="shared" si="2"/>
        <v>160</v>
      </c>
      <c r="B162" s="50">
        <v>3051</v>
      </c>
      <c r="C162" s="50" t="s">
        <v>200</v>
      </c>
      <c r="D162" s="51" t="s">
        <v>46</v>
      </c>
      <c r="F162" s="52">
        <f>SUMIF(CPY!$B:$B,Summary!$B162,CPY!$I:$I)</f>
        <v>0</v>
      </c>
    </row>
    <row r="163" spans="1:6" x14ac:dyDescent="0.25">
      <c r="A163" s="50">
        <f t="shared" si="2"/>
        <v>161</v>
      </c>
      <c r="B163" s="50">
        <v>3059</v>
      </c>
      <c r="C163" s="50" t="s">
        <v>201</v>
      </c>
      <c r="D163" s="51" t="s">
        <v>46</v>
      </c>
      <c r="F163" s="52">
        <f>SUMIF(CPY!$B:$B,Summary!$B163,CPY!$I:$I)</f>
        <v>0</v>
      </c>
    </row>
    <row r="164" spans="1:6" x14ac:dyDescent="0.25">
      <c r="A164" s="50">
        <f t="shared" si="2"/>
        <v>162</v>
      </c>
      <c r="B164" s="50">
        <v>3061</v>
      </c>
      <c r="C164" s="50" t="s">
        <v>202</v>
      </c>
      <c r="D164" s="51" t="s">
        <v>46</v>
      </c>
      <c r="F164" s="52">
        <f>SUMIF(CPY!$B:$B,Summary!$B164,CPY!$I:$I)</f>
        <v>0</v>
      </c>
    </row>
    <row r="165" spans="1:6" x14ac:dyDescent="0.25">
      <c r="A165" s="50">
        <f t="shared" si="2"/>
        <v>163</v>
      </c>
      <c r="B165" s="50">
        <v>3065</v>
      </c>
      <c r="C165" s="50" t="s">
        <v>203</v>
      </c>
      <c r="D165" s="51" t="s">
        <v>46</v>
      </c>
      <c r="F165" s="52">
        <f>SUMIF(CPY!$B:$B,Summary!$B165,CPY!$I:$I)</f>
        <v>0</v>
      </c>
    </row>
    <row r="166" spans="1:6" x14ac:dyDescent="0.25">
      <c r="A166" s="50">
        <f t="shared" si="2"/>
        <v>164</v>
      </c>
      <c r="B166" s="50">
        <v>3066</v>
      </c>
      <c r="C166" s="50" t="s">
        <v>204</v>
      </c>
      <c r="D166" s="51" t="s">
        <v>78</v>
      </c>
      <c r="F166" s="52">
        <f>SUMIF(CPY!$B:$B,Summary!$B166,CPY!$I:$I)</f>
        <v>0</v>
      </c>
    </row>
    <row r="167" spans="1:6" x14ac:dyDescent="0.25">
      <c r="A167" s="50">
        <f t="shared" si="2"/>
        <v>165</v>
      </c>
      <c r="B167" s="50">
        <v>3067</v>
      </c>
      <c r="C167" s="50" t="s">
        <v>205</v>
      </c>
      <c r="D167" s="51" t="s">
        <v>46</v>
      </c>
      <c r="F167" s="52">
        <f>SUMIF(CPY!$B:$B,Summary!$B167,CPY!$I:$I)</f>
        <v>0</v>
      </c>
    </row>
    <row r="168" spans="1:6" x14ac:dyDescent="0.25">
      <c r="A168" s="50">
        <f t="shared" si="2"/>
        <v>166</v>
      </c>
      <c r="B168" s="50">
        <v>3068</v>
      </c>
      <c r="C168" s="50" t="s">
        <v>206</v>
      </c>
      <c r="D168" s="51" t="s">
        <v>46</v>
      </c>
      <c r="F168" s="52">
        <f>SUMIF(CPY!$B:$B,Summary!$B168,CPY!$I:$I)</f>
        <v>0</v>
      </c>
    </row>
    <row r="169" spans="1:6" x14ac:dyDescent="0.25">
      <c r="A169" s="50">
        <f t="shared" si="2"/>
        <v>167</v>
      </c>
      <c r="B169" s="50">
        <v>3076</v>
      </c>
      <c r="C169" s="50" t="s">
        <v>207</v>
      </c>
      <c r="D169" s="51" t="s">
        <v>78</v>
      </c>
      <c r="F169" s="52">
        <f>SUMIF(CPY!$B:$B,Summary!$B169,CPY!$I:$I)</f>
        <v>0</v>
      </c>
    </row>
    <row r="170" spans="1:6" x14ac:dyDescent="0.25">
      <c r="A170" s="50">
        <f t="shared" si="2"/>
        <v>168</v>
      </c>
      <c r="B170" s="50">
        <v>3079</v>
      </c>
      <c r="C170" s="50" t="s">
        <v>208</v>
      </c>
      <c r="D170" s="51" t="s">
        <v>78</v>
      </c>
      <c r="F170" s="52">
        <f>SUMIF(CPY!$B:$B,Summary!$B170,CPY!$I:$I)</f>
        <v>0</v>
      </c>
    </row>
    <row r="171" spans="1:6" x14ac:dyDescent="0.25">
      <c r="A171" s="50">
        <f t="shared" si="2"/>
        <v>169</v>
      </c>
      <c r="B171" s="50">
        <v>3081</v>
      </c>
      <c r="C171" s="50" t="s">
        <v>209</v>
      </c>
      <c r="D171" s="51" t="s">
        <v>46</v>
      </c>
      <c r="F171" s="52">
        <f>SUMIF(CPY!$B:$B,Summary!$B171,CPY!$I:$I)</f>
        <v>0</v>
      </c>
    </row>
    <row r="172" spans="1:6" x14ac:dyDescent="0.25">
      <c r="A172" s="50">
        <f t="shared" si="2"/>
        <v>170</v>
      </c>
      <c r="B172" s="50">
        <v>3085</v>
      </c>
      <c r="C172" s="50" t="s">
        <v>210</v>
      </c>
      <c r="D172" s="51" t="s">
        <v>46</v>
      </c>
      <c r="F172" s="52">
        <f>SUMIF(CPY!$B:$B,Summary!$B172,CPY!$I:$I)</f>
        <v>0</v>
      </c>
    </row>
    <row r="173" spans="1:6" x14ac:dyDescent="0.25">
      <c r="A173" s="50">
        <f t="shared" si="2"/>
        <v>171</v>
      </c>
      <c r="B173" s="50">
        <v>3093</v>
      </c>
      <c r="C173" s="50" t="s">
        <v>211</v>
      </c>
      <c r="D173" s="51" t="s">
        <v>51</v>
      </c>
      <c r="F173" s="52">
        <f>SUMIF(CPY!$B:$B,Summary!$B173,CPY!$I:$I)</f>
        <v>0</v>
      </c>
    </row>
    <row r="174" spans="1:6" x14ac:dyDescent="0.25">
      <c r="A174" s="50">
        <f t="shared" si="2"/>
        <v>172</v>
      </c>
      <c r="B174" s="50">
        <v>3099</v>
      </c>
      <c r="C174" s="50" t="s">
        <v>212</v>
      </c>
      <c r="D174" s="51" t="s">
        <v>78</v>
      </c>
      <c r="F174" s="52">
        <f>SUMIF(CPY!$B:$B,Summary!$B174,CPY!$I:$I)</f>
        <v>0</v>
      </c>
    </row>
    <row r="175" spans="1:6" x14ac:dyDescent="0.25">
      <c r="A175" s="50">
        <f t="shared" si="2"/>
        <v>173</v>
      </c>
      <c r="B175" s="50">
        <v>3117</v>
      </c>
      <c r="C175" s="50" t="s">
        <v>213</v>
      </c>
      <c r="D175" s="51" t="s">
        <v>46</v>
      </c>
      <c r="F175" s="52">
        <f>SUMIF(CPY!$B:$B,Summary!$B175,CPY!$I:$I)</f>
        <v>0</v>
      </c>
    </row>
    <row r="176" spans="1:6" x14ac:dyDescent="0.25">
      <c r="A176" s="50">
        <f t="shared" si="2"/>
        <v>174</v>
      </c>
      <c r="B176" s="50">
        <v>3119</v>
      </c>
      <c r="C176" s="50" t="s">
        <v>214</v>
      </c>
      <c r="D176" s="51" t="s">
        <v>46</v>
      </c>
      <c r="F176" s="52">
        <f>SUMIF(CPY!$B:$B,Summary!$B176,CPY!$I:$I)</f>
        <v>0</v>
      </c>
    </row>
    <row r="177" spans="1:6" x14ac:dyDescent="0.25">
      <c r="A177" s="50">
        <f t="shared" si="2"/>
        <v>175</v>
      </c>
      <c r="B177" s="50">
        <v>3132</v>
      </c>
      <c r="C177" s="50" t="s">
        <v>215</v>
      </c>
      <c r="D177" s="51" t="s">
        <v>46</v>
      </c>
      <c r="F177" s="52">
        <f>SUMIF(CPY!$B:$B,Summary!$B177,CPY!$I:$I)</f>
        <v>0</v>
      </c>
    </row>
    <row r="178" spans="1:6" x14ac:dyDescent="0.25">
      <c r="A178" s="50">
        <f t="shared" si="2"/>
        <v>176</v>
      </c>
      <c r="B178" s="50">
        <v>3134</v>
      </c>
      <c r="C178" s="50" t="s">
        <v>216</v>
      </c>
      <c r="D178" s="51" t="s">
        <v>78</v>
      </c>
      <c r="F178" s="52">
        <f>SUMIF(CPY!$B:$B,Summary!$B178,CPY!$I:$I)</f>
        <v>0</v>
      </c>
    </row>
    <row r="179" spans="1:6" x14ac:dyDescent="0.25">
      <c r="A179" s="50">
        <f t="shared" si="2"/>
        <v>177</v>
      </c>
      <c r="B179" s="50">
        <v>3137</v>
      </c>
      <c r="C179" s="50" t="s">
        <v>217</v>
      </c>
      <c r="D179" s="51" t="s">
        <v>78</v>
      </c>
      <c r="F179" s="52">
        <f>SUMIF(CPY!$B:$B,Summary!$B179,CPY!$I:$I)</f>
        <v>0</v>
      </c>
    </row>
    <row r="180" spans="1:6" x14ac:dyDescent="0.25">
      <c r="A180" s="50">
        <f t="shared" si="2"/>
        <v>178</v>
      </c>
      <c r="B180" s="50">
        <v>3147</v>
      </c>
      <c r="C180" s="50" t="s">
        <v>218</v>
      </c>
      <c r="D180" s="51" t="s">
        <v>78</v>
      </c>
      <c r="F180" s="52">
        <f>SUMIF(CPY!$B:$B,Summary!$B180,CPY!$I:$I)</f>
        <v>0</v>
      </c>
    </row>
    <row r="181" spans="1:6" x14ac:dyDescent="0.25">
      <c r="A181" s="50">
        <f t="shared" si="2"/>
        <v>179</v>
      </c>
      <c r="B181" s="50">
        <v>3148</v>
      </c>
      <c r="C181" s="50" t="s">
        <v>219</v>
      </c>
      <c r="D181" s="51" t="s">
        <v>78</v>
      </c>
      <c r="F181" s="52">
        <f>SUMIF(CPY!$B:$B,Summary!$B181,CPY!$I:$I)</f>
        <v>0</v>
      </c>
    </row>
    <row r="182" spans="1:6" x14ac:dyDescent="0.25">
      <c r="A182" s="50">
        <f t="shared" si="2"/>
        <v>180</v>
      </c>
      <c r="B182" s="50">
        <v>3150</v>
      </c>
      <c r="C182" s="50" t="s">
        <v>220</v>
      </c>
      <c r="D182" s="51" t="s">
        <v>78</v>
      </c>
      <c r="F182" s="52">
        <f>SUMIF(CPY!$B:$B,Summary!$B182,CPY!$I:$I)</f>
        <v>0</v>
      </c>
    </row>
    <row r="183" spans="1:6" x14ac:dyDescent="0.25">
      <c r="A183" s="50">
        <f t="shared" si="2"/>
        <v>181</v>
      </c>
      <c r="B183" s="50">
        <v>3160</v>
      </c>
      <c r="C183" s="50" t="s">
        <v>221</v>
      </c>
      <c r="D183" s="51" t="s">
        <v>78</v>
      </c>
      <c r="F183" s="52">
        <f>SUMIF(CPY!$B:$B,Summary!$B183,CPY!$I:$I)</f>
        <v>0</v>
      </c>
    </row>
    <row r="184" spans="1:6" x14ac:dyDescent="0.25">
      <c r="A184" s="50">
        <f t="shared" si="2"/>
        <v>182</v>
      </c>
      <c r="B184" s="50">
        <v>3166</v>
      </c>
      <c r="C184" s="50" t="s">
        <v>222</v>
      </c>
      <c r="D184" s="51" t="s">
        <v>78</v>
      </c>
      <c r="F184" s="52">
        <f>SUMIF(CPY!$B:$B,Summary!$B184,CPY!$I:$I)</f>
        <v>0</v>
      </c>
    </row>
    <row r="185" spans="1:6" x14ac:dyDescent="0.25">
      <c r="A185" s="50">
        <f t="shared" si="2"/>
        <v>183</v>
      </c>
      <c r="B185" s="50">
        <v>3169</v>
      </c>
      <c r="C185" s="50" t="s">
        <v>223</v>
      </c>
      <c r="D185" s="51" t="s">
        <v>78</v>
      </c>
      <c r="F185" s="52">
        <f>SUMIF(CPY!$B:$B,Summary!$B185,CPY!$I:$I)</f>
        <v>0</v>
      </c>
    </row>
    <row r="186" spans="1:6" x14ac:dyDescent="0.25">
      <c r="A186" s="50">
        <f t="shared" si="2"/>
        <v>184</v>
      </c>
      <c r="B186" s="50">
        <v>3197</v>
      </c>
      <c r="C186" s="50" t="s">
        <v>224</v>
      </c>
      <c r="D186" s="51" t="s">
        <v>33</v>
      </c>
      <c r="F186" s="52">
        <f>SUMIF(CPY!$B:$B,Summary!$B186,CPY!$I:$I)</f>
        <v>0</v>
      </c>
    </row>
    <row r="187" spans="1:6" x14ac:dyDescent="0.25">
      <c r="A187" s="50">
        <f t="shared" si="2"/>
        <v>185</v>
      </c>
      <c r="B187" s="50">
        <v>3203</v>
      </c>
      <c r="C187" s="50" t="s">
        <v>225</v>
      </c>
      <c r="D187" s="51" t="s">
        <v>69</v>
      </c>
      <c r="F187" s="52">
        <f>SUMIF(CPY!$B:$B,Summary!$B187,CPY!$I:$I)</f>
        <v>0</v>
      </c>
    </row>
    <row r="188" spans="1:6" x14ac:dyDescent="0.25">
      <c r="A188" s="50">
        <f t="shared" si="2"/>
        <v>186</v>
      </c>
      <c r="B188" s="50">
        <v>3204</v>
      </c>
      <c r="C188" s="50" t="s">
        <v>226</v>
      </c>
      <c r="D188" s="51" t="s">
        <v>46</v>
      </c>
      <c r="F188" s="52">
        <f>SUMIF(CPY!$B:$B,Summary!$B188,CPY!$I:$I)</f>
        <v>0</v>
      </c>
    </row>
    <row r="189" spans="1:6" x14ac:dyDescent="0.25">
      <c r="A189" s="50">
        <f t="shared" si="2"/>
        <v>187</v>
      </c>
      <c r="B189" s="50">
        <v>3209</v>
      </c>
      <c r="C189" s="50" t="s">
        <v>227</v>
      </c>
      <c r="D189" s="51" t="s">
        <v>69</v>
      </c>
      <c r="F189" s="52">
        <f>SUMIF(CPY!$B:$B,Summary!$B189,CPY!$I:$I)</f>
        <v>0</v>
      </c>
    </row>
    <row r="190" spans="1:6" x14ac:dyDescent="0.25">
      <c r="A190" s="50">
        <f t="shared" si="2"/>
        <v>188</v>
      </c>
      <c r="B190" s="50">
        <v>3213</v>
      </c>
      <c r="C190" s="50" t="s">
        <v>228</v>
      </c>
      <c r="D190" s="51" t="s">
        <v>78</v>
      </c>
      <c r="F190" s="52">
        <f>SUMIF(CPY!$B:$B,Summary!$B190,CPY!$I:$I)</f>
        <v>0</v>
      </c>
    </row>
    <row r="191" spans="1:6" x14ac:dyDescent="0.25">
      <c r="A191" s="50">
        <f t="shared" si="2"/>
        <v>189</v>
      </c>
      <c r="B191" s="50">
        <v>3218</v>
      </c>
      <c r="C191" s="50" t="s">
        <v>229</v>
      </c>
      <c r="D191" s="51" t="s">
        <v>46</v>
      </c>
      <c r="F191" s="52">
        <f>SUMIF(CPY!$B:$B,Summary!$B191,CPY!$I:$I)</f>
        <v>0</v>
      </c>
    </row>
    <row r="192" spans="1:6" x14ac:dyDescent="0.25">
      <c r="A192" s="50">
        <f t="shared" si="2"/>
        <v>190</v>
      </c>
      <c r="B192" s="50">
        <v>3230</v>
      </c>
      <c r="C192" s="50" t="s">
        <v>230</v>
      </c>
      <c r="D192" s="51" t="s">
        <v>46</v>
      </c>
      <c r="F192" s="52">
        <f>SUMIF(CPY!$B:$B,Summary!$B192,CPY!$I:$I)</f>
        <v>0</v>
      </c>
    </row>
    <row r="193" spans="1:6" x14ac:dyDescent="0.25">
      <c r="A193" s="50">
        <f t="shared" si="2"/>
        <v>191</v>
      </c>
      <c r="B193" s="50">
        <v>3238</v>
      </c>
      <c r="C193" s="50" t="s">
        <v>231</v>
      </c>
      <c r="D193" s="51" t="s">
        <v>46</v>
      </c>
      <c r="F193" s="52">
        <f>SUMIF(CPY!$B:$B,Summary!$B193,CPY!$I:$I)</f>
        <v>0</v>
      </c>
    </row>
    <row r="194" spans="1:6" x14ac:dyDescent="0.25">
      <c r="A194" s="50">
        <f t="shared" si="2"/>
        <v>192</v>
      </c>
      <c r="B194" s="50">
        <v>3249</v>
      </c>
      <c r="C194" s="50" t="s">
        <v>232</v>
      </c>
      <c r="D194" s="51" t="s">
        <v>69</v>
      </c>
      <c r="F194" s="52">
        <f>SUMIF(CPY!$B:$B,Summary!$B194,CPY!$I:$I)</f>
        <v>0</v>
      </c>
    </row>
    <row r="195" spans="1:6" x14ac:dyDescent="0.25">
      <c r="A195" s="50">
        <f t="shared" si="2"/>
        <v>193</v>
      </c>
      <c r="B195" s="50">
        <v>3264</v>
      </c>
      <c r="C195" s="50" t="s">
        <v>233</v>
      </c>
      <c r="D195" s="51" t="s">
        <v>78</v>
      </c>
      <c r="F195" s="52">
        <f>SUMIF(CPY!$B:$B,Summary!$B195,CPY!$I:$I)</f>
        <v>0</v>
      </c>
    </row>
    <row r="196" spans="1:6" x14ac:dyDescent="0.25">
      <c r="A196" s="50">
        <f t="shared" si="2"/>
        <v>194</v>
      </c>
      <c r="B196" s="50">
        <v>3266</v>
      </c>
      <c r="C196" s="50" t="s">
        <v>234</v>
      </c>
      <c r="D196" s="51" t="s">
        <v>33</v>
      </c>
      <c r="F196" s="52">
        <f>SUMIF(CPY!$B:$B,Summary!$B196,CPY!$I:$I)</f>
        <v>0</v>
      </c>
    </row>
    <row r="197" spans="1:6" x14ac:dyDescent="0.25">
      <c r="A197" s="50">
        <f t="shared" ref="A197:A260" si="3">+A196+1</f>
        <v>195</v>
      </c>
      <c r="B197" s="50">
        <v>3276</v>
      </c>
      <c r="C197" s="50" t="s">
        <v>235</v>
      </c>
      <c r="D197" s="51" t="s">
        <v>78</v>
      </c>
      <c r="F197" s="52">
        <f>SUMIF(CPY!$B:$B,Summary!$B197,CPY!$I:$I)</f>
        <v>0</v>
      </c>
    </row>
    <row r="198" spans="1:6" x14ac:dyDescent="0.25">
      <c r="A198" s="50">
        <f t="shared" si="3"/>
        <v>196</v>
      </c>
      <c r="B198" s="50">
        <v>3305</v>
      </c>
      <c r="C198" s="50" t="s">
        <v>236</v>
      </c>
      <c r="D198" s="51" t="s">
        <v>46</v>
      </c>
      <c r="F198" s="52">
        <f>SUMIF(CPY!$B:$B,Summary!$B198,CPY!$I:$I)</f>
        <v>0</v>
      </c>
    </row>
    <row r="199" spans="1:6" x14ac:dyDescent="0.25">
      <c r="A199" s="50">
        <f t="shared" si="3"/>
        <v>197</v>
      </c>
      <c r="B199" s="50">
        <v>3310</v>
      </c>
      <c r="C199" s="50" t="s">
        <v>237</v>
      </c>
      <c r="D199" s="51" t="s">
        <v>46</v>
      </c>
      <c r="F199" s="52">
        <f>SUMIF(CPY!$B:$B,Summary!$B199,CPY!$I:$I)</f>
        <v>0</v>
      </c>
    </row>
    <row r="200" spans="1:6" x14ac:dyDescent="0.25">
      <c r="A200" s="50">
        <f t="shared" si="3"/>
        <v>198</v>
      </c>
      <c r="B200" s="50">
        <v>3316</v>
      </c>
      <c r="C200" s="50" t="s">
        <v>238</v>
      </c>
      <c r="D200" s="51" t="s">
        <v>40</v>
      </c>
      <c r="F200" s="52">
        <f>SUMIF(CPY!$B:$B,Summary!$B200,CPY!$I:$I)</f>
        <v>0</v>
      </c>
    </row>
    <row r="201" spans="1:6" x14ac:dyDescent="0.25">
      <c r="A201" s="50">
        <f t="shared" si="3"/>
        <v>199</v>
      </c>
      <c r="B201" s="50">
        <v>3317</v>
      </c>
      <c r="C201" s="50" t="s">
        <v>239</v>
      </c>
      <c r="D201" s="51" t="s">
        <v>46</v>
      </c>
      <c r="F201" s="52">
        <f>SUMIF(CPY!$B:$B,Summary!$B201,CPY!$I:$I)</f>
        <v>0</v>
      </c>
    </row>
    <row r="202" spans="1:6" x14ac:dyDescent="0.25">
      <c r="A202" s="50">
        <f t="shared" si="3"/>
        <v>200</v>
      </c>
      <c r="B202" s="50">
        <v>3326</v>
      </c>
      <c r="C202" s="50" t="s">
        <v>240</v>
      </c>
      <c r="D202" s="51" t="s">
        <v>85</v>
      </c>
      <c r="F202" s="52">
        <f>SUMIF(CPY!$B:$B,Summary!$B202,CPY!$I:$I)</f>
        <v>0</v>
      </c>
    </row>
    <row r="203" spans="1:6" x14ac:dyDescent="0.25">
      <c r="A203" s="50">
        <f t="shared" si="3"/>
        <v>201</v>
      </c>
      <c r="B203" s="50">
        <v>3343</v>
      </c>
      <c r="C203" s="50" t="s">
        <v>241</v>
      </c>
      <c r="D203" s="51" t="s">
        <v>78</v>
      </c>
      <c r="F203" s="52">
        <f>SUMIF(CPY!$B:$B,Summary!$B203,CPY!$I:$I)</f>
        <v>0</v>
      </c>
    </row>
    <row r="204" spans="1:6" x14ac:dyDescent="0.25">
      <c r="A204" s="50">
        <f t="shared" si="3"/>
        <v>202</v>
      </c>
      <c r="B204" s="50">
        <v>3348</v>
      </c>
      <c r="C204" s="50" t="s">
        <v>242</v>
      </c>
      <c r="D204" s="51" t="s">
        <v>46</v>
      </c>
      <c r="F204" s="52">
        <f>SUMIF(CPY!$B:$B,Summary!$B204,CPY!$I:$I)</f>
        <v>0</v>
      </c>
    </row>
    <row r="205" spans="1:6" x14ac:dyDescent="0.25">
      <c r="A205" s="50">
        <f t="shared" si="3"/>
        <v>203</v>
      </c>
      <c r="B205" s="50">
        <v>3360</v>
      </c>
      <c r="C205" s="50" t="s">
        <v>243</v>
      </c>
      <c r="D205" s="51" t="s">
        <v>33</v>
      </c>
      <c r="F205" s="52">
        <f>SUMIF(CPY!$B:$B,Summary!$B205,CPY!$I:$I)</f>
        <v>0</v>
      </c>
    </row>
    <row r="206" spans="1:6" x14ac:dyDescent="0.25">
      <c r="A206" s="50">
        <f t="shared" si="3"/>
        <v>204</v>
      </c>
      <c r="B206" s="50">
        <v>3367</v>
      </c>
      <c r="C206" s="50" t="s">
        <v>244</v>
      </c>
      <c r="D206" s="51" t="s">
        <v>78</v>
      </c>
      <c r="F206" s="52">
        <f>SUMIF(CPY!$B:$B,Summary!$B206,CPY!$I:$I)</f>
        <v>0</v>
      </c>
    </row>
    <row r="207" spans="1:6" x14ac:dyDescent="0.25">
      <c r="A207" s="50">
        <f t="shared" si="3"/>
        <v>205</v>
      </c>
      <c r="B207" s="50">
        <v>3381</v>
      </c>
      <c r="C207" s="50" t="s">
        <v>245</v>
      </c>
      <c r="D207" s="51" t="s">
        <v>78</v>
      </c>
      <c r="F207" s="52">
        <f>SUMIF(CPY!$B:$B,Summary!$B207,CPY!$I:$I)</f>
        <v>0</v>
      </c>
    </row>
    <row r="208" spans="1:6" x14ac:dyDescent="0.25">
      <c r="A208" s="50">
        <f t="shared" si="3"/>
        <v>206</v>
      </c>
      <c r="B208" s="50">
        <v>3393</v>
      </c>
      <c r="C208" s="50" t="s">
        <v>246</v>
      </c>
      <c r="D208" s="51" t="s">
        <v>69</v>
      </c>
      <c r="F208" s="52">
        <f>SUMIF(CPY!$B:$B,Summary!$B208,CPY!$I:$I)</f>
        <v>0</v>
      </c>
    </row>
    <row r="209" spans="1:6" x14ac:dyDescent="0.25">
      <c r="A209" s="50">
        <f t="shared" si="3"/>
        <v>207</v>
      </c>
      <c r="B209" s="50">
        <v>3409</v>
      </c>
      <c r="C209" s="50" t="s">
        <v>247</v>
      </c>
      <c r="D209" s="51" t="s">
        <v>46</v>
      </c>
      <c r="F209" s="52">
        <f>SUMIF(CPY!$B:$B,Summary!$B209,CPY!$I:$I)</f>
        <v>0</v>
      </c>
    </row>
    <row r="210" spans="1:6" x14ac:dyDescent="0.25">
      <c r="A210" s="50">
        <f t="shared" si="3"/>
        <v>208</v>
      </c>
      <c r="B210" s="50">
        <v>3410</v>
      </c>
      <c r="C210" s="50" t="s">
        <v>248</v>
      </c>
      <c r="D210" s="51" t="s">
        <v>78</v>
      </c>
      <c r="F210" s="52">
        <f>SUMIF(CPY!$B:$B,Summary!$B210,CPY!$I:$I)</f>
        <v>0</v>
      </c>
    </row>
    <row r="211" spans="1:6" x14ac:dyDescent="0.25">
      <c r="A211" s="50">
        <f t="shared" si="3"/>
        <v>209</v>
      </c>
      <c r="B211" s="50">
        <v>3414</v>
      </c>
      <c r="C211" s="50" t="s">
        <v>249</v>
      </c>
      <c r="D211" s="51" t="s">
        <v>78</v>
      </c>
      <c r="F211" s="52">
        <f>SUMIF(CPY!$B:$B,Summary!$B211,CPY!$I:$I)</f>
        <v>0</v>
      </c>
    </row>
    <row r="212" spans="1:6" x14ac:dyDescent="0.25">
      <c r="A212" s="50">
        <f t="shared" si="3"/>
        <v>210</v>
      </c>
      <c r="B212" s="50">
        <v>3426</v>
      </c>
      <c r="C212" s="50" t="s">
        <v>250</v>
      </c>
      <c r="D212" s="51" t="s">
        <v>78</v>
      </c>
      <c r="F212" s="52">
        <f>SUMIF(CPY!$B:$B,Summary!$B212,CPY!$I:$I)</f>
        <v>0</v>
      </c>
    </row>
    <row r="213" spans="1:6" x14ac:dyDescent="0.25">
      <c r="A213" s="50">
        <f t="shared" si="3"/>
        <v>211</v>
      </c>
      <c r="B213" s="50">
        <v>3435</v>
      </c>
      <c r="C213" s="50" t="s">
        <v>251</v>
      </c>
      <c r="D213" s="51" t="s">
        <v>78</v>
      </c>
      <c r="F213" s="52">
        <f>SUMIF(CPY!$B:$B,Summary!$B213,CPY!$I:$I)</f>
        <v>0</v>
      </c>
    </row>
    <row r="214" spans="1:6" x14ac:dyDescent="0.25">
      <c r="A214" s="50">
        <f t="shared" si="3"/>
        <v>212</v>
      </c>
      <c r="B214" s="50">
        <v>3442</v>
      </c>
      <c r="C214" s="50" t="s">
        <v>252</v>
      </c>
      <c r="D214" s="51" t="s">
        <v>78</v>
      </c>
      <c r="F214" s="52">
        <f>SUMIF(CPY!$B:$B,Summary!$B214,CPY!$I:$I)</f>
        <v>0</v>
      </c>
    </row>
    <row r="215" spans="1:6" x14ac:dyDescent="0.25">
      <c r="A215" s="50">
        <f t="shared" si="3"/>
        <v>213</v>
      </c>
      <c r="B215" s="50">
        <v>3443</v>
      </c>
      <c r="C215" s="50" t="s">
        <v>253</v>
      </c>
      <c r="D215" s="51" t="s">
        <v>78</v>
      </c>
      <c r="F215" s="52">
        <f>SUMIF(CPY!$B:$B,Summary!$B215,CPY!$I:$I)</f>
        <v>0</v>
      </c>
    </row>
    <row r="216" spans="1:6" x14ac:dyDescent="0.25">
      <c r="A216" s="50">
        <f t="shared" si="3"/>
        <v>214</v>
      </c>
      <c r="B216" s="50">
        <v>3445</v>
      </c>
      <c r="C216" s="50" t="s">
        <v>254</v>
      </c>
      <c r="D216" s="51" t="s">
        <v>69</v>
      </c>
      <c r="F216" s="52">
        <f>SUMIF(CPY!$B:$B,Summary!$B216,CPY!$I:$I)</f>
        <v>0</v>
      </c>
    </row>
    <row r="217" spans="1:6" x14ac:dyDescent="0.25">
      <c r="A217" s="50">
        <f t="shared" si="3"/>
        <v>215</v>
      </c>
      <c r="B217" s="50">
        <v>3447</v>
      </c>
      <c r="C217" s="50" t="s">
        <v>255</v>
      </c>
      <c r="D217" s="51" t="s">
        <v>78</v>
      </c>
      <c r="F217" s="52">
        <f>SUMIF(CPY!$B:$B,Summary!$B217,CPY!$I:$I)</f>
        <v>0</v>
      </c>
    </row>
    <row r="218" spans="1:6" x14ac:dyDescent="0.25">
      <c r="A218" s="50">
        <f t="shared" si="3"/>
        <v>216</v>
      </c>
      <c r="B218" s="50">
        <v>3448</v>
      </c>
      <c r="C218" s="50" t="s">
        <v>256</v>
      </c>
      <c r="D218" s="51" t="s">
        <v>69</v>
      </c>
      <c r="F218" s="52">
        <f>SUMIF(CPY!$B:$B,Summary!$B218,CPY!$I:$I)</f>
        <v>0</v>
      </c>
    </row>
    <row r="219" spans="1:6" x14ac:dyDescent="0.25">
      <c r="A219" s="50">
        <f t="shared" si="3"/>
        <v>217</v>
      </c>
      <c r="B219" s="50">
        <v>3459</v>
      </c>
      <c r="C219" s="50" t="s">
        <v>257</v>
      </c>
      <c r="D219" s="51" t="s">
        <v>51</v>
      </c>
      <c r="F219" s="52">
        <f>SUMIF(CPY!$B:$B,Summary!$B219,CPY!$I:$I)</f>
        <v>0</v>
      </c>
    </row>
    <row r="220" spans="1:6" x14ac:dyDescent="0.25">
      <c r="A220" s="50">
        <f t="shared" si="3"/>
        <v>218</v>
      </c>
      <c r="B220" s="50">
        <v>3461</v>
      </c>
      <c r="C220" s="50" t="s">
        <v>258</v>
      </c>
      <c r="D220" s="51" t="s">
        <v>46</v>
      </c>
      <c r="F220" s="52">
        <f>SUMIF(CPY!$B:$B,Summary!$B220,CPY!$I:$I)</f>
        <v>0</v>
      </c>
    </row>
    <row r="221" spans="1:6" x14ac:dyDescent="0.25">
      <c r="A221" s="50">
        <f t="shared" si="3"/>
        <v>219</v>
      </c>
      <c r="B221" s="50">
        <v>3473</v>
      </c>
      <c r="C221" s="50" t="s">
        <v>259</v>
      </c>
      <c r="D221" s="51" t="s">
        <v>51</v>
      </c>
      <c r="F221" s="52">
        <f>SUMIF(CPY!$B:$B,Summary!$B221,CPY!$I:$I)</f>
        <v>0</v>
      </c>
    </row>
    <row r="222" spans="1:6" x14ac:dyDescent="0.25">
      <c r="A222" s="50">
        <f t="shared" si="3"/>
        <v>220</v>
      </c>
      <c r="B222" s="50">
        <v>3504</v>
      </c>
      <c r="C222" s="50" t="s">
        <v>260</v>
      </c>
      <c r="D222" s="51" t="s">
        <v>46</v>
      </c>
      <c r="F222" s="52">
        <f>SUMIF(CPY!$B:$B,Summary!$B222,CPY!$I:$I)</f>
        <v>0</v>
      </c>
    </row>
    <row r="223" spans="1:6" x14ac:dyDescent="0.25">
      <c r="A223" s="50">
        <f t="shared" si="3"/>
        <v>221</v>
      </c>
      <c r="B223" s="50">
        <v>3507</v>
      </c>
      <c r="C223" s="50" t="s">
        <v>261</v>
      </c>
      <c r="D223" s="51" t="s">
        <v>78</v>
      </c>
      <c r="F223" s="52">
        <f>SUMIF(CPY!$B:$B,Summary!$B223,CPY!$I:$I)</f>
        <v>0</v>
      </c>
    </row>
    <row r="224" spans="1:6" x14ac:dyDescent="0.25">
      <c r="A224" s="50">
        <f t="shared" si="3"/>
        <v>222</v>
      </c>
      <c r="B224" s="50">
        <v>3509</v>
      </c>
      <c r="C224" s="50" t="s">
        <v>262</v>
      </c>
      <c r="D224" s="51" t="s">
        <v>69</v>
      </c>
      <c r="F224" s="52">
        <f>SUMIF(CPY!$B:$B,Summary!$B224,CPY!$I:$I)</f>
        <v>0</v>
      </c>
    </row>
    <row r="225" spans="1:6" x14ac:dyDescent="0.25">
      <c r="A225" s="50">
        <f t="shared" si="3"/>
        <v>223</v>
      </c>
      <c r="B225" s="50">
        <v>3512</v>
      </c>
      <c r="C225" s="50" t="s">
        <v>263</v>
      </c>
      <c r="D225" s="51" t="s">
        <v>78</v>
      </c>
      <c r="F225" s="52">
        <f>SUMIF(CPY!$B:$B,Summary!$B225,CPY!$I:$I)</f>
        <v>0</v>
      </c>
    </row>
    <row r="226" spans="1:6" x14ac:dyDescent="0.25">
      <c r="A226" s="50">
        <f t="shared" si="3"/>
        <v>224</v>
      </c>
      <c r="B226" s="50">
        <v>3518</v>
      </c>
      <c r="C226" s="50" t="s">
        <v>264</v>
      </c>
      <c r="D226" s="51" t="s">
        <v>46</v>
      </c>
      <c r="F226" s="52">
        <f>SUMIF(CPY!$B:$B,Summary!$B226,CPY!$I:$I)</f>
        <v>0</v>
      </c>
    </row>
    <row r="227" spans="1:6" x14ac:dyDescent="0.25">
      <c r="A227" s="50">
        <f t="shared" si="3"/>
        <v>225</v>
      </c>
      <c r="B227" s="50">
        <v>3519</v>
      </c>
      <c r="C227" s="50" t="s">
        <v>265</v>
      </c>
      <c r="D227" s="51" t="s">
        <v>85</v>
      </c>
      <c r="F227" s="52">
        <f>SUMIF(CPY!$B:$B,Summary!$B227,CPY!$I:$I)</f>
        <v>0</v>
      </c>
    </row>
    <row r="228" spans="1:6" x14ac:dyDescent="0.25">
      <c r="A228" s="50">
        <f t="shared" si="3"/>
        <v>226</v>
      </c>
      <c r="B228" s="50">
        <v>3531</v>
      </c>
      <c r="C228" s="50" t="s">
        <v>266</v>
      </c>
      <c r="D228" s="51" t="s">
        <v>78</v>
      </c>
      <c r="F228" s="52">
        <f>SUMIF(CPY!$B:$B,Summary!$B228,CPY!$I:$I)</f>
        <v>0</v>
      </c>
    </row>
    <row r="229" spans="1:6" x14ac:dyDescent="0.25">
      <c r="A229" s="50">
        <f t="shared" si="3"/>
        <v>227</v>
      </c>
      <c r="B229" s="50">
        <v>3534</v>
      </c>
      <c r="C229" s="50" t="s">
        <v>267</v>
      </c>
      <c r="D229" s="51" t="s">
        <v>46</v>
      </c>
      <c r="F229" s="52">
        <f>SUMIF(CPY!$B:$B,Summary!$B229,CPY!$I:$I)</f>
        <v>0</v>
      </c>
    </row>
    <row r="230" spans="1:6" x14ac:dyDescent="0.25">
      <c r="A230" s="50">
        <f t="shared" si="3"/>
        <v>228</v>
      </c>
      <c r="B230" s="50">
        <v>3538</v>
      </c>
      <c r="C230" s="50" t="s">
        <v>268</v>
      </c>
      <c r="D230" s="51" t="s">
        <v>78</v>
      </c>
      <c r="F230" s="52">
        <f>SUMIF(CPY!$B:$B,Summary!$B230,CPY!$I:$I)</f>
        <v>0</v>
      </c>
    </row>
    <row r="231" spans="1:6" x14ac:dyDescent="0.25">
      <c r="A231" s="50">
        <f t="shared" si="3"/>
        <v>229</v>
      </c>
      <c r="B231" s="50">
        <v>3541</v>
      </c>
      <c r="C231" s="50" t="s">
        <v>269</v>
      </c>
      <c r="D231" s="51" t="s">
        <v>78</v>
      </c>
      <c r="F231" s="52">
        <f>SUMIF(CPY!$B:$B,Summary!$B231,CPY!$I:$I)</f>
        <v>0</v>
      </c>
    </row>
    <row r="232" spans="1:6" x14ac:dyDescent="0.25">
      <c r="A232" s="50">
        <f t="shared" si="3"/>
        <v>230</v>
      </c>
      <c r="B232" s="50">
        <v>3544</v>
      </c>
      <c r="C232" s="50" t="s">
        <v>270</v>
      </c>
      <c r="D232" s="51" t="s">
        <v>78</v>
      </c>
      <c r="F232" s="52">
        <f>SUMIF(CPY!$B:$B,Summary!$B232,CPY!$I:$I)</f>
        <v>0</v>
      </c>
    </row>
    <row r="233" spans="1:6" x14ac:dyDescent="0.25">
      <c r="A233" s="50">
        <f t="shared" si="3"/>
        <v>231</v>
      </c>
      <c r="B233" s="50">
        <v>3545</v>
      </c>
      <c r="C233" s="50" t="s">
        <v>271</v>
      </c>
      <c r="D233" s="51" t="s">
        <v>78</v>
      </c>
      <c r="F233" s="52">
        <f>SUMIF(CPY!$B:$B,Summary!$B233,CPY!$I:$I)</f>
        <v>0</v>
      </c>
    </row>
    <row r="234" spans="1:6" x14ac:dyDescent="0.25">
      <c r="A234" s="50">
        <f t="shared" si="3"/>
        <v>232</v>
      </c>
      <c r="B234" s="50">
        <v>3546</v>
      </c>
      <c r="C234" s="50" t="s">
        <v>272</v>
      </c>
      <c r="D234" s="51" t="s">
        <v>78</v>
      </c>
      <c r="F234" s="52">
        <f>SUMIF(CPY!$B:$B,Summary!$B234,CPY!$I:$I)</f>
        <v>0</v>
      </c>
    </row>
    <row r="235" spans="1:6" x14ac:dyDescent="0.25">
      <c r="A235" s="50">
        <f t="shared" si="3"/>
        <v>233</v>
      </c>
      <c r="B235" s="50">
        <v>3551</v>
      </c>
      <c r="C235" s="50" t="s">
        <v>273</v>
      </c>
      <c r="D235" s="51" t="s">
        <v>78</v>
      </c>
      <c r="F235" s="52">
        <f>SUMIF(CPY!$B:$B,Summary!$B235,CPY!$I:$I)</f>
        <v>0</v>
      </c>
    </row>
    <row r="236" spans="1:6" x14ac:dyDescent="0.25">
      <c r="A236" s="50">
        <f t="shared" si="3"/>
        <v>234</v>
      </c>
      <c r="B236" s="50">
        <v>3557</v>
      </c>
      <c r="C236" s="50" t="s">
        <v>274</v>
      </c>
      <c r="D236" s="51" t="s">
        <v>85</v>
      </c>
      <c r="F236" s="52">
        <f>SUMIF(CPY!$B:$B,Summary!$B236,CPY!$I:$I)</f>
        <v>0</v>
      </c>
    </row>
    <row r="237" spans="1:6" x14ac:dyDescent="0.25">
      <c r="A237" s="50">
        <f t="shared" si="3"/>
        <v>235</v>
      </c>
      <c r="B237" s="50">
        <v>3560</v>
      </c>
      <c r="C237" s="50" t="s">
        <v>275</v>
      </c>
      <c r="D237" s="51" t="s">
        <v>78</v>
      </c>
      <c r="F237" s="52">
        <f>SUMIF(CPY!$B:$B,Summary!$B237,CPY!$I:$I)</f>
        <v>0</v>
      </c>
    </row>
    <row r="238" spans="1:6" x14ac:dyDescent="0.25">
      <c r="A238" s="50">
        <f t="shared" si="3"/>
        <v>236</v>
      </c>
      <c r="B238" s="50">
        <v>3567</v>
      </c>
      <c r="C238" s="50" t="s">
        <v>276</v>
      </c>
      <c r="D238" s="51" t="s">
        <v>69</v>
      </c>
      <c r="F238" s="52">
        <f>SUMIF(CPY!$B:$B,Summary!$B238,CPY!$I:$I)</f>
        <v>0</v>
      </c>
    </row>
    <row r="239" spans="1:6" x14ac:dyDescent="0.25">
      <c r="A239" s="50">
        <f t="shared" si="3"/>
        <v>237</v>
      </c>
      <c r="B239" s="50">
        <v>3574</v>
      </c>
      <c r="C239" s="50" t="s">
        <v>277</v>
      </c>
      <c r="D239" s="51" t="s">
        <v>69</v>
      </c>
      <c r="F239" s="52">
        <f>SUMIF(CPY!$B:$B,Summary!$B239,CPY!$I:$I)</f>
        <v>0</v>
      </c>
    </row>
    <row r="240" spans="1:6" x14ac:dyDescent="0.25">
      <c r="A240" s="50">
        <f t="shared" si="3"/>
        <v>238</v>
      </c>
      <c r="B240" s="50">
        <v>3575</v>
      </c>
      <c r="C240" s="50" t="s">
        <v>278</v>
      </c>
      <c r="D240" s="51" t="s">
        <v>78</v>
      </c>
      <c r="F240" s="52">
        <f>SUMIF(CPY!$B:$B,Summary!$B240,CPY!$I:$I)</f>
        <v>0</v>
      </c>
    </row>
    <row r="241" spans="1:6" x14ac:dyDescent="0.25">
      <c r="A241" s="50">
        <f t="shared" si="3"/>
        <v>239</v>
      </c>
      <c r="B241" s="50">
        <v>3576</v>
      </c>
      <c r="C241" s="50" t="s">
        <v>279</v>
      </c>
      <c r="D241" s="51" t="s">
        <v>78</v>
      </c>
      <c r="F241" s="52">
        <f>SUMIF(CPY!$B:$B,Summary!$B241,CPY!$I:$I)</f>
        <v>0</v>
      </c>
    </row>
    <row r="242" spans="1:6" x14ac:dyDescent="0.25">
      <c r="A242" s="50">
        <f t="shared" si="3"/>
        <v>240</v>
      </c>
      <c r="B242" s="50">
        <v>3577</v>
      </c>
      <c r="C242" s="50" t="s">
        <v>280</v>
      </c>
      <c r="D242" s="51" t="s">
        <v>78</v>
      </c>
      <c r="F242" s="52">
        <f>SUMIF(CPY!$B:$B,Summary!$B242,CPY!$I:$I)</f>
        <v>0</v>
      </c>
    </row>
    <row r="243" spans="1:6" x14ac:dyDescent="0.25">
      <c r="A243" s="50">
        <f t="shared" si="3"/>
        <v>241</v>
      </c>
      <c r="B243" s="50">
        <v>3592</v>
      </c>
      <c r="C243" s="50" t="s">
        <v>281</v>
      </c>
      <c r="D243" s="51" t="s">
        <v>78</v>
      </c>
      <c r="F243" s="52">
        <f>SUMIF(CPY!$B:$B,Summary!$B243,CPY!$I:$I)</f>
        <v>0</v>
      </c>
    </row>
    <row r="244" spans="1:6" x14ac:dyDescent="0.25">
      <c r="A244" s="50">
        <f t="shared" si="3"/>
        <v>242</v>
      </c>
      <c r="B244" s="50">
        <v>3599</v>
      </c>
      <c r="C244" s="50" t="s">
        <v>282</v>
      </c>
      <c r="D244" s="51" t="s">
        <v>78</v>
      </c>
      <c r="F244" s="52">
        <f>SUMIF(CPY!$B:$B,Summary!$B244,CPY!$I:$I)</f>
        <v>0</v>
      </c>
    </row>
    <row r="245" spans="1:6" x14ac:dyDescent="0.25">
      <c r="A245" s="50">
        <f t="shared" si="3"/>
        <v>243</v>
      </c>
      <c r="B245" s="50">
        <v>3602</v>
      </c>
      <c r="C245" s="50" t="s">
        <v>283</v>
      </c>
      <c r="D245" s="51" t="s">
        <v>78</v>
      </c>
      <c r="F245" s="52">
        <f>SUMIF(CPY!$B:$B,Summary!$B245,CPY!$I:$I)</f>
        <v>0</v>
      </c>
    </row>
    <row r="246" spans="1:6" x14ac:dyDescent="0.25">
      <c r="A246" s="50">
        <f t="shared" si="3"/>
        <v>244</v>
      </c>
      <c r="B246" s="50">
        <v>3603</v>
      </c>
      <c r="C246" s="50" t="s">
        <v>284</v>
      </c>
      <c r="D246" s="51" t="s">
        <v>78</v>
      </c>
      <c r="F246" s="52">
        <f>SUMIF(CPY!$B:$B,Summary!$B246,CPY!$I:$I)</f>
        <v>0</v>
      </c>
    </row>
    <row r="247" spans="1:6" x14ac:dyDescent="0.25">
      <c r="A247" s="50">
        <f t="shared" si="3"/>
        <v>245</v>
      </c>
      <c r="B247" s="50">
        <v>3607</v>
      </c>
      <c r="C247" s="50" t="s">
        <v>285</v>
      </c>
      <c r="D247" s="51" t="s">
        <v>51</v>
      </c>
      <c r="F247" s="52">
        <f>SUMIF(CPY!$B:$B,Summary!$B247,CPY!$I:$I)</f>
        <v>0</v>
      </c>
    </row>
    <row r="248" spans="1:6" x14ac:dyDescent="0.25">
      <c r="A248" s="50">
        <f t="shared" si="3"/>
        <v>246</v>
      </c>
      <c r="B248" s="50">
        <v>3610</v>
      </c>
      <c r="C248" s="50" t="s">
        <v>286</v>
      </c>
      <c r="D248" s="51" t="s">
        <v>85</v>
      </c>
      <c r="F248" s="52">
        <f>SUMIF(CPY!$B:$B,Summary!$B248,CPY!$I:$I)</f>
        <v>0</v>
      </c>
    </row>
    <row r="249" spans="1:6" x14ac:dyDescent="0.25">
      <c r="A249" s="50">
        <f t="shared" si="3"/>
        <v>247</v>
      </c>
      <c r="B249" s="50">
        <v>3612</v>
      </c>
      <c r="C249" s="50" t="s">
        <v>287</v>
      </c>
      <c r="D249" s="51" t="s">
        <v>78</v>
      </c>
      <c r="F249" s="52">
        <f>SUMIF(CPY!$B:$B,Summary!$B249,CPY!$I:$I)</f>
        <v>0</v>
      </c>
    </row>
    <row r="250" spans="1:6" x14ac:dyDescent="0.25">
      <c r="A250" s="50">
        <f t="shared" si="3"/>
        <v>248</v>
      </c>
      <c r="B250" s="50">
        <v>3613</v>
      </c>
      <c r="C250" s="50" t="s">
        <v>288</v>
      </c>
      <c r="D250" s="51" t="s">
        <v>78</v>
      </c>
      <c r="F250" s="52">
        <f>SUMIF(CPY!$B:$B,Summary!$B250,CPY!$I:$I)</f>
        <v>0</v>
      </c>
    </row>
    <row r="251" spans="1:6" x14ac:dyDescent="0.25">
      <c r="A251" s="50">
        <f t="shared" si="3"/>
        <v>249</v>
      </c>
      <c r="B251" s="50">
        <v>3619</v>
      </c>
      <c r="C251" s="50" t="s">
        <v>289</v>
      </c>
      <c r="D251" s="51" t="s">
        <v>78</v>
      </c>
      <c r="F251" s="52">
        <f>SUMIF(CPY!$B:$B,Summary!$B251,CPY!$I:$I)</f>
        <v>0</v>
      </c>
    </row>
    <row r="252" spans="1:6" x14ac:dyDescent="0.25">
      <c r="A252" s="50">
        <f t="shared" si="3"/>
        <v>250</v>
      </c>
      <c r="B252" s="50">
        <v>3621</v>
      </c>
      <c r="C252" s="50" t="s">
        <v>290</v>
      </c>
      <c r="D252" s="51" t="s">
        <v>78</v>
      </c>
      <c r="F252" s="52">
        <f>SUMIF(CPY!$B:$B,Summary!$B252,CPY!$I:$I)</f>
        <v>0</v>
      </c>
    </row>
    <row r="253" spans="1:6" x14ac:dyDescent="0.25">
      <c r="A253" s="50">
        <f t="shared" si="3"/>
        <v>251</v>
      </c>
      <c r="B253" s="50">
        <v>3625</v>
      </c>
      <c r="C253" s="50" t="s">
        <v>291</v>
      </c>
      <c r="D253" s="51" t="s">
        <v>69</v>
      </c>
      <c r="F253" s="52">
        <f>SUMIF(CPY!$B:$B,Summary!$B253,CPY!$I:$I)</f>
        <v>0</v>
      </c>
    </row>
    <row r="254" spans="1:6" x14ac:dyDescent="0.25">
      <c r="A254" s="50">
        <f t="shared" si="3"/>
        <v>252</v>
      </c>
      <c r="B254" s="50">
        <v>3628</v>
      </c>
      <c r="C254" s="50" t="s">
        <v>292</v>
      </c>
      <c r="D254" s="51" t="s">
        <v>69</v>
      </c>
      <c r="F254" s="52">
        <f>SUMIF(CPY!$B:$B,Summary!$B254,CPY!$I:$I)</f>
        <v>0</v>
      </c>
    </row>
    <row r="255" spans="1:6" x14ac:dyDescent="0.25">
      <c r="A255" s="50">
        <f t="shared" si="3"/>
        <v>253</v>
      </c>
      <c r="B255" s="50">
        <v>3638</v>
      </c>
      <c r="C255" s="50" t="s">
        <v>293</v>
      </c>
      <c r="D255" s="51" t="s">
        <v>78</v>
      </c>
      <c r="F255" s="52">
        <f>SUMIF(CPY!$B:$B,Summary!$B255,CPY!$I:$I)</f>
        <v>0</v>
      </c>
    </row>
    <row r="256" spans="1:6" x14ac:dyDescent="0.25">
      <c r="A256" s="50">
        <f t="shared" si="3"/>
        <v>254</v>
      </c>
      <c r="B256" s="50">
        <v>3641</v>
      </c>
      <c r="C256" s="50" t="s">
        <v>294</v>
      </c>
      <c r="D256" s="51" t="s">
        <v>78</v>
      </c>
      <c r="F256" s="52">
        <f>SUMIF(CPY!$B:$B,Summary!$B256,CPY!$I:$I)</f>
        <v>0</v>
      </c>
    </row>
    <row r="257" spans="1:6" x14ac:dyDescent="0.25">
      <c r="A257" s="50">
        <f t="shared" si="3"/>
        <v>255</v>
      </c>
      <c r="B257" s="50">
        <v>3649</v>
      </c>
      <c r="C257" s="50" t="s">
        <v>295</v>
      </c>
      <c r="D257" s="51" t="s">
        <v>69</v>
      </c>
      <c r="F257" s="52">
        <f>SUMIF(CPY!$B:$B,Summary!$B257,CPY!$I:$I)</f>
        <v>0</v>
      </c>
    </row>
    <row r="258" spans="1:6" x14ac:dyDescent="0.25">
      <c r="A258" s="50">
        <f t="shared" si="3"/>
        <v>256</v>
      </c>
      <c r="B258" s="50">
        <v>3650</v>
      </c>
      <c r="C258" s="50" t="s">
        <v>296</v>
      </c>
      <c r="D258" s="51" t="s">
        <v>78</v>
      </c>
      <c r="F258" s="52">
        <f>SUMIF(CPY!$B:$B,Summary!$B258,CPY!$I:$I)</f>
        <v>0</v>
      </c>
    </row>
    <row r="259" spans="1:6" x14ac:dyDescent="0.25">
      <c r="A259" s="50">
        <f t="shared" si="3"/>
        <v>257</v>
      </c>
      <c r="B259" s="50">
        <v>3657</v>
      </c>
      <c r="C259" s="50" t="s">
        <v>297</v>
      </c>
      <c r="D259" s="51" t="s">
        <v>78</v>
      </c>
      <c r="F259" s="52">
        <f>SUMIF(CPY!$B:$B,Summary!$B259,CPY!$I:$I)</f>
        <v>0</v>
      </c>
    </row>
    <row r="260" spans="1:6" x14ac:dyDescent="0.25">
      <c r="A260" s="50">
        <f t="shared" si="3"/>
        <v>258</v>
      </c>
      <c r="B260" s="50">
        <v>3660</v>
      </c>
      <c r="C260" s="50" t="s">
        <v>298</v>
      </c>
      <c r="D260" s="51" t="s">
        <v>78</v>
      </c>
      <c r="F260" s="52">
        <f>SUMIF(CPY!$B:$B,Summary!$B260,CPY!$I:$I)</f>
        <v>0</v>
      </c>
    </row>
    <row r="261" spans="1:6" x14ac:dyDescent="0.25">
      <c r="A261" s="50">
        <f t="shared" ref="A261:A324" si="4">+A260+1</f>
        <v>259</v>
      </c>
      <c r="B261" s="50">
        <v>3666</v>
      </c>
      <c r="C261" s="50" t="s">
        <v>299</v>
      </c>
      <c r="D261" s="51" t="s">
        <v>78</v>
      </c>
      <c r="F261" s="52">
        <f>SUMIF(CPY!$B:$B,Summary!$B261,CPY!$I:$I)</f>
        <v>0</v>
      </c>
    </row>
    <row r="262" spans="1:6" x14ac:dyDescent="0.25">
      <c r="A262" s="50">
        <f t="shared" si="4"/>
        <v>260</v>
      </c>
      <c r="B262" s="50">
        <v>3667</v>
      </c>
      <c r="C262" s="50" t="s">
        <v>300</v>
      </c>
      <c r="D262" s="51" t="s">
        <v>78</v>
      </c>
      <c r="F262" s="52">
        <f>SUMIF(CPY!$B:$B,Summary!$B262,CPY!$I:$I)</f>
        <v>0</v>
      </c>
    </row>
    <row r="263" spans="1:6" x14ac:dyDescent="0.25">
      <c r="A263" s="50">
        <f t="shared" si="4"/>
        <v>261</v>
      </c>
      <c r="B263" s="50">
        <v>3668</v>
      </c>
      <c r="C263" s="50" t="s">
        <v>301</v>
      </c>
      <c r="D263" s="51" t="s">
        <v>78</v>
      </c>
      <c r="F263" s="52">
        <f>SUMIF(CPY!$B:$B,Summary!$B263,CPY!$I:$I)</f>
        <v>0</v>
      </c>
    </row>
    <row r="264" spans="1:6" x14ac:dyDescent="0.25">
      <c r="A264" s="50">
        <f t="shared" si="4"/>
        <v>262</v>
      </c>
      <c r="B264" s="50">
        <v>3686</v>
      </c>
      <c r="C264" s="50" t="s">
        <v>302</v>
      </c>
      <c r="D264" s="51" t="s">
        <v>78</v>
      </c>
      <c r="F264" s="52">
        <f>SUMIF(CPY!$B:$B,Summary!$B264,CPY!$I:$I)</f>
        <v>0</v>
      </c>
    </row>
    <row r="265" spans="1:6" x14ac:dyDescent="0.25">
      <c r="A265" s="50">
        <f t="shared" si="4"/>
        <v>263</v>
      </c>
      <c r="B265" s="50">
        <v>3692</v>
      </c>
      <c r="C265" s="50" t="s">
        <v>303</v>
      </c>
      <c r="D265" s="51" t="s">
        <v>78</v>
      </c>
      <c r="F265" s="52">
        <f>SUMIF(CPY!$B:$B,Summary!$B265,CPY!$I:$I)</f>
        <v>0</v>
      </c>
    </row>
    <row r="266" spans="1:6" x14ac:dyDescent="0.25">
      <c r="A266" s="50">
        <f t="shared" si="4"/>
        <v>264</v>
      </c>
      <c r="B266" s="50">
        <v>3700</v>
      </c>
      <c r="C266" s="50" t="s">
        <v>304</v>
      </c>
      <c r="D266" s="51" t="s">
        <v>69</v>
      </c>
      <c r="F266" s="52">
        <f>SUMIF(CPY!$B:$B,Summary!$B266,CPY!$I:$I)</f>
        <v>0</v>
      </c>
    </row>
    <row r="267" spans="1:6" x14ac:dyDescent="0.25">
      <c r="A267" s="50">
        <f t="shared" si="4"/>
        <v>265</v>
      </c>
      <c r="B267" s="50">
        <v>3704</v>
      </c>
      <c r="C267" s="50" t="s">
        <v>305</v>
      </c>
      <c r="D267" s="51" t="s">
        <v>69</v>
      </c>
      <c r="F267" s="52">
        <f>SUMIF(CPY!$B:$B,Summary!$B267,CPY!$I:$I)</f>
        <v>0</v>
      </c>
    </row>
    <row r="268" spans="1:6" x14ac:dyDescent="0.25">
      <c r="A268" s="50">
        <f t="shared" si="4"/>
        <v>266</v>
      </c>
      <c r="B268" s="50">
        <v>3708</v>
      </c>
      <c r="C268" s="50" t="s">
        <v>306</v>
      </c>
      <c r="D268" s="51" t="s">
        <v>46</v>
      </c>
      <c r="F268" s="52">
        <f>SUMIF(CPY!$B:$B,Summary!$B268,CPY!$I:$I)</f>
        <v>0</v>
      </c>
    </row>
    <row r="269" spans="1:6" x14ac:dyDescent="0.25">
      <c r="A269" s="50">
        <f t="shared" si="4"/>
        <v>267</v>
      </c>
      <c r="B269" s="50">
        <v>3712</v>
      </c>
      <c r="C269" s="50" t="s">
        <v>307</v>
      </c>
      <c r="D269" s="51" t="s">
        <v>33</v>
      </c>
      <c r="F269" s="52">
        <f>SUMIF(CPY!$B:$B,Summary!$B269,CPY!$I:$I)</f>
        <v>0</v>
      </c>
    </row>
    <row r="270" spans="1:6" x14ac:dyDescent="0.25">
      <c r="A270" s="50">
        <f t="shared" si="4"/>
        <v>268</v>
      </c>
      <c r="B270" s="50">
        <v>3731</v>
      </c>
      <c r="C270" s="50" t="s">
        <v>308</v>
      </c>
      <c r="D270" s="51" t="s">
        <v>69</v>
      </c>
      <c r="F270" s="52">
        <f>SUMIF(CPY!$B:$B,Summary!$B270,CPY!$I:$I)</f>
        <v>0</v>
      </c>
    </row>
    <row r="271" spans="1:6" x14ac:dyDescent="0.25">
      <c r="A271" s="50">
        <f t="shared" si="4"/>
        <v>269</v>
      </c>
      <c r="B271" s="50">
        <v>3733</v>
      </c>
      <c r="C271" s="50" t="s">
        <v>309</v>
      </c>
      <c r="D271" s="51" t="s">
        <v>69</v>
      </c>
      <c r="F271" s="52">
        <f>SUMIF(CPY!$B:$B,Summary!$B271,CPY!$I:$I)</f>
        <v>0</v>
      </c>
    </row>
    <row r="272" spans="1:6" x14ac:dyDescent="0.25">
      <c r="A272" s="50">
        <f t="shared" si="4"/>
        <v>270</v>
      </c>
      <c r="B272" s="50">
        <v>3735</v>
      </c>
      <c r="C272" s="50" t="s">
        <v>310</v>
      </c>
      <c r="D272" s="51" t="s">
        <v>78</v>
      </c>
      <c r="F272" s="52">
        <f>SUMIF(CPY!$B:$B,Summary!$B272,CPY!$I:$I)</f>
        <v>0</v>
      </c>
    </row>
    <row r="273" spans="1:6" x14ac:dyDescent="0.25">
      <c r="A273" s="50">
        <f t="shared" si="4"/>
        <v>271</v>
      </c>
      <c r="B273" s="50">
        <v>3744</v>
      </c>
      <c r="C273" s="50" t="s">
        <v>311</v>
      </c>
      <c r="D273" s="51" t="s">
        <v>51</v>
      </c>
      <c r="F273" s="52">
        <f>SUMIF(CPY!$B:$B,Summary!$B273,CPY!$I:$I)</f>
        <v>0</v>
      </c>
    </row>
    <row r="274" spans="1:6" x14ac:dyDescent="0.25">
      <c r="A274" s="50">
        <f t="shared" si="4"/>
        <v>272</v>
      </c>
      <c r="B274" s="50">
        <v>3756</v>
      </c>
      <c r="C274" s="50" t="s">
        <v>312</v>
      </c>
      <c r="D274" s="51" t="s">
        <v>78</v>
      </c>
      <c r="F274" s="52">
        <f>SUMIF(CPY!$B:$B,Summary!$B274,CPY!$I:$I)</f>
        <v>0</v>
      </c>
    </row>
    <row r="275" spans="1:6" x14ac:dyDescent="0.25">
      <c r="A275" s="50">
        <f t="shared" si="4"/>
        <v>273</v>
      </c>
      <c r="B275" s="50">
        <v>3771</v>
      </c>
      <c r="C275" s="50" t="s">
        <v>313</v>
      </c>
      <c r="D275" s="51" t="s">
        <v>78</v>
      </c>
      <c r="F275" s="52">
        <f>SUMIF(CPY!$B:$B,Summary!$B275,CPY!$I:$I)</f>
        <v>0</v>
      </c>
    </row>
    <row r="276" spans="1:6" x14ac:dyDescent="0.25">
      <c r="A276" s="50">
        <f t="shared" si="4"/>
        <v>274</v>
      </c>
      <c r="B276" s="50">
        <v>3773</v>
      </c>
      <c r="C276" s="50" t="s">
        <v>314</v>
      </c>
      <c r="D276" s="51" t="s">
        <v>78</v>
      </c>
      <c r="F276" s="52">
        <f>SUMIF(CPY!$B:$B,Summary!$B276,CPY!$I:$I)</f>
        <v>0</v>
      </c>
    </row>
    <row r="277" spans="1:6" x14ac:dyDescent="0.25">
      <c r="A277" s="50">
        <f t="shared" si="4"/>
        <v>275</v>
      </c>
      <c r="B277" s="50">
        <v>3779</v>
      </c>
      <c r="C277" s="50" t="s">
        <v>315</v>
      </c>
      <c r="D277" s="51" t="s">
        <v>51</v>
      </c>
      <c r="F277" s="52">
        <f>SUMIF(CPY!$B:$B,Summary!$B277,CPY!$I:$I)</f>
        <v>0</v>
      </c>
    </row>
    <row r="278" spans="1:6" x14ac:dyDescent="0.25">
      <c r="A278" s="50">
        <f t="shared" si="4"/>
        <v>276</v>
      </c>
      <c r="B278" s="50">
        <v>3780</v>
      </c>
      <c r="C278" s="50" t="s">
        <v>316</v>
      </c>
      <c r="D278" s="51" t="s">
        <v>78</v>
      </c>
      <c r="F278" s="52">
        <f>SUMIF(CPY!$B:$B,Summary!$B278,CPY!$I:$I)</f>
        <v>0</v>
      </c>
    </row>
    <row r="279" spans="1:6" x14ac:dyDescent="0.25">
      <c r="A279" s="50">
        <f t="shared" si="4"/>
        <v>277</v>
      </c>
      <c r="B279" s="50">
        <v>3784</v>
      </c>
      <c r="C279" s="50" t="s">
        <v>317</v>
      </c>
      <c r="D279" s="51" t="s">
        <v>78</v>
      </c>
      <c r="F279" s="52">
        <f>SUMIF(CPY!$B:$B,Summary!$B279,CPY!$I:$I)</f>
        <v>0</v>
      </c>
    </row>
    <row r="280" spans="1:6" x14ac:dyDescent="0.25">
      <c r="A280" s="50">
        <f t="shared" si="4"/>
        <v>278</v>
      </c>
      <c r="B280" s="50">
        <v>3788</v>
      </c>
      <c r="C280" s="50" t="s">
        <v>318</v>
      </c>
      <c r="D280" s="51" t="s">
        <v>78</v>
      </c>
      <c r="F280" s="52">
        <f>SUMIF(CPY!$B:$B,Summary!$B280,CPY!$I:$I)</f>
        <v>0</v>
      </c>
    </row>
    <row r="281" spans="1:6" x14ac:dyDescent="0.25">
      <c r="A281" s="50">
        <f t="shared" si="4"/>
        <v>279</v>
      </c>
      <c r="B281" s="50">
        <v>3789</v>
      </c>
      <c r="C281" s="50" t="s">
        <v>319</v>
      </c>
      <c r="D281" s="51" t="s">
        <v>78</v>
      </c>
      <c r="F281" s="52">
        <f>SUMIF(CPY!$B:$B,Summary!$B281,CPY!$I:$I)</f>
        <v>0</v>
      </c>
    </row>
    <row r="282" spans="1:6" x14ac:dyDescent="0.25">
      <c r="A282" s="50">
        <f t="shared" si="4"/>
        <v>280</v>
      </c>
      <c r="B282" s="50">
        <v>3790</v>
      </c>
      <c r="C282" s="50" t="s">
        <v>320</v>
      </c>
      <c r="D282" s="51" t="s">
        <v>78</v>
      </c>
      <c r="F282" s="52">
        <f>SUMIF(CPY!$B:$B,Summary!$B282,CPY!$I:$I)</f>
        <v>0</v>
      </c>
    </row>
    <row r="283" spans="1:6" x14ac:dyDescent="0.25">
      <c r="A283" s="50">
        <f t="shared" si="4"/>
        <v>281</v>
      </c>
      <c r="B283" s="50">
        <v>3791</v>
      </c>
      <c r="C283" s="50" t="s">
        <v>321</v>
      </c>
      <c r="D283" s="51" t="s">
        <v>78</v>
      </c>
      <c r="F283" s="52">
        <f>SUMIF(CPY!$B:$B,Summary!$B283,CPY!$I:$I)</f>
        <v>0</v>
      </c>
    </row>
    <row r="284" spans="1:6" x14ac:dyDescent="0.25">
      <c r="A284" s="50">
        <f t="shared" si="4"/>
        <v>282</v>
      </c>
      <c r="B284" s="50">
        <v>3792</v>
      </c>
      <c r="C284" s="50" t="s">
        <v>322</v>
      </c>
      <c r="D284" s="51" t="s">
        <v>78</v>
      </c>
      <c r="F284" s="52">
        <f>SUMIF(CPY!$B:$B,Summary!$B284,CPY!$I:$I)</f>
        <v>0</v>
      </c>
    </row>
    <row r="285" spans="1:6" x14ac:dyDescent="0.25">
      <c r="A285" s="50">
        <f t="shared" si="4"/>
        <v>283</v>
      </c>
      <c r="B285" s="50">
        <v>3802</v>
      </c>
      <c r="C285" s="50" t="s">
        <v>323</v>
      </c>
      <c r="D285" s="51" t="s">
        <v>69</v>
      </c>
      <c r="F285" s="52">
        <f>SUMIF(CPY!$B:$B,Summary!$B285,CPY!$I:$I)</f>
        <v>0</v>
      </c>
    </row>
    <row r="286" spans="1:6" x14ac:dyDescent="0.25">
      <c r="A286" s="50">
        <f t="shared" si="4"/>
        <v>284</v>
      </c>
      <c r="B286" s="50">
        <v>3803</v>
      </c>
      <c r="C286" s="50" t="s">
        <v>324</v>
      </c>
      <c r="D286" s="51" t="s">
        <v>78</v>
      </c>
      <c r="F286" s="52">
        <f>SUMIF(CPY!$B:$B,Summary!$B286,CPY!$I:$I)</f>
        <v>0</v>
      </c>
    </row>
    <row r="287" spans="1:6" x14ac:dyDescent="0.25">
      <c r="A287" s="50">
        <f t="shared" si="4"/>
        <v>285</v>
      </c>
      <c r="B287" s="50">
        <v>3805</v>
      </c>
      <c r="C287" s="50" t="s">
        <v>325</v>
      </c>
      <c r="D287" s="51" t="s">
        <v>78</v>
      </c>
      <c r="F287" s="52">
        <f>SUMIF(CPY!$B:$B,Summary!$B287,CPY!$I:$I)</f>
        <v>0</v>
      </c>
    </row>
    <row r="288" spans="1:6" x14ac:dyDescent="0.25">
      <c r="A288" s="50">
        <f t="shared" si="4"/>
        <v>286</v>
      </c>
      <c r="B288" s="50">
        <v>3812</v>
      </c>
      <c r="C288" s="50" t="s">
        <v>326</v>
      </c>
      <c r="D288" s="51" t="s">
        <v>78</v>
      </c>
      <c r="F288" s="52">
        <f>SUMIF(CPY!$B:$B,Summary!$B288,CPY!$I:$I)</f>
        <v>0</v>
      </c>
    </row>
    <row r="289" spans="1:6" x14ac:dyDescent="0.25">
      <c r="A289" s="50">
        <f t="shared" si="4"/>
        <v>287</v>
      </c>
      <c r="B289" s="50">
        <v>3837</v>
      </c>
      <c r="C289" s="50" t="s">
        <v>327</v>
      </c>
      <c r="D289" s="51" t="s">
        <v>46</v>
      </c>
      <c r="F289" s="52">
        <f>SUMIF(CPY!$B:$B,Summary!$B289,CPY!$I:$I)</f>
        <v>0</v>
      </c>
    </row>
    <row r="290" spans="1:6" x14ac:dyDescent="0.25">
      <c r="A290" s="50">
        <f t="shared" si="4"/>
        <v>288</v>
      </c>
      <c r="B290" s="50">
        <v>3841</v>
      </c>
      <c r="C290" s="50" t="s">
        <v>328</v>
      </c>
      <c r="D290" s="51" t="s">
        <v>78</v>
      </c>
      <c r="F290" s="52">
        <f>SUMIF(CPY!$B:$B,Summary!$B290,CPY!$I:$I)</f>
        <v>0</v>
      </c>
    </row>
    <row r="291" spans="1:6" x14ac:dyDescent="0.25">
      <c r="A291" s="50">
        <f t="shared" si="4"/>
        <v>289</v>
      </c>
      <c r="B291" s="50">
        <v>3854</v>
      </c>
      <c r="C291" s="50" t="s">
        <v>329</v>
      </c>
      <c r="D291" s="51" t="s">
        <v>78</v>
      </c>
      <c r="F291" s="52">
        <f>SUMIF(CPY!$B:$B,Summary!$B291,CPY!$I:$I)</f>
        <v>0</v>
      </c>
    </row>
    <row r="292" spans="1:6" x14ac:dyDescent="0.25">
      <c r="A292" s="50">
        <f t="shared" si="4"/>
        <v>290</v>
      </c>
      <c r="B292" s="50">
        <v>3856</v>
      </c>
      <c r="C292" s="50" t="s">
        <v>330</v>
      </c>
      <c r="D292" s="51" t="s">
        <v>78</v>
      </c>
      <c r="F292" s="52">
        <f>SUMIF(CPY!$B:$B,Summary!$B292,CPY!$I:$I)</f>
        <v>0</v>
      </c>
    </row>
    <row r="293" spans="1:6" x14ac:dyDescent="0.25">
      <c r="A293" s="50">
        <f t="shared" si="4"/>
        <v>291</v>
      </c>
      <c r="B293" s="50">
        <v>3864</v>
      </c>
      <c r="C293" s="50" t="s">
        <v>331</v>
      </c>
      <c r="D293" s="51" t="s">
        <v>69</v>
      </c>
      <c r="F293" s="52">
        <f>SUMIF(CPY!$B:$B,Summary!$B293,CPY!$I:$I)</f>
        <v>0</v>
      </c>
    </row>
    <row r="294" spans="1:6" x14ac:dyDescent="0.25">
      <c r="A294" s="50">
        <f t="shared" si="4"/>
        <v>292</v>
      </c>
      <c r="B294" s="50">
        <v>3866</v>
      </c>
      <c r="C294" s="50" t="s">
        <v>332</v>
      </c>
      <c r="D294" s="51" t="s">
        <v>69</v>
      </c>
      <c r="F294" s="52">
        <f>SUMIF(CPY!$B:$B,Summary!$B294,CPY!$I:$I)</f>
        <v>0</v>
      </c>
    </row>
    <row r="295" spans="1:6" x14ac:dyDescent="0.25">
      <c r="A295" s="50">
        <f t="shared" si="4"/>
        <v>293</v>
      </c>
      <c r="B295" s="50">
        <v>3869</v>
      </c>
      <c r="C295" s="50" t="s">
        <v>333</v>
      </c>
      <c r="D295" s="51" t="s">
        <v>69</v>
      </c>
      <c r="F295" s="52">
        <f>SUMIF(CPY!$B:$B,Summary!$B295,CPY!$I:$I)</f>
        <v>0</v>
      </c>
    </row>
    <row r="296" spans="1:6" x14ac:dyDescent="0.25">
      <c r="A296" s="50">
        <f t="shared" si="4"/>
        <v>294</v>
      </c>
      <c r="B296" s="50">
        <v>3870</v>
      </c>
      <c r="C296" s="50" t="s">
        <v>334</v>
      </c>
      <c r="D296" s="51" t="s">
        <v>69</v>
      </c>
      <c r="F296" s="52">
        <f>SUMIF(CPY!$B:$B,Summary!$B296,CPY!$I:$I)</f>
        <v>0</v>
      </c>
    </row>
    <row r="297" spans="1:6" x14ac:dyDescent="0.25">
      <c r="A297" s="50">
        <f t="shared" si="4"/>
        <v>295</v>
      </c>
      <c r="B297" s="50">
        <v>3871</v>
      </c>
      <c r="C297" s="50" t="s">
        <v>335</v>
      </c>
      <c r="D297" s="51" t="s">
        <v>78</v>
      </c>
      <c r="F297" s="52">
        <f>SUMIF(CPY!$B:$B,Summary!$B297,CPY!$I:$I)</f>
        <v>0</v>
      </c>
    </row>
    <row r="298" spans="1:6" x14ac:dyDescent="0.25">
      <c r="A298" s="50">
        <f t="shared" si="4"/>
        <v>296</v>
      </c>
      <c r="B298" s="50">
        <v>3896</v>
      </c>
      <c r="C298" s="50" t="s">
        <v>336</v>
      </c>
      <c r="D298" s="51" t="s">
        <v>78</v>
      </c>
      <c r="F298" s="52">
        <f>SUMIF(CPY!$B:$B,Summary!$B298,CPY!$I:$I)</f>
        <v>0</v>
      </c>
    </row>
    <row r="299" spans="1:6" x14ac:dyDescent="0.25">
      <c r="A299" s="50">
        <f t="shared" si="4"/>
        <v>297</v>
      </c>
      <c r="B299" s="50">
        <v>3897</v>
      </c>
      <c r="C299" s="50" t="s">
        <v>337</v>
      </c>
      <c r="D299" s="51" t="s">
        <v>51</v>
      </c>
      <c r="F299" s="52">
        <f>SUMIF(CPY!$B:$B,Summary!$B299,CPY!$I:$I)</f>
        <v>0</v>
      </c>
    </row>
    <row r="300" spans="1:6" x14ac:dyDescent="0.25">
      <c r="A300" s="50">
        <f t="shared" si="4"/>
        <v>298</v>
      </c>
      <c r="B300" s="50">
        <v>3899</v>
      </c>
      <c r="C300" s="50" t="s">
        <v>338</v>
      </c>
      <c r="D300" s="51" t="s">
        <v>78</v>
      </c>
      <c r="F300" s="52">
        <f>SUMIF(CPY!$B:$B,Summary!$B300,CPY!$I:$I)</f>
        <v>0</v>
      </c>
    </row>
    <row r="301" spans="1:6" x14ac:dyDescent="0.25">
      <c r="A301" s="50">
        <f t="shared" si="4"/>
        <v>299</v>
      </c>
      <c r="B301" s="50">
        <v>3914</v>
      </c>
      <c r="C301" s="50" t="s">
        <v>339</v>
      </c>
      <c r="D301" s="51" t="s">
        <v>78</v>
      </c>
      <c r="F301" s="52">
        <f>SUMIF(CPY!$B:$B,Summary!$B301,CPY!$I:$I)</f>
        <v>0</v>
      </c>
    </row>
    <row r="302" spans="1:6" x14ac:dyDescent="0.25">
      <c r="A302" s="50">
        <f t="shared" si="4"/>
        <v>300</v>
      </c>
      <c r="B302" s="50">
        <v>3915</v>
      </c>
      <c r="C302" s="50" t="s">
        <v>340</v>
      </c>
      <c r="D302" s="51" t="s">
        <v>69</v>
      </c>
      <c r="F302" s="52">
        <f>SUMIF(CPY!$B:$B,Summary!$B302,CPY!$I:$I)</f>
        <v>0</v>
      </c>
    </row>
    <row r="303" spans="1:6" x14ac:dyDescent="0.25">
      <c r="A303" s="50">
        <f t="shared" si="4"/>
        <v>301</v>
      </c>
      <c r="B303" s="50">
        <v>3927</v>
      </c>
      <c r="C303" s="50" t="s">
        <v>341</v>
      </c>
      <c r="D303" s="51" t="s">
        <v>69</v>
      </c>
      <c r="F303" s="52">
        <f>SUMIF(CPY!$B:$B,Summary!$B303,CPY!$I:$I)</f>
        <v>0</v>
      </c>
    </row>
    <row r="304" spans="1:6" x14ac:dyDescent="0.25">
      <c r="A304" s="50">
        <f t="shared" si="4"/>
        <v>302</v>
      </c>
      <c r="B304" s="50">
        <v>3937</v>
      </c>
      <c r="C304" s="50" t="s">
        <v>342</v>
      </c>
      <c r="D304" s="51" t="s">
        <v>78</v>
      </c>
      <c r="F304" s="52">
        <f>SUMIF(CPY!$B:$B,Summary!$B304,CPY!$I:$I)</f>
        <v>0</v>
      </c>
    </row>
    <row r="305" spans="1:6" x14ac:dyDescent="0.25">
      <c r="A305" s="50">
        <f t="shared" si="4"/>
        <v>303</v>
      </c>
      <c r="B305" s="50">
        <v>3938</v>
      </c>
      <c r="C305" s="50" t="s">
        <v>343</v>
      </c>
      <c r="D305" s="51" t="s">
        <v>69</v>
      </c>
      <c r="F305" s="52">
        <f>SUMIF(CPY!$B:$B,Summary!$B305,CPY!$I:$I)</f>
        <v>0</v>
      </c>
    </row>
    <row r="306" spans="1:6" x14ac:dyDescent="0.25">
      <c r="A306" s="50">
        <f t="shared" si="4"/>
        <v>304</v>
      </c>
      <c r="B306" s="50">
        <v>3940</v>
      </c>
      <c r="C306" s="50" t="s">
        <v>344</v>
      </c>
      <c r="D306" s="51" t="s">
        <v>78</v>
      </c>
      <c r="F306" s="52">
        <f>SUMIF(CPY!$B:$B,Summary!$B306,CPY!$I:$I)</f>
        <v>0</v>
      </c>
    </row>
    <row r="307" spans="1:6" x14ac:dyDescent="0.25">
      <c r="A307" s="50">
        <f t="shared" si="4"/>
        <v>305</v>
      </c>
      <c r="B307" s="50">
        <v>3941</v>
      </c>
      <c r="C307" s="50" t="s">
        <v>345</v>
      </c>
      <c r="D307" s="51" t="s">
        <v>78</v>
      </c>
      <c r="F307" s="52">
        <f>SUMIF(CPY!$B:$B,Summary!$B307,CPY!$I:$I)</f>
        <v>0</v>
      </c>
    </row>
    <row r="308" spans="1:6" x14ac:dyDescent="0.25">
      <c r="A308" s="50">
        <f t="shared" si="4"/>
        <v>306</v>
      </c>
      <c r="B308" s="50">
        <v>3942</v>
      </c>
      <c r="C308" s="50" t="s">
        <v>346</v>
      </c>
      <c r="D308" s="51" t="s">
        <v>78</v>
      </c>
      <c r="F308" s="52">
        <f>SUMIF(CPY!$B:$B,Summary!$B308,CPY!$I:$I)</f>
        <v>0</v>
      </c>
    </row>
    <row r="309" spans="1:6" x14ac:dyDescent="0.25">
      <c r="A309" s="50">
        <f t="shared" si="4"/>
        <v>307</v>
      </c>
      <c r="B309" s="50">
        <v>3943</v>
      </c>
      <c r="C309" s="50" t="s">
        <v>347</v>
      </c>
      <c r="D309" s="51" t="s">
        <v>78</v>
      </c>
      <c r="F309" s="52">
        <f>SUMIF(CPY!$B:$B,Summary!$B309,CPY!$I:$I)</f>
        <v>0</v>
      </c>
    </row>
    <row r="310" spans="1:6" x14ac:dyDescent="0.25">
      <c r="A310" s="50">
        <f t="shared" si="4"/>
        <v>308</v>
      </c>
      <c r="B310" s="50">
        <v>3955</v>
      </c>
      <c r="C310" s="50" t="s">
        <v>306</v>
      </c>
      <c r="D310" s="51" t="s">
        <v>78</v>
      </c>
      <c r="F310" s="52">
        <f>SUMIF(CPY!$B:$B,Summary!$B310,CPY!$I:$I)</f>
        <v>0</v>
      </c>
    </row>
    <row r="311" spans="1:6" x14ac:dyDescent="0.25">
      <c r="A311" s="50">
        <f t="shared" si="4"/>
        <v>309</v>
      </c>
      <c r="B311" s="50">
        <v>3958</v>
      </c>
      <c r="C311" s="50" t="s">
        <v>348</v>
      </c>
      <c r="D311" s="51" t="s">
        <v>78</v>
      </c>
      <c r="F311" s="52">
        <f>SUMIF(CPY!$B:$B,Summary!$B311,CPY!$I:$I)</f>
        <v>0</v>
      </c>
    </row>
    <row r="312" spans="1:6" x14ac:dyDescent="0.25">
      <c r="A312" s="50">
        <f t="shared" si="4"/>
        <v>310</v>
      </c>
      <c r="B312" s="50">
        <v>3964</v>
      </c>
      <c r="C312" s="50" t="s">
        <v>349</v>
      </c>
      <c r="D312" s="51" t="s">
        <v>78</v>
      </c>
      <c r="F312" s="52">
        <f>SUMIF(CPY!$B:$B,Summary!$B312,CPY!$I:$I)</f>
        <v>0</v>
      </c>
    </row>
    <row r="313" spans="1:6" x14ac:dyDescent="0.25">
      <c r="A313" s="50">
        <f t="shared" si="4"/>
        <v>311</v>
      </c>
      <c r="B313" s="50">
        <v>3965</v>
      </c>
      <c r="C313" s="50" t="s">
        <v>350</v>
      </c>
      <c r="D313" s="51" t="s">
        <v>78</v>
      </c>
      <c r="F313" s="52">
        <f>SUMIF(CPY!$B:$B,Summary!$B313,CPY!$I:$I)</f>
        <v>0</v>
      </c>
    </row>
    <row r="314" spans="1:6" x14ac:dyDescent="0.25">
      <c r="A314" s="50">
        <f t="shared" si="4"/>
        <v>312</v>
      </c>
      <c r="B314" s="50">
        <v>3969</v>
      </c>
      <c r="C314" s="50" t="s">
        <v>351</v>
      </c>
      <c r="D314" s="51" t="s">
        <v>78</v>
      </c>
      <c r="F314" s="52">
        <f>SUMIF(CPY!$B:$B,Summary!$B314,CPY!$I:$I)</f>
        <v>0</v>
      </c>
    </row>
    <row r="315" spans="1:6" x14ac:dyDescent="0.25">
      <c r="A315" s="50">
        <f t="shared" si="4"/>
        <v>313</v>
      </c>
      <c r="B315" s="50">
        <v>3970</v>
      </c>
      <c r="C315" s="50" t="s">
        <v>352</v>
      </c>
      <c r="D315" s="51" t="s">
        <v>78</v>
      </c>
      <c r="F315" s="52">
        <f>SUMIF(CPY!$B:$B,Summary!$B315,CPY!$I:$I)</f>
        <v>0</v>
      </c>
    </row>
    <row r="316" spans="1:6" x14ac:dyDescent="0.25">
      <c r="A316" s="50">
        <f t="shared" si="4"/>
        <v>314</v>
      </c>
      <c r="B316" s="50">
        <v>3971</v>
      </c>
      <c r="C316" s="50" t="s">
        <v>353</v>
      </c>
      <c r="D316" s="51" t="s">
        <v>78</v>
      </c>
      <c r="F316" s="52">
        <f>SUMIF(CPY!$B:$B,Summary!$B316,CPY!$I:$I)</f>
        <v>0</v>
      </c>
    </row>
    <row r="317" spans="1:6" x14ac:dyDescent="0.25">
      <c r="A317" s="50">
        <f t="shared" si="4"/>
        <v>315</v>
      </c>
      <c r="B317" s="50">
        <v>3972</v>
      </c>
      <c r="C317" s="50" t="s">
        <v>354</v>
      </c>
      <c r="D317" s="51" t="s">
        <v>78</v>
      </c>
      <c r="F317" s="52">
        <f>SUMIF(CPY!$B:$B,Summary!$B317,CPY!$I:$I)</f>
        <v>0</v>
      </c>
    </row>
    <row r="318" spans="1:6" x14ac:dyDescent="0.25">
      <c r="A318" s="50">
        <f t="shared" si="4"/>
        <v>316</v>
      </c>
      <c r="B318" s="50">
        <v>3973</v>
      </c>
      <c r="C318" s="50" t="s">
        <v>355</v>
      </c>
      <c r="D318" s="51" t="s">
        <v>78</v>
      </c>
      <c r="F318" s="52">
        <f>SUMIF(CPY!$B:$B,Summary!$B318,CPY!$I:$I)</f>
        <v>0</v>
      </c>
    </row>
    <row r="319" spans="1:6" x14ac:dyDescent="0.25">
      <c r="A319" s="50">
        <f t="shared" si="4"/>
        <v>317</v>
      </c>
      <c r="B319" s="50">
        <v>3974</v>
      </c>
      <c r="C319" s="50" t="s">
        <v>356</v>
      </c>
      <c r="D319" s="51" t="s">
        <v>78</v>
      </c>
      <c r="F319" s="52">
        <f>SUMIF(CPY!$B:$B,Summary!$B319,CPY!$I:$I)</f>
        <v>0</v>
      </c>
    </row>
    <row r="320" spans="1:6" x14ac:dyDescent="0.25">
      <c r="A320" s="50">
        <f t="shared" si="4"/>
        <v>318</v>
      </c>
      <c r="B320" s="50">
        <v>3986</v>
      </c>
      <c r="C320" s="50" t="s">
        <v>357</v>
      </c>
      <c r="D320" s="51" t="s">
        <v>69</v>
      </c>
      <c r="F320" s="52">
        <f>SUMIF(CPY!$B:$B,Summary!$B320,CPY!$I:$I)</f>
        <v>0</v>
      </c>
    </row>
    <row r="321" spans="1:6" x14ac:dyDescent="0.25">
      <c r="A321" s="50">
        <f t="shared" si="4"/>
        <v>319</v>
      </c>
      <c r="B321" s="50">
        <v>3987</v>
      </c>
      <c r="C321" s="50" t="s">
        <v>358</v>
      </c>
      <c r="D321" s="51" t="s">
        <v>69</v>
      </c>
      <c r="F321" s="52">
        <f>SUMIF(CPY!$B:$B,Summary!$B321,CPY!$I:$I)</f>
        <v>0</v>
      </c>
    </row>
    <row r="322" spans="1:6" x14ac:dyDescent="0.25">
      <c r="A322" s="50">
        <f t="shared" si="4"/>
        <v>320</v>
      </c>
      <c r="B322" s="50">
        <v>3989</v>
      </c>
      <c r="C322" s="50" t="s">
        <v>359</v>
      </c>
      <c r="D322" s="51" t="s">
        <v>69</v>
      </c>
      <c r="F322" s="52">
        <f>SUMIF(CPY!$B:$B,Summary!$B322,CPY!$I:$I)</f>
        <v>0</v>
      </c>
    </row>
    <row r="323" spans="1:6" x14ac:dyDescent="0.25">
      <c r="A323" s="50">
        <f t="shared" si="4"/>
        <v>321</v>
      </c>
      <c r="B323" s="50">
        <v>3992</v>
      </c>
      <c r="C323" s="50" t="s">
        <v>360</v>
      </c>
      <c r="D323" s="51" t="s">
        <v>78</v>
      </c>
      <c r="F323" s="52">
        <f>SUMIF(CPY!$B:$B,Summary!$B323,CPY!$I:$I)</f>
        <v>0</v>
      </c>
    </row>
    <row r="324" spans="1:6" x14ac:dyDescent="0.25">
      <c r="A324" s="50">
        <f t="shared" si="4"/>
        <v>322</v>
      </c>
      <c r="B324" s="50">
        <v>3993</v>
      </c>
      <c r="C324" s="50" t="s">
        <v>361</v>
      </c>
      <c r="D324" s="51" t="s">
        <v>51</v>
      </c>
      <c r="F324" s="52">
        <f>SUMIF(CPY!$B:$B,Summary!$B324,CPY!$I:$I)</f>
        <v>0</v>
      </c>
    </row>
    <row r="325" spans="1:6" x14ac:dyDescent="0.25">
      <c r="A325" s="50">
        <f t="shared" ref="A325:A388" si="5">+A324+1</f>
        <v>323</v>
      </c>
      <c r="B325" s="50">
        <v>4003</v>
      </c>
      <c r="C325" s="50" t="s">
        <v>362</v>
      </c>
      <c r="D325" s="51" t="s">
        <v>33</v>
      </c>
      <c r="F325" s="52">
        <f>SUMIF(CPY!$B:$B,Summary!$B325,CPY!$I:$I)</f>
        <v>0</v>
      </c>
    </row>
    <row r="326" spans="1:6" x14ac:dyDescent="0.25">
      <c r="A326" s="50">
        <f t="shared" si="5"/>
        <v>324</v>
      </c>
      <c r="B326" s="50">
        <v>4008</v>
      </c>
      <c r="C326" s="50" t="s">
        <v>363</v>
      </c>
      <c r="D326" s="51" t="s">
        <v>85</v>
      </c>
      <c r="F326" s="52">
        <f>SUMIF(CPY!$B:$B,Summary!$B326,CPY!$I:$I)</f>
        <v>0</v>
      </c>
    </row>
    <row r="327" spans="1:6" x14ac:dyDescent="0.25">
      <c r="A327" s="50">
        <f t="shared" si="5"/>
        <v>325</v>
      </c>
      <c r="B327" s="50">
        <v>4014</v>
      </c>
      <c r="C327" s="50" t="s">
        <v>364</v>
      </c>
      <c r="D327" s="51" t="s">
        <v>33</v>
      </c>
      <c r="F327" s="52">
        <f>SUMIF(CPY!$B:$B,Summary!$B327,CPY!$I:$I)</f>
        <v>0</v>
      </c>
    </row>
    <row r="328" spans="1:6" x14ac:dyDescent="0.25">
      <c r="A328" s="50">
        <f t="shared" si="5"/>
        <v>326</v>
      </c>
      <c r="B328" s="50">
        <v>4033</v>
      </c>
      <c r="C328" s="50" t="s">
        <v>365</v>
      </c>
      <c r="D328" s="51" t="s">
        <v>69</v>
      </c>
      <c r="F328" s="52">
        <f>SUMIF(CPY!$B:$B,Summary!$B328,CPY!$I:$I)</f>
        <v>0</v>
      </c>
    </row>
    <row r="329" spans="1:6" x14ac:dyDescent="0.25">
      <c r="A329" s="50">
        <f t="shared" si="5"/>
        <v>327</v>
      </c>
      <c r="B329" s="50">
        <v>4047</v>
      </c>
      <c r="C329" s="50" t="s">
        <v>366</v>
      </c>
      <c r="D329" s="51" t="s">
        <v>46</v>
      </c>
      <c r="F329" s="52">
        <f>SUMIF(CPY!$B:$B,Summary!$B329,CPY!$I:$I)</f>
        <v>0</v>
      </c>
    </row>
    <row r="330" spans="1:6" x14ac:dyDescent="0.25">
      <c r="A330" s="50">
        <f t="shared" si="5"/>
        <v>328</v>
      </c>
      <c r="B330" s="50">
        <v>4051</v>
      </c>
      <c r="C330" s="50" t="s">
        <v>367</v>
      </c>
      <c r="D330" s="51" t="s">
        <v>78</v>
      </c>
      <c r="F330" s="52">
        <f>SUMIF(CPY!$B:$B,Summary!$B330,CPY!$I:$I)</f>
        <v>0</v>
      </c>
    </row>
    <row r="331" spans="1:6" x14ac:dyDescent="0.25">
      <c r="A331" s="50">
        <f t="shared" si="5"/>
        <v>329</v>
      </c>
      <c r="B331" s="50">
        <v>4052</v>
      </c>
      <c r="C331" s="50" t="s">
        <v>368</v>
      </c>
      <c r="D331" s="51" t="s">
        <v>69</v>
      </c>
      <c r="F331" s="52">
        <f>SUMIF(CPY!$B:$B,Summary!$B331,CPY!$I:$I)</f>
        <v>0</v>
      </c>
    </row>
    <row r="332" spans="1:6" x14ac:dyDescent="0.25">
      <c r="A332" s="50">
        <f t="shared" si="5"/>
        <v>330</v>
      </c>
      <c r="B332" s="50">
        <v>4053</v>
      </c>
      <c r="C332" s="50" t="s">
        <v>369</v>
      </c>
      <c r="D332" s="51" t="s">
        <v>78</v>
      </c>
      <c r="F332" s="52">
        <f>SUMIF(CPY!$B:$B,Summary!$B332,CPY!$I:$I)</f>
        <v>0</v>
      </c>
    </row>
    <row r="333" spans="1:6" x14ac:dyDescent="0.25">
      <c r="A333" s="50">
        <f t="shared" si="5"/>
        <v>331</v>
      </c>
      <c r="B333" s="50">
        <v>4054</v>
      </c>
      <c r="C333" s="50" t="s">
        <v>370</v>
      </c>
      <c r="D333" s="51" t="s">
        <v>78</v>
      </c>
      <c r="F333" s="52">
        <f>SUMIF(CPY!$B:$B,Summary!$B333,CPY!$I:$I)</f>
        <v>0</v>
      </c>
    </row>
    <row r="334" spans="1:6" x14ac:dyDescent="0.25">
      <c r="A334" s="50">
        <f t="shared" si="5"/>
        <v>332</v>
      </c>
      <c r="B334" s="50">
        <v>4055</v>
      </c>
      <c r="C334" s="50" t="s">
        <v>371</v>
      </c>
      <c r="D334" s="51" t="s">
        <v>69</v>
      </c>
      <c r="F334" s="52">
        <f>SUMIF(CPY!$B:$B,Summary!$B334,CPY!$I:$I)</f>
        <v>0</v>
      </c>
    </row>
    <row r="335" spans="1:6" x14ac:dyDescent="0.25">
      <c r="A335" s="50">
        <f t="shared" si="5"/>
        <v>333</v>
      </c>
      <c r="B335" s="50">
        <v>4060</v>
      </c>
      <c r="C335" s="50" t="s">
        <v>372</v>
      </c>
      <c r="D335" s="51" t="s">
        <v>51</v>
      </c>
      <c r="F335" s="52">
        <f>SUMIF(CPY!$B:$B,Summary!$B335,CPY!$I:$I)</f>
        <v>0</v>
      </c>
    </row>
    <row r="336" spans="1:6" x14ac:dyDescent="0.25">
      <c r="A336" s="50">
        <f t="shared" si="5"/>
        <v>334</v>
      </c>
      <c r="B336" s="50">
        <v>4069</v>
      </c>
      <c r="C336" s="50" t="s">
        <v>373</v>
      </c>
      <c r="D336" s="51" t="s">
        <v>78</v>
      </c>
      <c r="F336" s="52">
        <f>SUMIF(CPY!$B:$B,Summary!$B336,CPY!$I:$I)</f>
        <v>0</v>
      </c>
    </row>
    <row r="337" spans="1:6" x14ac:dyDescent="0.25">
      <c r="A337" s="50">
        <f t="shared" si="5"/>
        <v>335</v>
      </c>
      <c r="B337" s="50">
        <v>4074</v>
      </c>
      <c r="C337" s="50" t="s">
        <v>374</v>
      </c>
      <c r="D337" s="51" t="s">
        <v>46</v>
      </c>
      <c r="F337" s="52">
        <f>SUMIF(CPY!$B:$B,Summary!$B337,CPY!$I:$I)</f>
        <v>0</v>
      </c>
    </row>
    <row r="338" spans="1:6" x14ac:dyDescent="0.25">
      <c r="A338" s="50">
        <f t="shared" si="5"/>
        <v>336</v>
      </c>
      <c r="B338" s="50">
        <v>4078</v>
      </c>
      <c r="C338" s="50" t="s">
        <v>375</v>
      </c>
      <c r="D338" s="51" t="s">
        <v>78</v>
      </c>
      <c r="F338" s="52">
        <f>SUMIF(CPY!$B:$B,Summary!$B338,CPY!$I:$I)</f>
        <v>0</v>
      </c>
    </row>
    <row r="339" spans="1:6" x14ac:dyDescent="0.25">
      <c r="A339" s="50">
        <f t="shared" si="5"/>
        <v>337</v>
      </c>
      <c r="B339" s="50">
        <v>4079</v>
      </c>
      <c r="C339" s="50" t="s">
        <v>376</v>
      </c>
      <c r="D339" s="51" t="s">
        <v>78</v>
      </c>
      <c r="F339" s="52">
        <f>SUMIF(CPY!$B:$B,Summary!$B339,CPY!$I:$I)</f>
        <v>0</v>
      </c>
    </row>
    <row r="340" spans="1:6" x14ac:dyDescent="0.25">
      <c r="A340" s="50">
        <f t="shared" si="5"/>
        <v>338</v>
      </c>
      <c r="B340" s="50">
        <v>4080</v>
      </c>
      <c r="C340" s="50" t="s">
        <v>377</v>
      </c>
      <c r="D340" s="51" t="s">
        <v>78</v>
      </c>
      <c r="F340" s="52">
        <f>SUMIF(CPY!$B:$B,Summary!$B340,CPY!$I:$I)</f>
        <v>0</v>
      </c>
    </row>
    <row r="341" spans="1:6" x14ac:dyDescent="0.25">
      <c r="A341" s="50">
        <f t="shared" si="5"/>
        <v>339</v>
      </c>
      <c r="B341" s="50">
        <v>4081</v>
      </c>
      <c r="C341" s="50" t="s">
        <v>378</v>
      </c>
      <c r="D341" s="51" t="s">
        <v>78</v>
      </c>
      <c r="F341" s="52">
        <f>SUMIF(CPY!$B:$B,Summary!$B341,CPY!$I:$I)</f>
        <v>0</v>
      </c>
    </row>
    <row r="342" spans="1:6" x14ac:dyDescent="0.25">
      <c r="A342" s="50">
        <f t="shared" si="5"/>
        <v>340</v>
      </c>
      <c r="B342" s="50">
        <v>4082</v>
      </c>
      <c r="C342" s="50" t="s">
        <v>379</v>
      </c>
      <c r="D342" s="51" t="s">
        <v>78</v>
      </c>
      <c r="F342" s="52">
        <f>SUMIF(CPY!$B:$B,Summary!$B342,CPY!$I:$I)</f>
        <v>0</v>
      </c>
    </row>
    <row r="343" spans="1:6" x14ac:dyDescent="0.25">
      <c r="A343" s="50">
        <f t="shared" si="5"/>
        <v>341</v>
      </c>
      <c r="B343" s="50">
        <v>4086</v>
      </c>
      <c r="C343" s="50" t="s">
        <v>380</v>
      </c>
      <c r="D343" s="51" t="s">
        <v>69</v>
      </c>
      <c r="F343" s="52">
        <f>SUMIF(CPY!$B:$B,Summary!$B343,CPY!$I:$I)</f>
        <v>0</v>
      </c>
    </row>
    <row r="344" spans="1:6" x14ac:dyDescent="0.25">
      <c r="A344" s="50">
        <f t="shared" si="5"/>
        <v>342</v>
      </c>
      <c r="B344" s="50">
        <v>4087</v>
      </c>
      <c r="C344" s="50" t="s">
        <v>381</v>
      </c>
      <c r="D344" s="51" t="s">
        <v>78</v>
      </c>
      <c r="F344" s="52">
        <f>SUMIF(CPY!$B:$B,Summary!$B344,CPY!$I:$I)</f>
        <v>0</v>
      </c>
    </row>
    <row r="345" spans="1:6" x14ac:dyDescent="0.25">
      <c r="A345" s="50">
        <f t="shared" si="5"/>
        <v>343</v>
      </c>
      <c r="B345" s="50">
        <v>4088</v>
      </c>
      <c r="C345" s="50" t="s">
        <v>382</v>
      </c>
      <c r="D345" s="51" t="s">
        <v>78</v>
      </c>
      <c r="F345" s="52">
        <f>SUMIF(CPY!$B:$B,Summary!$B345,CPY!$I:$I)</f>
        <v>0</v>
      </c>
    </row>
    <row r="346" spans="1:6" x14ac:dyDescent="0.25">
      <c r="A346" s="50">
        <f t="shared" si="5"/>
        <v>344</v>
      </c>
      <c r="B346" s="50">
        <v>4089</v>
      </c>
      <c r="C346" s="50" t="s">
        <v>383</v>
      </c>
      <c r="D346" s="51" t="s">
        <v>78</v>
      </c>
      <c r="F346" s="52">
        <f>SUMIF(CPY!$B:$B,Summary!$B346,CPY!$I:$I)</f>
        <v>0</v>
      </c>
    </row>
    <row r="347" spans="1:6" x14ac:dyDescent="0.25">
      <c r="A347" s="50">
        <f t="shared" si="5"/>
        <v>345</v>
      </c>
      <c r="B347" s="50">
        <v>4090</v>
      </c>
      <c r="C347" s="50" t="s">
        <v>384</v>
      </c>
      <c r="D347" s="51" t="s">
        <v>78</v>
      </c>
      <c r="F347" s="52">
        <f>SUMIF(CPY!$B:$B,Summary!$B347,CPY!$I:$I)</f>
        <v>0</v>
      </c>
    </row>
    <row r="348" spans="1:6" x14ac:dyDescent="0.25">
      <c r="A348" s="50">
        <f t="shared" si="5"/>
        <v>346</v>
      </c>
      <c r="B348" s="50">
        <v>4091</v>
      </c>
      <c r="C348" s="50" t="s">
        <v>385</v>
      </c>
      <c r="D348" s="51" t="s">
        <v>78</v>
      </c>
      <c r="F348" s="52">
        <f>SUMIF(CPY!$B:$B,Summary!$B348,CPY!$I:$I)</f>
        <v>0</v>
      </c>
    </row>
    <row r="349" spans="1:6" x14ac:dyDescent="0.25">
      <c r="A349" s="50">
        <f t="shared" si="5"/>
        <v>347</v>
      </c>
      <c r="B349" s="50">
        <v>4092</v>
      </c>
      <c r="C349" s="50" t="s">
        <v>386</v>
      </c>
      <c r="D349" s="51" t="s">
        <v>78</v>
      </c>
      <c r="F349" s="52">
        <f>SUMIF(CPY!$B:$B,Summary!$B349,CPY!$I:$I)</f>
        <v>0</v>
      </c>
    </row>
    <row r="350" spans="1:6" x14ac:dyDescent="0.25">
      <c r="A350" s="50">
        <f t="shared" si="5"/>
        <v>348</v>
      </c>
      <c r="B350" s="50">
        <v>4093</v>
      </c>
      <c r="C350" s="50" t="s">
        <v>217</v>
      </c>
      <c r="D350" s="51" t="s">
        <v>78</v>
      </c>
      <c r="F350" s="52">
        <f>SUMIF(CPY!$B:$B,Summary!$B350,CPY!$I:$I)</f>
        <v>0</v>
      </c>
    </row>
    <row r="351" spans="1:6" x14ac:dyDescent="0.25">
      <c r="A351" s="50">
        <f t="shared" si="5"/>
        <v>349</v>
      </c>
      <c r="B351" s="50">
        <v>4094</v>
      </c>
      <c r="C351" s="50" t="s">
        <v>387</v>
      </c>
      <c r="D351" s="51" t="s">
        <v>78</v>
      </c>
      <c r="F351" s="52">
        <f>SUMIF(CPY!$B:$B,Summary!$B351,CPY!$I:$I)</f>
        <v>0</v>
      </c>
    </row>
    <row r="352" spans="1:6" x14ac:dyDescent="0.25">
      <c r="A352" s="50">
        <f t="shared" si="5"/>
        <v>350</v>
      </c>
      <c r="B352" s="50">
        <v>4096</v>
      </c>
      <c r="C352" s="50" t="s">
        <v>388</v>
      </c>
      <c r="D352" s="51" t="s">
        <v>78</v>
      </c>
      <c r="F352" s="52">
        <f>SUMIF(CPY!$B:$B,Summary!$B352,CPY!$I:$I)</f>
        <v>0</v>
      </c>
    </row>
    <row r="353" spans="1:6" x14ac:dyDescent="0.25">
      <c r="A353" s="50">
        <f t="shared" si="5"/>
        <v>351</v>
      </c>
      <c r="B353" s="50">
        <v>4105</v>
      </c>
      <c r="C353" s="50" t="s">
        <v>389</v>
      </c>
      <c r="D353" s="51" t="s">
        <v>78</v>
      </c>
      <c r="F353" s="52">
        <f>SUMIF(CPY!$B:$B,Summary!$B353,CPY!$I:$I)</f>
        <v>0</v>
      </c>
    </row>
    <row r="354" spans="1:6" x14ac:dyDescent="0.25">
      <c r="A354" s="50">
        <f t="shared" si="5"/>
        <v>352</v>
      </c>
      <c r="B354" s="50">
        <v>4111</v>
      </c>
      <c r="C354" s="50" t="s">
        <v>390</v>
      </c>
      <c r="D354" s="51" t="s">
        <v>78</v>
      </c>
      <c r="F354" s="52">
        <f>SUMIF(CPY!$B:$B,Summary!$B354,CPY!$I:$I)</f>
        <v>0</v>
      </c>
    </row>
    <row r="355" spans="1:6" x14ac:dyDescent="0.25">
      <c r="A355" s="50">
        <f t="shared" si="5"/>
        <v>353</v>
      </c>
      <c r="B355" s="50">
        <v>4113</v>
      </c>
      <c r="C355" s="50" t="s">
        <v>391</v>
      </c>
      <c r="D355" s="51" t="s">
        <v>69</v>
      </c>
      <c r="F355" s="52">
        <f>SUMIF(CPY!$B:$B,Summary!$B355,CPY!$I:$I)</f>
        <v>0</v>
      </c>
    </row>
    <row r="356" spans="1:6" x14ac:dyDescent="0.25">
      <c r="A356" s="50">
        <f t="shared" si="5"/>
        <v>354</v>
      </c>
      <c r="B356" s="50">
        <v>4114</v>
      </c>
      <c r="C356" s="50" t="s">
        <v>392</v>
      </c>
      <c r="D356" s="51" t="s">
        <v>78</v>
      </c>
      <c r="F356" s="52">
        <f>SUMIF(CPY!$B:$B,Summary!$B356,CPY!$I:$I)</f>
        <v>0</v>
      </c>
    </row>
    <row r="357" spans="1:6" x14ac:dyDescent="0.25">
      <c r="A357" s="50">
        <f t="shared" si="5"/>
        <v>355</v>
      </c>
      <c r="B357" s="50">
        <v>4116</v>
      </c>
      <c r="C357" s="50" t="s">
        <v>393</v>
      </c>
      <c r="D357" s="51" t="s">
        <v>78</v>
      </c>
      <c r="F357" s="52">
        <f>SUMIF(CPY!$B:$B,Summary!$B357,CPY!$I:$I)</f>
        <v>0</v>
      </c>
    </row>
    <row r="358" spans="1:6" x14ac:dyDescent="0.25">
      <c r="A358" s="50">
        <f t="shared" si="5"/>
        <v>356</v>
      </c>
      <c r="B358" s="50">
        <v>4118</v>
      </c>
      <c r="C358" s="50" t="s">
        <v>394</v>
      </c>
      <c r="D358" s="51" t="s">
        <v>78</v>
      </c>
      <c r="F358" s="52">
        <f>SUMIF(CPY!$B:$B,Summary!$B358,CPY!$I:$I)</f>
        <v>0</v>
      </c>
    </row>
    <row r="359" spans="1:6" x14ac:dyDescent="0.25">
      <c r="A359" s="50">
        <f t="shared" si="5"/>
        <v>357</v>
      </c>
      <c r="B359" s="50">
        <v>4122</v>
      </c>
      <c r="C359" s="50" t="s">
        <v>395</v>
      </c>
      <c r="D359" s="51" t="s">
        <v>40</v>
      </c>
      <c r="F359" s="52">
        <f>SUMIF(CPY!$B:$B,Summary!$B359,CPY!$I:$I)</f>
        <v>0</v>
      </c>
    </row>
    <row r="360" spans="1:6" x14ac:dyDescent="0.25">
      <c r="A360" s="50">
        <f t="shared" si="5"/>
        <v>358</v>
      </c>
      <c r="B360" s="50">
        <v>4123</v>
      </c>
      <c r="C360" s="50" t="s">
        <v>396</v>
      </c>
      <c r="D360" s="51" t="s">
        <v>78</v>
      </c>
      <c r="F360" s="52">
        <f>SUMIF(CPY!$B:$B,Summary!$B360,CPY!$I:$I)</f>
        <v>0</v>
      </c>
    </row>
    <row r="361" spans="1:6" x14ac:dyDescent="0.25">
      <c r="A361" s="50">
        <f t="shared" si="5"/>
        <v>359</v>
      </c>
      <c r="B361" s="50">
        <v>4129</v>
      </c>
      <c r="C361" s="50" t="s">
        <v>397</v>
      </c>
      <c r="D361" s="51" t="s">
        <v>78</v>
      </c>
      <c r="F361" s="52">
        <f>SUMIF(CPY!$B:$B,Summary!$B361,CPY!$I:$I)</f>
        <v>0</v>
      </c>
    </row>
    <row r="362" spans="1:6" x14ac:dyDescent="0.25">
      <c r="A362" s="50">
        <f t="shared" si="5"/>
        <v>360</v>
      </c>
      <c r="B362" s="50">
        <v>4130</v>
      </c>
      <c r="C362" s="50" t="s">
        <v>398</v>
      </c>
      <c r="D362" s="51" t="s">
        <v>78</v>
      </c>
      <c r="F362" s="52">
        <f>SUMIF(CPY!$B:$B,Summary!$B362,CPY!$I:$I)</f>
        <v>0</v>
      </c>
    </row>
    <row r="363" spans="1:6" x14ac:dyDescent="0.25">
      <c r="A363" s="50">
        <f t="shared" si="5"/>
        <v>361</v>
      </c>
      <c r="B363" s="50">
        <v>4135</v>
      </c>
      <c r="C363" s="50" t="s">
        <v>399</v>
      </c>
      <c r="D363" s="51" t="s">
        <v>78</v>
      </c>
      <c r="F363" s="52">
        <f>SUMIF(CPY!$B:$B,Summary!$B363,CPY!$I:$I)</f>
        <v>0</v>
      </c>
    </row>
    <row r="364" spans="1:6" x14ac:dyDescent="0.25">
      <c r="A364" s="50">
        <f t="shared" si="5"/>
        <v>362</v>
      </c>
      <c r="B364" s="50">
        <v>4136</v>
      </c>
      <c r="C364" s="50" t="s">
        <v>400</v>
      </c>
      <c r="D364" s="51" t="s">
        <v>46</v>
      </c>
      <c r="F364" s="52">
        <f>SUMIF(CPY!$B:$B,Summary!$B364,CPY!$I:$I)</f>
        <v>0</v>
      </c>
    </row>
    <row r="365" spans="1:6" x14ac:dyDescent="0.25">
      <c r="A365" s="50">
        <f t="shared" si="5"/>
        <v>363</v>
      </c>
      <c r="B365" s="50">
        <v>4144</v>
      </c>
      <c r="C365" s="50" t="s">
        <v>401</v>
      </c>
      <c r="D365" s="51" t="s">
        <v>69</v>
      </c>
      <c r="F365" s="52">
        <f>SUMIF(CPY!$B:$B,Summary!$B365,CPY!$I:$I)</f>
        <v>0</v>
      </c>
    </row>
    <row r="366" spans="1:6" x14ac:dyDescent="0.25">
      <c r="A366" s="50">
        <f t="shared" si="5"/>
        <v>364</v>
      </c>
      <c r="B366" s="50">
        <v>4147</v>
      </c>
      <c r="C366" s="50" t="s">
        <v>402</v>
      </c>
      <c r="D366" s="51" t="s">
        <v>40</v>
      </c>
      <c r="F366" s="52">
        <f>SUMIF(CPY!$B:$B,Summary!$B366,CPY!$I:$I)</f>
        <v>0</v>
      </c>
    </row>
    <row r="367" spans="1:6" x14ac:dyDescent="0.25">
      <c r="A367" s="50">
        <f t="shared" si="5"/>
        <v>365</v>
      </c>
      <c r="B367" s="50">
        <v>4148</v>
      </c>
      <c r="C367" s="50" t="s">
        <v>403</v>
      </c>
      <c r="D367" s="51" t="s">
        <v>78</v>
      </c>
      <c r="F367" s="52">
        <f>SUMIF(CPY!$B:$B,Summary!$B367,CPY!$I:$I)</f>
        <v>0</v>
      </c>
    </row>
    <row r="368" spans="1:6" x14ac:dyDescent="0.25">
      <c r="A368" s="50">
        <f t="shared" si="5"/>
        <v>366</v>
      </c>
      <c r="B368" s="50">
        <v>4152</v>
      </c>
      <c r="C368" s="50" t="s">
        <v>404</v>
      </c>
      <c r="D368" s="51" t="s">
        <v>78</v>
      </c>
      <c r="F368" s="52">
        <f>SUMIF(CPY!$B:$B,Summary!$B368,CPY!$I:$I)</f>
        <v>0</v>
      </c>
    </row>
    <row r="369" spans="1:6" x14ac:dyDescent="0.25">
      <c r="A369" s="50">
        <f t="shared" si="5"/>
        <v>367</v>
      </c>
      <c r="B369" s="50">
        <v>4153</v>
      </c>
      <c r="C369" s="50" t="s">
        <v>405</v>
      </c>
      <c r="D369" s="51" t="s">
        <v>78</v>
      </c>
      <c r="F369" s="52">
        <f>SUMIF(CPY!$B:$B,Summary!$B369,CPY!$I:$I)</f>
        <v>0</v>
      </c>
    </row>
    <row r="370" spans="1:6" x14ac:dyDescent="0.25">
      <c r="A370" s="50">
        <f t="shared" si="5"/>
        <v>368</v>
      </c>
      <c r="B370" s="50">
        <v>4155</v>
      </c>
      <c r="C370" s="50" t="s">
        <v>406</v>
      </c>
      <c r="D370" s="51" t="s">
        <v>78</v>
      </c>
      <c r="F370" s="52">
        <f>SUMIF(CPY!$B:$B,Summary!$B370,CPY!$I:$I)</f>
        <v>0</v>
      </c>
    </row>
    <row r="371" spans="1:6" x14ac:dyDescent="0.25">
      <c r="A371" s="50">
        <f t="shared" si="5"/>
        <v>369</v>
      </c>
      <c r="B371" s="50">
        <v>4156</v>
      </c>
      <c r="C371" s="50" t="s">
        <v>407</v>
      </c>
      <c r="D371" s="51" t="s">
        <v>69</v>
      </c>
      <c r="F371" s="52">
        <f>SUMIF(CPY!$B:$B,Summary!$B371,CPY!$I:$I)</f>
        <v>0</v>
      </c>
    </row>
    <row r="372" spans="1:6" x14ac:dyDescent="0.25">
      <c r="A372" s="50">
        <f t="shared" si="5"/>
        <v>370</v>
      </c>
      <c r="B372" s="50">
        <v>4161</v>
      </c>
      <c r="C372" s="50" t="s">
        <v>408</v>
      </c>
      <c r="D372" s="51" t="s">
        <v>69</v>
      </c>
      <c r="F372" s="52">
        <f>SUMIF(CPY!$B:$B,Summary!$B372,CPY!$I:$I)</f>
        <v>0</v>
      </c>
    </row>
    <row r="373" spans="1:6" x14ac:dyDescent="0.25">
      <c r="A373" s="50">
        <f t="shared" si="5"/>
        <v>371</v>
      </c>
      <c r="B373" s="50">
        <v>4176</v>
      </c>
      <c r="C373" s="50" t="s">
        <v>409</v>
      </c>
      <c r="D373" s="51" t="s">
        <v>69</v>
      </c>
      <c r="F373" s="52">
        <f>SUMIF(CPY!$B:$B,Summary!$B373,CPY!$I:$I)</f>
        <v>0</v>
      </c>
    </row>
    <row r="374" spans="1:6" x14ac:dyDescent="0.25">
      <c r="A374" s="50">
        <f t="shared" si="5"/>
        <v>372</v>
      </c>
      <c r="B374" s="50">
        <v>4179</v>
      </c>
      <c r="C374" s="50" t="s">
        <v>410</v>
      </c>
      <c r="D374" s="51" t="s">
        <v>78</v>
      </c>
      <c r="F374" s="52">
        <f>SUMIF(CPY!$B:$B,Summary!$B374,CPY!$I:$I)</f>
        <v>0</v>
      </c>
    </row>
    <row r="375" spans="1:6" x14ac:dyDescent="0.25">
      <c r="A375" s="50">
        <f t="shared" si="5"/>
        <v>373</v>
      </c>
      <c r="B375" s="50">
        <v>4180</v>
      </c>
      <c r="C375" s="50" t="s">
        <v>411</v>
      </c>
      <c r="D375" s="51" t="s">
        <v>46</v>
      </c>
      <c r="F375" s="52">
        <f>SUMIF(CPY!$B:$B,Summary!$B375,CPY!$I:$I)</f>
        <v>0</v>
      </c>
    </row>
    <row r="376" spans="1:6" x14ac:dyDescent="0.25">
      <c r="A376" s="50">
        <f t="shared" si="5"/>
        <v>374</v>
      </c>
      <c r="B376" s="50">
        <v>4182</v>
      </c>
      <c r="C376" s="50" t="s">
        <v>412</v>
      </c>
      <c r="D376" s="51" t="s">
        <v>78</v>
      </c>
      <c r="F376" s="52">
        <f>SUMIF(CPY!$B:$B,Summary!$B376,CPY!$I:$I)</f>
        <v>0</v>
      </c>
    </row>
    <row r="377" spans="1:6" x14ac:dyDescent="0.25">
      <c r="A377" s="50">
        <f t="shared" si="5"/>
        <v>375</v>
      </c>
      <c r="B377" s="50">
        <v>4188</v>
      </c>
      <c r="C377" s="50" t="s">
        <v>413</v>
      </c>
      <c r="D377" s="51" t="s">
        <v>78</v>
      </c>
      <c r="F377" s="52">
        <f>SUMIF(CPY!$B:$B,Summary!$B377,CPY!$I:$I)</f>
        <v>0</v>
      </c>
    </row>
    <row r="378" spans="1:6" x14ac:dyDescent="0.25">
      <c r="A378" s="50">
        <f t="shared" si="5"/>
        <v>376</v>
      </c>
      <c r="B378" s="50">
        <v>4189</v>
      </c>
      <c r="C378" s="50" t="s">
        <v>414</v>
      </c>
      <c r="D378" s="51" t="s">
        <v>46</v>
      </c>
      <c r="F378" s="52">
        <f>SUMIF(CPY!$B:$B,Summary!$B378,CPY!$I:$I)</f>
        <v>0</v>
      </c>
    </row>
    <row r="379" spans="1:6" x14ac:dyDescent="0.25">
      <c r="A379" s="50">
        <f t="shared" si="5"/>
        <v>377</v>
      </c>
      <c r="B379" s="50">
        <v>4193</v>
      </c>
      <c r="C379" s="50" t="s">
        <v>415</v>
      </c>
      <c r="D379" s="51" t="s">
        <v>51</v>
      </c>
      <c r="F379" s="52">
        <f>SUMIF(CPY!$B:$B,Summary!$B379,CPY!$I:$I)</f>
        <v>0</v>
      </c>
    </row>
    <row r="380" spans="1:6" x14ac:dyDescent="0.25">
      <c r="A380" s="50">
        <f t="shared" si="5"/>
        <v>378</v>
      </c>
      <c r="B380" s="50">
        <v>4198</v>
      </c>
      <c r="C380" s="50" t="s">
        <v>416</v>
      </c>
      <c r="D380" s="51" t="s">
        <v>78</v>
      </c>
      <c r="F380" s="52">
        <f>SUMIF(CPY!$B:$B,Summary!$B380,CPY!$I:$I)</f>
        <v>0</v>
      </c>
    </row>
    <row r="381" spans="1:6" x14ac:dyDescent="0.25">
      <c r="A381" s="50">
        <f t="shared" si="5"/>
        <v>379</v>
      </c>
      <c r="B381" s="50">
        <v>4201</v>
      </c>
      <c r="C381" s="50" t="s">
        <v>417</v>
      </c>
      <c r="D381" s="51" t="s">
        <v>78</v>
      </c>
      <c r="F381" s="52">
        <f>SUMIF(CPY!$B:$B,Summary!$B381,CPY!$I:$I)</f>
        <v>0</v>
      </c>
    </row>
    <row r="382" spans="1:6" x14ac:dyDescent="0.25">
      <c r="A382" s="50">
        <f t="shared" si="5"/>
        <v>380</v>
      </c>
      <c r="B382" s="50">
        <v>4204</v>
      </c>
      <c r="C382" s="50" t="s">
        <v>418</v>
      </c>
      <c r="D382" s="51" t="s">
        <v>51</v>
      </c>
      <c r="F382" s="52">
        <f>SUMIF(CPY!$B:$B,Summary!$B382,CPY!$I:$I)</f>
        <v>0</v>
      </c>
    </row>
    <row r="383" spans="1:6" x14ac:dyDescent="0.25">
      <c r="A383" s="50">
        <f t="shared" si="5"/>
        <v>381</v>
      </c>
      <c r="B383" s="50">
        <v>4208</v>
      </c>
      <c r="C383" s="50" t="s">
        <v>419</v>
      </c>
      <c r="D383" s="51" t="s">
        <v>78</v>
      </c>
      <c r="F383" s="52">
        <f>SUMIF(CPY!$B:$B,Summary!$B383,CPY!$I:$I)</f>
        <v>0</v>
      </c>
    </row>
    <row r="384" spans="1:6" x14ac:dyDescent="0.25">
      <c r="A384" s="50">
        <f t="shared" si="5"/>
        <v>382</v>
      </c>
      <c r="B384" s="50">
        <v>4220</v>
      </c>
      <c r="C384" s="50" t="s">
        <v>420</v>
      </c>
      <c r="D384" s="51" t="s">
        <v>78</v>
      </c>
      <c r="F384" s="52">
        <f>SUMIF(CPY!$B:$B,Summary!$B384,CPY!$I:$I)</f>
        <v>0</v>
      </c>
    </row>
    <row r="385" spans="1:6" x14ac:dyDescent="0.25">
      <c r="A385" s="50">
        <f t="shared" si="5"/>
        <v>383</v>
      </c>
      <c r="B385" s="50">
        <v>4221</v>
      </c>
      <c r="C385" s="50" t="s">
        <v>421</v>
      </c>
      <c r="D385" s="51" t="s">
        <v>69</v>
      </c>
      <c r="F385" s="52">
        <f>SUMIF(CPY!$B:$B,Summary!$B385,CPY!$I:$I)</f>
        <v>0</v>
      </c>
    </row>
    <row r="386" spans="1:6" x14ac:dyDescent="0.25">
      <c r="A386" s="50">
        <f t="shared" si="5"/>
        <v>384</v>
      </c>
      <c r="B386" s="50">
        <v>4222</v>
      </c>
      <c r="C386" s="50" t="s">
        <v>422</v>
      </c>
      <c r="D386" s="51" t="s">
        <v>33</v>
      </c>
      <c r="F386" s="52">
        <f>SUMIF(CPY!$B:$B,Summary!$B386,CPY!$I:$I)</f>
        <v>0</v>
      </c>
    </row>
    <row r="387" spans="1:6" x14ac:dyDescent="0.25">
      <c r="A387" s="50">
        <f t="shared" si="5"/>
        <v>385</v>
      </c>
      <c r="B387" s="50">
        <v>4226</v>
      </c>
      <c r="C387" s="50" t="s">
        <v>423</v>
      </c>
      <c r="D387" s="51" t="s">
        <v>78</v>
      </c>
      <c r="F387" s="52">
        <f>SUMIF(CPY!$B:$B,Summary!$B387,CPY!$I:$I)</f>
        <v>0</v>
      </c>
    </row>
    <row r="388" spans="1:6" x14ac:dyDescent="0.25">
      <c r="A388" s="50">
        <f t="shared" si="5"/>
        <v>386</v>
      </c>
      <c r="B388" s="50">
        <v>4228</v>
      </c>
      <c r="C388" s="50" t="s">
        <v>424</v>
      </c>
      <c r="D388" s="51" t="s">
        <v>78</v>
      </c>
      <c r="F388" s="52">
        <f>SUMIF(CPY!$B:$B,Summary!$B388,CPY!$I:$I)</f>
        <v>0</v>
      </c>
    </row>
    <row r="389" spans="1:6" x14ac:dyDescent="0.25">
      <c r="A389" s="50">
        <f t="shared" ref="A389:A452" si="6">+A388+1</f>
        <v>387</v>
      </c>
      <c r="B389" s="50">
        <v>4235</v>
      </c>
      <c r="C389" s="50" t="s">
        <v>425</v>
      </c>
      <c r="D389" s="51" t="s">
        <v>78</v>
      </c>
      <c r="F389" s="52">
        <f>SUMIF(CPY!$B:$B,Summary!$B389,CPY!$I:$I)</f>
        <v>0</v>
      </c>
    </row>
    <row r="390" spans="1:6" x14ac:dyDescent="0.25">
      <c r="A390" s="50">
        <f t="shared" si="6"/>
        <v>388</v>
      </c>
      <c r="B390" s="50">
        <v>4243</v>
      </c>
      <c r="C390" s="50" t="s">
        <v>331</v>
      </c>
      <c r="D390" s="51" t="s">
        <v>69</v>
      </c>
      <c r="F390" s="52">
        <f>SUMIF(CPY!$B:$B,Summary!$B390,CPY!$I:$I)</f>
        <v>0</v>
      </c>
    </row>
    <row r="391" spans="1:6" x14ac:dyDescent="0.25">
      <c r="A391" s="50">
        <f t="shared" si="6"/>
        <v>389</v>
      </c>
      <c r="B391" s="50">
        <v>4244</v>
      </c>
      <c r="C391" s="50" t="s">
        <v>426</v>
      </c>
      <c r="D391" s="51" t="s">
        <v>46</v>
      </c>
      <c r="F391" s="52">
        <f>SUMIF(CPY!$B:$B,Summary!$B391,CPY!$I:$I)</f>
        <v>0</v>
      </c>
    </row>
    <row r="392" spans="1:6" x14ac:dyDescent="0.25">
      <c r="A392" s="50">
        <f t="shared" si="6"/>
        <v>390</v>
      </c>
      <c r="B392" s="50">
        <v>4245</v>
      </c>
      <c r="C392" s="50" t="s">
        <v>427</v>
      </c>
      <c r="D392" s="51" t="s">
        <v>78</v>
      </c>
      <c r="F392" s="52">
        <f>SUMIF(CPY!$B:$B,Summary!$B392,CPY!$I:$I)</f>
        <v>0</v>
      </c>
    </row>
    <row r="393" spans="1:6" x14ac:dyDescent="0.25">
      <c r="A393" s="50">
        <f t="shared" si="6"/>
        <v>391</v>
      </c>
      <c r="B393" s="50">
        <v>4248</v>
      </c>
      <c r="C393" s="50" t="s">
        <v>428</v>
      </c>
      <c r="D393" s="51" t="s">
        <v>69</v>
      </c>
      <c r="F393" s="52">
        <f>SUMIF(CPY!$B:$B,Summary!$B393,CPY!$I:$I)</f>
        <v>0</v>
      </c>
    </row>
    <row r="394" spans="1:6" x14ac:dyDescent="0.25">
      <c r="A394" s="50">
        <f t="shared" si="6"/>
        <v>392</v>
      </c>
      <c r="B394" s="50">
        <v>4257</v>
      </c>
      <c r="C394" s="50" t="s">
        <v>429</v>
      </c>
      <c r="D394" s="51" t="s">
        <v>78</v>
      </c>
      <c r="F394" s="52">
        <f>SUMIF(CPY!$B:$B,Summary!$B394,CPY!$I:$I)</f>
        <v>0</v>
      </c>
    </row>
    <row r="395" spans="1:6" x14ac:dyDescent="0.25">
      <c r="A395" s="50">
        <f t="shared" si="6"/>
        <v>393</v>
      </c>
      <c r="B395" s="50">
        <v>4281</v>
      </c>
      <c r="C395" s="50" t="s">
        <v>430</v>
      </c>
      <c r="D395" s="51" t="s">
        <v>51</v>
      </c>
      <c r="F395" s="52">
        <f>SUMIF(CPY!$B:$B,Summary!$B395,CPY!$I:$I)</f>
        <v>0</v>
      </c>
    </row>
    <row r="396" spans="1:6" x14ac:dyDescent="0.25">
      <c r="A396" s="50">
        <f t="shared" si="6"/>
        <v>394</v>
      </c>
      <c r="B396" s="50">
        <v>4284</v>
      </c>
      <c r="C396" s="50" t="s">
        <v>431</v>
      </c>
      <c r="D396" s="51" t="s">
        <v>46</v>
      </c>
      <c r="F396" s="52">
        <f>SUMIF(CPY!$B:$B,Summary!$B396,CPY!$I:$I)</f>
        <v>0</v>
      </c>
    </row>
    <row r="397" spans="1:6" x14ac:dyDescent="0.25">
      <c r="A397" s="50">
        <f t="shared" si="6"/>
        <v>395</v>
      </c>
      <c r="B397" s="50">
        <v>4285</v>
      </c>
      <c r="C397" s="50" t="s">
        <v>432</v>
      </c>
      <c r="D397" s="51" t="s">
        <v>46</v>
      </c>
      <c r="F397" s="52">
        <f>SUMIF(CPY!$B:$B,Summary!$B397,CPY!$I:$I)</f>
        <v>0</v>
      </c>
    </row>
    <row r="398" spans="1:6" x14ac:dyDescent="0.25">
      <c r="A398" s="50">
        <f t="shared" si="6"/>
        <v>396</v>
      </c>
      <c r="B398" s="50">
        <v>4286</v>
      </c>
      <c r="C398" s="50" t="s">
        <v>433</v>
      </c>
      <c r="D398" s="51" t="s">
        <v>46</v>
      </c>
      <c r="F398" s="52">
        <f>SUMIF(CPY!$B:$B,Summary!$B398,CPY!$I:$I)</f>
        <v>0</v>
      </c>
    </row>
    <row r="399" spans="1:6" x14ac:dyDescent="0.25">
      <c r="A399" s="50">
        <f t="shared" si="6"/>
        <v>397</v>
      </c>
      <c r="B399" s="50">
        <v>4295</v>
      </c>
      <c r="C399" s="50" t="s">
        <v>434</v>
      </c>
      <c r="D399" s="51" t="s">
        <v>78</v>
      </c>
      <c r="F399" s="52">
        <f>SUMIF(CPY!$B:$B,Summary!$B399,CPY!$I:$I)</f>
        <v>0</v>
      </c>
    </row>
    <row r="400" spans="1:6" x14ac:dyDescent="0.25">
      <c r="A400" s="50">
        <f t="shared" si="6"/>
        <v>398</v>
      </c>
      <c r="B400" s="50">
        <v>4299</v>
      </c>
      <c r="C400" s="50" t="s">
        <v>435</v>
      </c>
      <c r="D400" s="51" t="s">
        <v>46</v>
      </c>
      <c r="F400" s="52">
        <f>SUMIF(CPY!$B:$B,Summary!$B400,CPY!$I:$I)</f>
        <v>0</v>
      </c>
    </row>
    <row r="401" spans="1:6" x14ac:dyDescent="0.25">
      <c r="A401" s="50">
        <f t="shared" si="6"/>
        <v>399</v>
      </c>
      <c r="B401" s="50">
        <v>4305</v>
      </c>
      <c r="C401" s="50" t="s">
        <v>436</v>
      </c>
      <c r="D401" s="51" t="s">
        <v>78</v>
      </c>
      <c r="F401" s="52">
        <f>SUMIF(CPY!$B:$B,Summary!$B401,CPY!$I:$I)</f>
        <v>0</v>
      </c>
    </row>
    <row r="402" spans="1:6" x14ac:dyDescent="0.25">
      <c r="A402" s="50">
        <f t="shared" si="6"/>
        <v>400</v>
      </c>
      <c r="B402" s="50">
        <v>4315</v>
      </c>
      <c r="C402" s="50" t="s">
        <v>437</v>
      </c>
      <c r="D402" s="51" t="s">
        <v>78</v>
      </c>
      <c r="F402" s="52">
        <f>SUMIF(CPY!$B:$B,Summary!$B402,CPY!$I:$I)</f>
        <v>0</v>
      </c>
    </row>
    <row r="403" spans="1:6" x14ac:dyDescent="0.25">
      <c r="A403" s="50">
        <f t="shared" si="6"/>
        <v>401</v>
      </c>
      <c r="B403" s="50">
        <v>4319</v>
      </c>
      <c r="C403" s="50" t="s">
        <v>438</v>
      </c>
      <c r="D403" s="51" t="s">
        <v>69</v>
      </c>
      <c r="F403" s="52">
        <f>SUMIF(CPY!$B:$B,Summary!$B403,CPY!$I:$I)</f>
        <v>0</v>
      </c>
    </row>
    <row r="404" spans="1:6" x14ac:dyDescent="0.25">
      <c r="A404" s="50">
        <f t="shared" si="6"/>
        <v>402</v>
      </c>
      <c r="B404" s="50">
        <v>4320</v>
      </c>
      <c r="C404" s="50" t="s">
        <v>439</v>
      </c>
      <c r="D404" s="51" t="s">
        <v>78</v>
      </c>
      <c r="F404" s="52">
        <f>SUMIF(CPY!$B:$B,Summary!$B404,CPY!$I:$I)</f>
        <v>0</v>
      </c>
    </row>
    <row r="405" spans="1:6" x14ac:dyDescent="0.25">
      <c r="A405" s="50">
        <f t="shared" si="6"/>
        <v>403</v>
      </c>
      <c r="B405" s="50">
        <v>4321</v>
      </c>
      <c r="C405" s="50" t="s">
        <v>440</v>
      </c>
      <c r="D405" s="51" t="s">
        <v>78</v>
      </c>
      <c r="F405" s="52">
        <f>SUMIF(CPY!$B:$B,Summary!$B405,CPY!$I:$I)</f>
        <v>0</v>
      </c>
    </row>
    <row r="406" spans="1:6" x14ac:dyDescent="0.25">
      <c r="A406" s="50">
        <f t="shared" si="6"/>
        <v>404</v>
      </c>
      <c r="B406" s="50">
        <v>4334</v>
      </c>
      <c r="C406" s="50" t="s">
        <v>441</v>
      </c>
      <c r="D406" s="51" t="s">
        <v>69</v>
      </c>
      <c r="F406" s="52">
        <f>SUMIF(CPY!$B:$B,Summary!$B406,CPY!$I:$I)</f>
        <v>0</v>
      </c>
    </row>
    <row r="407" spans="1:6" x14ac:dyDescent="0.25">
      <c r="A407" s="50">
        <f t="shared" si="6"/>
        <v>405</v>
      </c>
      <c r="B407" s="50">
        <v>4336</v>
      </c>
      <c r="C407" s="50" t="s">
        <v>442</v>
      </c>
      <c r="D407" s="51" t="s">
        <v>69</v>
      </c>
      <c r="F407" s="52">
        <f>SUMIF(CPY!$B:$B,Summary!$B407,CPY!$I:$I)</f>
        <v>0</v>
      </c>
    </row>
    <row r="408" spans="1:6" x14ac:dyDescent="0.25">
      <c r="A408" s="50">
        <f t="shared" si="6"/>
        <v>406</v>
      </c>
      <c r="B408" s="50">
        <v>4345</v>
      </c>
      <c r="C408" s="50" t="s">
        <v>443</v>
      </c>
      <c r="D408" s="51" t="s">
        <v>69</v>
      </c>
      <c r="F408" s="52">
        <f>SUMIF(CPY!$B:$B,Summary!$B408,CPY!$I:$I)</f>
        <v>0</v>
      </c>
    </row>
    <row r="409" spans="1:6" x14ac:dyDescent="0.25">
      <c r="A409" s="50">
        <f t="shared" si="6"/>
        <v>407</v>
      </c>
      <c r="B409" s="50">
        <v>4348</v>
      </c>
      <c r="C409" s="50" t="s">
        <v>444</v>
      </c>
      <c r="D409" s="51" t="s">
        <v>78</v>
      </c>
      <c r="F409" s="52">
        <f>SUMIF(CPY!$B:$B,Summary!$B409,CPY!$I:$I)</f>
        <v>0</v>
      </c>
    </row>
    <row r="410" spans="1:6" x14ac:dyDescent="0.25">
      <c r="A410" s="50">
        <f t="shared" si="6"/>
        <v>408</v>
      </c>
      <c r="B410" s="50">
        <v>4351</v>
      </c>
      <c r="C410" s="50" t="s">
        <v>445</v>
      </c>
      <c r="D410" s="51" t="s">
        <v>69</v>
      </c>
      <c r="F410" s="52">
        <f>SUMIF(CPY!$B:$B,Summary!$B410,CPY!$I:$I)</f>
        <v>0</v>
      </c>
    </row>
    <row r="411" spans="1:6" x14ac:dyDescent="0.25">
      <c r="A411" s="50">
        <f t="shared" si="6"/>
        <v>409</v>
      </c>
      <c r="B411" s="50">
        <v>4353</v>
      </c>
      <c r="C411" s="50" t="s">
        <v>446</v>
      </c>
      <c r="D411" s="51" t="s">
        <v>69</v>
      </c>
      <c r="F411" s="52">
        <f>SUMIF(CPY!$B:$B,Summary!$B411,CPY!$I:$I)</f>
        <v>0</v>
      </c>
    </row>
    <row r="412" spans="1:6" x14ac:dyDescent="0.25">
      <c r="A412" s="50">
        <f t="shared" si="6"/>
        <v>410</v>
      </c>
      <c r="B412" s="50">
        <v>4360</v>
      </c>
      <c r="C412" s="50" t="s">
        <v>447</v>
      </c>
      <c r="D412" s="51" t="s">
        <v>78</v>
      </c>
      <c r="F412" s="52">
        <f>SUMIF(CPY!$B:$B,Summary!$B412,CPY!$I:$I)</f>
        <v>0</v>
      </c>
    </row>
    <row r="413" spans="1:6" x14ac:dyDescent="0.25">
      <c r="A413" s="50">
        <f t="shared" si="6"/>
        <v>411</v>
      </c>
      <c r="B413" s="50">
        <v>4361</v>
      </c>
      <c r="C413" s="50" t="s">
        <v>448</v>
      </c>
      <c r="D413" s="51" t="s">
        <v>69</v>
      </c>
      <c r="F413" s="52">
        <f>SUMIF(CPY!$B:$B,Summary!$B413,CPY!$I:$I)</f>
        <v>0</v>
      </c>
    </row>
    <row r="414" spans="1:6" x14ac:dyDescent="0.25">
      <c r="A414" s="50">
        <f t="shared" si="6"/>
        <v>412</v>
      </c>
      <c r="B414" s="50">
        <v>4362</v>
      </c>
      <c r="C414" s="50" t="s">
        <v>449</v>
      </c>
      <c r="D414" s="51" t="s">
        <v>78</v>
      </c>
      <c r="F414" s="52">
        <f>SUMIF(CPY!$B:$B,Summary!$B414,CPY!$I:$I)</f>
        <v>0</v>
      </c>
    </row>
    <row r="415" spans="1:6" x14ac:dyDescent="0.25">
      <c r="A415" s="50">
        <f t="shared" si="6"/>
        <v>413</v>
      </c>
      <c r="B415" s="50">
        <v>4367</v>
      </c>
      <c r="C415" s="50" t="s">
        <v>450</v>
      </c>
      <c r="D415" s="51" t="s">
        <v>78</v>
      </c>
      <c r="F415" s="52">
        <f>SUMIF(CPY!$B:$B,Summary!$B415,CPY!$I:$I)</f>
        <v>0</v>
      </c>
    </row>
    <row r="416" spans="1:6" x14ac:dyDescent="0.25">
      <c r="A416" s="50">
        <f t="shared" si="6"/>
        <v>414</v>
      </c>
      <c r="B416" s="50">
        <v>4373</v>
      </c>
      <c r="C416" s="50" t="s">
        <v>451</v>
      </c>
      <c r="D416" s="51" t="s">
        <v>78</v>
      </c>
      <c r="F416" s="52">
        <f>SUMIF(CPY!$B:$B,Summary!$B416,CPY!$I:$I)</f>
        <v>0</v>
      </c>
    </row>
    <row r="417" spans="1:6" x14ac:dyDescent="0.25">
      <c r="A417" s="50">
        <f t="shared" si="6"/>
        <v>415</v>
      </c>
      <c r="B417" s="50">
        <v>4375</v>
      </c>
      <c r="C417" s="50" t="s">
        <v>452</v>
      </c>
      <c r="D417" s="51" t="s">
        <v>46</v>
      </c>
      <c r="F417" s="52">
        <f>SUMIF(CPY!$B:$B,Summary!$B417,CPY!$I:$I)</f>
        <v>0</v>
      </c>
    </row>
    <row r="418" spans="1:6" x14ac:dyDescent="0.25">
      <c r="A418" s="50">
        <f t="shared" si="6"/>
        <v>416</v>
      </c>
      <c r="B418" s="50">
        <v>4378</v>
      </c>
      <c r="C418" s="50" t="s">
        <v>453</v>
      </c>
      <c r="D418" s="51" t="s">
        <v>33</v>
      </c>
      <c r="F418" s="52">
        <f>SUMIF(CPY!$B:$B,Summary!$B418,CPY!$I:$I)</f>
        <v>0</v>
      </c>
    </row>
    <row r="419" spans="1:6" x14ac:dyDescent="0.25">
      <c r="A419" s="50">
        <f t="shared" si="6"/>
        <v>417</v>
      </c>
      <c r="B419" s="50">
        <v>4382</v>
      </c>
      <c r="C419" s="50" t="s">
        <v>454</v>
      </c>
      <c r="D419" s="51" t="s">
        <v>46</v>
      </c>
      <c r="F419" s="52">
        <f>SUMIF(CPY!$B:$B,Summary!$B419,CPY!$I:$I)</f>
        <v>0</v>
      </c>
    </row>
    <row r="420" spans="1:6" x14ac:dyDescent="0.25">
      <c r="A420" s="50">
        <f t="shared" si="6"/>
        <v>418</v>
      </c>
      <c r="B420" s="50">
        <v>4392</v>
      </c>
      <c r="C420" s="50" t="s">
        <v>455</v>
      </c>
      <c r="D420" s="51" t="s">
        <v>78</v>
      </c>
      <c r="F420" s="52">
        <f>SUMIF(CPY!$B:$B,Summary!$B420,CPY!$I:$I)</f>
        <v>0</v>
      </c>
    </row>
    <row r="421" spans="1:6" x14ac:dyDescent="0.25">
      <c r="A421" s="50">
        <f t="shared" si="6"/>
        <v>419</v>
      </c>
      <c r="B421" s="50">
        <v>4393</v>
      </c>
      <c r="C421" s="50" t="s">
        <v>456</v>
      </c>
      <c r="D421" s="51" t="s">
        <v>78</v>
      </c>
      <c r="F421" s="52">
        <f>SUMIF(CPY!$B:$B,Summary!$B421,CPY!$I:$I)</f>
        <v>0</v>
      </c>
    </row>
    <row r="422" spans="1:6" x14ac:dyDescent="0.25">
      <c r="A422" s="50">
        <f t="shared" si="6"/>
        <v>420</v>
      </c>
      <c r="B422" s="50">
        <v>4398</v>
      </c>
      <c r="C422" s="50" t="s">
        <v>457</v>
      </c>
      <c r="D422" s="51" t="s">
        <v>46</v>
      </c>
      <c r="F422" s="52">
        <f>SUMIF(CPY!$B:$B,Summary!$B422,CPY!$I:$I)</f>
        <v>0</v>
      </c>
    </row>
    <row r="423" spans="1:6" x14ac:dyDescent="0.25">
      <c r="A423" s="50">
        <f t="shared" si="6"/>
        <v>421</v>
      </c>
      <c r="B423" s="50">
        <v>4408</v>
      </c>
      <c r="C423" s="50" t="s">
        <v>458</v>
      </c>
      <c r="D423" s="51" t="s">
        <v>69</v>
      </c>
      <c r="F423" s="52">
        <f>SUMIF(CPY!$B:$B,Summary!$B423,CPY!$I:$I)</f>
        <v>0</v>
      </c>
    </row>
    <row r="424" spans="1:6" x14ac:dyDescent="0.25">
      <c r="A424" s="50">
        <f t="shared" si="6"/>
        <v>422</v>
      </c>
      <c r="B424" s="50">
        <v>4410</v>
      </c>
      <c r="C424" s="50" t="s">
        <v>459</v>
      </c>
      <c r="D424" s="51" t="s">
        <v>69</v>
      </c>
      <c r="F424" s="52">
        <f>SUMIF(CPY!$B:$B,Summary!$B424,CPY!$I:$I)</f>
        <v>0</v>
      </c>
    </row>
    <row r="425" spans="1:6" x14ac:dyDescent="0.25">
      <c r="A425" s="50">
        <f t="shared" si="6"/>
        <v>423</v>
      </c>
      <c r="B425" s="50">
        <v>4411</v>
      </c>
      <c r="C425" s="50" t="s">
        <v>460</v>
      </c>
      <c r="D425" s="51" t="s">
        <v>69</v>
      </c>
      <c r="F425" s="52">
        <f>SUMIF(CPY!$B:$B,Summary!$B425,CPY!$I:$I)</f>
        <v>0</v>
      </c>
    </row>
    <row r="426" spans="1:6" x14ac:dyDescent="0.25">
      <c r="A426" s="50">
        <f t="shared" si="6"/>
        <v>424</v>
      </c>
      <c r="B426" s="50">
        <v>4415</v>
      </c>
      <c r="C426" s="50" t="s">
        <v>461</v>
      </c>
      <c r="D426" s="51" t="s">
        <v>69</v>
      </c>
      <c r="F426" s="52">
        <f>SUMIF(CPY!$B:$B,Summary!$B426,CPY!$I:$I)</f>
        <v>0</v>
      </c>
    </row>
    <row r="427" spans="1:6" x14ac:dyDescent="0.25">
      <c r="A427" s="50">
        <f t="shared" si="6"/>
        <v>425</v>
      </c>
      <c r="B427" s="50">
        <v>4417</v>
      </c>
      <c r="C427" s="50" t="s">
        <v>462</v>
      </c>
      <c r="D427" s="51" t="s">
        <v>69</v>
      </c>
      <c r="F427" s="52">
        <f>SUMIF(CPY!$B:$B,Summary!$B427,CPY!$I:$I)</f>
        <v>0</v>
      </c>
    </row>
    <row r="428" spans="1:6" x14ac:dyDescent="0.25">
      <c r="A428" s="50">
        <f t="shared" si="6"/>
        <v>426</v>
      </c>
      <c r="B428" s="50">
        <v>4419</v>
      </c>
      <c r="C428" s="50" t="s">
        <v>463</v>
      </c>
      <c r="D428" s="51" t="s">
        <v>69</v>
      </c>
      <c r="F428" s="52">
        <f>SUMIF(CPY!$B:$B,Summary!$B428,CPY!$I:$I)</f>
        <v>0</v>
      </c>
    </row>
    <row r="429" spans="1:6" x14ac:dyDescent="0.25">
      <c r="A429" s="50">
        <f t="shared" si="6"/>
        <v>427</v>
      </c>
      <c r="B429" s="50">
        <v>4430</v>
      </c>
      <c r="C429" s="50" t="s">
        <v>464</v>
      </c>
      <c r="D429" s="51" t="s">
        <v>85</v>
      </c>
      <c r="F429" s="52">
        <f>SUMIF(CPY!$B:$B,Summary!$B429,CPY!$I:$I)</f>
        <v>0</v>
      </c>
    </row>
    <row r="430" spans="1:6" x14ac:dyDescent="0.25">
      <c r="A430" s="50">
        <f t="shared" si="6"/>
        <v>428</v>
      </c>
      <c r="B430" s="50">
        <v>4432</v>
      </c>
      <c r="C430" s="50" t="s">
        <v>465</v>
      </c>
      <c r="D430" s="51" t="s">
        <v>46</v>
      </c>
      <c r="F430" s="52">
        <f>SUMIF(CPY!$B:$B,Summary!$B430,CPY!$I:$I)</f>
        <v>0</v>
      </c>
    </row>
    <row r="431" spans="1:6" x14ac:dyDescent="0.25">
      <c r="A431" s="50">
        <f t="shared" si="6"/>
        <v>429</v>
      </c>
      <c r="B431" s="50">
        <v>4433</v>
      </c>
      <c r="C431" s="50" t="s">
        <v>466</v>
      </c>
      <c r="D431" s="51" t="s">
        <v>78</v>
      </c>
      <c r="F431" s="52">
        <f>SUMIF(CPY!$B:$B,Summary!$B431,CPY!$I:$I)</f>
        <v>0</v>
      </c>
    </row>
    <row r="432" spans="1:6" x14ac:dyDescent="0.25">
      <c r="A432" s="50">
        <f t="shared" si="6"/>
        <v>430</v>
      </c>
      <c r="B432" s="50">
        <v>4434</v>
      </c>
      <c r="C432" s="50" t="s">
        <v>467</v>
      </c>
      <c r="D432" s="51" t="s">
        <v>78</v>
      </c>
      <c r="F432" s="52">
        <f>SUMIF(CPY!$B:$B,Summary!$B432,CPY!$I:$I)</f>
        <v>0</v>
      </c>
    </row>
    <row r="433" spans="1:6" x14ac:dyDescent="0.25">
      <c r="A433" s="50">
        <f t="shared" si="6"/>
        <v>431</v>
      </c>
      <c r="B433" s="50">
        <v>4436</v>
      </c>
      <c r="C433" s="50" t="s">
        <v>468</v>
      </c>
      <c r="D433" s="51" t="s">
        <v>78</v>
      </c>
      <c r="F433" s="52">
        <f>SUMIF(CPY!$B:$B,Summary!$B433,CPY!$I:$I)</f>
        <v>0</v>
      </c>
    </row>
    <row r="434" spans="1:6" x14ac:dyDescent="0.25">
      <c r="A434" s="50">
        <f t="shared" si="6"/>
        <v>432</v>
      </c>
      <c r="B434" s="50">
        <v>4454</v>
      </c>
      <c r="C434" s="50" t="s">
        <v>469</v>
      </c>
      <c r="D434" s="51" t="s">
        <v>69</v>
      </c>
      <c r="F434" s="52">
        <f>SUMIF(CPY!$B:$B,Summary!$B434,CPY!$I:$I)</f>
        <v>0</v>
      </c>
    </row>
    <row r="435" spans="1:6" x14ac:dyDescent="0.25">
      <c r="A435" s="50">
        <f t="shared" si="6"/>
        <v>433</v>
      </c>
      <c r="B435" s="50">
        <v>4468</v>
      </c>
      <c r="C435" s="50" t="s">
        <v>470</v>
      </c>
      <c r="D435" s="51" t="s">
        <v>69</v>
      </c>
      <c r="F435" s="52">
        <f>SUMIF(CPY!$B:$B,Summary!$B435,CPY!$I:$I)</f>
        <v>0</v>
      </c>
    </row>
    <row r="436" spans="1:6" x14ac:dyDescent="0.25">
      <c r="A436" s="50">
        <f t="shared" si="6"/>
        <v>434</v>
      </c>
      <c r="B436" s="50">
        <v>4486</v>
      </c>
      <c r="C436" s="50" t="s">
        <v>471</v>
      </c>
      <c r="D436" s="51" t="s">
        <v>78</v>
      </c>
      <c r="F436" s="52">
        <f>SUMIF(CPY!$B:$B,Summary!$B436,CPY!$I:$I)</f>
        <v>0</v>
      </c>
    </row>
    <row r="437" spans="1:6" x14ac:dyDescent="0.25">
      <c r="A437" s="50">
        <f t="shared" si="6"/>
        <v>435</v>
      </c>
      <c r="B437" s="50">
        <v>4493</v>
      </c>
      <c r="C437" s="50" t="s">
        <v>472</v>
      </c>
      <c r="D437" s="51" t="s">
        <v>78</v>
      </c>
      <c r="F437" s="52">
        <f>SUMIF(CPY!$B:$B,Summary!$B437,CPY!$I:$I)</f>
        <v>0</v>
      </c>
    </row>
    <row r="438" spans="1:6" x14ac:dyDescent="0.25">
      <c r="A438" s="50">
        <f t="shared" si="6"/>
        <v>436</v>
      </c>
      <c r="B438" s="50">
        <v>4498</v>
      </c>
      <c r="C438" s="50" t="s">
        <v>473</v>
      </c>
      <c r="D438" s="51" t="s">
        <v>78</v>
      </c>
      <c r="F438" s="52">
        <f>SUMIF(CPY!$B:$B,Summary!$B438,CPY!$I:$I)</f>
        <v>0</v>
      </c>
    </row>
    <row r="439" spans="1:6" x14ac:dyDescent="0.25">
      <c r="A439" s="50">
        <f t="shared" si="6"/>
        <v>437</v>
      </c>
      <c r="B439" s="50">
        <v>4500</v>
      </c>
      <c r="C439" s="50" t="s">
        <v>474</v>
      </c>
      <c r="D439" s="51" t="s">
        <v>78</v>
      </c>
      <c r="F439" s="52">
        <f>SUMIF(CPY!$B:$B,Summary!$B439,CPY!$I:$I)</f>
        <v>0</v>
      </c>
    </row>
    <row r="440" spans="1:6" x14ac:dyDescent="0.25">
      <c r="A440" s="50">
        <f t="shared" si="6"/>
        <v>438</v>
      </c>
      <c r="B440" s="50">
        <v>4504</v>
      </c>
      <c r="C440" s="50" t="s">
        <v>475</v>
      </c>
      <c r="D440" s="51" t="s">
        <v>78</v>
      </c>
      <c r="F440" s="52">
        <f>SUMIF(CPY!$B:$B,Summary!$B440,CPY!$I:$I)</f>
        <v>0</v>
      </c>
    </row>
    <row r="441" spans="1:6" x14ac:dyDescent="0.25">
      <c r="A441" s="50">
        <f t="shared" si="6"/>
        <v>439</v>
      </c>
      <c r="B441" s="50">
        <v>4505</v>
      </c>
      <c r="C441" s="50" t="s">
        <v>476</v>
      </c>
      <c r="D441" s="51" t="s">
        <v>46</v>
      </c>
      <c r="F441" s="52">
        <f>SUMIF(CPY!$B:$B,Summary!$B441,CPY!$I:$I)</f>
        <v>0</v>
      </c>
    </row>
    <row r="442" spans="1:6" x14ac:dyDescent="0.25">
      <c r="A442" s="50">
        <f t="shared" si="6"/>
        <v>440</v>
      </c>
      <c r="B442" s="50">
        <v>4514</v>
      </c>
      <c r="C442" s="50" t="s">
        <v>477</v>
      </c>
      <c r="D442" s="51" t="s">
        <v>69</v>
      </c>
      <c r="F442" s="52">
        <f>SUMIF(CPY!$B:$B,Summary!$B442,CPY!$I:$I)</f>
        <v>0</v>
      </c>
    </row>
    <row r="443" spans="1:6" x14ac:dyDescent="0.25">
      <c r="A443" s="50">
        <f t="shared" si="6"/>
        <v>441</v>
      </c>
      <c r="B443" s="50">
        <v>4519</v>
      </c>
      <c r="C443" s="50" t="s">
        <v>478</v>
      </c>
      <c r="D443" s="51" t="s">
        <v>69</v>
      </c>
      <c r="F443" s="52">
        <f>SUMIF(CPY!$B:$B,Summary!$B443,CPY!$I:$I)</f>
        <v>0</v>
      </c>
    </row>
    <row r="444" spans="1:6" x14ac:dyDescent="0.25">
      <c r="A444" s="50">
        <f t="shared" si="6"/>
        <v>442</v>
      </c>
      <c r="B444" s="50">
        <v>4539</v>
      </c>
      <c r="C444" s="50" t="s">
        <v>479</v>
      </c>
      <c r="D444" s="51" t="s">
        <v>78</v>
      </c>
      <c r="F444" s="52">
        <f>SUMIF(CPY!$B:$B,Summary!$B444,CPY!$I:$I)</f>
        <v>0</v>
      </c>
    </row>
    <row r="445" spans="1:6" x14ac:dyDescent="0.25">
      <c r="A445" s="50">
        <f t="shared" si="6"/>
        <v>443</v>
      </c>
      <c r="B445" s="50">
        <v>4546</v>
      </c>
      <c r="C445" s="50" t="s">
        <v>480</v>
      </c>
      <c r="D445" s="51" t="s">
        <v>78</v>
      </c>
      <c r="F445" s="52">
        <f>SUMIF(CPY!$B:$B,Summary!$B445,CPY!$I:$I)</f>
        <v>0</v>
      </c>
    </row>
    <row r="446" spans="1:6" x14ac:dyDescent="0.25">
      <c r="A446" s="50">
        <f t="shared" si="6"/>
        <v>444</v>
      </c>
      <c r="B446" s="50">
        <v>4547</v>
      </c>
      <c r="C446" s="50" t="s">
        <v>481</v>
      </c>
      <c r="D446" s="51" t="s">
        <v>69</v>
      </c>
      <c r="F446" s="52">
        <f>SUMIF(CPY!$B:$B,Summary!$B446,CPY!$I:$I)</f>
        <v>0</v>
      </c>
    </row>
    <row r="447" spans="1:6" x14ac:dyDescent="0.25">
      <c r="A447" s="50">
        <f t="shared" si="6"/>
        <v>445</v>
      </c>
      <c r="B447" s="50">
        <v>4548</v>
      </c>
      <c r="C447" s="50" t="s">
        <v>482</v>
      </c>
      <c r="D447" s="51" t="s">
        <v>69</v>
      </c>
      <c r="F447" s="52">
        <f>SUMIF(CPY!$B:$B,Summary!$B447,CPY!$I:$I)</f>
        <v>0</v>
      </c>
    </row>
    <row r="448" spans="1:6" x14ac:dyDescent="0.25">
      <c r="A448" s="50">
        <f t="shared" si="6"/>
        <v>446</v>
      </c>
      <c r="B448" s="50">
        <v>4550</v>
      </c>
      <c r="C448" s="50" t="s">
        <v>483</v>
      </c>
      <c r="D448" s="51" t="s">
        <v>69</v>
      </c>
      <c r="F448" s="52">
        <f>SUMIF(CPY!$B:$B,Summary!$B448,CPY!$I:$I)</f>
        <v>0</v>
      </c>
    </row>
    <row r="449" spans="1:6" x14ac:dyDescent="0.25">
      <c r="A449" s="50">
        <f t="shared" si="6"/>
        <v>447</v>
      </c>
      <c r="B449" s="50">
        <v>4552</v>
      </c>
      <c r="C449" s="50" t="s">
        <v>484</v>
      </c>
      <c r="D449" s="51" t="s">
        <v>69</v>
      </c>
      <c r="F449" s="52">
        <f>SUMIF(CPY!$B:$B,Summary!$B449,CPY!$I:$I)</f>
        <v>0</v>
      </c>
    </row>
    <row r="450" spans="1:6" x14ac:dyDescent="0.25">
      <c r="A450" s="50">
        <f t="shared" si="6"/>
        <v>448</v>
      </c>
      <c r="B450" s="50">
        <v>4556</v>
      </c>
      <c r="C450" s="50" t="s">
        <v>485</v>
      </c>
      <c r="D450" s="51" t="s">
        <v>69</v>
      </c>
      <c r="F450" s="52">
        <f>SUMIF(CPY!$B:$B,Summary!$B450,CPY!$I:$I)</f>
        <v>0</v>
      </c>
    </row>
    <row r="451" spans="1:6" x14ac:dyDescent="0.25">
      <c r="A451" s="50">
        <f t="shared" si="6"/>
        <v>449</v>
      </c>
      <c r="B451" s="50">
        <v>4557</v>
      </c>
      <c r="C451" s="50" t="s">
        <v>486</v>
      </c>
      <c r="D451" s="51" t="s">
        <v>69</v>
      </c>
      <c r="F451" s="52">
        <f>SUMIF(CPY!$B:$B,Summary!$B451,CPY!$I:$I)</f>
        <v>0</v>
      </c>
    </row>
    <row r="452" spans="1:6" x14ac:dyDescent="0.25">
      <c r="A452" s="50">
        <f t="shared" si="6"/>
        <v>450</v>
      </c>
      <c r="B452" s="50">
        <v>4558</v>
      </c>
      <c r="C452" s="50" t="s">
        <v>487</v>
      </c>
      <c r="D452" s="51" t="s">
        <v>69</v>
      </c>
      <c r="F452" s="52">
        <f>SUMIF(CPY!$B:$B,Summary!$B452,CPY!$I:$I)</f>
        <v>0</v>
      </c>
    </row>
    <row r="453" spans="1:6" x14ac:dyDescent="0.25">
      <c r="A453" s="50">
        <f t="shared" ref="A453:A516" si="7">+A452+1</f>
        <v>451</v>
      </c>
      <c r="B453" s="50">
        <v>4560</v>
      </c>
      <c r="C453" s="50" t="s">
        <v>488</v>
      </c>
      <c r="D453" s="51" t="s">
        <v>69</v>
      </c>
      <c r="F453" s="52">
        <f>SUMIF(CPY!$B:$B,Summary!$B453,CPY!$I:$I)</f>
        <v>0</v>
      </c>
    </row>
    <row r="454" spans="1:6" x14ac:dyDescent="0.25">
      <c r="A454" s="50">
        <f t="shared" si="7"/>
        <v>452</v>
      </c>
      <c r="B454" s="50">
        <v>4562</v>
      </c>
      <c r="C454" s="50" t="s">
        <v>489</v>
      </c>
      <c r="D454" s="51" t="s">
        <v>69</v>
      </c>
      <c r="F454" s="52">
        <f>SUMIF(CPY!$B:$B,Summary!$B454,CPY!$I:$I)</f>
        <v>0</v>
      </c>
    </row>
    <row r="455" spans="1:6" x14ac:dyDescent="0.25">
      <c r="A455" s="50">
        <f t="shared" si="7"/>
        <v>453</v>
      </c>
      <c r="B455" s="50">
        <v>4565</v>
      </c>
      <c r="C455" s="50" t="s">
        <v>490</v>
      </c>
      <c r="D455" s="51" t="s">
        <v>69</v>
      </c>
      <c r="F455" s="52">
        <f>SUMIF(CPY!$B:$B,Summary!$B455,CPY!$I:$I)</f>
        <v>0</v>
      </c>
    </row>
    <row r="456" spans="1:6" x14ac:dyDescent="0.25">
      <c r="A456" s="50">
        <f t="shared" si="7"/>
        <v>454</v>
      </c>
      <c r="B456" s="50">
        <v>4570</v>
      </c>
      <c r="C456" s="50" t="s">
        <v>491</v>
      </c>
      <c r="D456" s="51" t="s">
        <v>69</v>
      </c>
      <c r="F456" s="52">
        <f>SUMIF(CPY!$B:$B,Summary!$B456,CPY!$I:$I)</f>
        <v>0</v>
      </c>
    </row>
    <row r="457" spans="1:6" x14ac:dyDescent="0.25">
      <c r="A457" s="50">
        <f t="shared" si="7"/>
        <v>455</v>
      </c>
      <c r="B457" s="50">
        <v>4571</v>
      </c>
      <c r="C457" s="50" t="s">
        <v>492</v>
      </c>
      <c r="D457" s="51" t="s">
        <v>69</v>
      </c>
      <c r="F457" s="52">
        <f>SUMIF(CPY!$B:$B,Summary!$B457,CPY!$I:$I)</f>
        <v>0</v>
      </c>
    </row>
    <row r="458" spans="1:6" x14ac:dyDescent="0.25">
      <c r="A458" s="50">
        <f t="shared" si="7"/>
        <v>456</v>
      </c>
      <c r="B458" s="50">
        <v>4572</v>
      </c>
      <c r="C458" s="50" t="s">
        <v>493</v>
      </c>
      <c r="D458" s="51" t="s">
        <v>69</v>
      </c>
      <c r="F458" s="52">
        <f>SUMIF(CPY!$B:$B,Summary!$B458,CPY!$I:$I)</f>
        <v>0</v>
      </c>
    </row>
    <row r="459" spans="1:6" x14ac:dyDescent="0.25">
      <c r="A459" s="50">
        <f t="shared" si="7"/>
        <v>457</v>
      </c>
      <c r="B459" s="50">
        <v>4574</v>
      </c>
      <c r="C459" s="50" t="s">
        <v>494</v>
      </c>
      <c r="D459" s="51" t="s">
        <v>78</v>
      </c>
      <c r="F459" s="52">
        <f>SUMIF(CPY!$B:$B,Summary!$B459,CPY!$I:$I)</f>
        <v>0</v>
      </c>
    </row>
    <row r="460" spans="1:6" x14ac:dyDescent="0.25">
      <c r="A460" s="50">
        <f t="shared" si="7"/>
        <v>458</v>
      </c>
      <c r="B460" s="50">
        <v>4578</v>
      </c>
      <c r="C460" s="50" t="s">
        <v>495</v>
      </c>
      <c r="D460" s="51" t="s">
        <v>46</v>
      </c>
      <c r="F460" s="52">
        <f>SUMIF(CPY!$B:$B,Summary!$B460,CPY!$I:$I)</f>
        <v>0</v>
      </c>
    </row>
    <row r="461" spans="1:6" x14ac:dyDescent="0.25">
      <c r="A461" s="50">
        <f t="shared" si="7"/>
        <v>459</v>
      </c>
      <c r="B461" s="50">
        <v>4588</v>
      </c>
      <c r="C461" s="50" t="s">
        <v>496</v>
      </c>
      <c r="D461" s="51" t="s">
        <v>69</v>
      </c>
      <c r="F461" s="52">
        <f>SUMIF(CPY!$B:$B,Summary!$B461,CPY!$I:$I)</f>
        <v>0</v>
      </c>
    </row>
    <row r="462" spans="1:6" x14ac:dyDescent="0.25">
      <c r="A462" s="50">
        <f t="shared" si="7"/>
        <v>460</v>
      </c>
      <c r="B462" s="50">
        <v>4589</v>
      </c>
      <c r="C462" s="50" t="s">
        <v>497</v>
      </c>
      <c r="D462" s="51" t="s">
        <v>46</v>
      </c>
      <c r="F462" s="52">
        <f>SUMIF(CPY!$B:$B,Summary!$B462,CPY!$I:$I)</f>
        <v>0</v>
      </c>
    </row>
    <row r="463" spans="1:6" x14ac:dyDescent="0.25">
      <c r="A463" s="50">
        <f t="shared" si="7"/>
        <v>461</v>
      </c>
      <c r="B463" s="50">
        <v>4593</v>
      </c>
      <c r="C463" s="50" t="s">
        <v>498</v>
      </c>
      <c r="D463" s="51" t="s">
        <v>46</v>
      </c>
      <c r="F463" s="52">
        <f>SUMIF(CPY!$B:$B,Summary!$B463,CPY!$I:$I)</f>
        <v>0</v>
      </c>
    </row>
    <row r="464" spans="1:6" x14ac:dyDescent="0.25">
      <c r="A464" s="50">
        <f t="shared" si="7"/>
        <v>462</v>
      </c>
      <c r="B464" s="50">
        <v>4598</v>
      </c>
      <c r="C464" s="50" t="s">
        <v>499</v>
      </c>
      <c r="D464" s="51" t="s">
        <v>69</v>
      </c>
      <c r="F464" s="52">
        <f>SUMIF(CPY!$B:$B,Summary!$B464,CPY!$I:$I)</f>
        <v>0</v>
      </c>
    </row>
    <row r="465" spans="1:6" x14ac:dyDescent="0.25">
      <c r="A465" s="50">
        <f t="shared" si="7"/>
        <v>463</v>
      </c>
      <c r="B465" s="50">
        <v>4606</v>
      </c>
      <c r="C465" s="50" t="s">
        <v>500</v>
      </c>
      <c r="D465" s="51" t="s">
        <v>69</v>
      </c>
      <c r="F465" s="52">
        <f>SUMIF(CPY!$B:$B,Summary!$B465,CPY!$I:$I)</f>
        <v>0</v>
      </c>
    </row>
    <row r="466" spans="1:6" x14ac:dyDescent="0.25">
      <c r="A466" s="50">
        <f t="shared" si="7"/>
        <v>464</v>
      </c>
      <c r="B466" s="50">
        <v>4617</v>
      </c>
      <c r="C466" s="50" t="s">
        <v>501</v>
      </c>
      <c r="D466" s="51" t="s">
        <v>46</v>
      </c>
      <c r="F466" s="52">
        <f>SUMIF(CPY!$B:$B,Summary!$B466,CPY!$I:$I)</f>
        <v>0</v>
      </c>
    </row>
    <row r="467" spans="1:6" x14ac:dyDescent="0.25">
      <c r="A467" s="50">
        <f t="shared" si="7"/>
        <v>465</v>
      </c>
      <c r="B467" s="50">
        <v>4628</v>
      </c>
      <c r="C467" s="50" t="s">
        <v>502</v>
      </c>
      <c r="D467" s="51" t="s">
        <v>78</v>
      </c>
      <c r="F467" s="52">
        <f>SUMIF(CPY!$B:$B,Summary!$B467,CPY!$I:$I)</f>
        <v>0</v>
      </c>
    </row>
    <row r="468" spans="1:6" x14ac:dyDescent="0.25">
      <c r="A468" s="50">
        <f t="shared" si="7"/>
        <v>466</v>
      </c>
      <c r="B468" s="50">
        <v>4637</v>
      </c>
      <c r="C468" s="50" t="s">
        <v>503</v>
      </c>
      <c r="D468" s="51" t="s">
        <v>78</v>
      </c>
      <c r="F468" s="52">
        <f>SUMIF(CPY!$B:$B,Summary!$B468,CPY!$I:$I)</f>
        <v>0</v>
      </c>
    </row>
    <row r="469" spans="1:6" x14ac:dyDescent="0.25">
      <c r="A469" s="50">
        <f t="shared" si="7"/>
        <v>467</v>
      </c>
      <c r="B469" s="50">
        <v>4638</v>
      </c>
      <c r="C469" s="50" t="s">
        <v>504</v>
      </c>
      <c r="D469" s="51" t="s">
        <v>78</v>
      </c>
      <c r="F469" s="52">
        <f>SUMIF(CPY!$B:$B,Summary!$B469,CPY!$I:$I)</f>
        <v>0</v>
      </c>
    </row>
    <row r="470" spans="1:6" x14ac:dyDescent="0.25">
      <c r="A470" s="50">
        <f t="shared" si="7"/>
        <v>468</v>
      </c>
      <c r="B470" s="50">
        <v>4639</v>
      </c>
      <c r="C470" s="50" t="s">
        <v>505</v>
      </c>
      <c r="D470" s="51" t="s">
        <v>69</v>
      </c>
      <c r="F470" s="52">
        <f>SUMIF(CPY!$B:$B,Summary!$B470,CPY!$I:$I)</f>
        <v>0</v>
      </c>
    </row>
    <row r="471" spans="1:6" x14ac:dyDescent="0.25">
      <c r="A471" s="50">
        <f t="shared" si="7"/>
        <v>469</v>
      </c>
      <c r="B471" s="50">
        <v>4640</v>
      </c>
      <c r="C471" s="50" t="s">
        <v>506</v>
      </c>
      <c r="D471" s="51" t="s">
        <v>69</v>
      </c>
      <c r="F471" s="52">
        <f>SUMIF(CPY!$B:$B,Summary!$B471,CPY!$I:$I)</f>
        <v>0</v>
      </c>
    </row>
    <row r="472" spans="1:6" x14ac:dyDescent="0.25">
      <c r="A472" s="50">
        <f t="shared" si="7"/>
        <v>470</v>
      </c>
      <c r="B472" s="50">
        <v>4641</v>
      </c>
      <c r="C472" s="50" t="s">
        <v>507</v>
      </c>
      <c r="D472" s="51" t="s">
        <v>69</v>
      </c>
      <c r="F472" s="52">
        <f>SUMIF(CPY!$B:$B,Summary!$B472,CPY!$I:$I)</f>
        <v>0</v>
      </c>
    </row>
    <row r="473" spans="1:6" x14ac:dyDescent="0.25">
      <c r="A473" s="50">
        <f t="shared" si="7"/>
        <v>471</v>
      </c>
      <c r="B473" s="50">
        <v>4644</v>
      </c>
      <c r="C473" s="50" t="s">
        <v>508</v>
      </c>
      <c r="D473" s="51" t="s">
        <v>69</v>
      </c>
      <c r="F473" s="52">
        <f>SUMIF(CPY!$B:$B,Summary!$B473,CPY!$I:$I)</f>
        <v>0</v>
      </c>
    </row>
    <row r="474" spans="1:6" x14ac:dyDescent="0.25">
      <c r="A474" s="50">
        <f t="shared" si="7"/>
        <v>472</v>
      </c>
      <c r="B474" s="50">
        <v>4645</v>
      </c>
      <c r="C474" s="50" t="s">
        <v>509</v>
      </c>
      <c r="D474" s="51" t="s">
        <v>69</v>
      </c>
      <c r="F474" s="52">
        <f>SUMIF(CPY!$B:$B,Summary!$B474,CPY!$I:$I)</f>
        <v>0</v>
      </c>
    </row>
    <row r="475" spans="1:6" x14ac:dyDescent="0.25">
      <c r="A475" s="50">
        <f t="shared" si="7"/>
        <v>473</v>
      </c>
      <c r="B475" s="50">
        <v>4646</v>
      </c>
      <c r="C475" s="50" t="s">
        <v>510</v>
      </c>
      <c r="D475" s="51" t="s">
        <v>69</v>
      </c>
      <c r="F475" s="52">
        <f>SUMIF(CPY!$B:$B,Summary!$B475,CPY!$I:$I)</f>
        <v>0</v>
      </c>
    </row>
    <row r="476" spans="1:6" x14ac:dyDescent="0.25">
      <c r="A476" s="50">
        <f t="shared" si="7"/>
        <v>474</v>
      </c>
      <c r="B476" s="50">
        <v>4647</v>
      </c>
      <c r="C476" s="50" t="s">
        <v>511</v>
      </c>
      <c r="D476" s="51" t="s">
        <v>69</v>
      </c>
      <c r="F476" s="52">
        <f>SUMIF(CPY!$B:$B,Summary!$B476,CPY!$I:$I)</f>
        <v>0</v>
      </c>
    </row>
    <row r="477" spans="1:6" x14ac:dyDescent="0.25">
      <c r="A477" s="50">
        <f t="shared" si="7"/>
        <v>475</v>
      </c>
      <c r="B477" s="50">
        <v>4660</v>
      </c>
      <c r="C477" s="50" t="s">
        <v>512</v>
      </c>
      <c r="D477" s="51" t="s">
        <v>78</v>
      </c>
      <c r="F477" s="52">
        <f>SUMIF(CPY!$B:$B,Summary!$B477,CPY!$I:$I)</f>
        <v>0</v>
      </c>
    </row>
    <row r="478" spans="1:6" x14ac:dyDescent="0.25">
      <c r="A478" s="50">
        <f t="shared" si="7"/>
        <v>476</v>
      </c>
      <c r="B478" s="50">
        <v>4665</v>
      </c>
      <c r="C478" s="50" t="s">
        <v>513</v>
      </c>
      <c r="D478" s="51" t="s">
        <v>69</v>
      </c>
      <c r="F478" s="52">
        <f>SUMIF(CPY!$B:$B,Summary!$B478,CPY!$I:$I)</f>
        <v>0</v>
      </c>
    </row>
    <row r="479" spans="1:6" x14ac:dyDescent="0.25">
      <c r="A479" s="50">
        <f t="shared" si="7"/>
        <v>477</v>
      </c>
      <c r="B479" s="50">
        <v>4666</v>
      </c>
      <c r="C479" s="50" t="s">
        <v>514</v>
      </c>
      <c r="D479" s="51" t="s">
        <v>69</v>
      </c>
      <c r="F479" s="52">
        <f>SUMIF(CPY!$B:$B,Summary!$B479,CPY!$I:$I)</f>
        <v>0</v>
      </c>
    </row>
    <row r="480" spans="1:6" x14ac:dyDescent="0.25">
      <c r="A480" s="50">
        <f t="shared" si="7"/>
        <v>478</v>
      </c>
      <c r="B480" s="50">
        <v>4669</v>
      </c>
      <c r="C480" s="50" t="s">
        <v>515</v>
      </c>
      <c r="D480" s="51" t="s">
        <v>69</v>
      </c>
      <c r="F480" s="52">
        <f>SUMIF(CPY!$B:$B,Summary!$B480,CPY!$I:$I)</f>
        <v>0</v>
      </c>
    </row>
    <row r="481" spans="1:6" x14ac:dyDescent="0.25">
      <c r="A481" s="50">
        <f t="shared" si="7"/>
        <v>479</v>
      </c>
      <c r="B481" s="50">
        <v>4675</v>
      </c>
      <c r="C481" s="50" t="s">
        <v>516</v>
      </c>
      <c r="D481" s="51" t="s">
        <v>69</v>
      </c>
      <c r="F481" s="52">
        <f>SUMIF(CPY!$B:$B,Summary!$B481,CPY!$I:$I)</f>
        <v>0</v>
      </c>
    </row>
    <row r="482" spans="1:6" x14ac:dyDescent="0.25">
      <c r="A482" s="50">
        <f t="shared" si="7"/>
        <v>480</v>
      </c>
      <c r="B482" s="50">
        <v>4679</v>
      </c>
      <c r="C482" s="50" t="s">
        <v>517</v>
      </c>
      <c r="D482" s="51" t="s">
        <v>69</v>
      </c>
      <c r="F482" s="52">
        <f>SUMIF(CPY!$B:$B,Summary!$B482,CPY!$I:$I)</f>
        <v>0</v>
      </c>
    </row>
    <row r="483" spans="1:6" x14ac:dyDescent="0.25">
      <c r="A483" s="50">
        <f t="shared" si="7"/>
        <v>481</v>
      </c>
      <c r="B483" s="50">
        <v>4683</v>
      </c>
      <c r="C483" s="50" t="s">
        <v>518</v>
      </c>
      <c r="D483" s="51" t="s">
        <v>69</v>
      </c>
      <c r="F483" s="52">
        <f>SUMIF(CPY!$B:$B,Summary!$B483,CPY!$I:$I)</f>
        <v>0</v>
      </c>
    </row>
    <row r="484" spans="1:6" x14ac:dyDescent="0.25">
      <c r="A484" s="50">
        <f t="shared" si="7"/>
        <v>482</v>
      </c>
      <c r="B484" s="50">
        <v>4686</v>
      </c>
      <c r="C484" s="50" t="s">
        <v>519</v>
      </c>
      <c r="D484" s="51" t="s">
        <v>69</v>
      </c>
      <c r="F484" s="52">
        <f>SUMIF(CPY!$B:$B,Summary!$B484,CPY!$I:$I)</f>
        <v>0</v>
      </c>
    </row>
    <row r="485" spans="1:6" x14ac:dyDescent="0.25">
      <c r="A485" s="50">
        <f t="shared" si="7"/>
        <v>483</v>
      </c>
      <c r="B485" s="50">
        <v>4689</v>
      </c>
      <c r="C485" s="50" t="s">
        <v>520</v>
      </c>
      <c r="D485" s="51" t="s">
        <v>69</v>
      </c>
      <c r="F485" s="52">
        <f>SUMIF(CPY!$B:$B,Summary!$B485,CPY!$I:$I)</f>
        <v>0</v>
      </c>
    </row>
    <row r="486" spans="1:6" x14ac:dyDescent="0.25">
      <c r="A486" s="50">
        <f t="shared" si="7"/>
        <v>484</v>
      </c>
      <c r="B486" s="50">
        <v>4690</v>
      </c>
      <c r="C486" s="50" t="s">
        <v>521</v>
      </c>
      <c r="D486" s="51" t="s">
        <v>69</v>
      </c>
      <c r="F486" s="52">
        <f>SUMIF(CPY!$B:$B,Summary!$B486,CPY!$I:$I)</f>
        <v>0</v>
      </c>
    </row>
    <row r="487" spans="1:6" x14ac:dyDescent="0.25">
      <c r="A487" s="50">
        <f t="shared" si="7"/>
        <v>485</v>
      </c>
      <c r="B487" s="50">
        <v>4691</v>
      </c>
      <c r="C487" s="50" t="s">
        <v>522</v>
      </c>
      <c r="D487" s="51" t="s">
        <v>78</v>
      </c>
      <c r="F487" s="52">
        <f>SUMIF(CPY!$B:$B,Summary!$B487,CPY!$I:$I)</f>
        <v>0</v>
      </c>
    </row>
    <row r="488" spans="1:6" x14ac:dyDescent="0.25">
      <c r="A488" s="50">
        <f t="shared" si="7"/>
        <v>486</v>
      </c>
      <c r="B488" s="50">
        <v>4693</v>
      </c>
      <c r="C488" s="50" t="s">
        <v>523</v>
      </c>
      <c r="D488" s="51" t="s">
        <v>78</v>
      </c>
      <c r="F488" s="52">
        <f>SUMIF(CPY!$B:$B,Summary!$B488,CPY!$I:$I)</f>
        <v>0</v>
      </c>
    </row>
    <row r="489" spans="1:6" x14ac:dyDescent="0.25">
      <c r="A489" s="50">
        <f t="shared" si="7"/>
        <v>487</v>
      </c>
      <c r="B489" s="50">
        <v>4699</v>
      </c>
      <c r="C489" s="50" t="s">
        <v>524</v>
      </c>
      <c r="D489" s="51" t="s">
        <v>46</v>
      </c>
      <c r="F489" s="52">
        <f>SUMIF(CPY!$B:$B,Summary!$B489,CPY!$I:$I)</f>
        <v>0</v>
      </c>
    </row>
    <row r="490" spans="1:6" x14ac:dyDescent="0.25">
      <c r="A490" s="50">
        <f t="shared" si="7"/>
        <v>488</v>
      </c>
      <c r="B490" s="50">
        <v>4701</v>
      </c>
      <c r="C490" s="50" t="s">
        <v>525</v>
      </c>
      <c r="D490" s="51" t="s">
        <v>46</v>
      </c>
      <c r="F490" s="52">
        <f>SUMIF(CPY!$B:$B,Summary!$B490,CPY!$I:$I)</f>
        <v>0</v>
      </c>
    </row>
    <row r="491" spans="1:6" x14ac:dyDescent="0.25">
      <c r="A491" s="50">
        <f t="shared" si="7"/>
        <v>489</v>
      </c>
      <c r="B491" s="50">
        <v>4702</v>
      </c>
      <c r="C491" s="50" t="s">
        <v>526</v>
      </c>
      <c r="D491" s="51" t="s">
        <v>78</v>
      </c>
      <c r="F491" s="52">
        <f>SUMIF(CPY!$B:$B,Summary!$B491,CPY!$I:$I)</f>
        <v>0</v>
      </c>
    </row>
    <row r="492" spans="1:6" x14ac:dyDescent="0.25">
      <c r="A492" s="50">
        <f t="shared" si="7"/>
        <v>490</v>
      </c>
      <c r="B492" s="50">
        <v>4703</v>
      </c>
      <c r="C492" s="50" t="s">
        <v>527</v>
      </c>
      <c r="D492" s="51" t="s">
        <v>78</v>
      </c>
      <c r="F492" s="52">
        <f>SUMIF(CPY!$B:$B,Summary!$B492,CPY!$I:$I)</f>
        <v>0</v>
      </c>
    </row>
    <row r="493" spans="1:6" x14ac:dyDescent="0.25">
      <c r="A493" s="50">
        <f t="shared" si="7"/>
        <v>491</v>
      </c>
      <c r="B493" s="50">
        <v>4708</v>
      </c>
      <c r="C493" s="50" t="s">
        <v>528</v>
      </c>
      <c r="D493" s="51" t="s">
        <v>33</v>
      </c>
      <c r="F493" s="52">
        <f>SUMIF(CPY!$B:$B,Summary!$B493,CPY!$I:$I)</f>
        <v>0</v>
      </c>
    </row>
    <row r="494" spans="1:6" x14ac:dyDescent="0.25">
      <c r="A494" s="50">
        <f t="shared" si="7"/>
        <v>492</v>
      </c>
      <c r="B494" s="50">
        <v>4712</v>
      </c>
      <c r="C494" s="50" t="s">
        <v>529</v>
      </c>
      <c r="D494" s="51" t="s">
        <v>78</v>
      </c>
      <c r="F494" s="52">
        <f>SUMIF(CPY!$B:$B,Summary!$B494,CPY!$I:$I)</f>
        <v>0</v>
      </c>
    </row>
    <row r="495" spans="1:6" x14ac:dyDescent="0.25">
      <c r="A495" s="50">
        <f t="shared" si="7"/>
        <v>493</v>
      </c>
      <c r="B495" s="50">
        <v>4713</v>
      </c>
      <c r="C495" s="50" t="s">
        <v>530</v>
      </c>
      <c r="D495" s="51" t="s">
        <v>69</v>
      </c>
      <c r="F495" s="52">
        <f>SUMIF(CPY!$B:$B,Summary!$B495,CPY!$I:$I)</f>
        <v>0</v>
      </c>
    </row>
    <row r="496" spans="1:6" x14ac:dyDescent="0.25">
      <c r="A496" s="50">
        <f t="shared" si="7"/>
        <v>494</v>
      </c>
      <c r="B496" s="50">
        <v>4723</v>
      </c>
      <c r="C496" s="50" t="s">
        <v>531</v>
      </c>
      <c r="D496" s="51" t="s">
        <v>78</v>
      </c>
      <c r="F496" s="52">
        <f>SUMIF(CPY!$B:$B,Summary!$B496,CPY!$I:$I)</f>
        <v>0</v>
      </c>
    </row>
    <row r="497" spans="1:6" x14ac:dyDescent="0.25">
      <c r="A497" s="50">
        <f t="shared" si="7"/>
        <v>495</v>
      </c>
      <c r="B497" s="50">
        <v>4724</v>
      </c>
      <c r="C497" s="50" t="s">
        <v>532</v>
      </c>
      <c r="D497" s="51" t="s">
        <v>46</v>
      </c>
      <c r="F497" s="52">
        <f>SUMIF(CPY!$B:$B,Summary!$B497,CPY!$I:$I)</f>
        <v>0</v>
      </c>
    </row>
    <row r="498" spans="1:6" x14ac:dyDescent="0.25">
      <c r="A498" s="50">
        <f t="shared" si="7"/>
        <v>496</v>
      </c>
      <c r="B498" s="50">
        <v>4727</v>
      </c>
      <c r="C498" s="50" t="s">
        <v>533</v>
      </c>
      <c r="D498" s="51" t="s">
        <v>69</v>
      </c>
      <c r="F498" s="52">
        <f>SUMIF(CPY!$B:$B,Summary!$B498,CPY!$I:$I)</f>
        <v>0</v>
      </c>
    </row>
    <row r="499" spans="1:6" x14ac:dyDescent="0.25">
      <c r="A499" s="50">
        <f t="shared" si="7"/>
        <v>497</v>
      </c>
      <c r="B499" s="50">
        <v>4732</v>
      </c>
      <c r="C499" s="50" t="s">
        <v>534</v>
      </c>
      <c r="D499" s="51" t="s">
        <v>69</v>
      </c>
      <c r="F499" s="52">
        <f>SUMIF(CPY!$B:$B,Summary!$B499,CPY!$I:$I)</f>
        <v>0</v>
      </c>
    </row>
    <row r="500" spans="1:6" x14ac:dyDescent="0.25">
      <c r="A500" s="50">
        <f t="shared" si="7"/>
        <v>498</v>
      </c>
      <c r="B500" s="50">
        <v>4734</v>
      </c>
      <c r="C500" s="50" t="s">
        <v>535</v>
      </c>
      <c r="D500" s="51" t="s">
        <v>69</v>
      </c>
      <c r="F500" s="52">
        <f>SUMIF(CPY!$B:$B,Summary!$B500,CPY!$I:$I)</f>
        <v>0</v>
      </c>
    </row>
    <row r="501" spans="1:6" x14ac:dyDescent="0.25">
      <c r="A501" s="50">
        <f t="shared" si="7"/>
        <v>499</v>
      </c>
      <c r="B501" s="50">
        <v>4736</v>
      </c>
      <c r="C501" s="50" t="s">
        <v>536</v>
      </c>
      <c r="D501" s="51" t="s">
        <v>69</v>
      </c>
      <c r="F501" s="52">
        <f>SUMIF(CPY!$B:$B,Summary!$B501,CPY!$I:$I)</f>
        <v>0</v>
      </c>
    </row>
    <row r="502" spans="1:6" x14ac:dyDescent="0.25">
      <c r="A502" s="50">
        <f t="shared" si="7"/>
        <v>500</v>
      </c>
      <c r="B502" s="50">
        <v>4737</v>
      </c>
      <c r="C502" s="50" t="s">
        <v>537</v>
      </c>
      <c r="D502" s="51" t="s">
        <v>69</v>
      </c>
      <c r="F502" s="52">
        <f>SUMIF(CPY!$B:$B,Summary!$B502,CPY!$I:$I)</f>
        <v>0</v>
      </c>
    </row>
    <row r="503" spans="1:6" x14ac:dyDescent="0.25">
      <c r="A503" s="50">
        <f t="shared" si="7"/>
        <v>501</v>
      </c>
      <c r="B503" s="50">
        <v>4740</v>
      </c>
      <c r="C503" s="50" t="s">
        <v>538</v>
      </c>
      <c r="D503" s="51" t="s">
        <v>46</v>
      </c>
      <c r="F503" s="52">
        <f>SUMIF(CPY!$B:$B,Summary!$B503,CPY!$I:$I)</f>
        <v>0</v>
      </c>
    </row>
    <row r="504" spans="1:6" x14ac:dyDescent="0.25">
      <c r="A504" s="50">
        <f t="shared" si="7"/>
        <v>502</v>
      </c>
      <c r="B504" s="50">
        <v>4744</v>
      </c>
      <c r="C504" s="50" t="s">
        <v>539</v>
      </c>
      <c r="D504" s="51" t="s">
        <v>69</v>
      </c>
      <c r="F504" s="52">
        <f>SUMIF(CPY!$B:$B,Summary!$B504,CPY!$I:$I)</f>
        <v>0</v>
      </c>
    </row>
    <row r="505" spans="1:6" x14ac:dyDescent="0.25">
      <c r="A505" s="50">
        <f t="shared" si="7"/>
        <v>503</v>
      </c>
      <c r="B505" s="50">
        <v>4745</v>
      </c>
      <c r="C505" s="50" t="s">
        <v>540</v>
      </c>
      <c r="D505" s="51" t="s">
        <v>69</v>
      </c>
      <c r="F505" s="52">
        <f>SUMIF(CPY!$B:$B,Summary!$B505,CPY!$I:$I)</f>
        <v>0</v>
      </c>
    </row>
    <row r="506" spans="1:6" x14ac:dyDescent="0.25">
      <c r="A506" s="50">
        <f t="shared" si="7"/>
        <v>504</v>
      </c>
      <c r="B506" s="50">
        <v>4746</v>
      </c>
      <c r="C506" s="50" t="s">
        <v>541</v>
      </c>
      <c r="D506" s="51" t="s">
        <v>69</v>
      </c>
      <c r="F506" s="52">
        <f>SUMIF(CPY!$B:$B,Summary!$B506,CPY!$I:$I)</f>
        <v>0</v>
      </c>
    </row>
    <row r="507" spans="1:6" x14ac:dyDescent="0.25">
      <c r="A507" s="50">
        <f t="shared" si="7"/>
        <v>505</v>
      </c>
      <c r="B507" s="50">
        <v>4747</v>
      </c>
      <c r="C507" s="50" t="s">
        <v>542</v>
      </c>
      <c r="D507" s="51" t="s">
        <v>69</v>
      </c>
      <c r="F507" s="52">
        <f>SUMIF(CPY!$B:$B,Summary!$B507,CPY!$I:$I)</f>
        <v>0</v>
      </c>
    </row>
    <row r="508" spans="1:6" x14ac:dyDescent="0.25">
      <c r="A508" s="50">
        <f t="shared" si="7"/>
        <v>506</v>
      </c>
      <c r="B508" s="50">
        <v>4750</v>
      </c>
      <c r="C508" s="50" t="s">
        <v>543</v>
      </c>
      <c r="D508" s="51" t="s">
        <v>69</v>
      </c>
      <c r="F508" s="52">
        <f>SUMIF(CPY!$B:$B,Summary!$B508,CPY!$I:$I)</f>
        <v>0</v>
      </c>
    </row>
    <row r="509" spans="1:6" x14ac:dyDescent="0.25">
      <c r="A509" s="50">
        <f t="shared" si="7"/>
        <v>507</v>
      </c>
      <c r="B509" s="50">
        <v>4768</v>
      </c>
      <c r="C509" s="50" t="s">
        <v>544</v>
      </c>
      <c r="D509" s="51" t="s">
        <v>69</v>
      </c>
      <c r="F509" s="52">
        <f>SUMIF(CPY!$B:$B,Summary!$B509,CPY!$I:$I)</f>
        <v>0</v>
      </c>
    </row>
    <row r="510" spans="1:6" x14ac:dyDescent="0.25">
      <c r="A510" s="50">
        <f t="shared" si="7"/>
        <v>508</v>
      </c>
      <c r="B510" s="50">
        <v>4781</v>
      </c>
      <c r="C510" s="50" t="s">
        <v>545</v>
      </c>
      <c r="D510" s="51" t="s">
        <v>78</v>
      </c>
      <c r="F510" s="52">
        <f>SUMIF(CPY!$B:$B,Summary!$B510,CPY!$I:$I)</f>
        <v>0</v>
      </c>
    </row>
    <row r="511" spans="1:6" x14ac:dyDescent="0.25">
      <c r="A511" s="50">
        <f t="shared" si="7"/>
        <v>509</v>
      </c>
      <c r="B511" s="50">
        <v>4797</v>
      </c>
      <c r="C511" s="50" t="s">
        <v>546</v>
      </c>
      <c r="D511" s="51" t="s">
        <v>78</v>
      </c>
      <c r="F511" s="52">
        <f>SUMIF(CPY!$B:$B,Summary!$B511,CPY!$I:$I)</f>
        <v>0</v>
      </c>
    </row>
    <row r="512" spans="1:6" x14ac:dyDescent="0.25">
      <c r="A512" s="50">
        <f t="shared" si="7"/>
        <v>510</v>
      </c>
      <c r="B512" s="50">
        <v>4798</v>
      </c>
      <c r="C512" s="50" t="s">
        <v>547</v>
      </c>
      <c r="D512" s="51" t="s">
        <v>69</v>
      </c>
      <c r="F512" s="52">
        <f>SUMIF(CPY!$B:$B,Summary!$B512,CPY!$I:$I)</f>
        <v>0</v>
      </c>
    </row>
    <row r="513" spans="1:6" x14ac:dyDescent="0.25">
      <c r="A513" s="50">
        <f t="shared" si="7"/>
        <v>511</v>
      </c>
      <c r="B513" s="50">
        <v>4808</v>
      </c>
      <c r="C513" s="50" t="s">
        <v>548</v>
      </c>
      <c r="D513" s="51" t="s">
        <v>78</v>
      </c>
      <c r="F513" s="52">
        <f>SUMIF(CPY!$B:$B,Summary!$B513,CPY!$I:$I)</f>
        <v>0</v>
      </c>
    </row>
    <row r="514" spans="1:6" x14ac:dyDescent="0.25">
      <c r="A514" s="50">
        <f t="shared" si="7"/>
        <v>512</v>
      </c>
      <c r="B514" s="50">
        <v>4811</v>
      </c>
      <c r="C514" s="50" t="s">
        <v>549</v>
      </c>
      <c r="D514" s="51" t="s">
        <v>51</v>
      </c>
      <c r="F514" s="52">
        <f>SUMIF(CPY!$B:$B,Summary!$B514,CPY!$I:$I)</f>
        <v>0</v>
      </c>
    </row>
    <row r="515" spans="1:6" x14ac:dyDescent="0.25">
      <c r="A515" s="50">
        <f t="shared" si="7"/>
        <v>513</v>
      </c>
      <c r="B515" s="50">
        <v>4821</v>
      </c>
      <c r="C515" s="50" t="s">
        <v>550</v>
      </c>
      <c r="D515" s="51" t="s">
        <v>40</v>
      </c>
      <c r="F515" s="52">
        <f>SUMIF(CPY!$B:$B,Summary!$B515,CPY!$I:$I)</f>
        <v>0</v>
      </c>
    </row>
    <row r="516" spans="1:6" x14ac:dyDescent="0.25">
      <c r="A516" s="50">
        <f t="shared" si="7"/>
        <v>514</v>
      </c>
      <c r="B516" s="50">
        <v>4828</v>
      </c>
      <c r="C516" s="50" t="s">
        <v>551</v>
      </c>
      <c r="D516" s="51" t="s">
        <v>69</v>
      </c>
      <c r="F516" s="52">
        <f>SUMIF(CPY!$B:$B,Summary!$B516,CPY!$I:$I)</f>
        <v>0</v>
      </c>
    </row>
    <row r="517" spans="1:6" x14ac:dyDescent="0.25">
      <c r="A517" s="50">
        <f t="shared" ref="A517:A580" si="8">+A516+1</f>
        <v>515</v>
      </c>
      <c r="B517" s="50">
        <v>4829</v>
      </c>
      <c r="C517" s="50" t="s">
        <v>552</v>
      </c>
      <c r="D517" s="51" t="s">
        <v>69</v>
      </c>
      <c r="F517" s="52">
        <f>SUMIF(CPY!$B:$B,Summary!$B517,CPY!$I:$I)</f>
        <v>0</v>
      </c>
    </row>
    <row r="518" spans="1:6" x14ac:dyDescent="0.25">
      <c r="A518" s="50">
        <f t="shared" si="8"/>
        <v>516</v>
      </c>
      <c r="B518" s="50">
        <v>4830</v>
      </c>
      <c r="C518" s="50" t="s">
        <v>553</v>
      </c>
      <c r="D518" s="51" t="s">
        <v>33</v>
      </c>
      <c r="F518" s="52">
        <f>SUMIF(CPY!$B:$B,Summary!$B518,CPY!$I:$I)</f>
        <v>0</v>
      </c>
    </row>
    <row r="519" spans="1:6" x14ac:dyDescent="0.25">
      <c r="A519" s="50">
        <f t="shared" si="8"/>
        <v>517</v>
      </c>
      <c r="B519" s="50">
        <v>4834</v>
      </c>
      <c r="C519" s="50" t="s">
        <v>554</v>
      </c>
      <c r="D519" s="51" t="s">
        <v>69</v>
      </c>
      <c r="F519" s="52">
        <f>SUMIF(CPY!$B:$B,Summary!$B519,CPY!$I:$I)</f>
        <v>0</v>
      </c>
    </row>
    <row r="520" spans="1:6" x14ac:dyDescent="0.25">
      <c r="A520" s="50">
        <f t="shared" si="8"/>
        <v>518</v>
      </c>
      <c r="B520" s="50">
        <v>4840</v>
      </c>
      <c r="C520" s="50" t="s">
        <v>555</v>
      </c>
      <c r="D520" s="51" t="s">
        <v>69</v>
      </c>
      <c r="F520" s="52">
        <f>SUMIF(CPY!$B:$B,Summary!$B520,CPY!$I:$I)</f>
        <v>0</v>
      </c>
    </row>
    <row r="521" spans="1:6" x14ac:dyDescent="0.25">
      <c r="A521" s="50">
        <f t="shared" si="8"/>
        <v>519</v>
      </c>
      <c r="B521" s="50">
        <v>4841</v>
      </c>
      <c r="C521" s="50" t="s">
        <v>556</v>
      </c>
      <c r="D521" s="51" t="s">
        <v>69</v>
      </c>
      <c r="F521" s="52">
        <f>SUMIF(CPY!$B:$B,Summary!$B521,CPY!$I:$I)</f>
        <v>0</v>
      </c>
    </row>
    <row r="522" spans="1:6" x14ac:dyDescent="0.25">
      <c r="A522" s="50">
        <f t="shared" si="8"/>
        <v>520</v>
      </c>
      <c r="B522" s="50">
        <v>4843</v>
      </c>
      <c r="C522" s="50" t="s">
        <v>557</v>
      </c>
      <c r="D522" s="51" t="s">
        <v>69</v>
      </c>
      <c r="F522" s="52">
        <f>SUMIF(CPY!$B:$B,Summary!$B522,CPY!$I:$I)</f>
        <v>0</v>
      </c>
    </row>
    <row r="523" spans="1:6" x14ac:dyDescent="0.25">
      <c r="A523" s="50">
        <f t="shared" si="8"/>
        <v>521</v>
      </c>
      <c r="B523" s="50">
        <v>4846</v>
      </c>
      <c r="C523" s="50" t="s">
        <v>558</v>
      </c>
      <c r="D523" s="51" t="s">
        <v>69</v>
      </c>
      <c r="F523" s="52">
        <f>SUMIF(CPY!$B:$B,Summary!$B523,CPY!$I:$I)</f>
        <v>0</v>
      </c>
    </row>
    <row r="524" spans="1:6" x14ac:dyDescent="0.25">
      <c r="A524" s="50">
        <f t="shared" si="8"/>
        <v>522</v>
      </c>
      <c r="B524" s="50">
        <v>4848</v>
      </c>
      <c r="C524" s="50" t="s">
        <v>559</v>
      </c>
      <c r="D524" s="51" t="s">
        <v>69</v>
      </c>
      <c r="F524" s="52">
        <f>SUMIF(CPY!$B:$B,Summary!$B524,CPY!$I:$I)</f>
        <v>0</v>
      </c>
    </row>
    <row r="525" spans="1:6" x14ac:dyDescent="0.25">
      <c r="A525" s="50">
        <f t="shared" si="8"/>
        <v>523</v>
      </c>
      <c r="B525" s="50">
        <v>4849</v>
      </c>
      <c r="C525" s="50" t="s">
        <v>560</v>
      </c>
      <c r="D525" s="51" t="s">
        <v>69</v>
      </c>
      <c r="F525" s="52">
        <f>SUMIF(CPY!$B:$B,Summary!$B525,CPY!$I:$I)</f>
        <v>0</v>
      </c>
    </row>
    <row r="526" spans="1:6" x14ac:dyDescent="0.25">
      <c r="A526" s="50">
        <f t="shared" si="8"/>
        <v>524</v>
      </c>
      <c r="B526" s="50">
        <v>4850</v>
      </c>
      <c r="C526" s="50" t="s">
        <v>561</v>
      </c>
      <c r="D526" s="51" t="s">
        <v>69</v>
      </c>
      <c r="F526" s="52">
        <f>SUMIF(CPY!$B:$B,Summary!$B526,CPY!$I:$I)</f>
        <v>0</v>
      </c>
    </row>
    <row r="527" spans="1:6" x14ac:dyDescent="0.25">
      <c r="A527" s="50">
        <f t="shared" si="8"/>
        <v>525</v>
      </c>
      <c r="B527" s="50">
        <v>4856</v>
      </c>
      <c r="C527" s="50" t="s">
        <v>562</v>
      </c>
      <c r="D527" s="51" t="s">
        <v>69</v>
      </c>
      <c r="F527" s="52">
        <f>SUMIF(CPY!$B:$B,Summary!$B527,CPY!$I:$I)</f>
        <v>0</v>
      </c>
    </row>
    <row r="528" spans="1:6" x14ac:dyDescent="0.25">
      <c r="A528" s="50">
        <f t="shared" si="8"/>
        <v>526</v>
      </c>
      <c r="B528" s="50">
        <v>4857</v>
      </c>
      <c r="C528" s="50" t="s">
        <v>563</v>
      </c>
      <c r="D528" s="51" t="s">
        <v>69</v>
      </c>
      <c r="F528" s="52">
        <f>SUMIF(CPY!$B:$B,Summary!$B528,CPY!$I:$I)</f>
        <v>0</v>
      </c>
    </row>
    <row r="529" spans="1:6" x14ac:dyDescent="0.25">
      <c r="A529" s="50">
        <f t="shared" si="8"/>
        <v>527</v>
      </c>
      <c r="B529" s="50">
        <v>4859</v>
      </c>
      <c r="C529" s="50" t="s">
        <v>564</v>
      </c>
      <c r="D529" s="51" t="s">
        <v>69</v>
      </c>
      <c r="F529" s="52">
        <f>SUMIF(CPY!$B:$B,Summary!$B529,CPY!$I:$I)</f>
        <v>0</v>
      </c>
    </row>
    <row r="530" spans="1:6" x14ac:dyDescent="0.25">
      <c r="A530" s="50">
        <f t="shared" si="8"/>
        <v>528</v>
      </c>
      <c r="B530" s="50">
        <v>4868</v>
      </c>
      <c r="C530" s="50" t="s">
        <v>565</v>
      </c>
      <c r="D530" s="51" t="s">
        <v>69</v>
      </c>
      <c r="F530" s="52">
        <f>SUMIF(CPY!$B:$B,Summary!$B530,CPY!$I:$I)</f>
        <v>0</v>
      </c>
    </row>
    <row r="531" spans="1:6" x14ac:dyDescent="0.25">
      <c r="A531" s="50">
        <f t="shared" si="8"/>
        <v>529</v>
      </c>
      <c r="B531" s="50">
        <v>4869</v>
      </c>
      <c r="C531" s="50" t="s">
        <v>566</v>
      </c>
      <c r="D531" s="51" t="s">
        <v>69</v>
      </c>
      <c r="F531" s="52">
        <f>SUMIF(CPY!$B:$B,Summary!$B531,CPY!$I:$I)</f>
        <v>0</v>
      </c>
    </row>
    <row r="532" spans="1:6" x14ac:dyDescent="0.25">
      <c r="A532" s="50">
        <f t="shared" si="8"/>
        <v>530</v>
      </c>
      <c r="B532" s="50">
        <v>4871</v>
      </c>
      <c r="C532" s="50" t="s">
        <v>567</v>
      </c>
      <c r="D532" s="51" t="s">
        <v>69</v>
      </c>
      <c r="F532" s="52">
        <f>SUMIF(CPY!$B:$B,Summary!$B532,CPY!$I:$I)</f>
        <v>0</v>
      </c>
    </row>
    <row r="533" spans="1:6" x14ac:dyDescent="0.25">
      <c r="A533" s="50">
        <f t="shared" si="8"/>
        <v>531</v>
      </c>
      <c r="B533" s="50">
        <v>4872</v>
      </c>
      <c r="C533" s="50" t="s">
        <v>568</v>
      </c>
      <c r="D533" s="51" t="s">
        <v>69</v>
      </c>
      <c r="F533" s="52">
        <f>SUMIF(CPY!$B:$B,Summary!$B533,CPY!$I:$I)</f>
        <v>0</v>
      </c>
    </row>
    <row r="534" spans="1:6" x14ac:dyDescent="0.25">
      <c r="A534" s="50">
        <f t="shared" si="8"/>
        <v>532</v>
      </c>
      <c r="B534" s="50">
        <v>4879</v>
      </c>
      <c r="C534" s="50" t="s">
        <v>569</v>
      </c>
      <c r="D534" s="51" t="s">
        <v>69</v>
      </c>
      <c r="F534" s="52">
        <f>SUMIF(CPY!$B:$B,Summary!$B534,CPY!$I:$I)</f>
        <v>0</v>
      </c>
    </row>
    <row r="535" spans="1:6" x14ac:dyDescent="0.25">
      <c r="A535" s="50">
        <f t="shared" si="8"/>
        <v>533</v>
      </c>
      <c r="B535" s="50">
        <v>4880</v>
      </c>
      <c r="C535" s="50" t="s">
        <v>570</v>
      </c>
      <c r="D535" s="51" t="s">
        <v>69</v>
      </c>
      <c r="F535" s="52">
        <f>SUMIF(CPY!$B:$B,Summary!$B535,CPY!$I:$I)</f>
        <v>0</v>
      </c>
    </row>
    <row r="536" spans="1:6" x14ac:dyDescent="0.25">
      <c r="A536" s="50">
        <f t="shared" si="8"/>
        <v>534</v>
      </c>
      <c r="B536" s="50">
        <v>4881</v>
      </c>
      <c r="C536" s="50" t="s">
        <v>571</v>
      </c>
      <c r="D536" s="51" t="s">
        <v>69</v>
      </c>
      <c r="F536" s="52">
        <f>SUMIF(CPY!$B:$B,Summary!$B536,CPY!$I:$I)</f>
        <v>0</v>
      </c>
    </row>
    <row r="537" spans="1:6" x14ac:dyDescent="0.25">
      <c r="A537" s="50">
        <f t="shared" si="8"/>
        <v>535</v>
      </c>
      <c r="B537" s="50">
        <v>4882</v>
      </c>
      <c r="C537" s="50" t="s">
        <v>572</v>
      </c>
      <c r="D537" s="51" t="s">
        <v>69</v>
      </c>
      <c r="F537" s="52">
        <f>SUMIF(CPY!$B:$B,Summary!$B537,CPY!$I:$I)</f>
        <v>0</v>
      </c>
    </row>
    <row r="538" spans="1:6" x14ac:dyDescent="0.25">
      <c r="A538" s="50">
        <f t="shared" si="8"/>
        <v>536</v>
      </c>
      <c r="B538" s="50">
        <v>4886</v>
      </c>
      <c r="C538" s="50" t="s">
        <v>573</v>
      </c>
      <c r="D538" s="51" t="s">
        <v>69</v>
      </c>
      <c r="F538" s="52">
        <f>SUMIF(CPY!$B:$B,Summary!$B538,CPY!$I:$I)</f>
        <v>0</v>
      </c>
    </row>
    <row r="539" spans="1:6" x14ac:dyDescent="0.25">
      <c r="A539" s="50">
        <f t="shared" si="8"/>
        <v>537</v>
      </c>
      <c r="B539" s="50">
        <v>4890</v>
      </c>
      <c r="C539" s="50" t="s">
        <v>574</v>
      </c>
      <c r="D539" s="51" t="s">
        <v>69</v>
      </c>
      <c r="F539" s="52">
        <f>SUMIF(CPY!$B:$B,Summary!$B539,CPY!$I:$I)</f>
        <v>0</v>
      </c>
    </row>
    <row r="540" spans="1:6" x14ac:dyDescent="0.25">
      <c r="A540" s="50">
        <f t="shared" si="8"/>
        <v>538</v>
      </c>
      <c r="B540" s="50">
        <v>4891</v>
      </c>
      <c r="C540" s="50" t="s">
        <v>575</v>
      </c>
      <c r="D540" s="51" t="s">
        <v>69</v>
      </c>
      <c r="F540" s="52">
        <f>SUMIF(CPY!$B:$B,Summary!$B540,CPY!$I:$I)</f>
        <v>0</v>
      </c>
    </row>
    <row r="541" spans="1:6" x14ac:dyDescent="0.25">
      <c r="A541" s="50">
        <f t="shared" si="8"/>
        <v>539</v>
      </c>
      <c r="B541" s="50">
        <v>4893</v>
      </c>
      <c r="C541" s="50" t="s">
        <v>576</v>
      </c>
      <c r="D541" s="51" t="s">
        <v>69</v>
      </c>
      <c r="F541" s="52">
        <f>SUMIF(CPY!$B:$B,Summary!$B541,CPY!$I:$I)</f>
        <v>0</v>
      </c>
    </row>
    <row r="542" spans="1:6" x14ac:dyDescent="0.25">
      <c r="A542" s="50">
        <f t="shared" si="8"/>
        <v>540</v>
      </c>
      <c r="B542" s="50">
        <v>4894</v>
      </c>
      <c r="C542" s="50" t="s">
        <v>577</v>
      </c>
      <c r="D542" s="51" t="s">
        <v>69</v>
      </c>
      <c r="F542" s="52">
        <f>SUMIF(CPY!$B:$B,Summary!$B542,CPY!$I:$I)</f>
        <v>0</v>
      </c>
    </row>
    <row r="543" spans="1:6" x14ac:dyDescent="0.25">
      <c r="A543" s="50">
        <f t="shared" si="8"/>
        <v>541</v>
      </c>
      <c r="B543" s="50">
        <v>4899</v>
      </c>
      <c r="C543" s="50" t="s">
        <v>578</v>
      </c>
      <c r="D543" s="51" t="s">
        <v>69</v>
      </c>
      <c r="F543" s="52">
        <f>SUMIF(CPY!$B:$B,Summary!$B543,CPY!$I:$I)</f>
        <v>0</v>
      </c>
    </row>
    <row r="544" spans="1:6" x14ac:dyDescent="0.25">
      <c r="A544" s="50">
        <f t="shared" si="8"/>
        <v>542</v>
      </c>
      <c r="B544" s="50">
        <v>4900</v>
      </c>
      <c r="C544" s="50" t="s">
        <v>579</v>
      </c>
      <c r="D544" s="51" t="s">
        <v>69</v>
      </c>
      <c r="F544" s="52">
        <f>SUMIF(CPY!$B:$B,Summary!$B544,CPY!$I:$I)</f>
        <v>0</v>
      </c>
    </row>
    <row r="545" spans="1:6" x14ac:dyDescent="0.25">
      <c r="A545" s="50">
        <f t="shared" si="8"/>
        <v>543</v>
      </c>
      <c r="B545" s="50">
        <v>4901</v>
      </c>
      <c r="C545" s="50" t="s">
        <v>580</v>
      </c>
      <c r="D545" s="51" t="s">
        <v>69</v>
      </c>
      <c r="F545" s="52">
        <f>SUMIF(CPY!$B:$B,Summary!$B545,CPY!$I:$I)</f>
        <v>0</v>
      </c>
    </row>
    <row r="546" spans="1:6" x14ac:dyDescent="0.25">
      <c r="A546" s="50">
        <f t="shared" si="8"/>
        <v>544</v>
      </c>
      <c r="B546" s="50">
        <v>4905</v>
      </c>
      <c r="C546" s="50" t="s">
        <v>581</v>
      </c>
      <c r="D546" s="51" t="s">
        <v>78</v>
      </c>
      <c r="F546" s="52">
        <f>SUMIF(CPY!$B:$B,Summary!$B546,CPY!$I:$I)</f>
        <v>0</v>
      </c>
    </row>
    <row r="547" spans="1:6" x14ac:dyDescent="0.25">
      <c r="A547" s="50">
        <f t="shared" si="8"/>
        <v>545</v>
      </c>
      <c r="B547" s="50">
        <v>4908</v>
      </c>
      <c r="C547" s="50" t="s">
        <v>582</v>
      </c>
      <c r="D547" s="51" t="s">
        <v>69</v>
      </c>
      <c r="F547" s="52">
        <f>SUMIF(CPY!$B:$B,Summary!$B547,CPY!$I:$I)</f>
        <v>0</v>
      </c>
    </row>
    <row r="548" spans="1:6" x14ac:dyDescent="0.25">
      <c r="A548" s="50">
        <f t="shared" si="8"/>
        <v>546</v>
      </c>
      <c r="B548" s="50">
        <v>4910</v>
      </c>
      <c r="C548" s="50" t="s">
        <v>583</v>
      </c>
      <c r="D548" s="51" t="s">
        <v>69</v>
      </c>
      <c r="F548" s="52">
        <f>SUMIF(CPY!$B:$B,Summary!$B548,CPY!$I:$I)</f>
        <v>0</v>
      </c>
    </row>
    <row r="549" spans="1:6" x14ac:dyDescent="0.25">
      <c r="A549" s="50">
        <f t="shared" si="8"/>
        <v>547</v>
      </c>
      <c r="B549" s="50">
        <v>4913</v>
      </c>
      <c r="C549" s="50" t="s">
        <v>584</v>
      </c>
      <c r="D549" s="51" t="s">
        <v>69</v>
      </c>
      <c r="F549" s="52">
        <f>SUMIF(CPY!$B:$B,Summary!$B549,CPY!$I:$I)</f>
        <v>0</v>
      </c>
    </row>
    <row r="550" spans="1:6" x14ac:dyDescent="0.25">
      <c r="A550" s="50">
        <f t="shared" si="8"/>
        <v>548</v>
      </c>
      <c r="B550" s="50">
        <v>4914</v>
      </c>
      <c r="C550" s="50" t="s">
        <v>585</v>
      </c>
      <c r="D550" s="51" t="s">
        <v>69</v>
      </c>
      <c r="F550" s="52">
        <f>SUMIF(CPY!$B:$B,Summary!$B550,CPY!$I:$I)</f>
        <v>0</v>
      </c>
    </row>
    <row r="551" spans="1:6" x14ac:dyDescent="0.25">
      <c r="A551" s="50">
        <f t="shared" si="8"/>
        <v>549</v>
      </c>
      <c r="B551" s="50">
        <v>4916</v>
      </c>
      <c r="C551" s="50" t="s">
        <v>586</v>
      </c>
      <c r="D551" s="51" t="s">
        <v>69</v>
      </c>
      <c r="F551" s="52">
        <f>SUMIF(CPY!$B:$B,Summary!$B551,CPY!$I:$I)</f>
        <v>0</v>
      </c>
    </row>
    <row r="552" spans="1:6" x14ac:dyDescent="0.25">
      <c r="A552" s="50">
        <f t="shared" si="8"/>
        <v>550</v>
      </c>
      <c r="B552" s="50">
        <v>4917</v>
      </c>
      <c r="C552" s="50" t="s">
        <v>587</v>
      </c>
      <c r="D552" s="51" t="s">
        <v>69</v>
      </c>
      <c r="F552" s="52">
        <f>SUMIF(CPY!$B:$B,Summary!$B552,CPY!$I:$I)</f>
        <v>0</v>
      </c>
    </row>
    <row r="553" spans="1:6" x14ac:dyDescent="0.25">
      <c r="A553" s="50">
        <f t="shared" si="8"/>
        <v>551</v>
      </c>
      <c r="B553" s="50">
        <v>4925</v>
      </c>
      <c r="C553" s="50" t="s">
        <v>588</v>
      </c>
      <c r="D553" s="51" t="s">
        <v>69</v>
      </c>
      <c r="F553" s="52">
        <f>SUMIF(CPY!$B:$B,Summary!$B553,CPY!$I:$I)</f>
        <v>0</v>
      </c>
    </row>
    <row r="554" spans="1:6" x14ac:dyDescent="0.25">
      <c r="A554" s="50">
        <f t="shared" si="8"/>
        <v>552</v>
      </c>
      <c r="B554" s="50">
        <v>4930</v>
      </c>
      <c r="C554" s="50" t="s">
        <v>589</v>
      </c>
      <c r="D554" s="51" t="s">
        <v>69</v>
      </c>
      <c r="F554" s="52">
        <f>SUMIF(CPY!$B:$B,Summary!$B554,CPY!$I:$I)</f>
        <v>0</v>
      </c>
    </row>
    <row r="555" spans="1:6" x14ac:dyDescent="0.25">
      <c r="A555" s="50">
        <f t="shared" si="8"/>
        <v>553</v>
      </c>
      <c r="B555" s="50">
        <v>4931</v>
      </c>
      <c r="C555" s="50" t="s">
        <v>590</v>
      </c>
      <c r="D555" s="51" t="s">
        <v>69</v>
      </c>
      <c r="F555" s="52">
        <f>SUMIF(CPY!$B:$B,Summary!$B555,CPY!$I:$I)</f>
        <v>0</v>
      </c>
    </row>
    <row r="556" spans="1:6" x14ac:dyDescent="0.25">
      <c r="A556" s="50">
        <f t="shared" si="8"/>
        <v>554</v>
      </c>
      <c r="B556" s="50">
        <v>4955</v>
      </c>
      <c r="C556" s="50" t="s">
        <v>591</v>
      </c>
      <c r="D556" s="51" t="s">
        <v>69</v>
      </c>
      <c r="F556" s="52">
        <f>SUMIF(CPY!$B:$B,Summary!$B556,CPY!$I:$I)</f>
        <v>0</v>
      </c>
    </row>
    <row r="557" spans="1:6" x14ac:dyDescent="0.25">
      <c r="A557" s="50">
        <f t="shared" si="8"/>
        <v>555</v>
      </c>
      <c r="B557" s="50">
        <v>4957</v>
      </c>
      <c r="C557" s="50" t="s">
        <v>592</v>
      </c>
      <c r="D557" s="51" t="s">
        <v>69</v>
      </c>
      <c r="F557" s="52">
        <f>SUMIF(CPY!$B:$B,Summary!$B557,CPY!$I:$I)</f>
        <v>0</v>
      </c>
    </row>
    <row r="558" spans="1:6" x14ac:dyDescent="0.25">
      <c r="A558" s="50">
        <f t="shared" si="8"/>
        <v>556</v>
      </c>
      <c r="B558" s="50">
        <v>4959</v>
      </c>
      <c r="C558" s="50" t="s">
        <v>593</v>
      </c>
      <c r="D558" s="51" t="s">
        <v>69</v>
      </c>
      <c r="F558" s="52">
        <f>SUMIF(CPY!$B:$B,Summary!$B558,CPY!$I:$I)</f>
        <v>0</v>
      </c>
    </row>
    <row r="559" spans="1:6" x14ac:dyDescent="0.25">
      <c r="A559" s="50">
        <f t="shared" si="8"/>
        <v>557</v>
      </c>
      <c r="B559" s="50">
        <v>4962</v>
      </c>
      <c r="C559" s="50" t="s">
        <v>594</v>
      </c>
      <c r="D559" s="51" t="s">
        <v>69</v>
      </c>
      <c r="F559" s="52">
        <f>SUMIF(CPY!$B:$B,Summary!$B559,CPY!$I:$I)</f>
        <v>0</v>
      </c>
    </row>
    <row r="560" spans="1:6" x14ac:dyDescent="0.25">
      <c r="A560" s="50">
        <f t="shared" si="8"/>
        <v>558</v>
      </c>
      <c r="B560" s="50">
        <v>4966</v>
      </c>
      <c r="C560" s="50" t="s">
        <v>595</v>
      </c>
      <c r="D560" s="51" t="s">
        <v>69</v>
      </c>
      <c r="F560" s="52">
        <f>SUMIF(CPY!$B:$B,Summary!$B560,CPY!$I:$I)</f>
        <v>0</v>
      </c>
    </row>
    <row r="561" spans="1:6" x14ac:dyDescent="0.25">
      <c r="A561" s="50">
        <f t="shared" si="8"/>
        <v>559</v>
      </c>
      <c r="B561" s="50">
        <v>4967</v>
      </c>
      <c r="C561" s="50" t="s">
        <v>596</v>
      </c>
      <c r="D561" s="51" t="s">
        <v>69</v>
      </c>
      <c r="F561" s="52">
        <f>SUMIF(CPY!$B:$B,Summary!$B561,CPY!$I:$I)</f>
        <v>0</v>
      </c>
    </row>
    <row r="562" spans="1:6" x14ac:dyDescent="0.25">
      <c r="A562" s="50">
        <f t="shared" si="8"/>
        <v>560</v>
      </c>
      <c r="B562" s="50">
        <v>4968</v>
      </c>
      <c r="C562" s="50" t="s">
        <v>597</v>
      </c>
      <c r="D562" s="51" t="s">
        <v>69</v>
      </c>
      <c r="F562" s="52">
        <f>SUMIF(CPY!$B:$B,Summary!$B562,CPY!$I:$I)</f>
        <v>0</v>
      </c>
    </row>
    <row r="563" spans="1:6" x14ac:dyDescent="0.25">
      <c r="A563" s="50">
        <f t="shared" si="8"/>
        <v>561</v>
      </c>
      <c r="B563" s="50">
        <v>4969</v>
      </c>
      <c r="C563" s="50" t="s">
        <v>598</v>
      </c>
      <c r="D563" s="51" t="s">
        <v>69</v>
      </c>
      <c r="F563" s="52">
        <f>SUMIF(CPY!$B:$B,Summary!$B563,CPY!$I:$I)</f>
        <v>0</v>
      </c>
    </row>
    <row r="564" spans="1:6" x14ac:dyDescent="0.25">
      <c r="A564" s="50">
        <f t="shared" si="8"/>
        <v>562</v>
      </c>
      <c r="B564" s="50">
        <v>4971</v>
      </c>
      <c r="C564" s="50" t="s">
        <v>599</v>
      </c>
      <c r="D564" s="51" t="s">
        <v>69</v>
      </c>
      <c r="F564" s="52">
        <f>SUMIF(CPY!$B:$B,Summary!$B564,CPY!$I:$I)</f>
        <v>0</v>
      </c>
    </row>
    <row r="565" spans="1:6" x14ac:dyDescent="0.25">
      <c r="A565" s="50">
        <f t="shared" si="8"/>
        <v>563</v>
      </c>
      <c r="B565" s="50">
        <v>4972</v>
      </c>
      <c r="C565" s="50" t="s">
        <v>600</v>
      </c>
      <c r="D565" s="51" t="s">
        <v>69</v>
      </c>
      <c r="F565" s="52">
        <f>SUMIF(CPY!$B:$B,Summary!$B565,CPY!$I:$I)</f>
        <v>0</v>
      </c>
    </row>
    <row r="566" spans="1:6" x14ac:dyDescent="0.25">
      <c r="A566" s="50">
        <f t="shared" si="8"/>
        <v>564</v>
      </c>
      <c r="B566" s="50">
        <v>4977</v>
      </c>
      <c r="C566" s="50" t="s">
        <v>601</v>
      </c>
      <c r="D566" s="51" t="s">
        <v>69</v>
      </c>
      <c r="F566" s="52">
        <f>SUMIF(CPY!$B:$B,Summary!$B566,CPY!$I:$I)</f>
        <v>0</v>
      </c>
    </row>
    <row r="567" spans="1:6" x14ac:dyDescent="0.25">
      <c r="A567" s="50">
        <f t="shared" si="8"/>
        <v>565</v>
      </c>
      <c r="B567" s="50">
        <v>4983</v>
      </c>
      <c r="C567" s="50" t="s">
        <v>602</v>
      </c>
      <c r="D567" s="51" t="s">
        <v>78</v>
      </c>
      <c r="F567" s="52">
        <f>SUMIF(CPY!$B:$B,Summary!$B567,CPY!$I:$I)</f>
        <v>0</v>
      </c>
    </row>
    <row r="568" spans="1:6" x14ac:dyDescent="0.25">
      <c r="A568" s="50">
        <f t="shared" si="8"/>
        <v>566</v>
      </c>
      <c r="B568" s="50">
        <v>4991</v>
      </c>
      <c r="C568" s="50" t="s">
        <v>603</v>
      </c>
      <c r="D568" s="51" t="s">
        <v>69</v>
      </c>
      <c r="F568" s="52">
        <f>SUMIF(CPY!$B:$B,Summary!$B568,CPY!$I:$I)</f>
        <v>0</v>
      </c>
    </row>
    <row r="569" spans="1:6" x14ac:dyDescent="0.25">
      <c r="A569" s="50">
        <f t="shared" si="8"/>
        <v>567</v>
      </c>
      <c r="B569" s="50">
        <v>4995</v>
      </c>
      <c r="C569" s="50" t="s">
        <v>604</v>
      </c>
      <c r="D569" s="51" t="s">
        <v>69</v>
      </c>
      <c r="F569" s="52">
        <f>SUMIF(CPY!$B:$B,Summary!$B569,CPY!$I:$I)</f>
        <v>0</v>
      </c>
    </row>
    <row r="570" spans="1:6" x14ac:dyDescent="0.25">
      <c r="A570" s="50">
        <f t="shared" si="8"/>
        <v>568</v>
      </c>
      <c r="B570" s="50">
        <v>5000</v>
      </c>
      <c r="C570" s="50" t="s">
        <v>605</v>
      </c>
      <c r="D570" s="51" t="s">
        <v>78</v>
      </c>
      <c r="F570" s="52">
        <f>SUMIF(CPY!$B:$B,Summary!$B570,CPY!$I:$I)</f>
        <v>0</v>
      </c>
    </row>
    <row r="571" spans="1:6" x14ac:dyDescent="0.25">
      <c r="A571" s="50">
        <f t="shared" si="8"/>
        <v>569</v>
      </c>
      <c r="B571" s="50">
        <v>5005</v>
      </c>
      <c r="C571" s="50" t="s">
        <v>606</v>
      </c>
      <c r="D571" s="51" t="s">
        <v>69</v>
      </c>
      <c r="F571" s="52">
        <f>SUMIF(CPY!$B:$B,Summary!$B571,CPY!$I:$I)</f>
        <v>0</v>
      </c>
    </row>
    <row r="572" spans="1:6" x14ac:dyDescent="0.25">
      <c r="A572" s="50">
        <f t="shared" si="8"/>
        <v>570</v>
      </c>
      <c r="B572" s="50">
        <v>5007</v>
      </c>
      <c r="C572" s="50" t="s">
        <v>607</v>
      </c>
      <c r="D572" s="51" t="s">
        <v>69</v>
      </c>
      <c r="F572" s="52">
        <f>SUMIF(CPY!$B:$B,Summary!$B572,CPY!$I:$I)</f>
        <v>0</v>
      </c>
    </row>
    <row r="573" spans="1:6" x14ac:dyDescent="0.25">
      <c r="A573" s="50">
        <f t="shared" si="8"/>
        <v>571</v>
      </c>
      <c r="B573" s="50">
        <v>5011</v>
      </c>
      <c r="C573" s="50" t="s">
        <v>608</v>
      </c>
      <c r="D573" s="51" t="s">
        <v>69</v>
      </c>
      <c r="F573" s="52">
        <f>SUMIF(CPY!$B:$B,Summary!$B573,CPY!$I:$I)</f>
        <v>0</v>
      </c>
    </row>
    <row r="574" spans="1:6" x14ac:dyDescent="0.25">
      <c r="A574" s="50">
        <f t="shared" si="8"/>
        <v>572</v>
      </c>
      <c r="B574" s="50">
        <v>5012</v>
      </c>
      <c r="C574" s="50" t="s">
        <v>609</v>
      </c>
      <c r="D574" s="51" t="s">
        <v>69</v>
      </c>
      <c r="F574" s="52">
        <f>SUMIF(CPY!$B:$B,Summary!$B574,CPY!$I:$I)</f>
        <v>0</v>
      </c>
    </row>
    <row r="575" spans="1:6" x14ac:dyDescent="0.25">
      <c r="A575" s="50">
        <f t="shared" si="8"/>
        <v>573</v>
      </c>
      <c r="B575" s="50">
        <v>5013</v>
      </c>
      <c r="C575" s="50" t="s">
        <v>610</v>
      </c>
      <c r="D575" s="51" t="s">
        <v>69</v>
      </c>
      <c r="F575" s="52">
        <f>SUMIF(CPY!$B:$B,Summary!$B575,CPY!$I:$I)</f>
        <v>0</v>
      </c>
    </row>
    <row r="576" spans="1:6" x14ac:dyDescent="0.25">
      <c r="A576" s="50">
        <f t="shared" si="8"/>
        <v>574</v>
      </c>
      <c r="B576" s="50">
        <v>5014</v>
      </c>
      <c r="C576" s="50" t="s">
        <v>611</v>
      </c>
      <c r="D576" s="51" t="s">
        <v>69</v>
      </c>
      <c r="F576" s="52">
        <f>SUMIF(CPY!$B:$B,Summary!$B576,CPY!$I:$I)</f>
        <v>0</v>
      </c>
    </row>
    <row r="577" spans="1:6" x14ac:dyDescent="0.25">
      <c r="A577" s="50">
        <f t="shared" si="8"/>
        <v>575</v>
      </c>
      <c r="B577" s="50">
        <v>5015</v>
      </c>
      <c r="C577" s="50" t="s">
        <v>612</v>
      </c>
      <c r="D577" s="51" t="s">
        <v>69</v>
      </c>
      <c r="F577" s="52">
        <f>SUMIF(CPY!$B:$B,Summary!$B577,CPY!$I:$I)</f>
        <v>0</v>
      </c>
    </row>
    <row r="578" spans="1:6" x14ac:dyDescent="0.25">
      <c r="A578" s="50">
        <f t="shared" si="8"/>
        <v>576</v>
      </c>
      <c r="B578" s="50">
        <v>5016</v>
      </c>
      <c r="C578" s="50" t="s">
        <v>613</v>
      </c>
      <c r="D578" s="51" t="s">
        <v>69</v>
      </c>
      <c r="F578" s="52">
        <f>SUMIF(CPY!$B:$B,Summary!$B578,CPY!$I:$I)</f>
        <v>0</v>
      </c>
    </row>
    <row r="579" spans="1:6" x14ac:dyDescent="0.25">
      <c r="A579" s="50">
        <f t="shared" si="8"/>
        <v>577</v>
      </c>
      <c r="B579" s="50">
        <v>5020</v>
      </c>
      <c r="C579" s="50" t="s">
        <v>614</v>
      </c>
      <c r="D579" s="51" t="s">
        <v>69</v>
      </c>
      <c r="F579" s="52">
        <f>SUMIF(CPY!$B:$B,Summary!$B579,CPY!$I:$I)</f>
        <v>0</v>
      </c>
    </row>
    <row r="580" spans="1:6" x14ac:dyDescent="0.25">
      <c r="A580" s="50">
        <f t="shared" si="8"/>
        <v>578</v>
      </c>
      <c r="B580" s="50">
        <v>5023</v>
      </c>
      <c r="C580" s="50" t="s">
        <v>615</v>
      </c>
      <c r="D580" s="51" t="s">
        <v>69</v>
      </c>
      <c r="F580" s="52">
        <f>SUMIF(CPY!$B:$B,Summary!$B580,CPY!$I:$I)</f>
        <v>0</v>
      </c>
    </row>
    <row r="581" spans="1:6" x14ac:dyDescent="0.25">
      <c r="A581" s="50">
        <f t="shared" ref="A581:A644" si="9">+A580+1</f>
        <v>579</v>
      </c>
      <c r="B581" s="50">
        <v>5024</v>
      </c>
      <c r="C581" s="50" t="s">
        <v>616</v>
      </c>
      <c r="D581" s="51" t="s">
        <v>69</v>
      </c>
      <c r="F581" s="52">
        <f>SUMIF(CPY!$B:$B,Summary!$B581,CPY!$I:$I)</f>
        <v>0</v>
      </c>
    </row>
    <row r="582" spans="1:6" x14ac:dyDescent="0.25">
      <c r="A582" s="50">
        <f t="shared" si="9"/>
        <v>580</v>
      </c>
      <c r="B582" s="50">
        <v>5026</v>
      </c>
      <c r="C582" s="50" t="s">
        <v>617</v>
      </c>
      <c r="D582" s="51" t="s">
        <v>69</v>
      </c>
      <c r="F582" s="52">
        <f>SUMIF(CPY!$B:$B,Summary!$B582,CPY!$I:$I)</f>
        <v>0</v>
      </c>
    </row>
    <row r="583" spans="1:6" x14ac:dyDescent="0.25">
      <c r="A583" s="50">
        <f t="shared" si="9"/>
        <v>581</v>
      </c>
      <c r="B583" s="50">
        <v>5027</v>
      </c>
      <c r="C583" s="50" t="s">
        <v>618</v>
      </c>
      <c r="D583" s="51" t="s">
        <v>69</v>
      </c>
      <c r="F583" s="52">
        <f>SUMIF(CPY!$B:$B,Summary!$B583,CPY!$I:$I)</f>
        <v>0</v>
      </c>
    </row>
    <row r="584" spans="1:6" x14ac:dyDescent="0.25">
      <c r="A584" s="50">
        <f t="shared" si="9"/>
        <v>582</v>
      </c>
      <c r="B584" s="50">
        <v>5029</v>
      </c>
      <c r="C584" s="50" t="s">
        <v>619</v>
      </c>
      <c r="D584" s="51" t="s">
        <v>69</v>
      </c>
      <c r="F584" s="52">
        <f>SUMIF(CPY!$B:$B,Summary!$B584,CPY!$I:$I)</f>
        <v>0</v>
      </c>
    </row>
    <row r="585" spans="1:6" x14ac:dyDescent="0.25">
      <c r="A585" s="50">
        <f t="shared" si="9"/>
        <v>583</v>
      </c>
      <c r="B585" s="50">
        <v>5032</v>
      </c>
      <c r="C585" s="50" t="s">
        <v>620</v>
      </c>
      <c r="D585" s="51" t="s">
        <v>69</v>
      </c>
      <c r="F585" s="52">
        <f>SUMIF(CPY!$B:$B,Summary!$B585,CPY!$I:$I)</f>
        <v>0</v>
      </c>
    </row>
    <row r="586" spans="1:6" x14ac:dyDescent="0.25">
      <c r="A586" s="50">
        <f t="shared" si="9"/>
        <v>584</v>
      </c>
      <c r="B586" s="50">
        <v>5033</v>
      </c>
      <c r="C586" s="50" t="s">
        <v>621</v>
      </c>
      <c r="D586" s="51" t="s">
        <v>69</v>
      </c>
      <c r="F586" s="52">
        <f>SUMIF(CPY!$B:$B,Summary!$B586,CPY!$I:$I)</f>
        <v>0</v>
      </c>
    </row>
    <row r="587" spans="1:6" x14ac:dyDescent="0.25">
      <c r="A587" s="50">
        <f t="shared" si="9"/>
        <v>585</v>
      </c>
      <c r="B587" s="50">
        <v>5034</v>
      </c>
      <c r="C587" s="50" t="s">
        <v>622</v>
      </c>
      <c r="D587" s="51" t="s">
        <v>69</v>
      </c>
      <c r="F587" s="52">
        <f>SUMIF(CPY!$B:$B,Summary!$B587,CPY!$I:$I)</f>
        <v>0</v>
      </c>
    </row>
    <row r="588" spans="1:6" x14ac:dyDescent="0.25">
      <c r="A588" s="50">
        <f t="shared" si="9"/>
        <v>586</v>
      </c>
      <c r="B588" s="50">
        <v>5037</v>
      </c>
      <c r="C588" s="50" t="s">
        <v>623</v>
      </c>
      <c r="D588" s="51" t="s">
        <v>69</v>
      </c>
      <c r="F588" s="52">
        <f>SUMIF(CPY!$B:$B,Summary!$B588,CPY!$I:$I)</f>
        <v>0</v>
      </c>
    </row>
    <row r="589" spans="1:6" x14ac:dyDescent="0.25">
      <c r="A589" s="50">
        <f t="shared" si="9"/>
        <v>587</v>
      </c>
      <c r="B589" s="50">
        <v>5038</v>
      </c>
      <c r="C589" s="50" t="s">
        <v>624</v>
      </c>
      <c r="D589" s="51" t="s">
        <v>69</v>
      </c>
      <c r="F589" s="52">
        <f>SUMIF(CPY!$B:$B,Summary!$B589,CPY!$I:$I)</f>
        <v>0</v>
      </c>
    </row>
    <row r="590" spans="1:6" x14ac:dyDescent="0.25">
      <c r="A590" s="50">
        <f t="shared" si="9"/>
        <v>588</v>
      </c>
      <c r="B590" s="50">
        <v>5039</v>
      </c>
      <c r="C590" s="50" t="s">
        <v>625</v>
      </c>
      <c r="D590" s="51" t="s">
        <v>69</v>
      </c>
      <c r="F590" s="52">
        <f>SUMIF(CPY!$B:$B,Summary!$B590,CPY!$I:$I)</f>
        <v>0</v>
      </c>
    </row>
    <row r="591" spans="1:6" x14ac:dyDescent="0.25">
      <c r="A591" s="50">
        <f t="shared" si="9"/>
        <v>589</v>
      </c>
      <c r="B591" s="50">
        <v>5041</v>
      </c>
      <c r="C591" s="50" t="s">
        <v>626</v>
      </c>
      <c r="D591" s="51" t="s">
        <v>69</v>
      </c>
      <c r="F591" s="52">
        <f>SUMIF(CPY!$B:$B,Summary!$B591,CPY!$I:$I)</f>
        <v>0</v>
      </c>
    </row>
    <row r="592" spans="1:6" x14ac:dyDescent="0.25">
      <c r="A592" s="50">
        <f t="shared" si="9"/>
        <v>590</v>
      </c>
      <c r="B592" s="50">
        <v>5045</v>
      </c>
      <c r="C592" s="50" t="s">
        <v>627</v>
      </c>
      <c r="D592" s="51" t="s">
        <v>78</v>
      </c>
      <c r="F592" s="52">
        <f>SUMIF(CPY!$B:$B,Summary!$B592,CPY!$I:$I)</f>
        <v>0</v>
      </c>
    </row>
    <row r="593" spans="1:6" x14ac:dyDescent="0.25">
      <c r="A593" s="50">
        <f t="shared" si="9"/>
        <v>591</v>
      </c>
      <c r="B593" s="50">
        <v>5046</v>
      </c>
      <c r="C593" s="50" t="s">
        <v>628</v>
      </c>
      <c r="D593" s="51" t="s">
        <v>51</v>
      </c>
      <c r="F593" s="52">
        <f>SUMIF(CPY!$B:$B,Summary!$B593,CPY!$I:$I)</f>
        <v>0</v>
      </c>
    </row>
    <row r="594" spans="1:6" x14ac:dyDescent="0.25">
      <c r="A594" s="50">
        <f t="shared" si="9"/>
        <v>592</v>
      </c>
      <c r="B594" s="50">
        <v>5047</v>
      </c>
      <c r="C594" s="50" t="s">
        <v>629</v>
      </c>
      <c r="D594" s="51" t="s">
        <v>69</v>
      </c>
      <c r="F594" s="52">
        <f>SUMIF(CPY!$B:$B,Summary!$B594,CPY!$I:$I)</f>
        <v>0</v>
      </c>
    </row>
    <row r="595" spans="1:6" x14ac:dyDescent="0.25">
      <c r="A595" s="50">
        <f t="shared" si="9"/>
        <v>593</v>
      </c>
      <c r="B595" s="50">
        <v>5049</v>
      </c>
      <c r="C595" s="50" t="s">
        <v>630</v>
      </c>
      <c r="D595" s="51" t="s">
        <v>69</v>
      </c>
      <c r="F595" s="52">
        <f>SUMIF(CPY!$B:$B,Summary!$B595,CPY!$I:$I)</f>
        <v>0</v>
      </c>
    </row>
    <row r="596" spans="1:6" x14ac:dyDescent="0.25">
      <c r="A596" s="50">
        <f t="shared" si="9"/>
        <v>594</v>
      </c>
      <c r="B596" s="50">
        <v>5050</v>
      </c>
      <c r="C596" s="50" t="s">
        <v>631</v>
      </c>
      <c r="D596" s="51" t="s">
        <v>69</v>
      </c>
      <c r="F596" s="52">
        <f>SUMIF(CPY!$B:$B,Summary!$B596,CPY!$I:$I)</f>
        <v>0</v>
      </c>
    </row>
    <row r="597" spans="1:6" x14ac:dyDescent="0.25">
      <c r="A597" s="50">
        <f t="shared" si="9"/>
        <v>595</v>
      </c>
      <c r="B597" s="50">
        <v>5051</v>
      </c>
      <c r="C597" s="50" t="s">
        <v>632</v>
      </c>
      <c r="D597" s="51" t="s">
        <v>69</v>
      </c>
      <c r="F597" s="52">
        <f>SUMIF(CPY!$B:$B,Summary!$B597,CPY!$I:$I)</f>
        <v>0</v>
      </c>
    </row>
    <row r="598" spans="1:6" x14ac:dyDescent="0.25">
      <c r="A598" s="50">
        <f t="shared" si="9"/>
        <v>596</v>
      </c>
      <c r="B598" s="50">
        <v>5052</v>
      </c>
      <c r="C598" s="50" t="s">
        <v>633</v>
      </c>
      <c r="D598" s="51" t="s">
        <v>69</v>
      </c>
      <c r="F598" s="52">
        <f>SUMIF(CPY!$B:$B,Summary!$B598,CPY!$I:$I)</f>
        <v>0</v>
      </c>
    </row>
    <row r="599" spans="1:6" x14ac:dyDescent="0.25">
      <c r="A599" s="50">
        <f t="shared" si="9"/>
        <v>597</v>
      </c>
      <c r="B599" s="50">
        <v>5053</v>
      </c>
      <c r="C599" s="50" t="s">
        <v>634</v>
      </c>
      <c r="D599" s="51" t="s">
        <v>69</v>
      </c>
      <c r="F599" s="52">
        <f>SUMIF(CPY!$B:$B,Summary!$B599,CPY!$I:$I)</f>
        <v>0</v>
      </c>
    </row>
    <row r="600" spans="1:6" x14ac:dyDescent="0.25">
      <c r="A600" s="50">
        <f t="shared" si="9"/>
        <v>598</v>
      </c>
      <c r="B600" s="50">
        <v>5054</v>
      </c>
      <c r="C600" s="50" t="s">
        <v>635</v>
      </c>
      <c r="D600" s="51" t="s">
        <v>69</v>
      </c>
      <c r="F600" s="52">
        <f>SUMIF(CPY!$B:$B,Summary!$B600,CPY!$I:$I)</f>
        <v>0</v>
      </c>
    </row>
    <row r="601" spans="1:6" x14ac:dyDescent="0.25">
      <c r="A601" s="50">
        <f t="shared" si="9"/>
        <v>599</v>
      </c>
      <c r="B601" s="50">
        <v>5060</v>
      </c>
      <c r="C601" s="50" t="s">
        <v>636</v>
      </c>
      <c r="D601" s="51" t="s">
        <v>69</v>
      </c>
      <c r="F601" s="52">
        <f>SUMIF(CPY!$B:$B,Summary!$B601,CPY!$I:$I)</f>
        <v>0</v>
      </c>
    </row>
    <row r="602" spans="1:6" x14ac:dyDescent="0.25">
      <c r="A602" s="50">
        <f t="shared" si="9"/>
        <v>600</v>
      </c>
      <c r="B602" s="50">
        <v>5063</v>
      </c>
      <c r="C602" s="50" t="s">
        <v>637</v>
      </c>
      <c r="D602" s="51" t="s">
        <v>69</v>
      </c>
      <c r="F602" s="52">
        <f>SUMIF(CPY!$B:$B,Summary!$B602,CPY!$I:$I)</f>
        <v>0</v>
      </c>
    </row>
    <row r="603" spans="1:6" x14ac:dyDescent="0.25">
      <c r="A603" s="50">
        <f t="shared" si="9"/>
        <v>601</v>
      </c>
      <c r="B603" s="50">
        <v>5064</v>
      </c>
      <c r="C603" s="50" t="s">
        <v>638</v>
      </c>
      <c r="D603" s="51" t="s">
        <v>69</v>
      </c>
      <c r="F603" s="52">
        <f>SUMIF(CPY!$B:$B,Summary!$B603,CPY!$I:$I)</f>
        <v>0</v>
      </c>
    </row>
    <row r="604" spans="1:6" x14ac:dyDescent="0.25">
      <c r="A604" s="50">
        <f t="shared" si="9"/>
        <v>602</v>
      </c>
      <c r="B604" s="50">
        <v>5066</v>
      </c>
      <c r="C604" s="50" t="s">
        <v>639</v>
      </c>
      <c r="D604" s="51" t="s">
        <v>69</v>
      </c>
      <c r="F604" s="52">
        <f>SUMIF(CPY!$B:$B,Summary!$B604,CPY!$I:$I)</f>
        <v>0</v>
      </c>
    </row>
    <row r="605" spans="1:6" x14ac:dyDescent="0.25">
      <c r="A605" s="50">
        <f t="shared" si="9"/>
        <v>603</v>
      </c>
      <c r="B605" s="50">
        <v>5067</v>
      </c>
      <c r="C605" s="50" t="s">
        <v>640</v>
      </c>
      <c r="D605" s="51" t="s">
        <v>69</v>
      </c>
      <c r="F605" s="52">
        <f>SUMIF(CPY!$B:$B,Summary!$B605,CPY!$I:$I)</f>
        <v>0</v>
      </c>
    </row>
    <row r="606" spans="1:6" x14ac:dyDescent="0.25">
      <c r="A606" s="50">
        <f t="shared" si="9"/>
        <v>604</v>
      </c>
      <c r="B606" s="50">
        <v>5069</v>
      </c>
      <c r="C606" s="50" t="s">
        <v>641</v>
      </c>
      <c r="D606" s="51" t="s">
        <v>69</v>
      </c>
      <c r="F606" s="52">
        <f>SUMIF(CPY!$B:$B,Summary!$B606,CPY!$I:$I)</f>
        <v>0</v>
      </c>
    </row>
    <row r="607" spans="1:6" x14ac:dyDescent="0.25">
      <c r="A607" s="50">
        <f t="shared" si="9"/>
        <v>605</v>
      </c>
      <c r="B607" s="50">
        <v>5070</v>
      </c>
      <c r="C607" s="50" t="s">
        <v>642</v>
      </c>
      <c r="D607" s="51" t="s">
        <v>69</v>
      </c>
      <c r="F607" s="52">
        <f>SUMIF(CPY!$B:$B,Summary!$B607,CPY!$I:$I)</f>
        <v>0</v>
      </c>
    </row>
    <row r="608" spans="1:6" x14ac:dyDescent="0.25">
      <c r="A608" s="50">
        <f t="shared" si="9"/>
        <v>606</v>
      </c>
      <c r="B608" s="50">
        <v>5073</v>
      </c>
      <c r="C608" s="50" t="s">
        <v>643</v>
      </c>
      <c r="D608" s="51" t="s">
        <v>69</v>
      </c>
      <c r="F608" s="52">
        <f>SUMIF(CPY!$B:$B,Summary!$B608,CPY!$I:$I)</f>
        <v>0</v>
      </c>
    </row>
    <row r="609" spans="1:6" x14ac:dyDescent="0.25">
      <c r="A609" s="50">
        <f t="shared" si="9"/>
        <v>607</v>
      </c>
      <c r="B609" s="50">
        <v>5074</v>
      </c>
      <c r="C609" s="50" t="s">
        <v>644</v>
      </c>
      <c r="D609" s="51" t="s">
        <v>69</v>
      </c>
      <c r="F609" s="52">
        <f>SUMIF(CPY!$B:$B,Summary!$B609,CPY!$I:$I)</f>
        <v>0</v>
      </c>
    </row>
    <row r="610" spans="1:6" x14ac:dyDescent="0.25">
      <c r="A610" s="50">
        <f t="shared" si="9"/>
        <v>608</v>
      </c>
      <c r="B610" s="50">
        <v>5075</v>
      </c>
      <c r="C610" s="50" t="s">
        <v>645</v>
      </c>
      <c r="D610" s="51" t="s">
        <v>69</v>
      </c>
      <c r="F610" s="52">
        <f>SUMIF(CPY!$B:$B,Summary!$B610,CPY!$I:$I)</f>
        <v>0</v>
      </c>
    </row>
    <row r="611" spans="1:6" x14ac:dyDescent="0.25">
      <c r="A611" s="50">
        <f t="shared" si="9"/>
        <v>609</v>
      </c>
      <c r="B611" s="50">
        <v>5077</v>
      </c>
      <c r="C611" s="50" t="s">
        <v>646</v>
      </c>
      <c r="D611" s="51" t="s">
        <v>69</v>
      </c>
      <c r="F611" s="52">
        <f>SUMIF(CPY!$B:$B,Summary!$B611,CPY!$I:$I)</f>
        <v>0</v>
      </c>
    </row>
    <row r="612" spans="1:6" x14ac:dyDescent="0.25">
      <c r="A612" s="50">
        <f t="shared" si="9"/>
        <v>610</v>
      </c>
      <c r="B612" s="50">
        <v>5078</v>
      </c>
      <c r="C612" s="50" t="s">
        <v>647</v>
      </c>
      <c r="D612" s="51" t="s">
        <v>69</v>
      </c>
      <c r="F612" s="52">
        <f>SUMIF(CPY!$B:$B,Summary!$B612,CPY!$I:$I)</f>
        <v>0</v>
      </c>
    </row>
    <row r="613" spans="1:6" x14ac:dyDescent="0.25">
      <c r="A613" s="50">
        <f t="shared" si="9"/>
        <v>611</v>
      </c>
      <c r="B613" s="50">
        <v>5079</v>
      </c>
      <c r="C613" s="50" t="s">
        <v>648</v>
      </c>
      <c r="D613" s="51" t="s">
        <v>69</v>
      </c>
      <c r="F613" s="52">
        <f>SUMIF(CPY!$B:$B,Summary!$B613,CPY!$I:$I)</f>
        <v>0</v>
      </c>
    </row>
    <row r="614" spans="1:6" x14ac:dyDescent="0.25">
      <c r="A614" s="50">
        <f t="shared" si="9"/>
        <v>612</v>
      </c>
      <c r="B614" s="50">
        <v>5081</v>
      </c>
      <c r="C614" s="50" t="s">
        <v>649</v>
      </c>
      <c r="D614" s="51" t="s">
        <v>69</v>
      </c>
      <c r="F614" s="52">
        <f>SUMIF(CPY!$B:$B,Summary!$B614,CPY!$I:$I)</f>
        <v>0</v>
      </c>
    </row>
    <row r="615" spans="1:6" x14ac:dyDescent="0.25">
      <c r="A615" s="50">
        <f t="shared" si="9"/>
        <v>613</v>
      </c>
      <c r="B615" s="50">
        <v>5082</v>
      </c>
      <c r="C615" s="50" t="s">
        <v>650</v>
      </c>
      <c r="D615" s="51" t="s">
        <v>69</v>
      </c>
      <c r="F615" s="52">
        <f>SUMIF(CPY!$B:$B,Summary!$B615,CPY!$I:$I)</f>
        <v>0</v>
      </c>
    </row>
    <row r="616" spans="1:6" x14ac:dyDescent="0.25">
      <c r="A616" s="50">
        <f t="shared" si="9"/>
        <v>614</v>
      </c>
      <c r="B616" s="50">
        <v>5084</v>
      </c>
      <c r="C616" s="50" t="s">
        <v>651</v>
      </c>
      <c r="D616" s="51" t="s">
        <v>69</v>
      </c>
      <c r="F616" s="52">
        <f>SUMIF(CPY!$B:$B,Summary!$B616,CPY!$I:$I)</f>
        <v>0</v>
      </c>
    </row>
    <row r="617" spans="1:6" x14ac:dyDescent="0.25">
      <c r="A617" s="50">
        <f t="shared" si="9"/>
        <v>615</v>
      </c>
      <c r="B617" s="50">
        <v>5086</v>
      </c>
      <c r="C617" s="50" t="s">
        <v>652</v>
      </c>
      <c r="D617" s="51" t="s">
        <v>69</v>
      </c>
      <c r="F617" s="52">
        <f>SUMIF(CPY!$B:$B,Summary!$B617,CPY!$I:$I)</f>
        <v>0</v>
      </c>
    </row>
    <row r="618" spans="1:6" x14ac:dyDescent="0.25">
      <c r="A618" s="50">
        <f t="shared" si="9"/>
        <v>616</v>
      </c>
      <c r="B618" s="50">
        <v>5092</v>
      </c>
      <c r="C618" s="50" t="s">
        <v>653</v>
      </c>
      <c r="D618" s="51" t="s">
        <v>69</v>
      </c>
      <c r="F618" s="52">
        <f>SUMIF(CPY!$B:$B,Summary!$B618,CPY!$I:$I)</f>
        <v>0</v>
      </c>
    </row>
    <row r="619" spans="1:6" x14ac:dyDescent="0.25">
      <c r="A619" s="50">
        <f t="shared" si="9"/>
        <v>617</v>
      </c>
      <c r="B619" s="50">
        <v>5093</v>
      </c>
      <c r="C619" s="50" t="s">
        <v>654</v>
      </c>
      <c r="D619" s="51" t="s">
        <v>69</v>
      </c>
      <c r="F619" s="52">
        <f>SUMIF(CPY!$B:$B,Summary!$B619,CPY!$I:$I)</f>
        <v>0</v>
      </c>
    </row>
    <row r="620" spans="1:6" x14ac:dyDescent="0.25">
      <c r="A620" s="50">
        <f t="shared" si="9"/>
        <v>618</v>
      </c>
      <c r="B620" s="50">
        <v>5097</v>
      </c>
      <c r="C620" s="50" t="s">
        <v>655</v>
      </c>
      <c r="D620" s="51" t="s">
        <v>69</v>
      </c>
      <c r="F620" s="52">
        <f>SUMIF(CPY!$B:$B,Summary!$B620,CPY!$I:$I)</f>
        <v>0</v>
      </c>
    </row>
    <row r="621" spans="1:6" x14ac:dyDescent="0.25">
      <c r="A621" s="50">
        <f t="shared" si="9"/>
        <v>619</v>
      </c>
      <c r="B621" s="50">
        <v>5099</v>
      </c>
      <c r="C621" s="50" t="s">
        <v>656</v>
      </c>
      <c r="D621" s="51" t="s">
        <v>69</v>
      </c>
      <c r="F621" s="52">
        <f>SUMIF(CPY!$B:$B,Summary!$B621,CPY!$I:$I)</f>
        <v>0</v>
      </c>
    </row>
    <row r="622" spans="1:6" x14ac:dyDescent="0.25">
      <c r="A622" s="50">
        <f t="shared" si="9"/>
        <v>620</v>
      </c>
      <c r="B622" s="50">
        <v>5101</v>
      </c>
      <c r="C622" s="50" t="s">
        <v>657</v>
      </c>
      <c r="D622" s="51" t="s">
        <v>51</v>
      </c>
      <c r="F622" s="52">
        <f>SUMIF(CPY!$B:$B,Summary!$B622,CPY!$I:$I)</f>
        <v>0</v>
      </c>
    </row>
    <row r="623" spans="1:6" x14ac:dyDescent="0.25">
      <c r="A623" s="50">
        <f t="shared" si="9"/>
        <v>621</v>
      </c>
      <c r="B623" s="50">
        <v>5105</v>
      </c>
      <c r="C623" s="50" t="s">
        <v>658</v>
      </c>
      <c r="D623" s="51" t="s">
        <v>51</v>
      </c>
      <c r="F623" s="52">
        <f>SUMIF(CPY!$B:$B,Summary!$B623,CPY!$I:$I)</f>
        <v>0</v>
      </c>
    </row>
    <row r="624" spans="1:6" x14ac:dyDescent="0.25">
      <c r="A624" s="50">
        <f t="shared" si="9"/>
        <v>622</v>
      </c>
      <c r="B624" s="50">
        <v>5111</v>
      </c>
      <c r="C624" s="50" t="s">
        <v>659</v>
      </c>
      <c r="D624" s="51" t="s">
        <v>69</v>
      </c>
      <c r="F624" s="52">
        <f>SUMIF(CPY!$B:$B,Summary!$B624,CPY!$I:$I)</f>
        <v>0</v>
      </c>
    </row>
    <row r="625" spans="1:6" x14ac:dyDescent="0.25">
      <c r="A625" s="50">
        <f t="shared" si="9"/>
        <v>623</v>
      </c>
      <c r="B625" s="50">
        <v>5115</v>
      </c>
      <c r="C625" s="50" t="s">
        <v>660</v>
      </c>
      <c r="D625" s="51" t="s">
        <v>69</v>
      </c>
      <c r="F625" s="52">
        <f>SUMIF(CPY!$B:$B,Summary!$B625,CPY!$I:$I)</f>
        <v>0</v>
      </c>
    </row>
    <row r="626" spans="1:6" x14ac:dyDescent="0.25">
      <c r="A626" s="50">
        <f t="shared" si="9"/>
        <v>624</v>
      </c>
      <c r="B626" s="50">
        <v>5119</v>
      </c>
      <c r="C626" s="50" t="s">
        <v>661</v>
      </c>
      <c r="D626" s="51" t="s">
        <v>85</v>
      </c>
      <c r="F626" s="52">
        <f>SUMIF(CPY!$B:$B,Summary!$B626,CPY!$I:$I)</f>
        <v>0</v>
      </c>
    </row>
    <row r="627" spans="1:6" x14ac:dyDescent="0.25">
      <c r="A627" s="50">
        <f t="shared" si="9"/>
        <v>625</v>
      </c>
      <c r="B627" s="50">
        <v>5123</v>
      </c>
      <c r="C627" s="50" t="s">
        <v>662</v>
      </c>
      <c r="D627" s="51" t="s">
        <v>69</v>
      </c>
      <c r="F627" s="52">
        <f>SUMIF(CPY!$B:$B,Summary!$B627,CPY!$I:$I)</f>
        <v>0</v>
      </c>
    </row>
    <row r="628" spans="1:6" x14ac:dyDescent="0.25">
      <c r="A628" s="50">
        <f t="shared" si="9"/>
        <v>626</v>
      </c>
      <c r="B628" s="50">
        <v>5124</v>
      </c>
      <c r="C628" s="50" t="s">
        <v>663</v>
      </c>
      <c r="D628" s="51" t="s">
        <v>69</v>
      </c>
      <c r="F628" s="52">
        <f>SUMIF(CPY!$B:$B,Summary!$B628,CPY!$I:$I)</f>
        <v>0</v>
      </c>
    </row>
    <row r="629" spans="1:6" x14ac:dyDescent="0.25">
      <c r="A629" s="50">
        <f t="shared" si="9"/>
        <v>627</v>
      </c>
      <c r="B629" s="50">
        <v>5127</v>
      </c>
      <c r="C629" s="50" t="s">
        <v>664</v>
      </c>
      <c r="D629" s="51" t="s">
        <v>69</v>
      </c>
      <c r="F629" s="52">
        <f>SUMIF(CPY!$B:$B,Summary!$B629,CPY!$I:$I)</f>
        <v>0</v>
      </c>
    </row>
    <row r="630" spans="1:6" x14ac:dyDescent="0.25">
      <c r="A630" s="50">
        <f t="shared" si="9"/>
        <v>628</v>
      </c>
      <c r="B630" s="50">
        <v>5130</v>
      </c>
      <c r="C630" s="50" t="s">
        <v>665</v>
      </c>
      <c r="D630" s="51" t="s">
        <v>69</v>
      </c>
      <c r="F630" s="52">
        <f>SUMIF(CPY!$B:$B,Summary!$B630,CPY!$I:$I)</f>
        <v>0</v>
      </c>
    </row>
    <row r="631" spans="1:6" x14ac:dyDescent="0.25">
      <c r="A631" s="50">
        <f t="shared" si="9"/>
        <v>629</v>
      </c>
      <c r="B631" s="50">
        <v>5132</v>
      </c>
      <c r="C631" s="50" t="s">
        <v>666</v>
      </c>
      <c r="D631" s="51" t="s">
        <v>69</v>
      </c>
      <c r="F631" s="52">
        <f>SUMIF(CPY!$B:$B,Summary!$B631,CPY!$I:$I)</f>
        <v>0</v>
      </c>
    </row>
    <row r="632" spans="1:6" x14ac:dyDescent="0.25">
      <c r="A632" s="50">
        <f t="shared" si="9"/>
        <v>630</v>
      </c>
      <c r="B632" s="50">
        <v>5134</v>
      </c>
      <c r="C632" s="50" t="s">
        <v>667</v>
      </c>
      <c r="D632" s="51" t="s">
        <v>69</v>
      </c>
      <c r="F632" s="52">
        <f>SUMIF(CPY!$B:$B,Summary!$B632,CPY!$I:$I)</f>
        <v>0</v>
      </c>
    </row>
    <row r="633" spans="1:6" x14ac:dyDescent="0.25">
      <c r="A633" s="50">
        <f t="shared" si="9"/>
        <v>631</v>
      </c>
      <c r="B633" s="50">
        <v>5142</v>
      </c>
      <c r="C633" s="50" t="s">
        <v>668</v>
      </c>
      <c r="D633" s="51" t="s">
        <v>69</v>
      </c>
      <c r="F633" s="52">
        <f>SUMIF(CPY!$B:$B,Summary!$B633,CPY!$I:$I)</f>
        <v>0</v>
      </c>
    </row>
    <row r="634" spans="1:6" x14ac:dyDescent="0.25">
      <c r="A634" s="50">
        <f t="shared" si="9"/>
        <v>632</v>
      </c>
      <c r="B634" s="50">
        <v>5145</v>
      </c>
      <c r="C634" s="50" t="s">
        <v>669</v>
      </c>
      <c r="D634" s="51" t="s">
        <v>69</v>
      </c>
      <c r="F634" s="52">
        <f>SUMIF(CPY!$B:$B,Summary!$B634,CPY!$I:$I)</f>
        <v>0</v>
      </c>
    </row>
    <row r="635" spans="1:6" x14ac:dyDescent="0.25">
      <c r="A635" s="50">
        <f t="shared" si="9"/>
        <v>633</v>
      </c>
      <c r="B635" s="50">
        <v>5147</v>
      </c>
      <c r="C635" s="50" t="s">
        <v>670</v>
      </c>
      <c r="D635" s="51" t="s">
        <v>69</v>
      </c>
      <c r="F635" s="52">
        <f>SUMIF(CPY!$B:$B,Summary!$B635,CPY!$I:$I)</f>
        <v>0</v>
      </c>
    </row>
    <row r="636" spans="1:6" x14ac:dyDescent="0.25">
      <c r="A636" s="50">
        <f t="shared" si="9"/>
        <v>634</v>
      </c>
      <c r="B636" s="50">
        <v>5150</v>
      </c>
      <c r="C636" s="50" t="s">
        <v>671</v>
      </c>
      <c r="D636" s="51" t="s">
        <v>51</v>
      </c>
      <c r="F636" s="52">
        <f>SUMIF(CPY!$B:$B,Summary!$B636,CPY!$I:$I)</f>
        <v>0</v>
      </c>
    </row>
    <row r="637" spans="1:6" x14ac:dyDescent="0.25">
      <c r="A637" s="50">
        <f t="shared" si="9"/>
        <v>635</v>
      </c>
      <c r="B637" s="50">
        <v>5156</v>
      </c>
      <c r="C637" s="50" t="s">
        <v>672</v>
      </c>
      <c r="D637" s="51" t="s">
        <v>69</v>
      </c>
      <c r="F637" s="52">
        <f>SUMIF(CPY!$B:$B,Summary!$B637,CPY!$I:$I)</f>
        <v>0</v>
      </c>
    </row>
    <row r="638" spans="1:6" x14ac:dyDescent="0.25">
      <c r="A638" s="50">
        <f t="shared" si="9"/>
        <v>636</v>
      </c>
      <c r="B638" s="50">
        <v>5157</v>
      </c>
      <c r="C638" s="50" t="s">
        <v>673</v>
      </c>
      <c r="D638" s="51" t="s">
        <v>69</v>
      </c>
      <c r="F638" s="52">
        <f>SUMIF(CPY!$B:$B,Summary!$B638,CPY!$I:$I)</f>
        <v>0</v>
      </c>
    </row>
    <row r="639" spans="1:6" x14ac:dyDescent="0.25">
      <c r="A639" s="50">
        <f t="shared" si="9"/>
        <v>637</v>
      </c>
      <c r="B639" s="50">
        <v>5165</v>
      </c>
      <c r="C639" s="50" t="s">
        <v>674</v>
      </c>
      <c r="D639" s="51" t="s">
        <v>46</v>
      </c>
      <c r="F639" s="52">
        <f>SUMIF(CPY!$B:$B,Summary!$B639,CPY!$I:$I)</f>
        <v>0</v>
      </c>
    </row>
    <row r="640" spans="1:6" x14ac:dyDescent="0.25">
      <c r="A640" s="50">
        <f t="shared" si="9"/>
        <v>638</v>
      </c>
      <c r="B640" s="50">
        <v>5167</v>
      </c>
      <c r="C640" s="50" t="s">
        <v>675</v>
      </c>
      <c r="D640" s="51" t="s">
        <v>46</v>
      </c>
      <c r="F640" s="52">
        <f>SUMIF(CPY!$B:$B,Summary!$B640,CPY!$I:$I)</f>
        <v>0</v>
      </c>
    </row>
    <row r="641" spans="1:6" x14ac:dyDescent="0.25">
      <c r="A641" s="50">
        <f t="shared" si="9"/>
        <v>639</v>
      </c>
      <c r="B641" s="50">
        <v>5173</v>
      </c>
      <c r="C641" s="50" t="s">
        <v>676</v>
      </c>
      <c r="D641" s="51" t="s">
        <v>69</v>
      </c>
      <c r="F641" s="52">
        <f>SUMIF(CPY!$B:$B,Summary!$B641,CPY!$I:$I)</f>
        <v>0</v>
      </c>
    </row>
    <row r="642" spans="1:6" x14ac:dyDescent="0.25">
      <c r="A642" s="50">
        <f t="shared" si="9"/>
        <v>640</v>
      </c>
      <c r="B642" s="50">
        <v>5177</v>
      </c>
      <c r="C642" s="50" t="s">
        <v>677</v>
      </c>
      <c r="D642" s="51" t="s">
        <v>69</v>
      </c>
      <c r="F642" s="52">
        <f>SUMIF(CPY!$B:$B,Summary!$B642,CPY!$I:$I)</f>
        <v>0</v>
      </c>
    </row>
    <row r="643" spans="1:6" x14ac:dyDescent="0.25">
      <c r="A643" s="50">
        <f t="shared" si="9"/>
        <v>641</v>
      </c>
      <c r="B643" s="50">
        <v>5179</v>
      </c>
      <c r="C643" s="50" t="s">
        <v>678</v>
      </c>
      <c r="D643" s="51" t="s">
        <v>78</v>
      </c>
      <c r="F643" s="52">
        <f>SUMIF(CPY!$B:$B,Summary!$B643,CPY!$I:$I)</f>
        <v>0</v>
      </c>
    </row>
    <row r="644" spans="1:6" x14ac:dyDescent="0.25">
      <c r="A644" s="50">
        <f t="shared" si="9"/>
        <v>642</v>
      </c>
      <c r="B644" s="50">
        <v>5180</v>
      </c>
      <c r="C644" s="50" t="s">
        <v>679</v>
      </c>
      <c r="D644" s="51" t="s">
        <v>78</v>
      </c>
      <c r="F644" s="52">
        <f>SUMIF(CPY!$B:$B,Summary!$B644,CPY!$I:$I)</f>
        <v>0</v>
      </c>
    </row>
    <row r="645" spans="1:6" x14ac:dyDescent="0.25">
      <c r="A645" s="50">
        <f t="shared" ref="A645:A708" si="10">+A644+1</f>
        <v>643</v>
      </c>
      <c r="B645" s="50">
        <v>5182</v>
      </c>
      <c r="C645" s="50" t="s">
        <v>680</v>
      </c>
      <c r="D645" s="51" t="s">
        <v>78</v>
      </c>
      <c r="F645" s="52">
        <f>SUMIF(CPY!$B:$B,Summary!$B645,CPY!$I:$I)</f>
        <v>0</v>
      </c>
    </row>
    <row r="646" spans="1:6" x14ac:dyDescent="0.25">
      <c r="A646" s="50">
        <f t="shared" si="10"/>
        <v>644</v>
      </c>
      <c r="B646" s="50">
        <v>5185</v>
      </c>
      <c r="C646" s="50" t="s">
        <v>681</v>
      </c>
      <c r="D646" s="51" t="s">
        <v>69</v>
      </c>
      <c r="F646" s="52">
        <f>SUMIF(CPY!$B:$B,Summary!$B646,CPY!$I:$I)</f>
        <v>0</v>
      </c>
    </row>
    <row r="647" spans="1:6" x14ac:dyDescent="0.25">
      <c r="A647" s="50">
        <f t="shared" si="10"/>
        <v>645</v>
      </c>
      <c r="B647" s="50">
        <v>5188</v>
      </c>
      <c r="C647" s="50" t="s">
        <v>682</v>
      </c>
      <c r="D647" s="51" t="s">
        <v>46</v>
      </c>
      <c r="F647" s="52">
        <f>SUMIF(CPY!$B:$B,Summary!$B647,CPY!$I:$I)</f>
        <v>0</v>
      </c>
    </row>
    <row r="648" spans="1:6" x14ac:dyDescent="0.25">
      <c r="A648" s="50">
        <f t="shared" si="10"/>
        <v>646</v>
      </c>
      <c r="B648" s="50">
        <v>5189</v>
      </c>
      <c r="C648" s="50" t="s">
        <v>683</v>
      </c>
      <c r="D648" s="51" t="s">
        <v>78</v>
      </c>
      <c r="F648" s="52">
        <f>SUMIF(CPY!$B:$B,Summary!$B648,CPY!$I:$I)</f>
        <v>0</v>
      </c>
    </row>
    <row r="649" spans="1:6" x14ac:dyDescent="0.25">
      <c r="A649" s="50">
        <f t="shared" si="10"/>
        <v>647</v>
      </c>
      <c r="B649" s="50">
        <v>5190</v>
      </c>
      <c r="C649" s="50" t="s">
        <v>684</v>
      </c>
      <c r="D649" s="51" t="s">
        <v>46</v>
      </c>
      <c r="F649" s="52">
        <f>SUMIF(CPY!$B:$B,Summary!$B649,CPY!$I:$I)</f>
        <v>0</v>
      </c>
    </row>
    <row r="650" spans="1:6" x14ac:dyDescent="0.25">
      <c r="A650" s="50">
        <f t="shared" si="10"/>
        <v>648</v>
      </c>
      <c r="B650" s="50">
        <v>5194</v>
      </c>
      <c r="C650" s="50" t="s">
        <v>685</v>
      </c>
      <c r="D650" s="51" t="s">
        <v>78</v>
      </c>
      <c r="F650" s="52">
        <f>SUMIF(CPY!$B:$B,Summary!$B650,CPY!$I:$I)</f>
        <v>0</v>
      </c>
    </row>
    <row r="651" spans="1:6" x14ac:dyDescent="0.25">
      <c r="A651" s="50">
        <f t="shared" si="10"/>
        <v>649</v>
      </c>
      <c r="B651" s="50">
        <v>5195</v>
      </c>
      <c r="C651" s="50" t="s">
        <v>686</v>
      </c>
      <c r="D651" s="51" t="s">
        <v>69</v>
      </c>
      <c r="F651" s="52">
        <f>SUMIF(CPY!$B:$B,Summary!$B651,CPY!$I:$I)</f>
        <v>0</v>
      </c>
    </row>
    <row r="652" spans="1:6" x14ac:dyDescent="0.25">
      <c r="A652" s="50">
        <f t="shared" si="10"/>
        <v>650</v>
      </c>
      <c r="B652" s="50">
        <v>5196</v>
      </c>
      <c r="C652" s="50" t="s">
        <v>687</v>
      </c>
      <c r="D652" s="51" t="s">
        <v>78</v>
      </c>
      <c r="F652" s="52">
        <f>SUMIF(CPY!$B:$B,Summary!$B652,CPY!$I:$I)</f>
        <v>0</v>
      </c>
    </row>
    <row r="653" spans="1:6" x14ac:dyDescent="0.25">
      <c r="A653" s="50">
        <f t="shared" si="10"/>
        <v>651</v>
      </c>
      <c r="B653" s="50">
        <v>5207</v>
      </c>
      <c r="C653" s="50" t="s">
        <v>688</v>
      </c>
      <c r="D653" s="51" t="s">
        <v>69</v>
      </c>
      <c r="F653" s="52">
        <f>SUMIF(CPY!$B:$B,Summary!$B653,CPY!$I:$I)</f>
        <v>0</v>
      </c>
    </row>
    <row r="654" spans="1:6" x14ac:dyDescent="0.25">
      <c r="A654" s="50">
        <f t="shared" si="10"/>
        <v>652</v>
      </c>
      <c r="B654" s="50">
        <v>5208</v>
      </c>
      <c r="C654" s="50" t="s">
        <v>689</v>
      </c>
      <c r="D654" s="51" t="s">
        <v>69</v>
      </c>
      <c r="F654" s="52">
        <f>SUMIF(CPY!$B:$B,Summary!$B654,CPY!$I:$I)</f>
        <v>0</v>
      </c>
    </row>
    <row r="655" spans="1:6" x14ac:dyDescent="0.25">
      <c r="A655" s="50">
        <f t="shared" si="10"/>
        <v>653</v>
      </c>
      <c r="B655" s="50">
        <v>5211</v>
      </c>
      <c r="C655" s="50" t="s">
        <v>690</v>
      </c>
      <c r="D655" s="51" t="s">
        <v>69</v>
      </c>
      <c r="F655" s="52">
        <f>SUMIF(CPY!$B:$B,Summary!$B655,CPY!$I:$I)</f>
        <v>0</v>
      </c>
    </row>
    <row r="656" spans="1:6" x14ac:dyDescent="0.25">
      <c r="A656" s="50">
        <f t="shared" si="10"/>
        <v>654</v>
      </c>
      <c r="B656" s="50">
        <v>5213</v>
      </c>
      <c r="C656" s="50" t="s">
        <v>691</v>
      </c>
      <c r="D656" s="51" t="s">
        <v>69</v>
      </c>
      <c r="F656" s="52">
        <f>SUMIF(CPY!$B:$B,Summary!$B656,CPY!$I:$I)</f>
        <v>0</v>
      </c>
    </row>
    <row r="657" spans="1:6" x14ac:dyDescent="0.25">
      <c r="A657" s="50">
        <f t="shared" si="10"/>
        <v>655</v>
      </c>
      <c r="B657" s="50">
        <v>5214</v>
      </c>
      <c r="C657" s="50" t="s">
        <v>692</v>
      </c>
      <c r="D657" s="51" t="s">
        <v>69</v>
      </c>
      <c r="F657" s="52">
        <f>SUMIF(CPY!$B:$B,Summary!$B657,CPY!$I:$I)</f>
        <v>0</v>
      </c>
    </row>
    <row r="658" spans="1:6" x14ac:dyDescent="0.25">
      <c r="A658" s="50">
        <f t="shared" si="10"/>
        <v>656</v>
      </c>
      <c r="B658" s="50">
        <v>5215</v>
      </c>
      <c r="C658" s="50" t="s">
        <v>693</v>
      </c>
      <c r="D658" s="51" t="s">
        <v>69</v>
      </c>
      <c r="F658" s="52">
        <f>SUMIF(CPY!$B:$B,Summary!$B658,CPY!$I:$I)</f>
        <v>0</v>
      </c>
    </row>
    <row r="659" spans="1:6" x14ac:dyDescent="0.25">
      <c r="A659" s="50">
        <f t="shared" si="10"/>
        <v>657</v>
      </c>
      <c r="B659" s="50">
        <v>5216</v>
      </c>
      <c r="C659" s="50" t="s">
        <v>694</v>
      </c>
      <c r="D659" s="51" t="s">
        <v>69</v>
      </c>
      <c r="F659" s="52">
        <f>SUMIF(CPY!$B:$B,Summary!$B659,CPY!$I:$I)</f>
        <v>0</v>
      </c>
    </row>
    <row r="660" spans="1:6" x14ac:dyDescent="0.25">
      <c r="A660" s="50">
        <f t="shared" si="10"/>
        <v>658</v>
      </c>
      <c r="B660" s="50">
        <v>5221</v>
      </c>
      <c r="C660" s="50" t="s">
        <v>695</v>
      </c>
      <c r="D660" s="51" t="s">
        <v>69</v>
      </c>
      <c r="F660" s="52">
        <f>SUMIF(CPY!$B:$B,Summary!$B660,CPY!$I:$I)</f>
        <v>0</v>
      </c>
    </row>
    <row r="661" spans="1:6" x14ac:dyDescent="0.25">
      <c r="A661" s="50">
        <f t="shared" si="10"/>
        <v>659</v>
      </c>
      <c r="B661" s="50">
        <v>5228</v>
      </c>
      <c r="C661" s="50" t="s">
        <v>696</v>
      </c>
      <c r="D661" s="51" t="s">
        <v>69</v>
      </c>
      <c r="F661" s="52">
        <f>SUMIF(CPY!$B:$B,Summary!$B661,CPY!$I:$I)</f>
        <v>0</v>
      </c>
    </row>
    <row r="662" spans="1:6" x14ac:dyDescent="0.25">
      <c r="A662" s="50">
        <f t="shared" si="10"/>
        <v>660</v>
      </c>
      <c r="B662" s="50">
        <v>5230</v>
      </c>
      <c r="C662" s="50" t="s">
        <v>697</v>
      </c>
      <c r="D662" s="51" t="s">
        <v>69</v>
      </c>
      <c r="F662" s="52">
        <f>SUMIF(CPY!$B:$B,Summary!$B662,CPY!$I:$I)</f>
        <v>0</v>
      </c>
    </row>
    <row r="663" spans="1:6" x14ac:dyDescent="0.25">
      <c r="A663" s="50">
        <f t="shared" si="10"/>
        <v>661</v>
      </c>
      <c r="B663" s="50">
        <v>5232</v>
      </c>
      <c r="C663" s="50" t="s">
        <v>698</v>
      </c>
      <c r="D663" s="51" t="s">
        <v>85</v>
      </c>
      <c r="F663" s="52">
        <f>SUMIF(CPY!$B:$B,Summary!$B663,CPY!$I:$I)</f>
        <v>0</v>
      </c>
    </row>
    <row r="664" spans="1:6" x14ac:dyDescent="0.25">
      <c r="A664" s="50">
        <f t="shared" si="10"/>
        <v>662</v>
      </c>
      <c r="B664" s="50">
        <v>5233</v>
      </c>
      <c r="C664" s="50" t="s">
        <v>699</v>
      </c>
      <c r="D664" s="51" t="s">
        <v>69</v>
      </c>
      <c r="F664" s="52">
        <f>SUMIF(CPY!$B:$B,Summary!$B664,CPY!$I:$I)</f>
        <v>0</v>
      </c>
    </row>
    <row r="665" spans="1:6" x14ac:dyDescent="0.25">
      <c r="A665" s="50">
        <f t="shared" si="10"/>
        <v>663</v>
      </c>
      <c r="B665" s="50">
        <v>5236</v>
      </c>
      <c r="C665" s="50" t="s">
        <v>700</v>
      </c>
      <c r="D665" s="51" t="s">
        <v>69</v>
      </c>
      <c r="F665" s="52">
        <f>SUMIF(CPY!$B:$B,Summary!$B665,CPY!$I:$I)</f>
        <v>0</v>
      </c>
    </row>
    <row r="666" spans="1:6" x14ac:dyDescent="0.25">
      <c r="A666" s="50">
        <f t="shared" si="10"/>
        <v>664</v>
      </c>
      <c r="B666" s="50">
        <v>5237</v>
      </c>
      <c r="C666" s="50" t="s">
        <v>701</v>
      </c>
      <c r="D666" s="51" t="s">
        <v>69</v>
      </c>
      <c r="F666" s="52">
        <f>SUMIF(CPY!$B:$B,Summary!$B666,CPY!$I:$I)</f>
        <v>0</v>
      </c>
    </row>
    <row r="667" spans="1:6" x14ac:dyDescent="0.25">
      <c r="A667" s="50">
        <f t="shared" si="10"/>
        <v>665</v>
      </c>
      <c r="B667" s="50">
        <v>5240</v>
      </c>
      <c r="C667" s="50" t="s">
        <v>702</v>
      </c>
      <c r="D667" s="51" t="s">
        <v>69</v>
      </c>
      <c r="F667" s="52">
        <f>SUMIF(CPY!$B:$B,Summary!$B667,CPY!$I:$I)</f>
        <v>0</v>
      </c>
    </row>
    <row r="668" spans="1:6" x14ac:dyDescent="0.25">
      <c r="A668" s="50">
        <f t="shared" si="10"/>
        <v>666</v>
      </c>
      <c r="B668" s="50">
        <v>5242</v>
      </c>
      <c r="C668" s="50" t="s">
        <v>703</v>
      </c>
      <c r="D668" s="51" t="s">
        <v>69</v>
      </c>
      <c r="F668" s="52">
        <f>SUMIF(CPY!$B:$B,Summary!$B668,CPY!$I:$I)</f>
        <v>0</v>
      </c>
    </row>
    <row r="669" spans="1:6" x14ac:dyDescent="0.25">
      <c r="A669" s="50">
        <f t="shared" si="10"/>
        <v>667</v>
      </c>
      <c r="B669" s="50">
        <v>5244</v>
      </c>
      <c r="C669" s="50" t="s">
        <v>704</v>
      </c>
      <c r="D669" s="51" t="s">
        <v>69</v>
      </c>
      <c r="F669" s="52">
        <f>SUMIF(CPY!$B:$B,Summary!$B669,CPY!$I:$I)</f>
        <v>0</v>
      </c>
    </row>
    <row r="670" spans="1:6" x14ac:dyDescent="0.25">
      <c r="A670" s="50">
        <f t="shared" si="10"/>
        <v>668</v>
      </c>
      <c r="B670" s="50">
        <v>5247</v>
      </c>
      <c r="C670" s="50" t="s">
        <v>705</v>
      </c>
      <c r="D670" s="51" t="s">
        <v>69</v>
      </c>
      <c r="F670" s="52">
        <f>SUMIF(CPY!$B:$B,Summary!$B670,CPY!$I:$I)</f>
        <v>0</v>
      </c>
    </row>
    <row r="671" spans="1:6" x14ac:dyDescent="0.25">
      <c r="A671" s="50">
        <f t="shared" si="10"/>
        <v>669</v>
      </c>
      <c r="B671" s="50">
        <v>5249</v>
      </c>
      <c r="C671" s="50" t="s">
        <v>706</v>
      </c>
      <c r="D671" s="51" t="s">
        <v>69</v>
      </c>
      <c r="F671" s="52">
        <f>SUMIF(CPY!$B:$B,Summary!$B671,CPY!$I:$I)</f>
        <v>0</v>
      </c>
    </row>
    <row r="672" spans="1:6" x14ac:dyDescent="0.25">
      <c r="A672" s="50">
        <f t="shared" si="10"/>
        <v>670</v>
      </c>
      <c r="B672" s="50">
        <v>5252</v>
      </c>
      <c r="C672" s="50" t="s">
        <v>707</v>
      </c>
      <c r="D672" s="51" t="s">
        <v>69</v>
      </c>
      <c r="F672" s="52">
        <f>SUMIF(CPY!$B:$B,Summary!$B672,CPY!$I:$I)</f>
        <v>0</v>
      </c>
    </row>
    <row r="673" spans="1:6" x14ac:dyDescent="0.25">
      <c r="A673" s="50">
        <f t="shared" si="10"/>
        <v>671</v>
      </c>
      <c r="B673" s="50">
        <v>5256</v>
      </c>
      <c r="C673" s="50" t="s">
        <v>708</v>
      </c>
      <c r="D673" s="51" t="s">
        <v>69</v>
      </c>
      <c r="F673" s="52">
        <f>SUMIF(CPY!$B:$B,Summary!$B673,CPY!$I:$I)</f>
        <v>0</v>
      </c>
    </row>
    <row r="674" spans="1:6" x14ac:dyDescent="0.25">
      <c r="A674" s="50">
        <f t="shared" si="10"/>
        <v>672</v>
      </c>
      <c r="B674" s="50">
        <v>5262</v>
      </c>
      <c r="C674" s="50" t="s">
        <v>709</v>
      </c>
      <c r="D674" s="51" t="s">
        <v>69</v>
      </c>
      <c r="F674" s="52">
        <f>SUMIF(CPY!$B:$B,Summary!$B674,CPY!$I:$I)</f>
        <v>0</v>
      </c>
    </row>
    <row r="675" spans="1:6" x14ac:dyDescent="0.25">
      <c r="A675" s="50">
        <f t="shared" si="10"/>
        <v>673</v>
      </c>
      <c r="B675" s="50">
        <v>5271</v>
      </c>
      <c r="C675" s="50" t="s">
        <v>710</v>
      </c>
      <c r="D675" s="51" t="s">
        <v>85</v>
      </c>
      <c r="F675" s="52">
        <f>SUMIF(CPY!$B:$B,Summary!$B675,CPY!$I:$I)</f>
        <v>0</v>
      </c>
    </row>
    <row r="676" spans="1:6" x14ac:dyDescent="0.25">
      <c r="A676" s="50">
        <f t="shared" si="10"/>
        <v>674</v>
      </c>
      <c r="B676" s="50">
        <v>5273</v>
      </c>
      <c r="C676" s="50" t="s">
        <v>711</v>
      </c>
      <c r="D676" s="51" t="s">
        <v>69</v>
      </c>
      <c r="F676" s="52">
        <f>SUMIF(CPY!$B:$B,Summary!$B676,CPY!$I:$I)</f>
        <v>0</v>
      </c>
    </row>
    <row r="677" spans="1:6" x14ac:dyDescent="0.25">
      <c r="A677" s="50">
        <f t="shared" si="10"/>
        <v>675</v>
      </c>
      <c r="B677" s="50">
        <v>5277</v>
      </c>
      <c r="C677" s="50" t="s">
        <v>712</v>
      </c>
      <c r="D677" s="51" t="s">
        <v>69</v>
      </c>
      <c r="F677" s="52">
        <f>SUMIF(CPY!$B:$B,Summary!$B677,CPY!$I:$I)</f>
        <v>0</v>
      </c>
    </row>
    <row r="678" spans="1:6" x14ac:dyDescent="0.25">
      <c r="A678" s="50">
        <f t="shared" si="10"/>
        <v>676</v>
      </c>
      <c r="B678" s="50">
        <v>5280</v>
      </c>
      <c r="C678" s="50" t="s">
        <v>713</v>
      </c>
      <c r="D678" s="51" t="s">
        <v>69</v>
      </c>
      <c r="F678" s="52">
        <f>SUMIF(CPY!$B:$B,Summary!$B678,CPY!$I:$I)</f>
        <v>0</v>
      </c>
    </row>
    <row r="679" spans="1:6" x14ac:dyDescent="0.25">
      <c r="A679" s="50">
        <f t="shared" si="10"/>
        <v>677</v>
      </c>
      <c r="B679" s="50">
        <v>5283</v>
      </c>
      <c r="C679" s="50" t="s">
        <v>714</v>
      </c>
      <c r="D679" s="51" t="s">
        <v>85</v>
      </c>
      <c r="F679" s="52">
        <f>SUMIF(CPY!$B:$B,Summary!$B679,CPY!$I:$I)</f>
        <v>0</v>
      </c>
    </row>
    <row r="680" spans="1:6" x14ac:dyDescent="0.25">
      <c r="A680" s="50">
        <f t="shared" si="10"/>
        <v>678</v>
      </c>
      <c r="B680" s="50">
        <v>5285</v>
      </c>
      <c r="C680" s="50" t="s">
        <v>715</v>
      </c>
      <c r="D680" s="51" t="s">
        <v>69</v>
      </c>
      <c r="F680" s="52">
        <f>SUMIF(CPY!$B:$B,Summary!$B680,CPY!$I:$I)</f>
        <v>0</v>
      </c>
    </row>
    <row r="681" spans="1:6" x14ac:dyDescent="0.25">
      <c r="A681" s="50">
        <f t="shared" si="10"/>
        <v>679</v>
      </c>
      <c r="B681" s="50">
        <v>5286</v>
      </c>
      <c r="C681" s="50" t="s">
        <v>716</v>
      </c>
      <c r="D681" s="51" t="s">
        <v>69</v>
      </c>
      <c r="F681" s="52">
        <f>SUMIF(CPY!$B:$B,Summary!$B681,CPY!$I:$I)</f>
        <v>0</v>
      </c>
    </row>
    <row r="682" spans="1:6" x14ac:dyDescent="0.25">
      <c r="A682" s="50">
        <f t="shared" si="10"/>
        <v>680</v>
      </c>
      <c r="B682" s="50">
        <v>5289</v>
      </c>
      <c r="C682" s="50" t="s">
        <v>717</v>
      </c>
      <c r="D682" s="51" t="s">
        <v>69</v>
      </c>
      <c r="F682" s="52">
        <f>SUMIF(CPY!$B:$B,Summary!$B682,CPY!$I:$I)</f>
        <v>0</v>
      </c>
    </row>
    <row r="683" spans="1:6" x14ac:dyDescent="0.25">
      <c r="A683" s="50">
        <f t="shared" si="10"/>
        <v>681</v>
      </c>
      <c r="B683" s="50">
        <v>5294</v>
      </c>
      <c r="C683" s="50" t="s">
        <v>718</v>
      </c>
      <c r="D683" s="51" t="s">
        <v>69</v>
      </c>
      <c r="F683" s="52">
        <f>SUMIF(CPY!$B:$B,Summary!$B683,CPY!$I:$I)</f>
        <v>0</v>
      </c>
    </row>
    <row r="684" spans="1:6" x14ac:dyDescent="0.25">
      <c r="A684" s="50">
        <f t="shared" si="10"/>
        <v>682</v>
      </c>
      <c r="B684" s="50">
        <v>5295</v>
      </c>
      <c r="C684" s="50" t="s">
        <v>719</v>
      </c>
      <c r="D684" s="51" t="s">
        <v>69</v>
      </c>
      <c r="F684" s="52">
        <f>SUMIF(CPY!$B:$B,Summary!$B684,CPY!$I:$I)</f>
        <v>0</v>
      </c>
    </row>
    <row r="685" spans="1:6" x14ac:dyDescent="0.25">
      <c r="A685" s="50">
        <f t="shared" si="10"/>
        <v>683</v>
      </c>
      <c r="B685" s="50">
        <v>5299</v>
      </c>
      <c r="C685" s="50" t="s">
        <v>720</v>
      </c>
      <c r="D685" s="51" t="s">
        <v>69</v>
      </c>
      <c r="F685" s="52">
        <f>SUMIF(CPY!$B:$B,Summary!$B685,CPY!$I:$I)</f>
        <v>0</v>
      </c>
    </row>
    <row r="686" spans="1:6" x14ac:dyDescent="0.25">
      <c r="A686" s="50">
        <f t="shared" si="10"/>
        <v>684</v>
      </c>
      <c r="B686" s="50">
        <v>5302</v>
      </c>
      <c r="C686" s="50" t="s">
        <v>721</v>
      </c>
      <c r="D686" s="51" t="s">
        <v>85</v>
      </c>
      <c r="F686" s="52">
        <f>SUMIF(CPY!$B:$B,Summary!$B686,CPY!$I:$I)</f>
        <v>0</v>
      </c>
    </row>
    <row r="687" spans="1:6" x14ac:dyDescent="0.25">
      <c r="A687" s="50">
        <f t="shared" si="10"/>
        <v>685</v>
      </c>
      <c r="B687" s="50">
        <v>5303</v>
      </c>
      <c r="C687" s="50" t="s">
        <v>722</v>
      </c>
      <c r="D687" s="51" t="s">
        <v>69</v>
      </c>
      <c r="F687" s="52">
        <f>SUMIF(CPY!$B:$B,Summary!$B687,CPY!$I:$I)</f>
        <v>0</v>
      </c>
    </row>
    <row r="688" spans="1:6" x14ac:dyDescent="0.25">
      <c r="A688" s="50">
        <f t="shared" si="10"/>
        <v>686</v>
      </c>
      <c r="B688" s="50">
        <v>5305</v>
      </c>
      <c r="C688" s="50" t="s">
        <v>723</v>
      </c>
      <c r="D688" s="51" t="s">
        <v>69</v>
      </c>
      <c r="F688" s="52">
        <f>SUMIF(CPY!$B:$B,Summary!$B688,CPY!$I:$I)</f>
        <v>0</v>
      </c>
    </row>
    <row r="689" spans="1:6" x14ac:dyDescent="0.25">
      <c r="A689" s="50">
        <f t="shared" si="10"/>
        <v>687</v>
      </c>
      <c r="B689" s="50">
        <v>5306</v>
      </c>
      <c r="C689" s="50" t="s">
        <v>724</v>
      </c>
      <c r="D689" s="51" t="s">
        <v>85</v>
      </c>
      <c r="F689" s="52">
        <f>SUMIF(CPY!$B:$B,Summary!$B689,CPY!$I:$I)</f>
        <v>0</v>
      </c>
    </row>
    <row r="690" spans="1:6" x14ac:dyDescent="0.25">
      <c r="A690" s="50">
        <f t="shared" si="10"/>
        <v>688</v>
      </c>
      <c r="B690" s="50">
        <v>5309</v>
      </c>
      <c r="C690" s="50" t="s">
        <v>725</v>
      </c>
      <c r="D690" s="51" t="s">
        <v>69</v>
      </c>
      <c r="F690" s="52">
        <f>SUMIF(CPY!$B:$B,Summary!$B690,CPY!$I:$I)</f>
        <v>0</v>
      </c>
    </row>
    <row r="691" spans="1:6" x14ac:dyDescent="0.25">
      <c r="A691" s="50">
        <f t="shared" si="10"/>
        <v>689</v>
      </c>
      <c r="B691" s="50">
        <v>5310</v>
      </c>
      <c r="C691" s="50" t="s">
        <v>726</v>
      </c>
      <c r="D691" s="51" t="s">
        <v>69</v>
      </c>
      <c r="F691" s="52">
        <f>SUMIF(CPY!$B:$B,Summary!$B691,CPY!$I:$I)</f>
        <v>0</v>
      </c>
    </row>
    <row r="692" spans="1:6" x14ac:dyDescent="0.25">
      <c r="A692" s="50">
        <f t="shared" si="10"/>
        <v>690</v>
      </c>
      <c r="B692" s="50">
        <v>5312</v>
      </c>
      <c r="C692" s="50" t="s">
        <v>727</v>
      </c>
      <c r="D692" s="51" t="s">
        <v>69</v>
      </c>
      <c r="F692" s="52">
        <f>SUMIF(CPY!$B:$B,Summary!$B692,CPY!$I:$I)</f>
        <v>0</v>
      </c>
    </row>
    <row r="693" spans="1:6" x14ac:dyDescent="0.25">
      <c r="A693" s="50">
        <f t="shared" si="10"/>
        <v>691</v>
      </c>
      <c r="B693" s="50">
        <v>5313</v>
      </c>
      <c r="C693" s="50" t="s">
        <v>728</v>
      </c>
      <c r="D693" s="51" t="s">
        <v>69</v>
      </c>
      <c r="F693" s="52">
        <f>SUMIF(CPY!$B:$B,Summary!$B693,CPY!$I:$I)</f>
        <v>0</v>
      </c>
    </row>
    <row r="694" spans="1:6" x14ac:dyDescent="0.25">
      <c r="A694" s="50">
        <f t="shared" si="10"/>
        <v>692</v>
      </c>
      <c r="B694" s="50">
        <v>5315</v>
      </c>
      <c r="C694" s="50" t="s">
        <v>729</v>
      </c>
      <c r="D694" s="51" t="s">
        <v>85</v>
      </c>
      <c r="F694" s="52">
        <f>SUMIF(CPY!$B:$B,Summary!$B694,CPY!$I:$I)</f>
        <v>0</v>
      </c>
    </row>
    <row r="695" spans="1:6" x14ac:dyDescent="0.25">
      <c r="A695" s="50">
        <f t="shared" si="10"/>
        <v>693</v>
      </c>
      <c r="B695" s="50">
        <v>5316</v>
      </c>
      <c r="C695" s="50" t="s">
        <v>730</v>
      </c>
      <c r="D695" s="51" t="s">
        <v>85</v>
      </c>
      <c r="F695" s="52">
        <f>SUMIF(CPY!$B:$B,Summary!$B695,CPY!$I:$I)</f>
        <v>0</v>
      </c>
    </row>
    <row r="696" spans="1:6" x14ac:dyDescent="0.25">
      <c r="A696" s="50">
        <f t="shared" si="10"/>
        <v>694</v>
      </c>
      <c r="B696" s="50">
        <v>5318</v>
      </c>
      <c r="C696" s="50" t="s">
        <v>731</v>
      </c>
      <c r="D696" s="51" t="s">
        <v>85</v>
      </c>
      <c r="F696" s="52">
        <f>SUMIF(CPY!$B:$B,Summary!$B696,CPY!$I:$I)</f>
        <v>0</v>
      </c>
    </row>
    <row r="697" spans="1:6" x14ac:dyDescent="0.25">
      <c r="A697" s="50">
        <f t="shared" si="10"/>
        <v>695</v>
      </c>
      <c r="B697" s="50">
        <v>5321</v>
      </c>
      <c r="C697" s="50" t="s">
        <v>732</v>
      </c>
      <c r="D697" s="51" t="s">
        <v>85</v>
      </c>
      <c r="F697" s="52">
        <f>SUMIF(CPY!$B:$B,Summary!$B697,CPY!$I:$I)</f>
        <v>0</v>
      </c>
    </row>
    <row r="698" spans="1:6" x14ac:dyDescent="0.25">
      <c r="A698" s="50">
        <f t="shared" si="10"/>
        <v>696</v>
      </c>
      <c r="B698" s="50">
        <v>5322</v>
      </c>
      <c r="C698" s="50" t="s">
        <v>733</v>
      </c>
      <c r="D698" s="51" t="s">
        <v>69</v>
      </c>
      <c r="F698" s="52">
        <f>SUMIF(CPY!$B:$B,Summary!$B698,CPY!$I:$I)</f>
        <v>0</v>
      </c>
    </row>
    <row r="699" spans="1:6" x14ac:dyDescent="0.25">
      <c r="A699" s="50">
        <f t="shared" si="10"/>
        <v>697</v>
      </c>
      <c r="B699" s="50">
        <v>5325</v>
      </c>
      <c r="C699" s="50" t="s">
        <v>734</v>
      </c>
      <c r="D699" s="51" t="s">
        <v>69</v>
      </c>
      <c r="F699" s="52">
        <f>SUMIF(CPY!$B:$B,Summary!$B699,CPY!$I:$I)</f>
        <v>0</v>
      </c>
    </row>
    <row r="700" spans="1:6" x14ac:dyDescent="0.25">
      <c r="A700" s="50">
        <f t="shared" si="10"/>
        <v>698</v>
      </c>
      <c r="B700" s="50">
        <v>5327</v>
      </c>
      <c r="C700" s="50" t="s">
        <v>735</v>
      </c>
      <c r="D700" s="51" t="s">
        <v>85</v>
      </c>
      <c r="F700" s="52">
        <f>SUMIF(CPY!$B:$B,Summary!$B700,CPY!$I:$I)</f>
        <v>0</v>
      </c>
    </row>
    <row r="701" spans="1:6" x14ac:dyDescent="0.25">
      <c r="A701" s="50">
        <f t="shared" si="10"/>
        <v>699</v>
      </c>
      <c r="B701" s="50">
        <v>5329</v>
      </c>
      <c r="C701" s="50" t="s">
        <v>736</v>
      </c>
      <c r="D701" s="51" t="s">
        <v>69</v>
      </c>
      <c r="F701" s="52">
        <f>SUMIF(CPY!$B:$B,Summary!$B701,CPY!$I:$I)</f>
        <v>0</v>
      </c>
    </row>
    <row r="702" spans="1:6" x14ac:dyDescent="0.25">
      <c r="A702" s="50">
        <f t="shared" si="10"/>
        <v>700</v>
      </c>
      <c r="B702" s="50">
        <v>5331</v>
      </c>
      <c r="C702" s="50" t="s">
        <v>737</v>
      </c>
      <c r="D702" s="51" t="s">
        <v>69</v>
      </c>
      <c r="F702" s="52">
        <f>SUMIF(CPY!$B:$B,Summary!$B702,CPY!$I:$I)</f>
        <v>0</v>
      </c>
    </row>
    <row r="703" spans="1:6" x14ac:dyDescent="0.25">
      <c r="A703" s="50">
        <f t="shared" si="10"/>
        <v>701</v>
      </c>
      <c r="B703" s="50">
        <v>5334</v>
      </c>
      <c r="C703" s="50" t="s">
        <v>738</v>
      </c>
      <c r="D703" s="51" t="s">
        <v>69</v>
      </c>
      <c r="F703" s="52">
        <f>SUMIF(CPY!$B:$B,Summary!$B703,CPY!$I:$I)</f>
        <v>0</v>
      </c>
    </row>
    <row r="704" spans="1:6" x14ac:dyDescent="0.25">
      <c r="A704" s="50">
        <f t="shared" si="10"/>
        <v>702</v>
      </c>
      <c r="B704" s="50">
        <v>5335</v>
      </c>
      <c r="C704" s="50" t="s">
        <v>739</v>
      </c>
      <c r="D704" s="51" t="s">
        <v>69</v>
      </c>
      <c r="F704" s="52">
        <f>SUMIF(CPY!$B:$B,Summary!$B704,CPY!$I:$I)</f>
        <v>0</v>
      </c>
    </row>
    <row r="705" spans="1:6" x14ac:dyDescent="0.25">
      <c r="A705" s="50">
        <f t="shared" si="10"/>
        <v>703</v>
      </c>
      <c r="B705" s="50">
        <v>5336</v>
      </c>
      <c r="C705" s="50" t="s">
        <v>740</v>
      </c>
      <c r="D705" s="51" t="s">
        <v>69</v>
      </c>
      <c r="F705" s="52">
        <f>SUMIF(CPY!$B:$B,Summary!$B705,CPY!$I:$I)</f>
        <v>0</v>
      </c>
    </row>
    <row r="706" spans="1:6" x14ac:dyDescent="0.25">
      <c r="A706" s="50">
        <f t="shared" si="10"/>
        <v>704</v>
      </c>
      <c r="B706" s="50">
        <v>5337</v>
      </c>
      <c r="C706" s="50" t="s">
        <v>741</v>
      </c>
      <c r="D706" s="51" t="s">
        <v>69</v>
      </c>
      <c r="F706" s="52">
        <f>SUMIF(CPY!$B:$B,Summary!$B706,CPY!$I:$I)</f>
        <v>0</v>
      </c>
    </row>
    <row r="707" spans="1:6" x14ac:dyDescent="0.25">
      <c r="A707" s="50">
        <f t="shared" si="10"/>
        <v>705</v>
      </c>
      <c r="B707" s="50">
        <v>5338</v>
      </c>
      <c r="C707" s="50" t="s">
        <v>742</v>
      </c>
      <c r="D707" s="51" t="s">
        <v>69</v>
      </c>
      <c r="F707" s="52">
        <f>SUMIF(CPY!$B:$B,Summary!$B707,CPY!$I:$I)</f>
        <v>0</v>
      </c>
    </row>
    <row r="708" spans="1:6" x14ac:dyDescent="0.25">
      <c r="A708" s="50">
        <f t="shared" si="10"/>
        <v>706</v>
      </c>
      <c r="B708" s="50">
        <v>5340</v>
      </c>
      <c r="C708" s="50" t="s">
        <v>743</v>
      </c>
      <c r="D708" s="51" t="s">
        <v>69</v>
      </c>
      <c r="F708" s="52">
        <f>SUMIF(CPY!$B:$B,Summary!$B708,CPY!$I:$I)</f>
        <v>0</v>
      </c>
    </row>
    <row r="709" spans="1:6" x14ac:dyDescent="0.25">
      <c r="A709" s="50">
        <f t="shared" ref="A709:A772" si="11">+A708+1</f>
        <v>707</v>
      </c>
      <c r="B709" s="50">
        <v>5341</v>
      </c>
      <c r="C709" s="50" t="s">
        <v>744</v>
      </c>
      <c r="D709" s="51" t="s">
        <v>69</v>
      </c>
      <c r="F709" s="52">
        <f>SUMIF(CPY!$B:$B,Summary!$B709,CPY!$I:$I)</f>
        <v>0</v>
      </c>
    </row>
    <row r="710" spans="1:6" x14ac:dyDescent="0.25">
      <c r="A710" s="50">
        <f t="shared" si="11"/>
        <v>708</v>
      </c>
      <c r="B710" s="50">
        <v>5347</v>
      </c>
      <c r="C710" s="50" t="s">
        <v>745</v>
      </c>
      <c r="D710" s="51" t="s">
        <v>78</v>
      </c>
      <c r="F710" s="52">
        <f>SUMIF(CPY!$B:$B,Summary!$B710,CPY!$I:$I)</f>
        <v>0</v>
      </c>
    </row>
    <row r="711" spans="1:6" x14ac:dyDescent="0.25">
      <c r="A711" s="50">
        <f t="shared" si="11"/>
        <v>709</v>
      </c>
      <c r="B711" s="50">
        <v>5348</v>
      </c>
      <c r="C711" s="50" t="s">
        <v>746</v>
      </c>
      <c r="D711" s="51" t="s">
        <v>69</v>
      </c>
      <c r="F711" s="52">
        <f>SUMIF(CPY!$B:$B,Summary!$B711,CPY!$I:$I)</f>
        <v>0</v>
      </c>
    </row>
    <row r="712" spans="1:6" x14ac:dyDescent="0.25">
      <c r="A712" s="50">
        <f t="shared" si="11"/>
        <v>710</v>
      </c>
      <c r="B712" s="50">
        <v>5350</v>
      </c>
      <c r="C712" s="50" t="s">
        <v>747</v>
      </c>
      <c r="D712" s="51" t="s">
        <v>69</v>
      </c>
      <c r="F712" s="52">
        <f>SUMIF(CPY!$B:$B,Summary!$B712,CPY!$I:$I)</f>
        <v>0</v>
      </c>
    </row>
    <row r="713" spans="1:6" x14ac:dyDescent="0.25">
      <c r="A713" s="50">
        <f t="shared" si="11"/>
        <v>711</v>
      </c>
      <c r="B713" s="50">
        <v>5356</v>
      </c>
      <c r="C713" s="50" t="s">
        <v>748</v>
      </c>
      <c r="D713" s="51" t="s">
        <v>69</v>
      </c>
      <c r="F713" s="52">
        <f>SUMIF(CPY!$B:$B,Summary!$B713,CPY!$I:$I)</f>
        <v>0</v>
      </c>
    </row>
    <row r="714" spans="1:6" x14ac:dyDescent="0.25">
      <c r="A714" s="50">
        <f t="shared" si="11"/>
        <v>712</v>
      </c>
      <c r="B714" s="50">
        <v>5357</v>
      </c>
      <c r="C714" s="50" t="s">
        <v>749</v>
      </c>
      <c r="D714" s="51" t="s">
        <v>69</v>
      </c>
      <c r="F714" s="52">
        <f>SUMIF(CPY!$B:$B,Summary!$B714,CPY!$I:$I)</f>
        <v>0</v>
      </c>
    </row>
    <row r="715" spans="1:6" x14ac:dyDescent="0.25">
      <c r="A715" s="50">
        <f t="shared" si="11"/>
        <v>713</v>
      </c>
      <c r="B715" s="50">
        <v>5359</v>
      </c>
      <c r="C715" s="50" t="s">
        <v>750</v>
      </c>
      <c r="D715" s="51" t="s">
        <v>69</v>
      </c>
      <c r="F715" s="52">
        <f>SUMIF(CPY!$B:$B,Summary!$B715,CPY!$I:$I)</f>
        <v>0</v>
      </c>
    </row>
    <row r="716" spans="1:6" x14ac:dyDescent="0.25">
      <c r="A716" s="50">
        <f t="shared" si="11"/>
        <v>714</v>
      </c>
      <c r="B716" s="50">
        <v>5361</v>
      </c>
      <c r="C716" s="50" t="s">
        <v>751</v>
      </c>
      <c r="D716" s="51" t="s">
        <v>69</v>
      </c>
      <c r="F716" s="52">
        <f>SUMIF(CPY!$B:$B,Summary!$B716,CPY!$I:$I)</f>
        <v>0</v>
      </c>
    </row>
    <row r="717" spans="1:6" x14ac:dyDescent="0.25">
      <c r="A717" s="50">
        <f t="shared" si="11"/>
        <v>715</v>
      </c>
      <c r="B717" s="50">
        <v>5363</v>
      </c>
      <c r="C717" s="50" t="s">
        <v>752</v>
      </c>
      <c r="D717" s="51" t="s">
        <v>85</v>
      </c>
      <c r="F717" s="52">
        <f>SUMIF(CPY!$B:$B,Summary!$B717,CPY!$I:$I)</f>
        <v>0</v>
      </c>
    </row>
    <row r="718" spans="1:6" x14ac:dyDescent="0.25">
      <c r="A718" s="50">
        <f t="shared" si="11"/>
        <v>716</v>
      </c>
      <c r="B718" s="50">
        <v>5365</v>
      </c>
      <c r="C718" s="50" t="s">
        <v>753</v>
      </c>
      <c r="D718" s="51" t="s">
        <v>69</v>
      </c>
      <c r="F718" s="52">
        <f>SUMIF(CPY!$B:$B,Summary!$B718,CPY!$I:$I)</f>
        <v>0</v>
      </c>
    </row>
    <row r="719" spans="1:6" x14ac:dyDescent="0.25">
      <c r="A719" s="50">
        <f t="shared" si="11"/>
        <v>717</v>
      </c>
      <c r="B719" s="50">
        <v>5368</v>
      </c>
      <c r="C719" s="50" t="s">
        <v>754</v>
      </c>
      <c r="D719" s="51" t="s">
        <v>69</v>
      </c>
      <c r="F719" s="52">
        <f>SUMIF(CPY!$B:$B,Summary!$B719,CPY!$I:$I)</f>
        <v>0</v>
      </c>
    </row>
    <row r="720" spans="1:6" x14ac:dyDescent="0.25">
      <c r="A720" s="50">
        <f t="shared" si="11"/>
        <v>718</v>
      </c>
      <c r="B720" s="50">
        <v>5369</v>
      </c>
      <c r="C720" s="50" t="s">
        <v>755</v>
      </c>
      <c r="D720" s="51" t="s">
        <v>69</v>
      </c>
      <c r="F720" s="52">
        <f>SUMIF(CPY!$B:$B,Summary!$B720,CPY!$I:$I)</f>
        <v>0</v>
      </c>
    </row>
    <row r="721" spans="1:6" x14ac:dyDescent="0.25">
      <c r="A721" s="50">
        <f t="shared" si="11"/>
        <v>719</v>
      </c>
      <c r="B721" s="50">
        <v>5371</v>
      </c>
      <c r="C721" s="50" t="s">
        <v>756</v>
      </c>
      <c r="D721" s="51" t="s">
        <v>69</v>
      </c>
      <c r="F721" s="52">
        <f>SUMIF(CPY!$B:$B,Summary!$B721,CPY!$I:$I)</f>
        <v>0</v>
      </c>
    </row>
    <row r="722" spans="1:6" x14ac:dyDescent="0.25">
      <c r="A722" s="50">
        <f t="shared" si="11"/>
        <v>720</v>
      </c>
      <c r="B722" s="50">
        <v>5373</v>
      </c>
      <c r="C722" s="50" t="s">
        <v>757</v>
      </c>
      <c r="D722" s="51" t="s">
        <v>85</v>
      </c>
      <c r="F722" s="52">
        <f>SUMIF(CPY!$B:$B,Summary!$B722,CPY!$I:$I)</f>
        <v>0</v>
      </c>
    </row>
    <row r="723" spans="1:6" x14ac:dyDescent="0.25">
      <c r="A723" s="50">
        <f t="shared" si="11"/>
        <v>721</v>
      </c>
      <c r="B723" s="50">
        <v>5374</v>
      </c>
      <c r="C723" s="50" t="s">
        <v>758</v>
      </c>
      <c r="D723" s="51" t="s">
        <v>69</v>
      </c>
      <c r="F723" s="52">
        <f>SUMIF(CPY!$B:$B,Summary!$B723,CPY!$I:$I)</f>
        <v>0</v>
      </c>
    </row>
    <row r="724" spans="1:6" x14ac:dyDescent="0.25">
      <c r="A724" s="50">
        <f t="shared" si="11"/>
        <v>722</v>
      </c>
      <c r="B724" s="50">
        <v>5376</v>
      </c>
      <c r="C724" s="50" t="s">
        <v>759</v>
      </c>
      <c r="D724" s="51" t="s">
        <v>85</v>
      </c>
      <c r="F724" s="52">
        <f>SUMIF(CPY!$B:$B,Summary!$B724,CPY!$I:$I)</f>
        <v>0</v>
      </c>
    </row>
    <row r="725" spans="1:6" x14ac:dyDescent="0.25">
      <c r="A725" s="50">
        <f t="shared" si="11"/>
        <v>723</v>
      </c>
      <c r="B725" s="50">
        <v>5378</v>
      </c>
      <c r="C725" s="50" t="s">
        <v>760</v>
      </c>
      <c r="D725" s="51" t="s">
        <v>69</v>
      </c>
      <c r="F725" s="52">
        <f>SUMIF(CPY!$B:$B,Summary!$B725,CPY!$I:$I)</f>
        <v>0</v>
      </c>
    </row>
    <row r="726" spans="1:6" x14ac:dyDescent="0.25">
      <c r="A726" s="50">
        <f t="shared" si="11"/>
        <v>724</v>
      </c>
      <c r="B726" s="50">
        <v>5380</v>
      </c>
      <c r="C726" s="50" t="s">
        <v>761</v>
      </c>
      <c r="D726" s="51" t="s">
        <v>69</v>
      </c>
      <c r="F726" s="52">
        <f>SUMIF(CPY!$B:$B,Summary!$B726,CPY!$I:$I)</f>
        <v>0</v>
      </c>
    </row>
    <row r="727" spans="1:6" x14ac:dyDescent="0.25">
      <c r="A727" s="50">
        <f t="shared" si="11"/>
        <v>725</v>
      </c>
      <c r="B727" s="50">
        <v>5384</v>
      </c>
      <c r="C727" s="50" t="s">
        <v>762</v>
      </c>
      <c r="D727" s="51" t="s">
        <v>69</v>
      </c>
      <c r="F727" s="52">
        <f>SUMIF(CPY!$B:$B,Summary!$B727,CPY!$I:$I)</f>
        <v>0</v>
      </c>
    </row>
    <row r="728" spans="1:6" x14ac:dyDescent="0.25">
      <c r="A728" s="50">
        <f t="shared" si="11"/>
        <v>726</v>
      </c>
      <c r="B728" s="50">
        <v>5385</v>
      </c>
      <c r="C728" s="50" t="s">
        <v>763</v>
      </c>
      <c r="D728" s="51" t="s">
        <v>69</v>
      </c>
      <c r="F728" s="52">
        <f>SUMIF(CPY!$B:$B,Summary!$B728,CPY!$I:$I)</f>
        <v>0</v>
      </c>
    </row>
    <row r="729" spans="1:6" x14ac:dyDescent="0.25">
      <c r="A729" s="50">
        <f t="shared" si="11"/>
        <v>727</v>
      </c>
      <c r="B729" s="50">
        <v>5387</v>
      </c>
      <c r="C729" s="50" t="s">
        <v>764</v>
      </c>
      <c r="D729" s="51" t="s">
        <v>69</v>
      </c>
      <c r="F729" s="52">
        <f>SUMIF(CPY!$B:$B,Summary!$B729,CPY!$I:$I)</f>
        <v>0</v>
      </c>
    </row>
    <row r="730" spans="1:6" x14ac:dyDescent="0.25">
      <c r="A730" s="50">
        <f t="shared" si="11"/>
        <v>728</v>
      </c>
      <c r="B730" s="50">
        <v>5388</v>
      </c>
      <c r="C730" s="50" t="s">
        <v>765</v>
      </c>
      <c r="D730" s="51" t="s">
        <v>69</v>
      </c>
      <c r="F730" s="52">
        <f>SUMIF(CPY!$B:$B,Summary!$B730,CPY!$I:$I)</f>
        <v>0</v>
      </c>
    </row>
    <row r="731" spans="1:6" x14ac:dyDescent="0.25">
      <c r="A731" s="50">
        <f t="shared" si="11"/>
        <v>729</v>
      </c>
      <c r="B731" s="50">
        <v>5390</v>
      </c>
      <c r="C731" s="50" t="s">
        <v>766</v>
      </c>
      <c r="D731" s="51" t="s">
        <v>69</v>
      </c>
      <c r="F731" s="52">
        <f>SUMIF(CPY!$B:$B,Summary!$B731,CPY!$I:$I)</f>
        <v>0</v>
      </c>
    </row>
    <row r="732" spans="1:6" x14ac:dyDescent="0.25">
      <c r="A732" s="50">
        <f t="shared" si="11"/>
        <v>730</v>
      </c>
      <c r="B732" s="50">
        <v>5395</v>
      </c>
      <c r="C732" s="50" t="s">
        <v>767</v>
      </c>
      <c r="D732" s="51" t="s">
        <v>85</v>
      </c>
      <c r="F732" s="52">
        <f>SUMIF(CPY!$B:$B,Summary!$B732,CPY!$I:$I)</f>
        <v>0</v>
      </c>
    </row>
    <row r="733" spans="1:6" x14ac:dyDescent="0.25">
      <c r="A733" s="50">
        <f t="shared" si="11"/>
        <v>731</v>
      </c>
      <c r="B733" s="50">
        <v>5397</v>
      </c>
      <c r="C733" s="50" t="s">
        <v>768</v>
      </c>
      <c r="D733" s="51" t="s">
        <v>85</v>
      </c>
      <c r="F733" s="52">
        <f>SUMIF(CPY!$B:$B,Summary!$B733,CPY!$I:$I)</f>
        <v>0</v>
      </c>
    </row>
    <row r="734" spans="1:6" x14ac:dyDescent="0.25">
      <c r="A734" s="50">
        <f t="shared" si="11"/>
        <v>732</v>
      </c>
      <c r="B734" s="50">
        <v>5401</v>
      </c>
      <c r="C734" s="50" t="s">
        <v>769</v>
      </c>
      <c r="D734" s="51" t="s">
        <v>69</v>
      </c>
      <c r="F734" s="52">
        <f>SUMIF(CPY!$B:$B,Summary!$B734,CPY!$I:$I)</f>
        <v>0</v>
      </c>
    </row>
    <row r="735" spans="1:6" x14ac:dyDescent="0.25">
      <c r="A735" s="50">
        <f t="shared" si="11"/>
        <v>733</v>
      </c>
      <c r="B735" s="50">
        <v>5404</v>
      </c>
      <c r="C735" s="50" t="s">
        <v>770</v>
      </c>
      <c r="D735" s="51" t="s">
        <v>69</v>
      </c>
      <c r="F735" s="52">
        <f>SUMIF(CPY!$B:$B,Summary!$B735,CPY!$I:$I)</f>
        <v>0</v>
      </c>
    </row>
    <row r="736" spans="1:6" x14ac:dyDescent="0.25">
      <c r="A736" s="50">
        <f t="shared" si="11"/>
        <v>734</v>
      </c>
      <c r="B736" s="50">
        <v>5409</v>
      </c>
      <c r="C736" s="50" t="s">
        <v>771</v>
      </c>
      <c r="D736" s="51" t="s">
        <v>78</v>
      </c>
      <c r="F736" s="52">
        <f>SUMIF(CPY!$B:$B,Summary!$B736,CPY!$I:$I)</f>
        <v>0</v>
      </c>
    </row>
    <row r="737" spans="1:6" x14ac:dyDescent="0.25">
      <c r="A737" s="50">
        <f t="shared" si="11"/>
        <v>735</v>
      </c>
      <c r="B737" s="50">
        <v>5413</v>
      </c>
      <c r="C737" s="50" t="s">
        <v>772</v>
      </c>
      <c r="D737" s="51" t="s">
        <v>78</v>
      </c>
      <c r="F737" s="52">
        <f>SUMIF(CPY!$B:$B,Summary!$B737,CPY!$I:$I)</f>
        <v>0</v>
      </c>
    </row>
    <row r="738" spans="1:6" x14ac:dyDescent="0.25">
      <c r="A738" s="50">
        <f t="shared" si="11"/>
        <v>736</v>
      </c>
      <c r="B738" s="50">
        <v>5417</v>
      </c>
      <c r="C738" s="50" t="s">
        <v>773</v>
      </c>
      <c r="D738" s="51" t="s">
        <v>69</v>
      </c>
      <c r="F738" s="52">
        <f>SUMIF(CPY!$B:$B,Summary!$B738,CPY!$I:$I)</f>
        <v>0</v>
      </c>
    </row>
    <row r="739" spans="1:6" x14ac:dyDescent="0.25">
      <c r="A739" s="50">
        <f t="shared" si="11"/>
        <v>737</v>
      </c>
      <c r="B739" s="50">
        <v>5423</v>
      </c>
      <c r="C739" s="50" t="s">
        <v>774</v>
      </c>
      <c r="D739" s="51" t="s">
        <v>78</v>
      </c>
      <c r="F739" s="52">
        <f>SUMIF(CPY!$B:$B,Summary!$B739,CPY!$I:$I)</f>
        <v>0</v>
      </c>
    </row>
    <row r="740" spans="1:6" x14ac:dyDescent="0.25">
      <c r="A740" s="50">
        <f t="shared" si="11"/>
        <v>738</v>
      </c>
      <c r="B740" s="50">
        <v>5426</v>
      </c>
      <c r="C740" s="50" t="s">
        <v>775</v>
      </c>
      <c r="D740" s="51" t="s">
        <v>51</v>
      </c>
      <c r="F740" s="52">
        <f>SUMIF(CPY!$B:$B,Summary!$B740,CPY!$I:$I)</f>
        <v>0</v>
      </c>
    </row>
    <row r="741" spans="1:6" x14ac:dyDescent="0.25">
      <c r="A741" s="50">
        <f t="shared" si="11"/>
        <v>739</v>
      </c>
      <c r="B741" s="50">
        <v>5433</v>
      </c>
      <c r="C741" s="50" t="s">
        <v>776</v>
      </c>
      <c r="D741" s="51" t="s">
        <v>51</v>
      </c>
      <c r="F741" s="52">
        <f>SUMIF(CPY!$B:$B,Summary!$B741,CPY!$I:$I)</f>
        <v>0</v>
      </c>
    </row>
    <row r="742" spans="1:6" x14ac:dyDescent="0.25">
      <c r="A742" s="50">
        <f t="shared" si="11"/>
        <v>740</v>
      </c>
      <c r="B742" s="50">
        <v>5438</v>
      </c>
      <c r="C742" s="50" t="s">
        <v>777</v>
      </c>
      <c r="D742" s="51" t="s">
        <v>69</v>
      </c>
      <c r="F742" s="52">
        <f>SUMIF(CPY!$B:$B,Summary!$B742,CPY!$I:$I)</f>
        <v>0</v>
      </c>
    </row>
    <row r="743" spans="1:6" x14ac:dyDescent="0.25">
      <c r="A743" s="50">
        <f t="shared" si="11"/>
        <v>741</v>
      </c>
      <c r="B743" s="50">
        <v>5439</v>
      </c>
      <c r="C743" s="50" t="s">
        <v>778</v>
      </c>
      <c r="D743" s="51" t="s">
        <v>78</v>
      </c>
      <c r="F743" s="52">
        <f>SUMIF(CPY!$B:$B,Summary!$B743,CPY!$I:$I)</f>
        <v>0</v>
      </c>
    </row>
    <row r="744" spans="1:6" x14ac:dyDescent="0.25">
      <c r="A744" s="50">
        <f t="shared" si="11"/>
        <v>742</v>
      </c>
      <c r="B744" s="50">
        <v>5443</v>
      </c>
      <c r="C744" s="50" t="s">
        <v>779</v>
      </c>
      <c r="D744" s="51" t="s">
        <v>78</v>
      </c>
      <c r="F744" s="52">
        <f>SUMIF(CPY!$B:$B,Summary!$B744,CPY!$I:$I)</f>
        <v>0</v>
      </c>
    </row>
    <row r="745" spans="1:6" x14ac:dyDescent="0.25">
      <c r="A745" s="50">
        <f t="shared" si="11"/>
        <v>743</v>
      </c>
      <c r="B745" s="50">
        <v>5448</v>
      </c>
      <c r="C745" s="50" t="s">
        <v>780</v>
      </c>
      <c r="D745" s="51" t="s">
        <v>69</v>
      </c>
      <c r="F745" s="52">
        <f>SUMIF(CPY!$B:$B,Summary!$B745,CPY!$I:$I)</f>
        <v>0</v>
      </c>
    </row>
    <row r="746" spans="1:6" x14ac:dyDescent="0.25">
      <c r="A746" s="50">
        <f t="shared" si="11"/>
        <v>744</v>
      </c>
      <c r="B746" s="50">
        <v>5455</v>
      </c>
      <c r="C746" s="50" t="s">
        <v>781</v>
      </c>
      <c r="D746" s="51" t="s">
        <v>46</v>
      </c>
      <c r="F746" s="52">
        <f>SUMIF(CPY!$B:$B,Summary!$B746,CPY!$I:$I)</f>
        <v>0</v>
      </c>
    </row>
    <row r="747" spans="1:6" x14ac:dyDescent="0.25">
      <c r="A747" s="50">
        <f t="shared" si="11"/>
        <v>745</v>
      </c>
      <c r="B747" s="50">
        <v>5456</v>
      </c>
      <c r="C747" s="50" t="s">
        <v>782</v>
      </c>
      <c r="D747" s="51" t="s">
        <v>78</v>
      </c>
      <c r="F747" s="52">
        <f>SUMIF(CPY!$B:$B,Summary!$B747,CPY!$I:$I)</f>
        <v>0</v>
      </c>
    </row>
    <row r="748" spans="1:6" x14ac:dyDescent="0.25">
      <c r="A748" s="50">
        <f t="shared" si="11"/>
        <v>746</v>
      </c>
      <c r="B748" s="50">
        <v>5459</v>
      </c>
      <c r="C748" s="50" t="s">
        <v>783</v>
      </c>
      <c r="D748" s="51" t="s">
        <v>69</v>
      </c>
      <c r="F748" s="52">
        <f>SUMIF(CPY!$B:$B,Summary!$B748,CPY!$I:$I)</f>
        <v>0</v>
      </c>
    </row>
    <row r="749" spans="1:6" x14ac:dyDescent="0.25">
      <c r="A749" s="50">
        <f t="shared" si="11"/>
        <v>747</v>
      </c>
      <c r="B749" s="50">
        <v>5463</v>
      </c>
      <c r="C749" s="50" t="s">
        <v>784</v>
      </c>
      <c r="D749" s="51" t="s">
        <v>78</v>
      </c>
      <c r="F749" s="52">
        <f>SUMIF(CPY!$B:$B,Summary!$B749,CPY!$I:$I)</f>
        <v>0</v>
      </c>
    </row>
    <row r="750" spans="1:6" x14ac:dyDescent="0.25">
      <c r="A750" s="50">
        <f t="shared" si="11"/>
        <v>748</v>
      </c>
      <c r="B750" s="50">
        <v>5468</v>
      </c>
      <c r="C750" s="50" t="s">
        <v>785</v>
      </c>
      <c r="D750" s="51" t="s">
        <v>46</v>
      </c>
      <c r="F750" s="52">
        <f>SUMIF(CPY!$B:$B,Summary!$B750,CPY!$I:$I)</f>
        <v>0</v>
      </c>
    </row>
    <row r="751" spans="1:6" x14ac:dyDescent="0.25">
      <c r="A751" s="50">
        <f t="shared" si="11"/>
        <v>749</v>
      </c>
      <c r="B751" s="50">
        <v>5472</v>
      </c>
      <c r="C751" s="50" t="s">
        <v>786</v>
      </c>
      <c r="D751" s="51" t="s">
        <v>69</v>
      </c>
      <c r="F751" s="52">
        <f>SUMIF(CPY!$B:$B,Summary!$B751,CPY!$I:$I)</f>
        <v>0</v>
      </c>
    </row>
    <row r="752" spans="1:6" x14ac:dyDescent="0.25">
      <c r="A752" s="50">
        <f t="shared" si="11"/>
        <v>750</v>
      </c>
      <c r="B752" s="50">
        <v>5477</v>
      </c>
      <c r="C752" s="50" t="s">
        <v>787</v>
      </c>
      <c r="D752" s="51" t="s">
        <v>69</v>
      </c>
      <c r="F752" s="52">
        <f>SUMIF(CPY!$B:$B,Summary!$B752,CPY!$I:$I)</f>
        <v>0</v>
      </c>
    </row>
    <row r="753" spans="1:6" x14ac:dyDescent="0.25">
      <c r="A753" s="50">
        <f t="shared" si="11"/>
        <v>751</v>
      </c>
      <c r="B753" s="50">
        <v>5478</v>
      </c>
      <c r="C753" s="50" t="s">
        <v>788</v>
      </c>
      <c r="D753" s="51" t="s">
        <v>78</v>
      </c>
      <c r="F753" s="52">
        <f>SUMIF(CPY!$B:$B,Summary!$B753,CPY!$I:$I)</f>
        <v>0</v>
      </c>
    </row>
    <row r="754" spans="1:6" x14ac:dyDescent="0.25">
      <c r="A754" s="50">
        <f t="shared" si="11"/>
        <v>752</v>
      </c>
      <c r="B754" s="50">
        <v>5479</v>
      </c>
      <c r="C754" s="50" t="s">
        <v>789</v>
      </c>
      <c r="D754" s="51" t="s">
        <v>78</v>
      </c>
      <c r="F754" s="52">
        <f>SUMIF(CPY!$B:$B,Summary!$B754,CPY!$I:$I)</f>
        <v>0</v>
      </c>
    </row>
    <row r="755" spans="1:6" x14ac:dyDescent="0.25">
      <c r="A755" s="50">
        <f t="shared" si="11"/>
        <v>753</v>
      </c>
      <c r="B755" s="50">
        <v>5480</v>
      </c>
      <c r="C755" s="50" t="s">
        <v>790</v>
      </c>
      <c r="D755" s="51" t="s">
        <v>78</v>
      </c>
      <c r="F755" s="52">
        <f>SUMIF(CPY!$B:$B,Summary!$B755,CPY!$I:$I)</f>
        <v>0</v>
      </c>
    </row>
    <row r="756" spans="1:6" x14ac:dyDescent="0.25">
      <c r="A756" s="50">
        <f t="shared" si="11"/>
        <v>754</v>
      </c>
      <c r="B756" s="50">
        <v>5483</v>
      </c>
      <c r="C756" s="50" t="s">
        <v>791</v>
      </c>
      <c r="D756" s="51" t="s">
        <v>69</v>
      </c>
      <c r="F756" s="52">
        <f>SUMIF(CPY!$B:$B,Summary!$B756,CPY!$I:$I)</f>
        <v>0</v>
      </c>
    </row>
    <row r="757" spans="1:6" x14ac:dyDescent="0.25">
      <c r="A757" s="50">
        <f t="shared" si="11"/>
        <v>755</v>
      </c>
      <c r="B757" s="50">
        <v>5486</v>
      </c>
      <c r="C757" s="50" t="s">
        <v>792</v>
      </c>
      <c r="D757" s="51" t="s">
        <v>69</v>
      </c>
      <c r="F757" s="52">
        <f>SUMIF(CPY!$B:$B,Summary!$B757,CPY!$I:$I)</f>
        <v>0</v>
      </c>
    </row>
    <row r="758" spans="1:6" x14ac:dyDescent="0.25">
      <c r="A758" s="50">
        <f t="shared" si="11"/>
        <v>756</v>
      </c>
      <c r="B758" s="50">
        <v>5487</v>
      </c>
      <c r="C758" s="50" t="s">
        <v>793</v>
      </c>
      <c r="D758" s="51" t="s">
        <v>78</v>
      </c>
      <c r="F758" s="52">
        <f>SUMIF(CPY!$B:$B,Summary!$B758,CPY!$I:$I)</f>
        <v>0</v>
      </c>
    </row>
    <row r="759" spans="1:6" x14ac:dyDescent="0.25">
      <c r="A759" s="50">
        <f t="shared" si="11"/>
        <v>757</v>
      </c>
      <c r="B759" s="50">
        <v>5490</v>
      </c>
      <c r="C759" s="50" t="s">
        <v>794</v>
      </c>
      <c r="D759" s="51" t="s">
        <v>78</v>
      </c>
      <c r="F759" s="52">
        <f>SUMIF(CPY!$B:$B,Summary!$B759,CPY!$I:$I)</f>
        <v>0</v>
      </c>
    </row>
    <row r="760" spans="1:6" x14ac:dyDescent="0.25">
      <c r="A760" s="50">
        <f t="shared" si="11"/>
        <v>758</v>
      </c>
      <c r="B760" s="50">
        <v>5493</v>
      </c>
      <c r="C760" s="50" t="s">
        <v>795</v>
      </c>
      <c r="D760" s="51" t="s">
        <v>69</v>
      </c>
      <c r="F760" s="52">
        <f>SUMIF(CPY!$B:$B,Summary!$B760,CPY!$I:$I)</f>
        <v>0</v>
      </c>
    </row>
    <row r="761" spans="1:6" x14ac:dyDescent="0.25">
      <c r="A761" s="50">
        <f t="shared" si="11"/>
        <v>759</v>
      </c>
      <c r="B761" s="50">
        <v>5494</v>
      </c>
      <c r="C761" s="50" t="s">
        <v>796</v>
      </c>
      <c r="D761" s="51" t="s">
        <v>46</v>
      </c>
      <c r="F761" s="52">
        <f>SUMIF(CPY!$B:$B,Summary!$B761,CPY!$I:$I)</f>
        <v>0</v>
      </c>
    </row>
    <row r="762" spans="1:6" x14ac:dyDescent="0.25">
      <c r="A762" s="50">
        <f t="shared" si="11"/>
        <v>760</v>
      </c>
      <c r="B762" s="50">
        <v>5497</v>
      </c>
      <c r="C762" s="50" t="s">
        <v>797</v>
      </c>
      <c r="D762" s="51" t="s">
        <v>85</v>
      </c>
      <c r="F762" s="52">
        <f>SUMIF(CPY!$B:$B,Summary!$B762,CPY!$I:$I)</f>
        <v>0</v>
      </c>
    </row>
    <row r="763" spans="1:6" x14ac:dyDescent="0.25">
      <c r="A763" s="50">
        <f t="shared" si="11"/>
        <v>761</v>
      </c>
      <c r="B763" s="50">
        <v>5500</v>
      </c>
      <c r="C763" s="50" t="s">
        <v>798</v>
      </c>
      <c r="D763" s="51" t="s">
        <v>85</v>
      </c>
      <c r="F763" s="52">
        <f>SUMIF(CPY!$B:$B,Summary!$B763,CPY!$I:$I)</f>
        <v>0</v>
      </c>
    </row>
    <row r="764" spans="1:6" x14ac:dyDescent="0.25">
      <c r="A764" s="50">
        <f t="shared" si="11"/>
        <v>762</v>
      </c>
      <c r="B764" s="50">
        <v>5501</v>
      </c>
      <c r="C764" s="50" t="s">
        <v>799</v>
      </c>
      <c r="D764" s="51" t="s">
        <v>85</v>
      </c>
      <c r="F764" s="52">
        <f>SUMIF(CPY!$B:$B,Summary!$B764,CPY!$I:$I)</f>
        <v>0</v>
      </c>
    </row>
    <row r="765" spans="1:6" x14ac:dyDescent="0.25">
      <c r="A765" s="50">
        <f t="shared" si="11"/>
        <v>763</v>
      </c>
      <c r="B765" s="50">
        <v>5503</v>
      </c>
      <c r="C765" s="50" t="s">
        <v>800</v>
      </c>
      <c r="D765" s="51" t="s">
        <v>85</v>
      </c>
      <c r="F765" s="52">
        <f>SUMIF(CPY!$B:$B,Summary!$B765,CPY!$I:$I)</f>
        <v>0</v>
      </c>
    </row>
    <row r="766" spans="1:6" x14ac:dyDescent="0.25">
      <c r="A766" s="50">
        <f t="shared" si="11"/>
        <v>764</v>
      </c>
      <c r="B766" s="50">
        <v>5504</v>
      </c>
      <c r="C766" s="50" t="s">
        <v>801</v>
      </c>
      <c r="D766" s="51" t="s">
        <v>85</v>
      </c>
      <c r="F766" s="52">
        <f>SUMIF(CPY!$B:$B,Summary!$B766,CPY!$I:$I)</f>
        <v>0</v>
      </c>
    </row>
    <row r="767" spans="1:6" x14ac:dyDescent="0.25">
      <c r="A767" s="50">
        <f t="shared" si="11"/>
        <v>765</v>
      </c>
      <c r="B767" s="50">
        <v>5506</v>
      </c>
      <c r="C767" s="50" t="s">
        <v>802</v>
      </c>
      <c r="D767" s="51" t="s">
        <v>85</v>
      </c>
      <c r="F767" s="52">
        <f>SUMIF(CPY!$B:$B,Summary!$B767,CPY!$I:$I)</f>
        <v>0</v>
      </c>
    </row>
    <row r="768" spans="1:6" x14ac:dyDescent="0.25">
      <c r="A768" s="50">
        <f t="shared" si="11"/>
        <v>766</v>
      </c>
      <c r="B768" s="50">
        <v>5508</v>
      </c>
      <c r="C768" s="50" t="s">
        <v>803</v>
      </c>
      <c r="D768" s="51" t="s">
        <v>69</v>
      </c>
      <c r="F768" s="52">
        <f>SUMIF(CPY!$B:$B,Summary!$B768,CPY!$I:$I)</f>
        <v>0</v>
      </c>
    </row>
    <row r="769" spans="1:6" x14ac:dyDescent="0.25">
      <c r="A769" s="50">
        <f t="shared" si="11"/>
        <v>767</v>
      </c>
      <c r="B769" s="50">
        <v>5510</v>
      </c>
      <c r="C769" s="50" t="s">
        <v>804</v>
      </c>
      <c r="D769" s="51" t="s">
        <v>85</v>
      </c>
      <c r="F769" s="52">
        <f>SUMIF(CPY!$B:$B,Summary!$B769,CPY!$I:$I)</f>
        <v>0</v>
      </c>
    </row>
    <row r="770" spans="1:6" x14ac:dyDescent="0.25">
      <c r="A770" s="50">
        <f t="shared" si="11"/>
        <v>768</v>
      </c>
      <c r="B770" s="50">
        <v>5514</v>
      </c>
      <c r="C770" s="50" t="s">
        <v>805</v>
      </c>
      <c r="D770" s="51" t="s">
        <v>85</v>
      </c>
      <c r="F770" s="52">
        <f>SUMIF(CPY!$B:$B,Summary!$B770,CPY!$I:$I)</f>
        <v>0</v>
      </c>
    </row>
    <row r="771" spans="1:6" x14ac:dyDescent="0.25">
      <c r="A771" s="50">
        <f t="shared" si="11"/>
        <v>769</v>
      </c>
      <c r="B771" s="50">
        <v>5515</v>
      </c>
      <c r="C771" s="50" t="s">
        <v>806</v>
      </c>
      <c r="D771" s="51" t="s">
        <v>85</v>
      </c>
      <c r="F771" s="52">
        <f>SUMIF(CPY!$B:$B,Summary!$B771,CPY!$I:$I)</f>
        <v>0</v>
      </c>
    </row>
    <row r="772" spans="1:6" x14ac:dyDescent="0.25">
      <c r="A772" s="50">
        <f t="shared" si="11"/>
        <v>770</v>
      </c>
      <c r="B772" s="50">
        <v>5516</v>
      </c>
      <c r="C772" s="50" t="s">
        <v>807</v>
      </c>
      <c r="D772" s="51" t="s">
        <v>85</v>
      </c>
      <c r="F772" s="52">
        <f>SUMIF(CPY!$B:$B,Summary!$B772,CPY!$I:$I)</f>
        <v>0</v>
      </c>
    </row>
    <row r="773" spans="1:6" x14ac:dyDescent="0.25">
      <c r="A773" s="50">
        <f t="shared" ref="A773:A836" si="12">+A772+1</f>
        <v>771</v>
      </c>
      <c r="B773" s="50">
        <v>5519</v>
      </c>
      <c r="C773" s="50" t="s">
        <v>808</v>
      </c>
      <c r="D773" s="51" t="s">
        <v>85</v>
      </c>
      <c r="F773" s="52">
        <f>SUMIF(CPY!$B:$B,Summary!$B773,CPY!$I:$I)</f>
        <v>0</v>
      </c>
    </row>
    <row r="774" spans="1:6" x14ac:dyDescent="0.25">
      <c r="A774" s="50">
        <f t="shared" si="12"/>
        <v>772</v>
      </c>
      <c r="B774" s="50">
        <v>5520</v>
      </c>
      <c r="C774" s="50" t="s">
        <v>809</v>
      </c>
      <c r="D774" s="51" t="s">
        <v>85</v>
      </c>
      <c r="F774" s="52">
        <f>SUMIF(CPY!$B:$B,Summary!$B774,CPY!$I:$I)</f>
        <v>0</v>
      </c>
    </row>
    <row r="775" spans="1:6" x14ac:dyDescent="0.25">
      <c r="A775" s="50">
        <f t="shared" si="12"/>
        <v>773</v>
      </c>
      <c r="B775" s="50">
        <v>5522</v>
      </c>
      <c r="C775" s="50" t="s">
        <v>810</v>
      </c>
      <c r="D775" s="51" t="s">
        <v>85</v>
      </c>
      <c r="F775" s="52">
        <f>SUMIF(CPY!$B:$B,Summary!$B775,CPY!$I:$I)</f>
        <v>0</v>
      </c>
    </row>
    <row r="776" spans="1:6" x14ac:dyDescent="0.25">
      <c r="A776" s="50">
        <f t="shared" si="12"/>
        <v>774</v>
      </c>
      <c r="B776" s="50">
        <v>5523</v>
      </c>
      <c r="C776" s="50" t="s">
        <v>811</v>
      </c>
      <c r="D776" s="51" t="s">
        <v>85</v>
      </c>
      <c r="F776" s="52">
        <f>SUMIF(CPY!$B:$B,Summary!$B776,CPY!$I:$I)</f>
        <v>0</v>
      </c>
    </row>
    <row r="777" spans="1:6" x14ac:dyDescent="0.25">
      <c r="A777" s="50">
        <f t="shared" si="12"/>
        <v>775</v>
      </c>
      <c r="B777" s="50">
        <v>5525</v>
      </c>
      <c r="C777" s="50" t="s">
        <v>812</v>
      </c>
      <c r="D777" s="51" t="s">
        <v>78</v>
      </c>
      <c r="F777" s="52">
        <f>SUMIF(CPY!$B:$B,Summary!$B777,CPY!$I:$I)</f>
        <v>0</v>
      </c>
    </row>
    <row r="778" spans="1:6" x14ac:dyDescent="0.25">
      <c r="A778" s="50">
        <f t="shared" si="12"/>
        <v>776</v>
      </c>
      <c r="B778" s="50">
        <v>5526</v>
      </c>
      <c r="C778" s="50" t="s">
        <v>813</v>
      </c>
      <c r="D778" s="51" t="s">
        <v>85</v>
      </c>
      <c r="F778" s="52">
        <f>SUMIF(CPY!$B:$B,Summary!$B778,CPY!$I:$I)</f>
        <v>0</v>
      </c>
    </row>
    <row r="779" spans="1:6" x14ac:dyDescent="0.25">
      <c r="A779" s="50">
        <f t="shared" si="12"/>
        <v>777</v>
      </c>
      <c r="B779" s="50">
        <v>5527</v>
      </c>
      <c r="C779" s="50" t="s">
        <v>814</v>
      </c>
      <c r="D779" s="51" t="s">
        <v>85</v>
      </c>
      <c r="F779" s="52">
        <f>SUMIF(CPY!$B:$B,Summary!$B779,CPY!$I:$I)</f>
        <v>0</v>
      </c>
    </row>
    <row r="780" spans="1:6" x14ac:dyDescent="0.25">
      <c r="A780" s="50">
        <f t="shared" si="12"/>
        <v>778</v>
      </c>
      <c r="B780" s="50">
        <v>5528</v>
      </c>
      <c r="C780" s="50" t="s">
        <v>815</v>
      </c>
      <c r="D780" s="51" t="s">
        <v>85</v>
      </c>
      <c r="F780" s="52">
        <f>SUMIF(CPY!$B:$B,Summary!$B780,CPY!$I:$I)</f>
        <v>0</v>
      </c>
    </row>
    <row r="781" spans="1:6" x14ac:dyDescent="0.25">
      <c r="A781" s="50">
        <f t="shared" si="12"/>
        <v>779</v>
      </c>
      <c r="B781" s="50">
        <v>5530</v>
      </c>
      <c r="C781" s="50" t="s">
        <v>816</v>
      </c>
      <c r="D781" s="51" t="s">
        <v>85</v>
      </c>
      <c r="F781" s="52">
        <f>SUMIF(CPY!$B:$B,Summary!$B781,CPY!$I:$I)</f>
        <v>0</v>
      </c>
    </row>
    <row r="782" spans="1:6" x14ac:dyDescent="0.25">
      <c r="A782" s="50">
        <f t="shared" si="12"/>
        <v>780</v>
      </c>
      <c r="B782" s="50">
        <v>5531</v>
      </c>
      <c r="C782" s="50" t="s">
        <v>817</v>
      </c>
      <c r="D782" s="51" t="s">
        <v>85</v>
      </c>
      <c r="F782" s="52">
        <f>SUMIF(CPY!$B:$B,Summary!$B782,CPY!$I:$I)</f>
        <v>0</v>
      </c>
    </row>
    <row r="783" spans="1:6" x14ac:dyDescent="0.25">
      <c r="A783" s="50">
        <f t="shared" si="12"/>
        <v>781</v>
      </c>
      <c r="B783" s="50">
        <v>5532</v>
      </c>
      <c r="C783" s="50" t="s">
        <v>818</v>
      </c>
      <c r="D783" s="51" t="s">
        <v>85</v>
      </c>
      <c r="F783" s="52">
        <f>SUMIF(CPY!$B:$B,Summary!$B783,CPY!$I:$I)</f>
        <v>0</v>
      </c>
    </row>
    <row r="784" spans="1:6" x14ac:dyDescent="0.25">
      <c r="A784" s="50">
        <f t="shared" si="12"/>
        <v>782</v>
      </c>
      <c r="B784" s="50">
        <v>5533</v>
      </c>
      <c r="C784" s="50" t="s">
        <v>819</v>
      </c>
      <c r="D784" s="51" t="s">
        <v>85</v>
      </c>
      <c r="F784" s="52">
        <f>SUMIF(CPY!$B:$B,Summary!$B784,CPY!$I:$I)</f>
        <v>0</v>
      </c>
    </row>
    <row r="785" spans="1:6" x14ac:dyDescent="0.25">
      <c r="A785" s="50">
        <f t="shared" si="12"/>
        <v>783</v>
      </c>
      <c r="B785" s="50">
        <v>5534</v>
      </c>
      <c r="C785" s="50" t="s">
        <v>820</v>
      </c>
      <c r="D785" s="51" t="s">
        <v>85</v>
      </c>
      <c r="F785" s="52">
        <f>SUMIF(CPY!$B:$B,Summary!$B785,CPY!$I:$I)</f>
        <v>0</v>
      </c>
    </row>
    <row r="786" spans="1:6" x14ac:dyDescent="0.25">
      <c r="A786" s="50">
        <f t="shared" si="12"/>
        <v>784</v>
      </c>
      <c r="B786" s="50">
        <v>5535</v>
      </c>
      <c r="C786" s="50" t="s">
        <v>821</v>
      </c>
      <c r="D786" s="51" t="s">
        <v>69</v>
      </c>
      <c r="F786" s="52">
        <f>SUMIF(CPY!$B:$B,Summary!$B786,CPY!$I:$I)</f>
        <v>0</v>
      </c>
    </row>
    <row r="787" spans="1:6" x14ac:dyDescent="0.25">
      <c r="A787" s="50">
        <f t="shared" si="12"/>
        <v>785</v>
      </c>
      <c r="B787" s="50">
        <v>5536</v>
      </c>
      <c r="C787" s="50" t="s">
        <v>822</v>
      </c>
      <c r="D787" s="51" t="s">
        <v>85</v>
      </c>
      <c r="F787" s="52">
        <f>SUMIF(CPY!$B:$B,Summary!$B787,CPY!$I:$I)</f>
        <v>0</v>
      </c>
    </row>
    <row r="788" spans="1:6" x14ac:dyDescent="0.25">
      <c r="A788" s="50">
        <f t="shared" si="12"/>
        <v>786</v>
      </c>
      <c r="B788" s="50">
        <v>5538</v>
      </c>
      <c r="C788" s="50" t="s">
        <v>823</v>
      </c>
      <c r="D788" s="51" t="s">
        <v>85</v>
      </c>
      <c r="F788" s="52">
        <f>SUMIF(CPY!$B:$B,Summary!$B788,CPY!$I:$I)</f>
        <v>0</v>
      </c>
    </row>
    <row r="789" spans="1:6" x14ac:dyDescent="0.25">
      <c r="A789" s="50">
        <f t="shared" si="12"/>
        <v>787</v>
      </c>
      <c r="B789" s="50">
        <v>5539</v>
      </c>
      <c r="C789" s="50" t="s">
        <v>824</v>
      </c>
      <c r="D789" s="51" t="s">
        <v>85</v>
      </c>
      <c r="F789" s="52">
        <f>SUMIF(CPY!$B:$B,Summary!$B789,CPY!$I:$I)</f>
        <v>0</v>
      </c>
    </row>
    <row r="790" spans="1:6" x14ac:dyDescent="0.25">
      <c r="A790" s="50">
        <f t="shared" si="12"/>
        <v>788</v>
      </c>
      <c r="B790" s="50">
        <v>5540</v>
      </c>
      <c r="C790" s="50" t="s">
        <v>825</v>
      </c>
      <c r="D790" s="51" t="s">
        <v>85</v>
      </c>
      <c r="F790" s="52">
        <f>SUMIF(CPY!$B:$B,Summary!$B790,CPY!$I:$I)</f>
        <v>0</v>
      </c>
    </row>
    <row r="791" spans="1:6" x14ac:dyDescent="0.25">
      <c r="A791" s="50">
        <f t="shared" si="12"/>
        <v>789</v>
      </c>
      <c r="B791" s="50">
        <v>5541</v>
      </c>
      <c r="C791" s="50" t="s">
        <v>826</v>
      </c>
      <c r="D791" s="51" t="s">
        <v>85</v>
      </c>
      <c r="F791" s="52">
        <f>SUMIF(CPY!$B:$B,Summary!$B791,CPY!$I:$I)</f>
        <v>0</v>
      </c>
    </row>
    <row r="792" spans="1:6" x14ac:dyDescent="0.25">
      <c r="A792" s="50">
        <f t="shared" si="12"/>
        <v>790</v>
      </c>
      <c r="B792" s="50">
        <v>5543</v>
      </c>
      <c r="C792" s="50" t="s">
        <v>827</v>
      </c>
      <c r="D792" s="51" t="s">
        <v>85</v>
      </c>
      <c r="F792" s="52">
        <f>SUMIF(CPY!$B:$B,Summary!$B792,CPY!$I:$I)</f>
        <v>0</v>
      </c>
    </row>
    <row r="793" spans="1:6" x14ac:dyDescent="0.25">
      <c r="A793" s="50">
        <f t="shared" si="12"/>
        <v>791</v>
      </c>
      <c r="B793" s="50">
        <v>5544</v>
      </c>
      <c r="C793" s="50" t="s">
        <v>828</v>
      </c>
      <c r="D793" s="51" t="s">
        <v>85</v>
      </c>
      <c r="F793" s="52">
        <f>SUMIF(CPY!$B:$B,Summary!$B793,CPY!$I:$I)</f>
        <v>0</v>
      </c>
    </row>
    <row r="794" spans="1:6" x14ac:dyDescent="0.25">
      <c r="A794" s="50">
        <f t="shared" si="12"/>
        <v>792</v>
      </c>
      <c r="B794" s="50">
        <v>5545</v>
      </c>
      <c r="C794" s="50" t="s">
        <v>829</v>
      </c>
      <c r="D794" s="51" t="s">
        <v>85</v>
      </c>
      <c r="F794" s="52">
        <f>SUMIF(CPY!$B:$B,Summary!$B794,CPY!$I:$I)</f>
        <v>0</v>
      </c>
    </row>
    <row r="795" spans="1:6" x14ac:dyDescent="0.25">
      <c r="A795" s="50">
        <f t="shared" si="12"/>
        <v>793</v>
      </c>
      <c r="B795" s="50">
        <v>5551</v>
      </c>
      <c r="C795" s="50" t="s">
        <v>830</v>
      </c>
      <c r="D795" s="51" t="s">
        <v>85</v>
      </c>
      <c r="F795" s="52">
        <f>SUMIF(CPY!$B:$B,Summary!$B795,CPY!$I:$I)</f>
        <v>0</v>
      </c>
    </row>
    <row r="796" spans="1:6" x14ac:dyDescent="0.25">
      <c r="A796" s="50">
        <f t="shared" si="12"/>
        <v>794</v>
      </c>
      <c r="B796" s="50">
        <v>5552</v>
      </c>
      <c r="C796" s="50" t="s">
        <v>831</v>
      </c>
      <c r="D796" s="51" t="s">
        <v>85</v>
      </c>
      <c r="F796" s="52">
        <f>SUMIF(CPY!$B:$B,Summary!$B796,CPY!$I:$I)</f>
        <v>0</v>
      </c>
    </row>
    <row r="797" spans="1:6" x14ac:dyDescent="0.25">
      <c r="A797" s="50">
        <f t="shared" si="12"/>
        <v>795</v>
      </c>
      <c r="B797" s="50">
        <v>5553</v>
      </c>
      <c r="C797" s="50" t="s">
        <v>832</v>
      </c>
      <c r="D797" s="51" t="s">
        <v>85</v>
      </c>
      <c r="F797" s="52">
        <f>SUMIF(CPY!$B:$B,Summary!$B797,CPY!$I:$I)</f>
        <v>0</v>
      </c>
    </row>
    <row r="798" spans="1:6" x14ac:dyDescent="0.25">
      <c r="A798" s="50">
        <f t="shared" si="12"/>
        <v>796</v>
      </c>
      <c r="B798" s="50">
        <v>5556</v>
      </c>
      <c r="C798" s="50" t="s">
        <v>833</v>
      </c>
      <c r="D798" s="51" t="s">
        <v>78</v>
      </c>
      <c r="F798" s="52">
        <f>SUMIF(CPY!$B:$B,Summary!$B798,CPY!$I:$I)</f>
        <v>0</v>
      </c>
    </row>
    <row r="799" spans="1:6" x14ac:dyDescent="0.25">
      <c r="A799" s="50">
        <f t="shared" si="12"/>
        <v>797</v>
      </c>
      <c r="B799" s="50">
        <v>5561</v>
      </c>
      <c r="C799" s="50" t="s">
        <v>834</v>
      </c>
      <c r="D799" s="51" t="s">
        <v>85</v>
      </c>
      <c r="F799" s="52">
        <f>SUMIF(CPY!$B:$B,Summary!$B799,CPY!$I:$I)</f>
        <v>0</v>
      </c>
    </row>
    <row r="800" spans="1:6" x14ac:dyDescent="0.25">
      <c r="A800" s="50">
        <f t="shared" si="12"/>
        <v>798</v>
      </c>
      <c r="B800" s="50">
        <v>5562</v>
      </c>
      <c r="C800" s="50" t="s">
        <v>835</v>
      </c>
      <c r="D800" s="51" t="s">
        <v>85</v>
      </c>
      <c r="F800" s="52">
        <f>SUMIF(CPY!$B:$B,Summary!$B800,CPY!$I:$I)</f>
        <v>0</v>
      </c>
    </row>
    <row r="801" spans="1:6" x14ac:dyDescent="0.25">
      <c r="A801" s="50">
        <f t="shared" si="12"/>
        <v>799</v>
      </c>
      <c r="B801" s="50">
        <v>5563</v>
      </c>
      <c r="C801" s="50" t="s">
        <v>836</v>
      </c>
      <c r="D801" s="51" t="s">
        <v>85</v>
      </c>
      <c r="F801" s="52">
        <f>SUMIF(CPY!$B:$B,Summary!$B801,CPY!$I:$I)</f>
        <v>0</v>
      </c>
    </row>
    <row r="802" spans="1:6" x14ac:dyDescent="0.25">
      <c r="A802" s="50">
        <f t="shared" si="12"/>
        <v>800</v>
      </c>
      <c r="B802" s="50">
        <v>5564</v>
      </c>
      <c r="C802" s="50" t="s">
        <v>837</v>
      </c>
      <c r="D802" s="51" t="s">
        <v>85</v>
      </c>
      <c r="F802" s="52">
        <f>SUMIF(CPY!$B:$B,Summary!$B802,CPY!$I:$I)</f>
        <v>0</v>
      </c>
    </row>
    <row r="803" spans="1:6" x14ac:dyDescent="0.25">
      <c r="A803" s="50">
        <f t="shared" si="12"/>
        <v>801</v>
      </c>
      <c r="B803" s="50">
        <v>5565</v>
      </c>
      <c r="C803" s="50" t="s">
        <v>838</v>
      </c>
      <c r="D803" s="51" t="s">
        <v>85</v>
      </c>
      <c r="F803" s="52">
        <f>SUMIF(CPY!$B:$B,Summary!$B803,CPY!$I:$I)</f>
        <v>0</v>
      </c>
    </row>
    <row r="804" spans="1:6" x14ac:dyDescent="0.25">
      <c r="A804" s="50">
        <f t="shared" si="12"/>
        <v>802</v>
      </c>
      <c r="B804" s="50">
        <v>5566</v>
      </c>
      <c r="C804" s="50" t="s">
        <v>839</v>
      </c>
      <c r="D804" s="51" t="s">
        <v>85</v>
      </c>
      <c r="F804" s="52">
        <f>SUMIF(CPY!$B:$B,Summary!$B804,CPY!$I:$I)</f>
        <v>0</v>
      </c>
    </row>
    <row r="805" spans="1:6" x14ac:dyDescent="0.25">
      <c r="A805" s="50">
        <f t="shared" si="12"/>
        <v>803</v>
      </c>
      <c r="B805" s="50">
        <v>5570</v>
      </c>
      <c r="C805" s="50" t="s">
        <v>840</v>
      </c>
      <c r="D805" s="51" t="s">
        <v>841</v>
      </c>
      <c r="F805" s="52">
        <f>SUMIF(CPY!$B:$B,Summary!$B805,CPY!$I:$I)</f>
        <v>0</v>
      </c>
    </row>
    <row r="806" spans="1:6" x14ac:dyDescent="0.25">
      <c r="A806" s="50">
        <f t="shared" si="12"/>
        <v>804</v>
      </c>
      <c r="B806" s="50">
        <v>5571</v>
      </c>
      <c r="C806" s="50" t="s">
        <v>842</v>
      </c>
      <c r="D806" s="51" t="s">
        <v>85</v>
      </c>
      <c r="F806" s="52">
        <f>SUMIF(CPY!$B:$B,Summary!$B806,CPY!$I:$I)</f>
        <v>0</v>
      </c>
    </row>
    <row r="807" spans="1:6" x14ac:dyDescent="0.25">
      <c r="A807" s="50">
        <f t="shared" si="12"/>
        <v>805</v>
      </c>
      <c r="B807" s="50">
        <v>5572</v>
      </c>
      <c r="C807" s="50" t="s">
        <v>843</v>
      </c>
      <c r="D807" s="51" t="s">
        <v>46</v>
      </c>
      <c r="F807" s="52">
        <f>SUMIF(CPY!$B:$B,Summary!$B807,CPY!$I:$I)</f>
        <v>0</v>
      </c>
    </row>
    <row r="808" spans="1:6" x14ac:dyDescent="0.25">
      <c r="A808" s="50">
        <f t="shared" si="12"/>
        <v>806</v>
      </c>
      <c r="B808" s="50">
        <v>5573</v>
      </c>
      <c r="C808" s="50" t="s">
        <v>844</v>
      </c>
      <c r="D808" s="51" t="s">
        <v>85</v>
      </c>
      <c r="F808" s="52">
        <f>SUMIF(CPY!$B:$B,Summary!$B808,CPY!$I:$I)</f>
        <v>0</v>
      </c>
    </row>
    <row r="809" spans="1:6" x14ac:dyDescent="0.25">
      <c r="A809" s="50">
        <f t="shared" si="12"/>
        <v>807</v>
      </c>
      <c r="B809" s="50">
        <v>5574</v>
      </c>
      <c r="C809" s="50" t="s">
        <v>845</v>
      </c>
      <c r="D809" s="51" t="s">
        <v>85</v>
      </c>
      <c r="F809" s="52">
        <f>SUMIF(CPY!$B:$B,Summary!$B809,CPY!$I:$I)</f>
        <v>0</v>
      </c>
    </row>
    <row r="810" spans="1:6" x14ac:dyDescent="0.25">
      <c r="A810" s="50">
        <f t="shared" si="12"/>
        <v>808</v>
      </c>
      <c r="B810" s="50">
        <v>5576</v>
      </c>
      <c r="C810" s="50" t="s">
        <v>846</v>
      </c>
      <c r="D810" s="51" t="s">
        <v>69</v>
      </c>
      <c r="F810" s="52">
        <f>SUMIF(CPY!$B:$B,Summary!$B810,CPY!$I:$I)</f>
        <v>0</v>
      </c>
    </row>
    <row r="811" spans="1:6" x14ac:dyDescent="0.25">
      <c r="A811" s="50">
        <f t="shared" si="12"/>
        <v>809</v>
      </c>
      <c r="B811" s="50">
        <v>5577</v>
      </c>
      <c r="C811" s="50" t="s">
        <v>847</v>
      </c>
      <c r="D811" s="51" t="s">
        <v>841</v>
      </c>
      <c r="F811" s="52">
        <f>SUMIF(CPY!$B:$B,Summary!$B811,CPY!$I:$I)</f>
        <v>0</v>
      </c>
    </row>
    <row r="812" spans="1:6" x14ac:dyDescent="0.25">
      <c r="A812" s="50">
        <f t="shared" si="12"/>
        <v>810</v>
      </c>
      <c r="B812" s="50">
        <v>5578</v>
      </c>
      <c r="C812" s="50" t="s">
        <v>848</v>
      </c>
      <c r="D812" s="51" t="s">
        <v>841</v>
      </c>
      <c r="F812" s="52">
        <f>SUMIF(CPY!$B:$B,Summary!$B812,CPY!$I:$I)</f>
        <v>0</v>
      </c>
    </row>
    <row r="813" spans="1:6" x14ac:dyDescent="0.25">
      <c r="A813" s="50">
        <f t="shared" si="12"/>
        <v>811</v>
      </c>
      <c r="B813" s="50">
        <v>5581</v>
      </c>
      <c r="C813" s="50" t="s">
        <v>849</v>
      </c>
      <c r="D813" s="51" t="s">
        <v>69</v>
      </c>
      <c r="F813" s="52">
        <f>SUMIF(CPY!$B:$B,Summary!$B813,CPY!$I:$I)</f>
        <v>0</v>
      </c>
    </row>
    <row r="814" spans="1:6" x14ac:dyDescent="0.25">
      <c r="A814" s="50">
        <f t="shared" si="12"/>
        <v>812</v>
      </c>
      <c r="B814" s="50">
        <v>5582</v>
      </c>
      <c r="C814" s="50" t="s">
        <v>850</v>
      </c>
      <c r="D814" s="51" t="s">
        <v>85</v>
      </c>
      <c r="F814" s="52">
        <f>SUMIF(CPY!$B:$B,Summary!$B814,CPY!$I:$I)</f>
        <v>0</v>
      </c>
    </row>
    <row r="815" spans="1:6" x14ac:dyDescent="0.25">
      <c r="A815" s="50">
        <f t="shared" si="12"/>
        <v>813</v>
      </c>
      <c r="B815" s="50">
        <v>5583</v>
      </c>
      <c r="C815" s="50" t="s">
        <v>851</v>
      </c>
      <c r="D815" s="51" t="s">
        <v>85</v>
      </c>
      <c r="F815" s="52">
        <f>SUMIF(CPY!$B:$B,Summary!$B815,CPY!$I:$I)</f>
        <v>0</v>
      </c>
    </row>
    <row r="816" spans="1:6" x14ac:dyDescent="0.25">
      <c r="A816" s="50">
        <f t="shared" si="12"/>
        <v>814</v>
      </c>
      <c r="B816" s="50">
        <v>5584</v>
      </c>
      <c r="C816" s="50" t="s">
        <v>852</v>
      </c>
      <c r="D816" s="51" t="s">
        <v>841</v>
      </c>
      <c r="F816" s="52">
        <f>SUMIF(CPY!$B:$B,Summary!$B816,CPY!$I:$I)</f>
        <v>0</v>
      </c>
    </row>
    <row r="817" spans="1:6" x14ac:dyDescent="0.25">
      <c r="A817" s="50">
        <f t="shared" si="12"/>
        <v>815</v>
      </c>
      <c r="B817" s="50">
        <v>5585</v>
      </c>
      <c r="C817" s="50" t="s">
        <v>853</v>
      </c>
      <c r="D817" s="51" t="s">
        <v>85</v>
      </c>
      <c r="F817" s="52">
        <f>SUMIF(CPY!$B:$B,Summary!$B817,CPY!$I:$I)</f>
        <v>0</v>
      </c>
    </row>
    <row r="818" spans="1:6" x14ac:dyDescent="0.25">
      <c r="A818" s="50">
        <f t="shared" si="12"/>
        <v>816</v>
      </c>
      <c r="B818" s="50">
        <v>5587</v>
      </c>
      <c r="C818" s="50" t="s">
        <v>854</v>
      </c>
      <c r="D818" s="51" t="s">
        <v>841</v>
      </c>
      <c r="F818" s="52">
        <f>SUMIF(CPY!$B:$B,Summary!$B818,CPY!$I:$I)</f>
        <v>0</v>
      </c>
    </row>
    <row r="819" spans="1:6" x14ac:dyDescent="0.25">
      <c r="A819" s="50">
        <f t="shared" si="12"/>
        <v>817</v>
      </c>
      <c r="B819" s="50">
        <v>5588</v>
      </c>
      <c r="C819" s="50" t="s">
        <v>855</v>
      </c>
      <c r="D819" s="51" t="s">
        <v>69</v>
      </c>
      <c r="F819" s="52">
        <f>SUMIF(CPY!$B:$B,Summary!$B819,CPY!$I:$I)</f>
        <v>0</v>
      </c>
    </row>
    <row r="820" spans="1:6" x14ac:dyDescent="0.25">
      <c r="A820" s="50">
        <f t="shared" si="12"/>
        <v>818</v>
      </c>
      <c r="B820" s="50">
        <v>5592</v>
      </c>
      <c r="C820" s="50" t="s">
        <v>856</v>
      </c>
      <c r="D820" s="51" t="s">
        <v>69</v>
      </c>
      <c r="F820" s="52">
        <f>SUMIF(CPY!$B:$B,Summary!$B820,CPY!$I:$I)</f>
        <v>0</v>
      </c>
    </row>
    <row r="821" spans="1:6" x14ac:dyDescent="0.25">
      <c r="A821" s="50">
        <f t="shared" si="12"/>
        <v>819</v>
      </c>
      <c r="B821" s="50">
        <v>5597</v>
      </c>
      <c r="C821" s="50" t="s">
        <v>857</v>
      </c>
      <c r="D821" s="51" t="s">
        <v>69</v>
      </c>
      <c r="F821" s="52">
        <f>SUMIF(CPY!$B:$B,Summary!$B821,CPY!$I:$I)</f>
        <v>0</v>
      </c>
    </row>
    <row r="822" spans="1:6" x14ac:dyDescent="0.25">
      <c r="A822" s="50">
        <f t="shared" si="12"/>
        <v>820</v>
      </c>
      <c r="B822" s="50">
        <v>5598</v>
      </c>
      <c r="C822" s="50" t="s">
        <v>858</v>
      </c>
      <c r="D822" s="51" t="s">
        <v>69</v>
      </c>
      <c r="F822" s="52">
        <f>SUMIF(CPY!$B:$B,Summary!$B822,CPY!$I:$I)</f>
        <v>0</v>
      </c>
    </row>
    <row r="823" spans="1:6" x14ac:dyDescent="0.25">
      <c r="A823" s="50">
        <f t="shared" si="12"/>
        <v>821</v>
      </c>
      <c r="B823" s="50">
        <v>5599</v>
      </c>
      <c r="C823" s="50" t="s">
        <v>859</v>
      </c>
      <c r="D823" s="51" t="s">
        <v>85</v>
      </c>
      <c r="F823" s="52">
        <f>SUMIF(CPY!$B:$B,Summary!$B823,CPY!$I:$I)</f>
        <v>0</v>
      </c>
    </row>
    <row r="824" spans="1:6" x14ac:dyDescent="0.25">
      <c r="A824" s="50">
        <f t="shared" si="12"/>
        <v>822</v>
      </c>
      <c r="B824" s="50">
        <v>5600</v>
      </c>
      <c r="C824" s="50" t="s">
        <v>860</v>
      </c>
      <c r="D824" s="51" t="s">
        <v>85</v>
      </c>
      <c r="F824" s="52">
        <f>SUMIF(CPY!$B:$B,Summary!$B824,CPY!$I:$I)</f>
        <v>0</v>
      </c>
    </row>
    <row r="825" spans="1:6" x14ac:dyDescent="0.25">
      <c r="A825" s="50">
        <f t="shared" si="12"/>
        <v>823</v>
      </c>
      <c r="B825" s="50">
        <v>5601</v>
      </c>
      <c r="C825" s="50" t="s">
        <v>861</v>
      </c>
      <c r="D825" s="51" t="s">
        <v>85</v>
      </c>
      <c r="F825" s="52">
        <f>SUMIF(CPY!$B:$B,Summary!$B825,CPY!$I:$I)</f>
        <v>0</v>
      </c>
    </row>
    <row r="826" spans="1:6" x14ac:dyDescent="0.25">
      <c r="A826" s="50">
        <f t="shared" si="12"/>
        <v>824</v>
      </c>
      <c r="B826" s="50">
        <v>5602</v>
      </c>
      <c r="C826" s="50" t="s">
        <v>862</v>
      </c>
      <c r="D826" s="51" t="s">
        <v>85</v>
      </c>
      <c r="F826" s="52">
        <f>SUMIF(CPY!$B:$B,Summary!$B826,CPY!$I:$I)</f>
        <v>0</v>
      </c>
    </row>
    <row r="827" spans="1:6" x14ac:dyDescent="0.25">
      <c r="A827" s="50">
        <f t="shared" si="12"/>
        <v>825</v>
      </c>
      <c r="B827" s="50">
        <v>5603</v>
      </c>
      <c r="C827" s="50" t="s">
        <v>863</v>
      </c>
      <c r="D827" s="51" t="s">
        <v>85</v>
      </c>
      <c r="F827" s="52">
        <f>SUMIF(CPY!$B:$B,Summary!$B827,CPY!$I:$I)</f>
        <v>0</v>
      </c>
    </row>
    <row r="828" spans="1:6" x14ac:dyDescent="0.25">
      <c r="A828" s="50">
        <f t="shared" si="12"/>
        <v>826</v>
      </c>
      <c r="B828" s="50">
        <v>5604</v>
      </c>
      <c r="C828" s="50" t="s">
        <v>864</v>
      </c>
      <c r="D828" s="51" t="s">
        <v>85</v>
      </c>
      <c r="F828" s="52">
        <f>SUMIF(CPY!$B:$B,Summary!$B828,CPY!$I:$I)</f>
        <v>0</v>
      </c>
    </row>
    <row r="829" spans="1:6" x14ac:dyDescent="0.25">
      <c r="A829" s="50">
        <f t="shared" si="12"/>
        <v>827</v>
      </c>
      <c r="B829" s="50">
        <v>5605</v>
      </c>
      <c r="C829" s="50" t="s">
        <v>865</v>
      </c>
      <c r="D829" s="51" t="s">
        <v>85</v>
      </c>
      <c r="F829" s="52">
        <f>SUMIF(CPY!$B:$B,Summary!$B829,CPY!$I:$I)</f>
        <v>0</v>
      </c>
    </row>
    <row r="830" spans="1:6" x14ac:dyDescent="0.25">
      <c r="A830" s="50">
        <f t="shared" si="12"/>
        <v>828</v>
      </c>
      <c r="B830" s="50">
        <v>5606</v>
      </c>
      <c r="C830" s="50" t="s">
        <v>866</v>
      </c>
      <c r="D830" s="51" t="s">
        <v>85</v>
      </c>
      <c r="F830" s="52">
        <f>SUMIF(CPY!$B:$B,Summary!$B830,CPY!$I:$I)</f>
        <v>0</v>
      </c>
    </row>
    <row r="831" spans="1:6" x14ac:dyDescent="0.25">
      <c r="A831" s="50">
        <f t="shared" si="12"/>
        <v>829</v>
      </c>
      <c r="B831" s="50">
        <v>5609</v>
      </c>
      <c r="C831" s="50" t="s">
        <v>867</v>
      </c>
      <c r="D831" s="51" t="s">
        <v>85</v>
      </c>
      <c r="F831" s="52">
        <f>SUMIF(CPY!$B:$B,Summary!$B831,CPY!$I:$I)</f>
        <v>0</v>
      </c>
    </row>
    <row r="832" spans="1:6" x14ac:dyDescent="0.25">
      <c r="A832" s="50">
        <f t="shared" si="12"/>
        <v>830</v>
      </c>
      <c r="B832" s="50">
        <v>5610</v>
      </c>
      <c r="C832" s="50" t="s">
        <v>868</v>
      </c>
      <c r="D832" s="51" t="s">
        <v>85</v>
      </c>
      <c r="F832" s="52">
        <f>SUMIF(CPY!$B:$B,Summary!$B832,CPY!$I:$I)</f>
        <v>0</v>
      </c>
    </row>
    <row r="833" spans="1:6" x14ac:dyDescent="0.25">
      <c r="A833" s="50">
        <f t="shared" si="12"/>
        <v>831</v>
      </c>
      <c r="B833" s="50">
        <v>5611</v>
      </c>
      <c r="C833" s="50" t="s">
        <v>869</v>
      </c>
      <c r="D833" s="51" t="s">
        <v>85</v>
      </c>
      <c r="F833" s="52">
        <f>SUMIF(CPY!$B:$B,Summary!$B833,CPY!$I:$I)</f>
        <v>0</v>
      </c>
    </row>
    <row r="834" spans="1:6" x14ac:dyDescent="0.25">
      <c r="A834" s="50">
        <f t="shared" si="12"/>
        <v>832</v>
      </c>
      <c r="B834" s="50">
        <v>5612</v>
      </c>
      <c r="C834" s="50" t="s">
        <v>870</v>
      </c>
      <c r="D834" s="51" t="s">
        <v>85</v>
      </c>
      <c r="F834" s="52">
        <f>SUMIF(CPY!$B:$B,Summary!$B834,CPY!$I:$I)</f>
        <v>0</v>
      </c>
    </row>
    <row r="835" spans="1:6" x14ac:dyDescent="0.25">
      <c r="A835" s="50">
        <f t="shared" si="12"/>
        <v>833</v>
      </c>
      <c r="B835" s="50">
        <v>5613</v>
      </c>
      <c r="C835" s="50" t="s">
        <v>871</v>
      </c>
      <c r="D835" s="51" t="s">
        <v>85</v>
      </c>
      <c r="F835" s="52">
        <f>SUMIF(CPY!$B:$B,Summary!$B835,CPY!$I:$I)</f>
        <v>0</v>
      </c>
    </row>
    <row r="836" spans="1:6" x14ac:dyDescent="0.25">
      <c r="A836" s="50">
        <f t="shared" si="12"/>
        <v>834</v>
      </c>
      <c r="B836" s="50">
        <v>5616</v>
      </c>
      <c r="C836" s="50" t="s">
        <v>872</v>
      </c>
      <c r="D836" s="51" t="s">
        <v>85</v>
      </c>
      <c r="F836" s="52">
        <f>SUMIF(CPY!$B:$B,Summary!$B836,CPY!$I:$I)</f>
        <v>0</v>
      </c>
    </row>
    <row r="837" spans="1:6" x14ac:dyDescent="0.25">
      <c r="A837" s="50">
        <f t="shared" ref="A837:A900" si="13">+A836+1</f>
        <v>835</v>
      </c>
      <c r="B837" s="50">
        <v>5618</v>
      </c>
      <c r="C837" s="50" t="s">
        <v>873</v>
      </c>
      <c r="D837" s="51" t="s">
        <v>69</v>
      </c>
      <c r="F837" s="52">
        <f>SUMIF(CPY!$B:$B,Summary!$B837,CPY!$I:$I)</f>
        <v>0</v>
      </c>
    </row>
    <row r="838" spans="1:6" x14ac:dyDescent="0.25">
      <c r="A838" s="50">
        <f t="shared" si="13"/>
        <v>836</v>
      </c>
      <c r="B838" s="50">
        <v>5621</v>
      </c>
      <c r="C838" s="50" t="s">
        <v>874</v>
      </c>
      <c r="D838" s="51" t="s">
        <v>85</v>
      </c>
      <c r="F838" s="52">
        <f>SUMIF(CPY!$B:$B,Summary!$B838,CPY!$I:$I)</f>
        <v>0</v>
      </c>
    </row>
    <row r="839" spans="1:6" x14ac:dyDescent="0.25">
      <c r="A839" s="50">
        <f t="shared" si="13"/>
        <v>837</v>
      </c>
      <c r="B839" s="50">
        <v>5622</v>
      </c>
      <c r="C839" s="50" t="s">
        <v>875</v>
      </c>
      <c r="D839" s="51" t="s">
        <v>85</v>
      </c>
      <c r="F839" s="52">
        <f>SUMIF(CPY!$B:$B,Summary!$B839,CPY!$I:$I)</f>
        <v>0</v>
      </c>
    </row>
    <row r="840" spans="1:6" x14ac:dyDescent="0.25">
      <c r="A840" s="50">
        <f t="shared" si="13"/>
        <v>838</v>
      </c>
      <c r="B840" s="50">
        <v>5623</v>
      </c>
      <c r="C840" s="50" t="s">
        <v>876</v>
      </c>
      <c r="D840" s="51" t="s">
        <v>85</v>
      </c>
      <c r="F840" s="52">
        <f>SUMIF(CPY!$B:$B,Summary!$B840,CPY!$I:$I)</f>
        <v>0</v>
      </c>
    </row>
    <row r="841" spans="1:6" x14ac:dyDescent="0.25">
      <c r="A841" s="50">
        <f t="shared" si="13"/>
        <v>839</v>
      </c>
      <c r="B841" s="50">
        <v>5631</v>
      </c>
      <c r="C841" s="50" t="s">
        <v>877</v>
      </c>
      <c r="D841" s="51" t="s">
        <v>85</v>
      </c>
      <c r="F841" s="52">
        <f>SUMIF(CPY!$B:$B,Summary!$B841,CPY!$I:$I)</f>
        <v>0</v>
      </c>
    </row>
    <row r="842" spans="1:6" x14ac:dyDescent="0.25">
      <c r="A842" s="50">
        <f t="shared" si="13"/>
        <v>840</v>
      </c>
      <c r="B842" s="50">
        <v>5633</v>
      </c>
      <c r="C842" s="50" t="s">
        <v>878</v>
      </c>
      <c r="D842" s="51" t="s">
        <v>85</v>
      </c>
      <c r="F842" s="52">
        <f>SUMIF(CPY!$B:$B,Summary!$B842,CPY!$I:$I)</f>
        <v>0</v>
      </c>
    </row>
    <row r="843" spans="1:6" x14ac:dyDescent="0.25">
      <c r="A843" s="50">
        <f t="shared" si="13"/>
        <v>841</v>
      </c>
      <c r="B843" s="50">
        <v>5636</v>
      </c>
      <c r="C843" s="50" t="s">
        <v>879</v>
      </c>
      <c r="D843" s="51" t="s">
        <v>85</v>
      </c>
      <c r="F843" s="52">
        <f>SUMIF(CPY!$B:$B,Summary!$B843,CPY!$I:$I)</f>
        <v>0</v>
      </c>
    </row>
    <row r="844" spans="1:6" x14ac:dyDescent="0.25">
      <c r="A844" s="50">
        <f t="shared" si="13"/>
        <v>842</v>
      </c>
      <c r="B844" s="50">
        <v>5637</v>
      </c>
      <c r="C844" s="50" t="s">
        <v>880</v>
      </c>
      <c r="D844" s="51" t="s">
        <v>85</v>
      </c>
      <c r="F844" s="52">
        <f>SUMIF(CPY!$B:$B,Summary!$B844,CPY!$I:$I)</f>
        <v>0</v>
      </c>
    </row>
    <row r="845" spans="1:6" x14ac:dyDescent="0.25">
      <c r="A845" s="50">
        <f t="shared" si="13"/>
        <v>843</v>
      </c>
      <c r="B845" s="50">
        <v>5639</v>
      </c>
      <c r="C845" s="50" t="s">
        <v>881</v>
      </c>
      <c r="D845" s="51" t="s">
        <v>85</v>
      </c>
      <c r="F845" s="52">
        <f>SUMIF(CPY!$B:$B,Summary!$B845,CPY!$I:$I)</f>
        <v>0</v>
      </c>
    </row>
    <row r="846" spans="1:6" x14ac:dyDescent="0.25">
      <c r="A846" s="50">
        <f t="shared" si="13"/>
        <v>844</v>
      </c>
      <c r="B846" s="50">
        <v>5640</v>
      </c>
      <c r="C846" s="50" t="s">
        <v>882</v>
      </c>
      <c r="D846" s="51" t="s">
        <v>85</v>
      </c>
      <c r="F846" s="52">
        <f>SUMIF(CPY!$B:$B,Summary!$B846,CPY!$I:$I)</f>
        <v>0</v>
      </c>
    </row>
    <row r="847" spans="1:6" x14ac:dyDescent="0.25">
      <c r="A847" s="50">
        <f t="shared" si="13"/>
        <v>845</v>
      </c>
      <c r="B847" s="50">
        <v>5641</v>
      </c>
      <c r="C847" s="50" t="s">
        <v>883</v>
      </c>
      <c r="D847" s="51" t="s">
        <v>85</v>
      </c>
      <c r="F847" s="52">
        <f>SUMIF(CPY!$B:$B,Summary!$B847,CPY!$I:$I)</f>
        <v>0</v>
      </c>
    </row>
    <row r="848" spans="1:6" x14ac:dyDescent="0.25">
      <c r="A848" s="50">
        <f t="shared" si="13"/>
        <v>846</v>
      </c>
      <c r="B848" s="50">
        <v>5642</v>
      </c>
      <c r="C848" s="50" t="s">
        <v>884</v>
      </c>
      <c r="D848" s="51" t="s">
        <v>85</v>
      </c>
      <c r="F848" s="52">
        <f>SUMIF(CPY!$B:$B,Summary!$B848,CPY!$I:$I)</f>
        <v>0</v>
      </c>
    </row>
    <row r="849" spans="1:6" x14ac:dyDescent="0.25">
      <c r="A849" s="50">
        <f t="shared" si="13"/>
        <v>847</v>
      </c>
      <c r="B849" s="50">
        <v>5643</v>
      </c>
      <c r="C849" s="50" t="s">
        <v>885</v>
      </c>
      <c r="D849" s="51" t="s">
        <v>85</v>
      </c>
      <c r="F849" s="52">
        <f>SUMIF(CPY!$B:$B,Summary!$B849,CPY!$I:$I)</f>
        <v>0</v>
      </c>
    </row>
    <row r="850" spans="1:6" x14ac:dyDescent="0.25">
      <c r="A850" s="50">
        <f t="shared" si="13"/>
        <v>848</v>
      </c>
      <c r="B850" s="50">
        <v>5644</v>
      </c>
      <c r="C850" s="50" t="s">
        <v>886</v>
      </c>
      <c r="D850" s="51" t="s">
        <v>78</v>
      </c>
      <c r="F850" s="52">
        <f>SUMIF(CPY!$B:$B,Summary!$B850,CPY!$I:$I)</f>
        <v>0</v>
      </c>
    </row>
    <row r="851" spans="1:6" x14ac:dyDescent="0.25">
      <c r="A851" s="50">
        <f t="shared" si="13"/>
        <v>849</v>
      </c>
      <c r="B851" s="50">
        <v>5648</v>
      </c>
      <c r="C851" s="50" t="s">
        <v>887</v>
      </c>
      <c r="D851" s="51" t="s">
        <v>69</v>
      </c>
      <c r="F851" s="52">
        <f>SUMIF(CPY!$B:$B,Summary!$B851,CPY!$I:$I)</f>
        <v>0</v>
      </c>
    </row>
    <row r="852" spans="1:6" x14ac:dyDescent="0.25">
      <c r="A852" s="50">
        <f t="shared" si="13"/>
        <v>850</v>
      </c>
      <c r="B852" s="50">
        <v>5649</v>
      </c>
      <c r="C852" s="50" t="s">
        <v>888</v>
      </c>
      <c r="D852" s="51" t="s">
        <v>69</v>
      </c>
      <c r="F852" s="52">
        <f>SUMIF(CPY!$B:$B,Summary!$B852,CPY!$I:$I)</f>
        <v>0</v>
      </c>
    </row>
    <row r="853" spans="1:6" x14ac:dyDescent="0.25">
      <c r="A853" s="50">
        <f t="shared" si="13"/>
        <v>851</v>
      </c>
      <c r="B853" s="50">
        <v>5650</v>
      </c>
      <c r="C853" s="50" t="s">
        <v>889</v>
      </c>
      <c r="D853" s="51" t="s">
        <v>85</v>
      </c>
      <c r="F853" s="52">
        <f>SUMIF(CPY!$B:$B,Summary!$B853,CPY!$I:$I)</f>
        <v>0</v>
      </c>
    </row>
    <row r="854" spans="1:6" x14ac:dyDescent="0.25">
      <c r="A854" s="50">
        <f t="shared" si="13"/>
        <v>852</v>
      </c>
      <c r="B854" s="50">
        <v>5651</v>
      </c>
      <c r="C854" s="50" t="s">
        <v>890</v>
      </c>
      <c r="D854" s="51" t="s">
        <v>85</v>
      </c>
      <c r="F854" s="52">
        <f>SUMIF(CPY!$B:$B,Summary!$B854,CPY!$I:$I)</f>
        <v>0</v>
      </c>
    </row>
    <row r="855" spans="1:6" x14ac:dyDescent="0.25">
      <c r="A855" s="50">
        <f t="shared" si="13"/>
        <v>853</v>
      </c>
      <c r="B855" s="50">
        <v>5652</v>
      </c>
      <c r="C855" s="50" t="s">
        <v>891</v>
      </c>
      <c r="D855" s="51" t="s">
        <v>85</v>
      </c>
      <c r="F855" s="52">
        <f>SUMIF(CPY!$B:$B,Summary!$B855,CPY!$I:$I)</f>
        <v>0</v>
      </c>
    </row>
    <row r="856" spans="1:6" x14ac:dyDescent="0.25">
      <c r="A856" s="50">
        <f t="shared" si="13"/>
        <v>854</v>
      </c>
      <c r="B856" s="50">
        <v>5653</v>
      </c>
      <c r="C856" s="50" t="s">
        <v>892</v>
      </c>
      <c r="D856" s="51" t="s">
        <v>85</v>
      </c>
      <c r="F856" s="52">
        <f>SUMIF(CPY!$B:$B,Summary!$B856,CPY!$I:$I)</f>
        <v>0</v>
      </c>
    </row>
    <row r="857" spans="1:6" x14ac:dyDescent="0.25">
      <c r="A857" s="50">
        <f t="shared" si="13"/>
        <v>855</v>
      </c>
      <c r="B857" s="50">
        <v>5654</v>
      </c>
      <c r="C857" s="50" t="s">
        <v>893</v>
      </c>
      <c r="D857" s="51" t="s">
        <v>85</v>
      </c>
      <c r="F857" s="52">
        <f>SUMIF(CPY!$B:$B,Summary!$B857,CPY!$I:$I)</f>
        <v>0</v>
      </c>
    </row>
    <row r="858" spans="1:6" x14ac:dyDescent="0.25">
      <c r="A858" s="50">
        <f t="shared" si="13"/>
        <v>856</v>
      </c>
      <c r="B858" s="50">
        <v>5655</v>
      </c>
      <c r="C858" s="50" t="s">
        <v>894</v>
      </c>
      <c r="D858" s="51" t="s">
        <v>85</v>
      </c>
      <c r="F858" s="52">
        <f>SUMIF(CPY!$B:$B,Summary!$B858,CPY!$I:$I)</f>
        <v>0</v>
      </c>
    </row>
    <row r="859" spans="1:6" x14ac:dyDescent="0.25">
      <c r="A859" s="50">
        <f t="shared" si="13"/>
        <v>857</v>
      </c>
      <c r="B859" s="50">
        <v>5656</v>
      </c>
      <c r="C859" s="50" t="s">
        <v>895</v>
      </c>
      <c r="D859" s="51" t="s">
        <v>85</v>
      </c>
      <c r="F859" s="52">
        <f>SUMIF(CPY!$B:$B,Summary!$B859,CPY!$I:$I)</f>
        <v>0</v>
      </c>
    </row>
    <row r="860" spans="1:6" x14ac:dyDescent="0.25">
      <c r="A860" s="50">
        <f t="shared" si="13"/>
        <v>858</v>
      </c>
      <c r="B860" s="50">
        <v>5658</v>
      </c>
      <c r="C860" s="50" t="s">
        <v>896</v>
      </c>
      <c r="D860" s="51" t="s">
        <v>85</v>
      </c>
      <c r="F860" s="52">
        <f>SUMIF(CPY!$B:$B,Summary!$B860,CPY!$I:$I)</f>
        <v>0</v>
      </c>
    </row>
    <row r="861" spans="1:6" x14ac:dyDescent="0.25">
      <c r="A861" s="50">
        <f t="shared" si="13"/>
        <v>859</v>
      </c>
      <c r="B861" s="50">
        <v>5659</v>
      </c>
      <c r="C861" s="50" t="s">
        <v>897</v>
      </c>
      <c r="D861" s="51" t="s">
        <v>85</v>
      </c>
      <c r="F861" s="52">
        <f>SUMIF(CPY!$B:$B,Summary!$B861,CPY!$I:$I)</f>
        <v>0</v>
      </c>
    </row>
    <row r="862" spans="1:6" x14ac:dyDescent="0.25">
      <c r="A862" s="50">
        <f t="shared" si="13"/>
        <v>860</v>
      </c>
      <c r="B862" s="50">
        <v>5660</v>
      </c>
      <c r="C862" s="50" t="s">
        <v>898</v>
      </c>
      <c r="D862" s="51" t="s">
        <v>85</v>
      </c>
      <c r="F862" s="52">
        <f>SUMIF(CPY!$B:$B,Summary!$B862,CPY!$I:$I)</f>
        <v>0</v>
      </c>
    </row>
    <row r="863" spans="1:6" x14ac:dyDescent="0.25">
      <c r="A863" s="50">
        <f t="shared" si="13"/>
        <v>861</v>
      </c>
      <c r="B863" s="50">
        <v>5661</v>
      </c>
      <c r="C863" s="50" t="s">
        <v>899</v>
      </c>
      <c r="D863" s="51" t="s">
        <v>69</v>
      </c>
      <c r="F863" s="52">
        <f>SUMIF(CPY!$B:$B,Summary!$B863,CPY!$I:$I)</f>
        <v>0</v>
      </c>
    </row>
    <row r="864" spans="1:6" x14ac:dyDescent="0.25">
      <c r="A864" s="50">
        <f t="shared" si="13"/>
        <v>862</v>
      </c>
      <c r="B864" s="50">
        <v>5665</v>
      </c>
      <c r="C864" s="50" t="s">
        <v>900</v>
      </c>
      <c r="D864" s="51" t="s">
        <v>85</v>
      </c>
      <c r="F864" s="52">
        <f>SUMIF(CPY!$B:$B,Summary!$B864,CPY!$I:$I)</f>
        <v>0</v>
      </c>
    </row>
    <row r="865" spans="1:6" x14ac:dyDescent="0.25">
      <c r="A865" s="50">
        <f t="shared" si="13"/>
        <v>863</v>
      </c>
      <c r="B865" s="50">
        <v>5666</v>
      </c>
      <c r="C865" s="50" t="s">
        <v>901</v>
      </c>
      <c r="D865" s="51" t="s">
        <v>85</v>
      </c>
      <c r="F865" s="52">
        <f>SUMIF(CPY!$B:$B,Summary!$B865,CPY!$I:$I)</f>
        <v>0</v>
      </c>
    </row>
    <row r="866" spans="1:6" x14ac:dyDescent="0.25">
      <c r="A866" s="50">
        <f t="shared" si="13"/>
        <v>864</v>
      </c>
      <c r="B866" s="50">
        <v>5670</v>
      </c>
      <c r="C866" s="50" t="s">
        <v>902</v>
      </c>
      <c r="D866" s="51" t="s">
        <v>85</v>
      </c>
      <c r="F866" s="52">
        <f>SUMIF(CPY!$B:$B,Summary!$B866,CPY!$I:$I)</f>
        <v>0</v>
      </c>
    </row>
    <row r="867" spans="1:6" x14ac:dyDescent="0.25">
      <c r="A867" s="50">
        <f t="shared" si="13"/>
        <v>865</v>
      </c>
      <c r="B867" s="50">
        <v>5673</v>
      </c>
      <c r="C867" s="50" t="s">
        <v>903</v>
      </c>
      <c r="D867" s="51" t="s">
        <v>85</v>
      </c>
      <c r="F867" s="52">
        <f>SUMIF(CPY!$B:$B,Summary!$B867,CPY!$I:$I)</f>
        <v>0</v>
      </c>
    </row>
    <row r="868" spans="1:6" x14ac:dyDescent="0.25">
      <c r="A868" s="50">
        <f t="shared" si="13"/>
        <v>866</v>
      </c>
      <c r="B868" s="50">
        <v>5675</v>
      </c>
      <c r="C868" s="50" t="s">
        <v>904</v>
      </c>
      <c r="D868" s="51" t="s">
        <v>78</v>
      </c>
      <c r="F868" s="52">
        <f>SUMIF(CPY!$B:$B,Summary!$B868,CPY!$I:$I)</f>
        <v>0</v>
      </c>
    </row>
    <row r="869" spans="1:6" x14ac:dyDescent="0.25">
      <c r="A869" s="50">
        <f t="shared" si="13"/>
        <v>867</v>
      </c>
      <c r="B869" s="50">
        <v>5676</v>
      </c>
      <c r="C869" s="50" t="s">
        <v>905</v>
      </c>
      <c r="D869" s="51" t="s">
        <v>69</v>
      </c>
      <c r="F869" s="52">
        <f>SUMIF(CPY!$B:$B,Summary!$B869,CPY!$I:$I)</f>
        <v>0</v>
      </c>
    </row>
    <row r="870" spans="1:6" x14ac:dyDescent="0.25">
      <c r="A870" s="50">
        <f t="shared" si="13"/>
        <v>868</v>
      </c>
      <c r="B870" s="50">
        <v>5677</v>
      </c>
      <c r="C870" s="50" t="s">
        <v>906</v>
      </c>
      <c r="D870" s="51" t="s">
        <v>69</v>
      </c>
      <c r="F870" s="52">
        <f>SUMIF(CPY!$B:$B,Summary!$B870,CPY!$I:$I)</f>
        <v>0</v>
      </c>
    </row>
    <row r="871" spans="1:6" x14ac:dyDescent="0.25">
      <c r="A871" s="50">
        <f t="shared" si="13"/>
        <v>869</v>
      </c>
      <c r="B871" s="50">
        <v>5679</v>
      </c>
      <c r="C871" s="50" t="s">
        <v>907</v>
      </c>
      <c r="D871" s="51" t="s">
        <v>85</v>
      </c>
      <c r="F871" s="52">
        <f>SUMIF(CPY!$B:$B,Summary!$B871,CPY!$I:$I)</f>
        <v>0</v>
      </c>
    </row>
    <row r="872" spans="1:6" x14ac:dyDescent="0.25">
      <c r="A872" s="50">
        <f t="shared" si="13"/>
        <v>870</v>
      </c>
      <c r="B872" s="50">
        <v>5680</v>
      </c>
      <c r="C872" s="50" t="s">
        <v>908</v>
      </c>
      <c r="D872" s="51" t="s">
        <v>85</v>
      </c>
      <c r="F872" s="52">
        <f>SUMIF(CPY!$B:$B,Summary!$B872,CPY!$I:$I)</f>
        <v>0</v>
      </c>
    </row>
    <row r="873" spans="1:6" x14ac:dyDescent="0.25">
      <c r="A873" s="50">
        <f t="shared" si="13"/>
        <v>871</v>
      </c>
      <c r="B873" s="50">
        <v>5681</v>
      </c>
      <c r="C873" s="50" t="s">
        <v>909</v>
      </c>
      <c r="D873" s="51" t="s">
        <v>85</v>
      </c>
      <c r="F873" s="52">
        <f>SUMIF(CPY!$B:$B,Summary!$B873,CPY!$I:$I)</f>
        <v>0</v>
      </c>
    </row>
    <row r="874" spans="1:6" x14ac:dyDescent="0.25">
      <c r="A874" s="50">
        <f t="shared" si="13"/>
        <v>872</v>
      </c>
      <c r="B874" s="50">
        <v>5685</v>
      </c>
      <c r="C874" s="50" t="s">
        <v>910</v>
      </c>
      <c r="D874" s="51" t="s">
        <v>85</v>
      </c>
      <c r="F874" s="52">
        <f>SUMIF(CPY!$B:$B,Summary!$B874,CPY!$I:$I)</f>
        <v>0</v>
      </c>
    </row>
    <row r="875" spans="1:6" x14ac:dyDescent="0.25">
      <c r="A875" s="50">
        <f t="shared" si="13"/>
        <v>873</v>
      </c>
      <c r="B875" s="50">
        <v>5687</v>
      </c>
      <c r="C875" s="50" t="s">
        <v>911</v>
      </c>
      <c r="D875" s="51" t="s">
        <v>69</v>
      </c>
      <c r="F875" s="52">
        <f>SUMIF(CPY!$B:$B,Summary!$B875,CPY!$I:$I)</f>
        <v>0</v>
      </c>
    </row>
    <row r="876" spans="1:6" x14ac:dyDescent="0.25">
      <c r="A876" s="50">
        <f t="shared" si="13"/>
        <v>874</v>
      </c>
      <c r="B876" s="50">
        <v>5689</v>
      </c>
      <c r="C876" s="50" t="s">
        <v>912</v>
      </c>
      <c r="D876" s="51" t="s">
        <v>85</v>
      </c>
      <c r="F876" s="52">
        <f>SUMIF(CPY!$B:$B,Summary!$B876,CPY!$I:$I)</f>
        <v>0</v>
      </c>
    </row>
    <row r="877" spans="1:6" x14ac:dyDescent="0.25">
      <c r="A877" s="50">
        <f t="shared" si="13"/>
        <v>875</v>
      </c>
      <c r="B877" s="50">
        <v>5690</v>
      </c>
      <c r="C877" s="50" t="s">
        <v>913</v>
      </c>
      <c r="D877" s="51" t="s">
        <v>85</v>
      </c>
      <c r="F877" s="52">
        <f>SUMIF(CPY!$B:$B,Summary!$B877,CPY!$I:$I)</f>
        <v>0</v>
      </c>
    </row>
    <row r="878" spans="1:6" x14ac:dyDescent="0.25">
      <c r="A878" s="50">
        <f t="shared" si="13"/>
        <v>876</v>
      </c>
      <c r="B878" s="50">
        <v>5691</v>
      </c>
      <c r="C878" s="50" t="s">
        <v>914</v>
      </c>
      <c r="D878" s="51" t="s">
        <v>85</v>
      </c>
      <c r="F878" s="52">
        <f>SUMIF(CPY!$B:$B,Summary!$B878,CPY!$I:$I)</f>
        <v>0</v>
      </c>
    </row>
    <row r="879" spans="1:6" x14ac:dyDescent="0.25">
      <c r="A879" s="50">
        <f t="shared" si="13"/>
        <v>877</v>
      </c>
      <c r="B879" s="50">
        <v>5692</v>
      </c>
      <c r="C879" s="50" t="s">
        <v>915</v>
      </c>
      <c r="D879" s="51" t="s">
        <v>85</v>
      </c>
      <c r="F879" s="52">
        <f>SUMIF(CPY!$B:$B,Summary!$B879,CPY!$I:$I)</f>
        <v>0</v>
      </c>
    </row>
    <row r="880" spans="1:6" x14ac:dyDescent="0.25">
      <c r="A880" s="50">
        <f t="shared" si="13"/>
        <v>878</v>
      </c>
      <c r="B880" s="50">
        <v>5693</v>
      </c>
      <c r="C880" s="50" t="s">
        <v>916</v>
      </c>
      <c r="D880" s="51" t="s">
        <v>85</v>
      </c>
      <c r="F880" s="52">
        <f>SUMIF(CPY!$B:$B,Summary!$B880,CPY!$I:$I)</f>
        <v>0</v>
      </c>
    </row>
    <row r="881" spans="1:6" x14ac:dyDescent="0.25">
      <c r="A881" s="50">
        <f t="shared" si="13"/>
        <v>879</v>
      </c>
      <c r="B881" s="50">
        <v>5694</v>
      </c>
      <c r="C881" s="50" t="s">
        <v>917</v>
      </c>
      <c r="D881" s="51" t="s">
        <v>85</v>
      </c>
      <c r="F881" s="52">
        <f>SUMIF(CPY!$B:$B,Summary!$B881,CPY!$I:$I)</f>
        <v>0</v>
      </c>
    </row>
    <row r="882" spans="1:6" x14ac:dyDescent="0.25">
      <c r="A882" s="50">
        <f t="shared" si="13"/>
        <v>880</v>
      </c>
      <c r="B882" s="50">
        <v>5695</v>
      </c>
      <c r="C882" s="50" t="s">
        <v>918</v>
      </c>
      <c r="D882" s="51" t="s">
        <v>69</v>
      </c>
      <c r="F882" s="52">
        <f>SUMIF(CPY!$B:$B,Summary!$B882,CPY!$I:$I)</f>
        <v>0</v>
      </c>
    </row>
    <row r="883" spans="1:6" x14ac:dyDescent="0.25">
      <c r="A883" s="50">
        <f t="shared" si="13"/>
        <v>881</v>
      </c>
      <c r="B883" s="50">
        <v>5699</v>
      </c>
      <c r="C883" s="50" t="s">
        <v>919</v>
      </c>
      <c r="D883" s="51" t="s">
        <v>85</v>
      </c>
      <c r="F883" s="52">
        <f>SUMIF(CPY!$B:$B,Summary!$B883,CPY!$I:$I)</f>
        <v>0</v>
      </c>
    </row>
    <row r="884" spans="1:6" x14ac:dyDescent="0.25">
      <c r="A884" s="50">
        <f t="shared" si="13"/>
        <v>882</v>
      </c>
      <c r="B884" s="50">
        <v>5701</v>
      </c>
      <c r="C884" s="50" t="s">
        <v>920</v>
      </c>
      <c r="D884" s="51" t="s">
        <v>85</v>
      </c>
      <c r="F884" s="52">
        <f>SUMIF(CPY!$B:$B,Summary!$B884,CPY!$I:$I)</f>
        <v>0</v>
      </c>
    </row>
    <row r="885" spans="1:6" x14ac:dyDescent="0.25">
      <c r="A885" s="50">
        <f t="shared" si="13"/>
        <v>883</v>
      </c>
      <c r="B885" s="50">
        <v>5704</v>
      </c>
      <c r="C885" s="50" t="s">
        <v>921</v>
      </c>
      <c r="D885" s="51" t="s">
        <v>85</v>
      </c>
      <c r="F885" s="52">
        <f>SUMIF(CPY!$B:$B,Summary!$B885,CPY!$I:$I)</f>
        <v>0</v>
      </c>
    </row>
    <row r="886" spans="1:6" x14ac:dyDescent="0.25">
      <c r="A886" s="50">
        <f t="shared" si="13"/>
        <v>884</v>
      </c>
      <c r="B886" s="50">
        <v>5705</v>
      </c>
      <c r="C886" s="50" t="s">
        <v>922</v>
      </c>
      <c r="D886" s="51" t="s">
        <v>85</v>
      </c>
      <c r="F886" s="52">
        <f>SUMIF(CPY!$B:$B,Summary!$B886,CPY!$I:$I)</f>
        <v>0</v>
      </c>
    </row>
    <row r="887" spans="1:6" x14ac:dyDescent="0.25">
      <c r="A887" s="50">
        <f t="shared" si="13"/>
        <v>885</v>
      </c>
      <c r="B887" s="50">
        <v>5706</v>
      </c>
      <c r="C887" s="50" t="s">
        <v>923</v>
      </c>
      <c r="D887" s="51" t="s">
        <v>85</v>
      </c>
      <c r="F887" s="52">
        <f>SUMIF(CPY!$B:$B,Summary!$B887,CPY!$I:$I)</f>
        <v>0</v>
      </c>
    </row>
    <row r="888" spans="1:6" x14ac:dyDescent="0.25">
      <c r="A888" s="50">
        <f t="shared" si="13"/>
        <v>886</v>
      </c>
      <c r="B888" s="50">
        <v>5707</v>
      </c>
      <c r="C888" s="50" t="s">
        <v>924</v>
      </c>
      <c r="D888" s="51" t="s">
        <v>85</v>
      </c>
      <c r="F888" s="52">
        <f>SUMIF(CPY!$B:$B,Summary!$B888,CPY!$I:$I)</f>
        <v>0</v>
      </c>
    </row>
    <row r="889" spans="1:6" x14ac:dyDescent="0.25">
      <c r="A889" s="50">
        <f t="shared" si="13"/>
        <v>887</v>
      </c>
      <c r="B889" s="50">
        <v>5708</v>
      </c>
      <c r="C889" s="50" t="s">
        <v>925</v>
      </c>
      <c r="D889" s="51" t="s">
        <v>85</v>
      </c>
      <c r="F889" s="52">
        <f>SUMIF(CPY!$B:$B,Summary!$B889,CPY!$I:$I)</f>
        <v>0</v>
      </c>
    </row>
    <row r="890" spans="1:6" x14ac:dyDescent="0.25">
      <c r="A890" s="50">
        <f t="shared" si="13"/>
        <v>888</v>
      </c>
      <c r="B890" s="50">
        <v>5710</v>
      </c>
      <c r="C890" s="50" t="s">
        <v>926</v>
      </c>
      <c r="D890" s="51" t="s">
        <v>85</v>
      </c>
      <c r="F890" s="52">
        <f>SUMIF(CPY!$B:$B,Summary!$B890,CPY!$I:$I)</f>
        <v>0</v>
      </c>
    </row>
    <row r="891" spans="1:6" x14ac:dyDescent="0.25">
      <c r="A891" s="50">
        <f t="shared" si="13"/>
        <v>889</v>
      </c>
      <c r="B891" s="50">
        <v>5711</v>
      </c>
      <c r="C891" s="50" t="s">
        <v>927</v>
      </c>
      <c r="D891" s="51" t="s">
        <v>85</v>
      </c>
      <c r="F891" s="52">
        <f>SUMIF(CPY!$B:$B,Summary!$B891,CPY!$I:$I)</f>
        <v>0</v>
      </c>
    </row>
    <row r="892" spans="1:6" x14ac:dyDescent="0.25">
      <c r="A892" s="50">
        <f t="shared" si="13"/>
        <v>890</v>
      </c>
      <c r="B892" s="50">
        <v>5712</v>
      </c>
      <c r="C892" s="50" t="s">
        <v>928</v>
      </c>
      <c r="D892" s="51" t="s">
        <v>85</v>
      </c>
      <c r="F892" s="52">
        <f>SUMIF(CPY!$B:$B,Summary!$B892,CPY!$I:$I)</f>
        <v>0</v>
      </c>
    </row>
    <row r="893" spans="1:6" x14ac:dyDescent="0.25">
      <c r="A893" s="50">
        <f t="shared" si="13"/>
        <v>891</v>
      </c>
      <c r="B893" s="50">
        <v>5713</v>
      </c>
      <c r="C893" s="50" t="s">
        <v>929</v>
      </c>
      <c r="D893" s="51" t="s">
        <v>85</v>
      </c>
      <c r="F893" s="52">
        <f>SUMIF(CPY!$B:$B,Summary!$B893,CPY!$I:$I)</f>
        <v>0</v>
      </c>
    </row>
    <row r="894" spans="1:6" x14ac:dyDescent="0.25">
      <c r="A894" s="50">
        <f t="shared" si="13"/>
        <v>892</v>
      </c>
      <c r="B894" s="50">
        <v>5714</v>
      </c>
      <c r="C894" s="50" t="s">
        <v>930</v>
      </c>
      <c r="D894" s="51" t="s">
        <v>85</v>
      </c>
      <c r="F894" s="52">
        <f>SUMIF(CPY!$B:$B,Summary!$B894,CPY!$I:$I)</f>
        <v>0</v>
      </c>
    </row>
    <row r="895" spans="1:6" x14ac:dyDescent="0.25">
      <c r="A895" s="50">
        <f t="shared" si="13"/>
        <v>893</v>
      </c>
      <c r="B895" s="50">
        <v>5715</v>
      </c>
      <c r="C895" s="50" t="s">
        <v>931</v>
      </c>
      <c r="D895" s="51" t="s">
        <v>85</v>
      </c>
      <c r="F895" s="52">
        <f>SUMIF(CPY!$B:$B,Summary!$B895,CPY!$I:$I)</f>
        <v>0</v>
      </c>
    </row>
    <row r="896" spans="1:6" x14ac:dyDescent="0.25">
      <c r="A896" s="50">
        <f t="shared" si="13"/>
        <v>894</v>
      </c>
      <c r="B896" s="50">
        <v>5716</v>
      </c>
      <c r="C896" s="50" t="s">
        <v>932</v>
      </c>
      <c r="D896" s="51" t="s">
        <v>85</v>
      </c>
      <c r="F896" s="52">
        <f>SUMIF(CPY!$B:$B,Summary!$B896,CPY!$I:$I)</f>
        <v>0</v>
      </c>
    </row>
    <row r="897" spans="1:6" x14ac:dyDescent="0.25">
      <c r="A897" s="50">
        <f t="shared" si="13"/>
        <v>895</v>
      </c>
      <c r="B897" s="50">
        <v>5718</v>
      </c>
      <c r="C897" s="50" t="s">
        <v>933</v>
      </c>
      <c r="D897" s="51" t="s">
        <v>85</v>
      </c>
      <c r="F897" s="52">
        <f>SUMIF(CPY!$B:$B,Summary!$B897,CPY!$I:$I)</f>
        <v>0</v>
      </c>
    </row>
    <row r="898" spans="1:6" x14ac:dyDescent="0.25">
      <c r="A898" s="50">
        <f t="shared" si="13"/>
        <v>896</v>
      </c>
      <c r="B898" s="50">
        <v>5720</v>
      </c>
      <c r="C898" s="50" t="s">
        <v>934</v>
      </c>
      <c r="D898" s="51" t="s">
        <v>85</v>
      </c>
      <c r="F898" s="52">
        <f>SUMIF(CPY!$B:$B,Summary!$B898,CPY!$I:$I)</f>
        <v>0</v>
      </c>
    </row>
    <row r="899" spans="1:6" x14ac:dyDescent="0.25">
      <c r="A899" s="50">
        <f t="shared" si="13"/>
        <v>897</v>
      </c>
      <c r="B899" s="50">
        <v>5721</v>
      </c>
      <c r="C899" s="50" t="s">
        <v>935</v>
      </c>
      <c r="D899" s="51" t="s">
        <v>85</v>
      </c>
      <c r="F899" s="52">
        <f>SUMIF(CPY!$B:$B,Summary!$B899,CPY!$I:$I)</f>
        <v>0</v>
      </c>
    </row>
    <row r="900" spans="1:6" x14ac:dyDescent="0.25">
      <c r="A900" s="50">
        <f t="shared" si="13"/>
        <v>898</v>
      </c>
      <c r="B900" s="50">
        <v>5722</v>
      </c>
      <c r="C900" s="50" t="s">
        <v>936</v>
      </c>
      <c r="D900" s="51" t="s">
        <v>69</v>
      </c>
      <c r="F900" s="52">
        <f>SUMIF(CPY!$B:$B,Summary!$B900,CPY!$I:$I)</f>
        <v>0</v>
      </c>
    </row>
    <row r="901" spans="1:6" x14ac:dyDescent="0.25">
      <c r="A901" s="50">
        <f t="shared" ref="A901:A964" si="14">+A900+1</f>
        <v>899</v>
      </c>
      <c r="B901" s="50">
        <v>5724</v>
      </c>
      <c r="C901" s="50" t="s">
        <v>937</v>
      </c>
      <c r="D901" s="51" t="s">
        <v>85</v>
      </c>
      <c r="F901" s="52">
        <f>SUMIF(CPY!$B:$B,Summary!$B901,CPY!$I:$I)</f>
        <v>0</v>
      </c>
    </row>
    <row r="902" spans="1:6" x14ac:dyDescent="0.25">
      <c r="A902" s="50">
        <f t="shared" si="14"/>
        <v>900</v>
      </c>
      <c r="B902" s="50">
        <v>5735</v>
      </c>
      <c r="C902" s="50" t="s">
        <v>938</v>
      </c>
      <c r="D902" s="51" t="s">
        <v>85</v>
      </c>
      <c r="F902" s="52">
        <f>SUMIF(CPY!$B:$B,Summary!$B902,CPY!$I:$I)</f>
        <v>0</v>
      </c>
    </row>
    <row r="903" spans="1:6" x14ac:dyDescent="0.25">
      <c r="A903" s="50">
        <f t="shared" si="14"/>
        <v>901</v>
      </c>
      <c r="B903" s="50">
        <v>5736</v>
      </c>
      <c r="C903" s="50" t="s">
        <v>939</v>
      </c>
      <c r="D903" s="51" t="s">
        <v>85</v>
      </c>
      <c r="F903" s="52">
        <f>SUMIF(CPY!$B:$B,Summary!$B903,CPY!$I:$I)</f>
        <v>0</v>
      </c>
    </row>
    <row r="904" spans="1:6" x14ac:dyDescent="0.25">
      <c r="A904" s="50">
        <f t="shared" si="14"/>
        <v>902</v>
      </c>
      <c r="B904" s="50">
        <v>5739</v>
      </c>
      <c r="C904" s="50" t="s">
        <v>940</v>
      </c>
      <c r="D904" s="51" t="s">
        <v>85</v>
      </c>
      <c r="F904" s="52">
        <f>SUMIF(CPY!$B:$B,Summary!$B904,CPY!$I:$I)</f>
        <v>0</v>
      </c>
    </row>
    <row r="905" spans="1:6" x14ac:dyDescent="0.25">
      <c r="A905" s="50">
        <f t="shared" si="14"/>
        <v>903</v>
      </c>
      <c r="B905" s="50">
        <v>5740</v>
      </c>
      <c r="C905" s="50" t="s">
        <v>941</v>
      </c>
      <c r="D905" s="51" t="s">
        <v>85</v>
      </c>
      <c r="F905" s="52">
        <f>SUMIF(CPY!$B:$B,Summary!$B905,CPY!$I:$I)</f>
        <v>0</v>
      </c>
    </row>
    <row r="906" spans="1:6" x14ac:dyDescent="0.25">
      <c r="A906" s="50">
        <f t="shared" si="14"/>
        <v>904</v>
      </c>
      <c r="B906" s="50">
        <v>5741</v>
      </c>
      <c r="C906" s="50" t="s">
        <v>942</v>
      </c>
      <c r="D906" s="51" t="s">
        <v>85</v>
      </c>
      <c r="F906" s="52">
        <f>SUMIF(CPY!$B:$B,Summary!$B906,CPY!$I:$I)</f>
        <v>0</v>
      </c>
    </row>
    <row r="907" spans="1:6" x14ac:dyDescent="0.25">
      <c r="A907" s="50">
        <f t="shared" si="14"/>
        <v>905</v>
      </c>
      <c r="B907" s="50">
        <v>5742</v>
      </c>
      <c r="C907" s="50" t="s">
        <v>943</v>
      </c>
      <c r="D907" s="51" t="s">
        <v>85</v>
      </c>
      <c r="F907" s="52">
        <f>SUMIF(CPY!$B:$B,Summary!$B907,CPY!$I:$I)</f>
        <v>0</v>
      </c>
    </row>
    <row r="908" spans="1:6" x14ac:dyDescent="0.25">
      <c r="A908" s="50">
        <f t="shared" si="14"/>
        <v>906</v>
      </c>
      <c r="B908" s="50">
        <v>5743</v>
      </c>
      <c r="C908" s="50" t="s">
        <v>944</v>
      </c>
      <c r="D908" s="51" t="s">
        <v>85</v>
      </c>
      <c r="F908" s="52">
        <f>SUMIF(CPY!$B:$B,Summary!$B908,CPY!$I:$I)</f>
        <v>0</v>
      </c>
    </row>
    <row r="909" spans="1:6" x14ac:dyDescent="0.25">
      <c r="A909" s="50">
        <f t="shared" si="14"/>
        <v>907</v>
      </c>
      <c r="B909" s="50">
        <v>5744</v>
      </c>
      <c r="C909" s="50" t="s">
        <v>945</v>
      </c>
      <c r="D909" s="51" t="s">
        <v>85</v>
      </c>
      <c r="F909" s="52">
        <f>SUMIF(CPY!$B:$B,Summary!$B909,CPY!$I:$I)</f>
        <v>0</v>
      </c>
    </row>
    <row r="910" spans="1:6" x14ac:dyDescent="0.25">
      <c r="A910" s="50">
        <f t="shared" si="14"/>
        <v>908</v>
      </c>
      <c r="B910" s="50">
        <v>5746</v>
      </c>
      <c r="C910" s="50" t="s">
        <v>946</v>
      </c>
      <c r="D910" s="51" t="s">
        <v>85</v>
      </c>
      <c r="F910" s="52">
        <f>SUMIF(CPY!$B:$B,Summary!$B910,CPY!$I:$I)</f>
        <v>0</v>
      </c>
    </row>
    <row r="911" spans="1:6" x14ac:dyDescent="0.25">
      <c r="A911" s="50">
        <f t="shared" si="14"/>
        <v>909</v>
      </c>
      <c r="B911" s="50">
        <v>5747</v>
      </c>
      <c r="C911" s="50" t="s">
        <v>947</v>
      </c>
      <c r="D911" s="51" t="s">
        <v>85</v>
      </c>
      <c r="F911" s="52">
        <f>SUMIF(CPY!$B:$B,Summary!$B911,CPY!$I:$I)</f>
        <v>0</v>
      </c>
    </row>
    <row r="912" spans="1:6" x14ac:dyDescent="0.25">
      <c r="A912" s="50">
        <f t="shared" si="14"/>
        <v>910</v>
      </c>
      <c r="B912" s="50">
        <v>5749</v>
      </c>
      <c r="C912" s="50" t="s">
        <v>948</v>
      </c>
      <c r="D912" s="51" t="s">
        <v>85</v>
      </c>
      <c r="F912" s="52">
        <f>SUMIF(CPY!$B:$B,Summary!$B912,CPY!$I:$I)</f>
        <v>0</v>
      </c>
    </row>
    <row r="913" spans="1:6" x14ac:dyDescent="0.25">
      <c r="A913" s="50">
        <f t="shared" si="14"/>
        <v>911</v>
      </c>
      <c r="B913" s="50">
        <v>5750</v>
      </c>
      <c r="C913" s="50" t="s">
        <v>949</v>
      </c>
      <c r="D913" s="51" t="s">
        <v>85</v>
      </c>
      <c r="F913" s="52">
        <f>SUMIF(CPY!$B:$B,Summary!$B913,CPY!$I:$I)</f>
        <v>0</v>
      </c>
    </row>
    <row r="914" spans="1:6" x14ac:dyDescent="0.25">
      <c r="A914" s="50">
        <f t="shared" si="14"/>
        <v>912</v>
      </c>
      <c r="B914" s="50">
        <v>5751</v>
      </c>
      <c r="C914" s="50" t="s">
        <v>950</v>
      </c>
      <c r="D914" s="51" t="s">
        <v>85</v>
      </c>
      <c r="F914" s="52">
        <f>SUMIF(CPY!$B:$B,Summary!$B914,CPY!$I:$I)</f>
        <v>0</v>
      </c>
    </row>
    <row r="915" spans="1:6" x14ac:dyDescent="0.25">
      <c r="A915" s="50">
        <f t="shared" si="14"/>
        <v>913</v>
      </c>
      <c r="B915" s="50">
        <v>5752</v>
      </c>
      <c r="C915" s="50" t="s">
        <v>951</v>
      </c>
      <c r="D915" s="51" t="s">
        <v>85</v>
      </c>
      <c r="F915" s="52">
        <f>SUMIF(CPY!$B:$B,Summary!$B915,CPY!$I:$I)</f>
        <v>0</v>
      </c>
    </row>
    <row r="916" spans="1:6" x14ac:dyDescent="0.25">
      <c r="A916" s="50">
        <f t="shared" si="14"/>
        <v>914</v>
      </c>
      <c r="B916" s="50">
        <v>5753</v>
      </c>
      <c r="C916" s="50" t="s">
        <v>952</v>
      </c>
      <c r="D916" s="51" t="s">
        <v>85</v>
      </c>
      <c r="F916" s="52">
        <f>SUMIF(CPY!$B:$B,Summary!$B916,CPY!$I:$I)</f>
        <v>0</v>
      </c>
    </row>
    <row r="917" spans="1:6" x14ac:dyDescent="0.25">
      <c r="A917" s="50">
        <f t="shared" si="14"/>
        <v>915</v>
      </c>
      <c r="B917" s="50">
        <v>5754</v>
      </c>
      <c r="C917" s="50" t="s">
        <v>953</v>
      </c>
      <c r="D917" s="51" t="s">
        <v>85</v>
      </c>
      <c r="F917" s="52">
        <f>SUMIF(CPY!$B:$B,Summary!$B917,CPY!$I:$I)</f>
        <v>0</v>
      </c>
    </row>
    <row r="918" spans="1:6" x14ac:dyDescent="0.25">
      <c r="A918" s="50">
        <f t="shared" si="14"/>
        <v>916</v>
      </c>
      <c r="B918" s="50">
        <v>5755</v>
      </c>
      <c r="C918" s="50" t="s">
        <v>954</v>
      </c>
      <c r="D918" s="51" t="s">
        <v>85</v>
      </c>
      <c r="F918" s="52">
        <f>SUMIF(CPY!$B:$B,Summary!$B918,CPY!$I:$I)</f>
        <v>0</v>
      </c>
    </row>
    <row r="919" spans="1:6" x14ac:dyDescent="0.25">
      <c r="A919" s="50">
        <f t="shared" si="14"/>
        <v>917</v>
      </c>
      <c r="B919" s="50">
        <v>5756</v>
      </c>
      <c r="C919" s="50" t="s">
        <v>955</v>
      </c>
      <c r="D919" s="51" t="s">
        <v>46</v>
      </c>
      <c r="F919" s="52">
        <f>SUMIF(CPY!$B:$B,Summary!$B919,CPY!$I:$I)</f>
        <v>0</v>
      </c>
    </row>
    <row r="920" spans="1:6" x14ac:dyDescent="0.25">
      <c r="A920" s="50">
        <f t="shared" si="14"/>
        <v>918</v>
      </c>
      <c r="B920" s="50">
        <v>5758</v>
      </c>
      <c r="C920" s="50" t="s">
        <v>956</v>
      </c>
      <c r="D920" s="51" t="s">
        <v>69</v>
      </c>
      <c r="F920" s="52">
        <f>SUMIF(CPY!$B:$B,Summary!$B920,CPY!$I:$I)</f>
        <v>0</v>
      </c>
    </row>
    <row r="921" spans="1:6" x14ac:dyDescent="0.25">
      <c r="A921" s="50">
        <f t="shared" si="14"/>
        <v>919</v>
      </c>
      <c r="B921" s="50">
        <v>5760</v>
      </c>
      <c r="C921" s="50" t="s">
        <v>957</v>
      </c>
      <c r="D921" s="51" t="s">
        <v>85</v>
      </c>
      <c r="F921" s="52">
        <f>SUMIF(CPY!$B:$B,Summary!$B921,CPY!$I:$I)</f>
        <v>0</v>
      </c>
    </row>
    <row r="922" spans="1:6" x14ac:dyDescent="0.25">
      <c r="A922" s="50">
        <f t="shared" si="14"/>
        <v>920</v>
      </c>
      <c r="B922" s="50">
        <v>5763</v>
      </c>
      <c r="C922" s="50" t="s">
        <v>958</v>
      </c>
      <c r="D922" s="51" t="s">
        <v>69</v>
      </c>
      <c r="F922" s="52">
        <f>SUMIF(CPY!$B:$B,Summary!$B922,CPY!$I:$I)</f>
        <v>0</v>
      </c>
    </row>
    <row r="923" spans="1:6" x14ac:dyDescent="0.25">
      <c r="A923" s="50">
        <f t="shared" si="14"/>
        <v>921</v>
      </c>
      <c r="B923" s="50">
        <v>5765</v>
      </c>
      <c r="C923" s="50" t="s">
        <v>959</v>
      </c>
      <c r="D923" s="51" t="s">
        <v>69</v>
      </c>
      <c r="F923" s="52">
        <f>SUMIF(CPY!$B:$B,Summary!$B923,CPY!$I:$I)</f>
        <v>0</v>
      </c>
    </row>
    <row r="924" spans="1:6" x14ac:dyDescent="0.25">
      <c r="A924" s="50">
        <f t="shared" si="14"/>
        <v>922</v>
      </c>
      <c r="B924" s="50">
        <v>5767</v>
      </c>
      <c r="C924" s="50" t="s">
        <v>960</v>
      </c>
      <c r="D924" s="51" t="s">
        <v>85</v>
      </c>
      <c r="F924" s="52">
        <f>SUMIF(CPY!$B:$B,Summary!$B924,CPY!$I:$I)</f>
        <v>0</v>
      </c>
    </row>
    <row r="925" spans="1:6" x14ac:dyDescent="0.25">
      <c r="A925" s="50">
        <f t="shared" si="14"/>
        <v>923</v>
      </c>
      <c r="B925" s="50">
        <v>5768</v>
      </c>
      <c r="C925" s="50" t="s">
        <v>961</v>
      </c>
      <c r="D925" s="51" t="s">
        <v>85</v>
      </c>
      <c r="F925" s="52">
        <f>SUMIF(CPY!$B:$B,Summary!$B925,CPY!$I:$I)</f>
        <v>0</v>
      </c>
    </row>
    <row r="926" spans="1:6" x14ac:dyDescent="0.25">
      <c r="A926" s="50">
        <f t="shared" si="14"/>
        <v>924</v>
      </c>
      <c r="B926" s="50">
        <v>5770</v>
      </c>
      <c r="C926" s="50" t="s">
        <v>962</v>
      </c>
      <c r="D926" s="51" t="s">
        <v>69</v>
      </c>
      <c r="F926" s="52">
        <f>SUMIF(CPY!$B:$B,Summary!$B926,CPY!$I:$I)</f>
        <v>0</v>
      </c>
    </row>
    <row r="927" spans="1:6" x14ac:dyDescent="0.25">
      <c r="A927" s="50">
        <f t="shared" si="14"/>
        <v>925</v>
      </c>
      <c r="B927" s="50">
        <v>5771</v>
      </c>
      <c r="C927" s="50" t="s">
        <v>963</v>
      </c>
      <c r="D927" s="51" t="s">
        <v>69</v>
      </c>
      <c r="F927" s="52">
        <f>SUMIF(CPY!$B:$B,Summary!$B927,CPY!$I:$I)</f>
        <v>0</v>
      </c>
    </row>
    <row r="928" spans="1:6" x14ac:dyDescent="0.25">
      <c r="A928" s="50">
        <f t="shared" si="14"/>
        <v>926</v>
      </c>
      <c r="B928" s="50">
        <v>5772</v>
      </c>
      <c r="C928" s="50" t="s">
        <v>964</v>
      </c>
      <c r="D928" s="51" t="s">
        <v>69</v>
      </c>
      <c r="F928" s="52">
        <f>SUMIF(CPY!$B:$B,Summary!$B928,CPY!$I:$I)</f>
        <v>0</v>
      </c>
    </row>
    <row r="929" spans="1:6" x14ac:dyDescent="0.25">
      <c r="A929" s="50">
        <f t="shared" si="14"/>
        <v>927</v>
      </c>
      <c r="B929" s="50">
        <v>5775</v>
      </c>
      <c r="C929" s="50" t="s">
        <v>965</v>
      </c>
      <c r="D929" s="51" t="s">
        <v>85</v>
      </c>
      <c r="F929" s="52">
        <f>SUMIF(CPY!$B:$B,Summary!$B929,CPY!$I:$I)</f>
        <v>0</v>
      </c>
    </row>
    <row r="930" spans="1:6" x14ac:dyDescent="0.25">
      <c r="A930" s="50">
        <f t="shared" si="14"/>
        <v>928</v>
      </c>
      <c r="B930" s="50">
        <v>5776</v>
      </c>
      <c r="C930" s="50" t="s">
        <v>966</v>
      </c>
      <c r="D930" s="51" t="s">
        <v>85</v>
      </c>
      <c r="F930" s="52">
        <f>SUMIF(CPY!$B:$B,Summary!$B930,CPY!$I:$I)</f>
        <v>0</v>
      </c>
    </row>
    <row r="931" spans="1:6" x14ac:dyDescent="0.25">
      <c r="A931" s="50">
        <f t="shared" si="14"/>
        <v>929</v>
      </c>
      <c r="B931" s="50">
        <v>5777</v>
      </c>
      <c r="C931" s="50" t="s">
        <v>967</v>
      </c>
      <c r="D931" s="51" t="s">
        <v>85</v>
      </c>
      <c r="F931" s="52">
        <f>SUMIF(CPY!$B:$B,Summary!$B931,CPY!$I:$I)</f>
        <v>0</v>
      </c>
    </row>
    <row r="932" spans="1:6" x14ac:dyDescent="0.25">
      <c r="A932" s="50">
        <f t="shared" si="14"/>
        <v>930</v>
      </c>
      <c r="B932" s="50">
        <v>5778</v>
      </c>
      <c r="C932" s="50" t="s">
        <v>968</v>
      </c>
      <c r="D932" s="51" t="s">
        <v>85</v>
      </c>
      <c r="F932" s="52">
        <f>SUMIF(CPY!$B:$B,Summary!$B932,CPY!$I:$I)</f>
        <v>0</v>
      </c>
    </row>
    <row r="933" spans="1:6" x14ac:dyDescent="0.25">
      <c r="A933" s="50">
        <f t="shared" si="14"/>
        <v>931</v>
      </c>
      <c r="B933" s="50">
        <v>5781</v>
      </c>
      <c r="C933" s="50" t="s">
        <v>969</v>
      </c>
      <c r="D933" s="51" t="s">
        <v>85</v>
      </c>
      <c r="F933" s="52">
        <f>SUMIF(CPY!$B:$B,Summary!$B933,CPY!$I:$I)</f>
        <v>0</v>
      </c>
    </row>
    <row r="934" spans="1:6" x14ac:dyDescent="0.25">
      <c r="A934" s="50">
        <f t="shared" si="14"/>
        <v>932</v>
      </c>
      <c r="B934" s="50">
        <v>5782</v>
      </c>
      <c r="C934" s="50" t="s">
        <v>970</v>
      </c>
      <c r="D934" s="51" t="s">
        <v>46</v>
      </c>
      <c r="F934" s="52">
        <f>SUMIF(CPY!$B:$B,Summary!$B934,CPY!$I:$I)</f>
        <v>0</v>
      </c>
    </row>
    <row r="935" spans="1:6" x14ac:dyDescent="0.25">
      <c r="A935" s="50">
        <f t="shared" si="14"/>
        <v>933</v>
      </c>
      <c r="B935" s="50">
        <v>5784</v>
      </c>
      <c r="C935" s="50" t="s">
        <v>971</v>
      </c>
      <c r="D935" s="51" t="s">
        <v>69</v>
      </c>
      <c r="F935" s="52">
        <f>SUMIF(CPY!$B:$B,Summary!$B935,CPY!$I:$I)</f>
        <v>0</v>
      </c>
    </row>
    <row r="936" spans="1:6" x14ac:dyDescent="0.25">
      <c r="A936" s="50">
        <f t="shared" si="14"/>
        <v>934</v>
      </c>
      <c r="B936" s="50">
        <v>5785</v>
      </c>
      <c r="C936" s="50" t="s">
        <v>972</v>
      </c>
      <c r="D936" s="51" t="s">
        <v>85</v>
      </c>
      <c r="F936" s="52">
        <f>SUMIF(CPY!$B:$B,Summary!$B936,CPY!$I:$I)</f>
        <v>0</v>
      </c>
    </row>
    <row r="937" spans="1:6" x14ac:dyDescent="0.25">
      <c r="A937" s="50">
        <f t="shared" si="14"/>
        <v>935</v>
      </c>
      <c r="B937" s="50">
        <v>5786</v>
      </c>
      <c r="C937" s="50" t="s">
        <v>973</v>
      </c>
      <c r="D937" s="51" t="s">
        <v>85</v>
      </c>
      <c r="F937" s="52">
        <f>SUMIF(CPY!$B:$B,Summary!$B937,CPY!$I:$I)</f>
        <v>0</v>
      </c>
    </row>
    <row r="938" spans="1:6" x14ac:dyDescent="0.25">
      <c r="A938" s="50">
        <f t="shared" si="14"/>
        <v>936</v>
      </c>
      <c r="B938" s="50">
        <v>5787</v>
      </c>
      <c r="C938" s="50" t="s">
        <v>974</v>
      </c>
      <c r="D938" s="51" t="s">
        <v>85</v>
      </c>
      <c r="F938" s="52">
        <f>SUMIF(CPY!$B:$B,Summary!$B938,CPY!$I:$I)</f>
        <v>0</v>
      </c>
    </row>
    <row r="939" spans="1:6" x14ac:dyDescent="0.25">
      <c r="A939" s="50">
        <f t="shared" si="14"/>
        <v>937</v>
      </c>
      <c r="B939" s="50">
        <v>5788</v>
      </c>
      <c r="C939" s="50" t="s">
        <v>975</v>
      </c>
      <c r="D939" s="51" t="s">
        <v>85</v>
      </c>
      <c r="F939" s="52">
        <f>SUMIF(CPY!$B:$B,Summary!$B939,CPY!$I:$I)</f>
        <v>0</v>
      </c>
    </row>
    <row r="940" spans="1:6" x14ac:dyDescent="0.25">
      <c r="A940" s="50">
        <f t="shared" si="14"/>
        <v>938</v>
      </c>
      <c r="B940" s="50">
        <v>5789</v>
      </c>
      <c r="C940" s="50" t="s">
        <v>976</v>
      </c>
      <c r="D940" s="51" t="s">
        <v>78</v>
      </c>
      <c r="F940" s="52">
        <f>SUMIF(CPY!$B:$B,Summary!$B940,CPY!$I:$I)</f>
        <v>0</v>
      </c>
    </row>
    <row r="941" spans="1:6" x14ac:dyDescent="0.25">
      <c r="A941" s="50">
        <f t="shared" si="14"/>
        <v>939</v>
      </c>
      <c r="B941" s="50">
        <v>5790</v>
      </c>
      <c r="C941" s="50" t="s">
        <v>977</v>
      </c>
      <c r="D941" s="51" t="s">
        <v>69</v>
      </c>
      <c r="F941" s="52">
        <f>SUMIF(CPY!$B:$B,Summary!$B941,CPY!$I:$I)</f>
        <v>0</v>
      </c>
    </row>
    <row r="942" spans="1:6" x14ac:dyDescent="0.25">
      <c r="A942" s="50">
        <f t="shared" si="14"/>
        <v>940</v>
      </c>
      <c r="B942" s="50">
        <v>5792</v>
      </c>
      <c r="C942" s="50" t="s">
        <v>978</v>
      </c>
      <c r="D942" s="51" t="s">
        <v>51</v>
      </c>
      <c r="F942" s="52">
        <f>SUMIF(CPY!$B:$B,Summary!$B942,CPY!$I:$I)</f>
        <v>0</v>
      </c>
    </row>
    <row r="943" spans="1:6" x14ac:dyDescent="0.25">
      <c r="A943" s="50">
        <f t="shared" si="14"/>
        <v>941</v>
      </c>
      <c r="B943" s="50">
        <v>5793</v>
      </c>
      <c r="C943" s="50" t="s">
        <v>979</v>
      </c>
      <c r="D943" s="51" t="s">
        <v>69</v>
      </c>
      <c r="F943" s="52">
        <f>SUMIF(CPY!$B:$B,Summary!$B943,CPY!$I:$I)</f>
        <v>0</v>
      </c>
    </row>
    <row r="944" spans="1:6" x14ac:dyDescent="0.25">
      <c r="A944" s="50">
        <f t="shared" si="14"/>
        <v>942</v>
      </c>
      <c r="B944" s="50">
        <v>5795</v>
      </c>
      <c r="C944" s="50" t="s">
        <v>980</v>
      </c>
      <c r="D944" s="51" t="s">
        <v>85</v>
      </c>
      <c r="F944" s="52">
        <f>SUMIF(CPY!$B:$B,Summary!$B944,CPY!$I:$I)</f>
        <v>0</v>
      </c>
    </row>
    <row r="945" spans="1:6" x14ac:dyDescent="0.25">
      <c r="A945" s="50">
        <f t="shared" si="14"/>
        <v>943</v>
      </c>
      <c r="B945" s="50">
        <v>5796</v>
      </c>
      <c r="C945" s="50" t="s">
        <v>981</v>
      </c>
      <c r="D945" s="51" t="s">
        <v>85</v>
      </c>
      <c r="F945" s="52">
        <f>SUMIF(CPY!$B:$B,Summary!$B945,CPY!$I:$I)</f>
        <v>0</v>
      </c>
    </row>
    <row r="946" spans="1:6" x14ac:dyDescent="0.25">
      <c r="A946" s="50">
        <f t="shared" si="14"/>
        <v>944</v>
      </c>
      <c r="B946" s="50">
        <v>5799</v>
      </c>
      <c r="C946" s="50" t="s">
        <v>982</v>
      </c>
      <c r="D946" s="51" t="s">
        <v>69</v>
      </c>
      <c r="F946" s="52">
        <f>SUMIF(CPY!$B:$B,Summary!$B946,CPY!$I:$I)</f>
        <v>0</v>
      </c>
    </row>
    <row r="947" spans="1:6" x14ac:dyDescent="0.25">
      <c r="A947" s="50">
        <f t="shared" si="14"/>
        <v>945</v>
      </c>
      <c r="B947" s="50">
        <v>5800</v>
      </c>
      <c r="C947" s="50" t="s">
        <v>983</v>
      </c>
      <c r="D947" s="51" t="s">
        <v>85</v>
      </c>
      <c r="F947" s="52">
        <f>SUMIF(CPY!$B:$B,Summary!$B947,CPY!$I:$I)</f>
        <v>0</v>
      </c>
    </row>
    <row r="948" spans="1:6" x14ac:dyDescent="0.25">
      <c r="A948" s="50">
        <f t="shared" si="14"/>
        <v>946</v>
      </c>
      <c r="B948" s="50">
        <v>5801</v>
      </c>
      <c r="C948" s="50" t="s">
        <v>984</v>
      </c>
      <c r="D948" s="51" t="s">
        <v>85</v>
      </c>
      <c r="F948" s="52">
        <f>SUMIF(CPY!$B:$B,Summary!$B948,CPY!$I:$I)</f>
        <v>0</v>
      </c>
    </row>
    <row r="949" spans="1:6" x14ac:dyDescent="0.25">
      <c r="A949" s="50">
        <f t="shared" si="14"/>
        <v>947</v>
      </c>
      <c r="B949" s="50">
        <v>5802</v>
      </c>
      <c r="C949" s="50" t="s">
        <v>985</v>
      </c>
      <c r="D949" s="51" t="s">
        <v>69</v>
      </c>
      <c r="F949" s="52">
        <f>SUMIF(CPY!$B:$B,Summary!$B949,CPY!$I:$I)</f>
        <v>0</v>
      </c>
    </row>
    <row r="950" spans="1:6" x14ac:dyDescent="0.25">
      <c r="A950" s="50">
        <f t="shared" si="14"/>
        <v>948</v>
      </c>
      <c r="B950" s="50">
        <v>5804</v>
      </c>
      <c r="C950" s="50" t="s">
        <v>986</v>
      </c>
      <c r="D950" s="51" t="s">
        <v>69</v>
      </c>
      <c r="F950" s="52">
        <f>SUMIF(CPY!$B:$B,Summary!$B950,CPY!$I:$I)</f>
        <v>0</v>
      </c>
    </row>
    <row r="951" spans="1:6" x14ac:dyDescent="0.25">
      <c r="A951" s="50">
        <f t="shared" si="14"/>
        <v>949</v>
      </c>
      <c r="B951" s="50">
        <v>5805</v>
      </c>
      <c r="C951" s="50" t="s">
        <v>987</v>
      </c>
      <c r="D951" s="51" t="s">
        <v>85</v>
      </c>
      <c r="F951" s="52">
        <f>SUMIF(CPY!$B:$B,Summary!$B951,CPY!$I:$I)</f>
        <v>0</v>
      </c>
    </row>
    <row r="952" spans="1:6" x14ac:dyDescent="0.25">
      <c r="A952" s="50">
        <f t="shared" si="14"/>
        <v>950</v>
      </c>
      <c r="B952" s="50">
        <v>5807</v>
      </c>
      <c r="C952" s="50" t="s">
        <v>988</v>
      </c>
      <c r="D952" s="51" t="s">
        <v>69</v>
      </c>
      <c r="F952" s="52">
        <f>SUMIF(CPY!$B:$B,Summary!$B952,CPY!$I:$I)</f>
        <v>0</v>
      </c>
    </row>
    <row r="953" spans="1:6" x14ac:dyDescent="0.25">
      <c r="A953" s="50">
        <f t="shared" si="14"/>
        <v>951</v>
      </c>
      <c r="B953" s="50">
        <v>5808</v>
      </c>
      <c r="C953" s="50" t="s">
        <v>989</v>
      </c>
      <c r="D953" s="51" t="s">
        <v>85</v>
      </c>
      <c r="F953" s="52">
        <f>SUMIF(CPY!$B:$B,Summary!$B953,CPY!$I:$I)</f>
        <v>0</v>
      </c>
    </row>
    <row r="954" spans="1:6" x14ac:dyDescent="0.25">
      <c r="A954" s="50">
        <f t="shared" si="14"/>
        <v>952</v>
      </c>
      <c r="B954" s="50">
        <v>5809</v>
      </c>
      <c r="C954" s="50" t="s">
        <v>990</v>
      </c>
      <c r="D954" s="51" t="s">
        <v>85</v>
      </c>
      <c r="F954" s="52">
        <f>SUMIF(CPY!$B:$B,Summary!$B954,CPY!$I:$I)</f>
        <v>0</v>
      </c>
    </row>
    <row r="955" spans="1:6" x14ac:dyDescent="0.25">
      <c r="A955" s="50">
        <f t="shared" si="14"/>
        <v>953</v>
      </c>
      <c r="B955" s="50">
        <v>5810</v>
      </c>
      <c r="C955" s="50" t="s">
        <v>991</v>
      </c>
      <c r="D955" s="51" t="s">
        <v>46</v>
      </c>
      <c r="F955" s="52">
        <f>SUMIF(CPY!$B:$B,Summary!$B955,CPY!$I:$I)</f>
        <v>0</v>
      </c>
    </row>
    <row r="956" spans="1:6" x14ac:dyDescent="0.25">
      <c r="A956" s="50">
        <f t="shared" si="14"/>
        <v>954</v>
      </c>
      <c r="B956" s="50">
        <v>5811</v>
      </c>
      <c r="C956" s="50" t="s">
        <v>992</v>
      </c>
      <c r="D956" s="51" t="s">
        <v>69</v>
      </c>
      <c r="F956" s="52">
        <f>SUMIF(CPY!$B:$B,Summary!$B956,CPY!$I:$I)</f>
        <v>0</v>
      </c>
    </row>
    <row r="957" spans="1:6" x14ac:dyDescent="0.25">
      <c r="A957" s="50">
        <f t="shared" si="14"/>
        <v>955</v>
      </c>
      <c r="B957" s="50">
        <v>5812</v>
      </c>
      <c r="C957" s="50" t="s">
        <v>993</v>
      </c>
      <c r="D957" s="51" t="s">
        <v>69</v>
      </c>
      <c r="F957" s="52">
        <f>SUMIF(CPY!$B:$B,Summary!$B957,CPY!$I:$I)</f>
        <v>0</v>
      </c>
    </row>
    <row r="958" spans="1:6" x14ac:dyDescent="0.25">
      <c r="A958" s="50">
        <f t="shared" si="14"/>
        <v>956</v>
      </c>
      <c r="B958" s="50">
        <v>5814</v>
      </c>
      <c r="C958" s="50" t="s">
        <v>994</v>
      </c>
      <c r="D958" s="51" t="s">
        <v>85</v>
      </c>
      <c r="F958" s="52">
        <f>SUMIF(CPY!$B:$B,Summary!$B958,CPY!$I:$I)</f>
        <v>0</v>
      </c>
    </row>
    <row r="959" spans="1:6" x14ac:dyDescent="0.25">
      <c r="A959" s="50">
        <f t="shared" si="14"/>
        <v>957</v>
      </c>
      <c r="B959" s="50">
        <v>5816</v>
      </c>
      <c r="C959" s="50" t="s">
        <v>995</v>
      </c>
      <c r="D959" s="51" t="s">
        <v>85</v>
      </c>
      <c r="F959" s="52">
        <f>SUMIF(CPY!$B:$B,Summary!$B959,CPY!$I:$I)</f>
        <v>0</v>
      </c>
    </row>
    <row r="960" spans="1:6" x14ac:dyDescent="0.25">
      <c r="A960" s="50">
        <f t="shared" si="14"/>
        <v>958</v>
      </c>
      <c r="B960" s="50">
        <v>5817</v>
      </c>
      <c r="C960" s="50" t="s">
        <v>996</v>
      </c>
      <c r="D960" s="51" t="s">
        <v>78</v>
      </c>
      <c r="F960" s="52">
        <f>SUMIF(CPY!$B:$B,Summary!$B960,CPY!$I:$I)</f>
        <v>0</v>
      </c>
    </row>
    <row r="961" spans="1:6" x14ac:dyDescent="0.25">
      <c r="A961" s="50">
        <f t="shared" si="14"/>
        <v>959</v>
      </c>
      <c r="B961" s="50">
        <v>5818</v>
      </c>
      <c r="C961" s="50" t="s">
        <v>997</v>
      </c>
      <c r="D961" s="51" t="s">
        <v>85</v>
      </c>
      <c r="F961" s="52">
        <f>SUMIF(CPY!$B:$B,Summary!$B961,CPY!$I:$I)</f>
        <v>0</v>
      </c>
    </row>
    <row r="962" spans="1:6" x14ac:dyDescent="0.25">
      <c r="A962" s="50">
        <f t="shared" si="14"/>
        <v>960</v>
      </c>
      <c r="B962" s="50">
        <v>5819</v>
      </c>
      <c r="C962" s="50" t="s">
        <v>998</v>
      </c>
      <c r="D962" s="51" t="s">
        <v>40</v>
      </c>
      <c r="F962" s="52">
        <f>SUMIF(CPY!$B:$B,Summary!$B962,CPY!$I:$I)</f>
        <v>0</v>
      </c>
    </row>
    <row r="963" spans="1:6" x14ac:dyDescent="0.25">
      <c r="A963" s="50">
        <f t="shared" si="14"/>
        <v>961</v>
      </c>
      <c r="B963" s="50">
        <v>5820</v>
      </c>
      <c r="C963" s="50" t="s">
        <v>999</v>
      </c>
      <c r="D963" s="51" t="s">
        <v>69</v>
      </c>
      <c r="F963" s="52">
        <f>SUMIF(CPY!$B:$B,Summary!$B963,CPY!$I:$I)</f>
        <v>0</v>
      </c>
    </row>
    <row r="964" spans="1:6" x14ac:dyDescent="0.25">
      <c r="A964" s="50">
        <f t="shared" si="14"/>
        <v>962</v>
      </c>
      <c r="B964" s="50">
        <v>5822</v>
      </c>
      <c r="C964" s="50" t="s">
        <v>1000</v>
      </c>
      <c r="D964" s="51" t="s">
        <v>85</v>
      </c>
      <c r="F964" s="52">
        <f>SUMIF(CPY!$B:$B,Summary!$B964,CPY!$I:$I)</f>
        <v>0</v>
      </c>
    </row>
    <row r="965" spans="1:6" x14ac:dyDescent="0.25">
      <c r="A965" s="50">
        <f t="shared" ref="A965:A1028" si="15">+A964+1</f>
        <v>963</v>
      </c>
      <c r="B965" s="50">
        <v>5825</v>
      </c>
      <c r="C965" s="50" t="s">
        <v>1001</v>
      </c>
      <c r="D965" s="51" t="s">
        <v>69</v>
      </c>
      <c r="F965" s="52">
        <f>SUMIF(CPY!$B:$B,Summary!$B965,CPY!$I:$I)</f>
        <v>0</v>
      </c>
    </row>
    <row r="966" spans="1:6" x14ac:dyDescent="0.25">
      <c r="A966" s="50">
        <f t="shared" si="15"/>
        <v>964</v>
      </c>
      <c r="B966" s="50">
        <v>5826</v>
      </c>
      <c r="C966" s="50" t="s">
        <v>1002</v>
      </c>
      <c r="D966" s="51" t="s">
        <v>46</v>
      </c>
      <c r="F966" s="52">
        <f>SUMIF(CPY!$B:$B,Summary!$B966,CPY!$I:$I)</f>
        <v>0</v>
      </c>
    </row>
    <row r="967" spans="1:6" x14ac:dyDescent="0.25">
      <c r="A967" s="50">
        <f t="shared" si="15"/>
        <v>965</v>
      </c>
      <c r="B967" s="50">
        <v>5827</v>
      </c>
      <c r="C967" s="50" t="s">
        <v>1003</v>
      </c>
      <c r="D967" s="51" t="s">
        <v>78</v>
      </c>
      <c r="F967" s="52">
        <f>SUMIF(CPY!$B:$B,Summary!$B967,CPY!$I:$I)</f>
        <v>0</v>
      </c>
    </row>
    <row r="968" spans="1:6" x14ac:dyDescent="0.25">
      <c r="A968" s="50">
        <f t="shared" si="15"/>
        <v>966</v>
      </c>
      <c r="B968" s="50">
        <v>5828</v>
      </c>
      <c r="C968" s="50" t="s">
        <v>1004</v>
      </c>
      <c r="D968" s="51" t="s">
        <v>69</v>
      </c>
      <c r="F968" s="52">
        <f>SUMIF(CPY!$B:$B,Summary!$B968,CPY!$I:$I)</f>
        <v>0</v>
      </c>
    </row>
    <row r="969" spans="1:6" x14ac:dyDescent="0.25">
      <c r="A969" s="50">
        <f t="shared" si="15"/>
        <v>967</v>
      </c>
      <c r="B969" s="50">
        <v>5831</v>
      </c>
      <c r="C969" s="50" t="s">
        <v>1005</v>
      </c>
      <c r="D969" s="51" t="s">
        <v>85</v>
      </c>
      <c r="F969" s="52">
        <f>SUMIF(CPY!$B:$B,Summary!$B969,CPY!$I:$I)</f>
        <v>0</v>
      </c>
    </row>
    <row r="970" spans="1:6" x14ac:dyDescent="0.25">
      <c r="A970" s="50">
        <f t="shared" si="15"/>
        <v>968</v>
      </c>
      <c r="B970" s="50">
        <v>5837</v>
      </c>
      <c r="C970" s="50" t="s">
        <v>1006</v>
      </c>
      <c r="D970" s="51" t="s">
        <v>85</v>
      </c>
      <c r="F970" s="52">
        <f>SUMIF(CPY!$B:$B,Summary!$B970,CPY!$I:$I)</f>
        <v>0</v>
      </c>
    </row>
    <row r="971" spans="1:6" x14ac:dyDescent="0.25">
      <c r="A971" s="50">
        <f t="shared" si="15"/>
        <v>969</v>
      </c>
      <c r="B971" s="50">
        <v>5838</v>
      </c>
      <c r="C971" s="50" t="s">
        <v>1007</v>
      </c>
      <c r="D971" s="51" t="s">
        <v>85</v>
      </c>
      <c r="F971" s="52">
        <f>SUMIF(CPY!$B:$B,Summary!$B971,CPY!$I:$I)</f>
        <v>0</v>
      </c>
    </row>
    <row r="972" spans="1:6" x14ac:dyDescent="0.25">
      <c r="A972" s="50">
        <f t="shared" si="15"/>
        <v>970</v>
      </c>
      <c r="B972" s="50">
        <v>5839</v>
      </c>
      <c r="C972" s="50" t="s">
        <v>1008</v>
      </c>
      <c r="D972" s="51" t="s">
        <v>85</v>
      </c>
      <c r="F972" s="52">
        <f>SUMIF(CPY!$B:$B,Summary!$B972,CPY!$I:$I)</f>
        <v>0</v>
      </c>
    </row>
    <row r="973" spans="1:6" x14ac:dyDescent="0.25">
      <c r="A973" s="50">
        <f t="shared" si="15"/>
        <v>971</v>
      </c>
      <c r="B973" s="50">
        <v>5840</v>
      </c>
      <c r="C973" s="50" t="s">
        <v>1009</v>
      </c>
      <c r="D973" s="51" t="s">
        <v>85</v>
      </c>
      <c r="F973" s="52">
        <f>SUMIF(CPY!$B:$B,Summary!$B973,CPY!$I:$I)</f>
        <v>0</v>
      </c>
    </row>
    <row r="974" spans="1:6" x14ac:dyDescent="0.25">
      <c r="A974" s="50">
        <f t="shared" si="15"/>
        <v>972</v>
      </c>
      <c r="B974" s="50">
        <v>5841</v>
      </c>
      <c r="C974" s="50" t="s">
        <v>1010</v>
      </c>
      <c r="D974" s="51" t="s">
        <v>85</v>
      </c>
      <c r="F974" s="52">
        <f>SUMIF(CPY!$B:$B,Summary!$B974,CPY!$I:$I)</f>
        <v>0</v>
      </c>
    </row>
    <row r="975" spans="1:6" x14ac:dyDescent="0.25">
      <c r="A975" s="50">
        <f t="shared" si="15"/>
        <v>973</v>
      </c>
      <c r="B975" s="50">
        <v>5845</v>
      </c>
      <c r="C975" s="50" t="s">
        <v>1011</v>
      </c>
      <c r="D975" s="51" t="s">
        <v>78</v>
      </c>
      <c r="F975" s="52">
        <f>SUMIF(CPY!$B:$B,Summary!$B975,CPY!$I:$I)</f>
        <v>0</v>
      </c>
    </row>
    <row r="976" spans="1:6" x14ac:dyDescent="0.25">
      <c r="A976" s="50">
        <f t="shared" si="15"/>
        <v>974</v>
      </c>
      <c r="B976" s="50">
        <v>5846</v>
      </c>
      <c r="C976" s="50" t="s">
        <v>1012</v>
      </c>
      <c r="D976" s="51" t="s">
        <v>78</v>
      </c>
      <c r="F976" s="52">
        <f>SUMIF(CPY!$B:$B,Summary!$B976,CPY!$I:$I)</f>
        <v>0</v>
      </c>
    </row>
    <row r="977" spans="1:6" x14ac:dyDescent="0.25">
      <c r="A977" s="50">
        <f t="shared" si="15"/>
        <v>975</v>
      </c>
      <c r="B977" s="50">
        <v>5847</v>
      </c>
      <c r="C977" s="50" t="s">
        <v>1013</v>
      </c>
      <c r="D977" s="51" t="s">
        <v>51</v>
      </c>
      <c r="F977" s="52">
        <f>SUMIF(CPY!$B:$B,Summary!$B977,CPY!$I:$I)</f>
        <v>0</v>
      </c>
    </row>
    <row r="978" spans="1:6" x14ac:dyDescent="0.25">
      <c r="A978" s="50">
        <f t="shared" si="15"/>
        <v>976</v>
      </c>
      <c r="B978" s="50">
        <v>5851</v>
      </c>
      <c r="C978" s="50" t="s">
        <v>1014</v>
      </c>
      <c r="D978" s="51" t="s">
        <v>46</v>
      </c>
      <c r="F978" s="52">
        <f>SUMIF(CPY!$B:$B,Summary!$B978,CPY!$I:$I)</f>
        <v>0</v>
      </c>
    </row>
    <row r="979" spans="1:6" x14ac:dyDescent="0.25">
      <c r="A979" s="50">
        <f t="shared" si="15"/>
        <v>977</v>
      </c>
      <c r="B979" s="50">
        <v>5853</v>
      </c>
      <c r="C979" s="50" t="s">
        <v>1015</v>
      </c>
      <c r="D979" s="51" t="s">
        <v>69</v>
      </c>
      <c r="F979" s="52">
        <f>SUMIF(CPY!$B:$B,Summary!$B979,CPY!$I:$I)</f>
        <v>0</v>
      </c>
    </row>
    <row r="980" spans="1:6" x14ac:dyDescent="0.25">
      <c r="A980" s="50">
        <f t="shared" si="15"/>
        <v>978</v>
      </c>
      <c r="B980" s="50">
        <v>5854</v>
      </c>
      <c r="C980" s="50" t="s">
        <v>1016</v>
      </c>
      <c r="D980" s="51" t="s">
        <v>85</v>
      </c>
      <c r="F980" s="52">
        <f>SUMIF(CPY!$B:$B,Summary!$B980,CPY!$I:$I)</f>
        <v>0</v>
      </c>
    </row>
    <row r="981" spans="1:6" x14ac:dyDescent="0.25">
      <c r="A981" s="50">
        <f t="shared" si="15"/>
        <v>979</v>
      </c>
      <c r="B981" s="50">
        <v>5855</v>
      </c>
      <c r="C981" s="50" t="s">
        <v>1017</v>
      </c>
      <c r="D981" s="51" t="s">
        <v>69</v>
      </c>
      <c r="F981" s="52">
        <f>SUMIF(CPY!$B:$B,Summary!$B981,CPY!$I:$I)</f>
        <v>0</v>
      </c>
    </row>
    <row r="982" spans="1:6" x14ac:dyDescent="0.25">
      <c r="A982" s="50">
        <f t="shared" si="15"/>
        <v>980</v>
      </c>
      <c r="B982" s="50">
        <v>5858</v>
      </c>
      <c r="C982" s="50" t="s">
        <v>1018</v>
      </c>
      <c r="D982" s="51" t="s">
        <v>69</v>
      </c>
      <c r="F982" s="52">
        <f>SUMIF(CPY!$B:$B,Summary!$B982,CPY!$I:$I)</f>
        <v>0</v>
      </c>
    </row>
    <row r="983" spans="1:6" x14ac:dyDescent="0.25">
      <c r="A983" s="50">
        <f t="shared" si="15"/>
        <v>981</v>
      </c>
      <c r="B983" s="50">
        <v>5859</v>
      </c>
      <c r="C983" s="50" t="s">
        <v>1019</v>
      </c>
      <c r="D983" s="51" t="s">
        <v>69</v>
      </c>
      <c r="F983" s="52">
        <f>SUMIF(CPY!$B:$B,Summary!$B983,CPY!$I:$I)</f>
        <v>0</v>
      </c>
    </row>
    <row r="984" spans="1:6" x14ac:dyDescent="0.25">
      <c r="A984" s="50">
        <f t="shared" si="15"/>
        <v>982</v>
      </c>
      <c r="B984" s="50">
        <v>5860</v>
      </c>
      <c r="C984" s="50" t="s">
        <v>1020</v>
      </c>
      <c r="D984" s="51" t="s">
        <v>85</v>
      </c>
      <c r="F984" s="52">
        <f>SUMIF(CPY!$B:$B,Summary!$B984,CPY!$I:$I)</f>
        <v>0</v>
      </c>
    </row>
    <row r="985" spans="1:6" x14ac:dyDescent="0.25">
      <c r="A985" s="50">
        <f t="shared" si="15"/>
        <v>983</v>
      </c>
      <c r="B985" s="50">
        <v>5861</v>
      </c>
      <c r="C985" s="50" t="s">
        <v>1021</v>
      </c>
      <c r="D985" s="51" t="s">
        <v>85</v>
      </c>
      <c r="F985" s="52">
        <f>SUMIF(CPY!$B:$B,Summary!$B985,CPY!$I:$I)</f>
        <v>0</v>
      </c>
    </row>
    <row r="986" spans="1:6" x14ac:dyDescent="0.25">
      <c r="A986" s="50">
        <f t="shared" si="15"/>
        <v>984</v>
      </c>
      <c r="B986" s="50">
        <v>5862</v>
      </c>
      <c r="C986" s="50" t="s">
        <v>1022</v>
      </c>
      <c r="D986" s="51" t="s">
        <v>85</v>
      </c>
      <c r="F986" s="52">
        <f>SUMIF(CPY!$B:$B,Summary!$B986,CPY!$I:$I)</f>
        <v>0</v>
      </c>
    </row>
    <row r="987" spans="1:6" x14ac:dyDescent="0.25">
      <c r="A987" s="50">
        <f t="shared" si="15"/>
        <v>985</v>
      </c>
      <c r="B987" s="50">
        <v>5863</v>
      </c>
      <c r="C987" s="50" t="s">
        <v>1023</v>
      </c>
      <c r="D987" s="51" t="s">
        <v>85</v>
      </c>
      <c r="F987" s="52">
        <f>SUMIF(CPY!$B:$B,Summary!$B987,CPY!$I:$I)</f>
        <v>0</v>
      </c>
    </row>
    <row r="988" spans="1:6" x14ac:dyDescent="0.25">
      <c r="A988" s="50">
        <f t="shared" si="15"/>
        <v>986</v>
      </c>
      <c r="B988" s="50">
        <v>5865</v>
      </c>
      <c r="C988" s="50" t="s">
        <v>1024</v>
      </c>
      <c r="D988" s="51" t="s">
        <v>85</v>
      </c>
      <c r="F988" s="52">
        <f>SUMIF(CPY!$B:$B,Summary!$B988,CPY!$I:$I)</f>
        <v>0</v>
      </c>
    </row>
    <row r="989" spans="1:6" x14ac:dyDescent="0.25">
      <c r="A989" s="50">
        <f t="shared" si="15"/>
        <v>987</v>
      </c>
      <c r="B989" s="50">
        <v>5866</v>
      </c>
      <c r="C989" s="50" t="s">
        <v>1025</v>
      </c>
      <c r="D989" s="51" t="s">
        <v>85</v>
      </c>
      <c r="F989" s="52">
        <f>SUMIF(CPY!$B:$B,Summary!$B989,CPY!$I:$I)</f>
        <v>0</v>
      </c>
    </row>
    <row r="990" spans="1:6" x14ac:dyDescent="0.25">
      <c r="A990" s="50">
        <f t="shared" si="15"/>
        <v>988</v>
      </c>
      <c r="B990" s="50">
        <v>5867</v>
      </c>
      <c r="C990" s="50" t="s">
        <v>1026</v>
      </c>
      <c r="D990" s="51" t="s">
        <v>85</v>
      </c>
      <c r="F990" s="52">
        <f>SUMIF(CPY!$B:$B,Summary!$B990,CPY!$I:$I)</f>
        <v>0</v>
      </c>
    </row>
    <row r="991" spans="1:6" x14ac:dyDescent="0.25">
      <c r="A991" s="50">
        <f t="shared" si="15"/>
        <v>989</v>
      </c>
      <c r="B991" s="50">
        <v>5868</v>
      </c>
      <c r="C991" s="50" t="s">
        <v>1027</v>
      </c>
      <c r="D991" s="51" t="s">
        <v>85</v>
      </c>
      <c r="F991" s="52">
        <f>SUMIF(CPY!$B:$B,Summary!$B991,CPY!$I:$I)</f>
        <v>0</v>
      </c>
    </row>
    <row r="992" spans="1:6" x14ac:dyDescent="0.25">
      <c r="A992" s="50">
        <f t="shared" si="15"/>
        <v>990</v>
      </c>
      <c r="B992" s="50">
        <v>5869</v>
      </c>
      <c r="C992" s="50" t="s">
        <v>1028</v>
      </c>
      <c r="D992" s="51" t="s">
        <v>85</v>
      </c>
      <c r="F992" s="52">
        <f>SUMIF(CPY!$B:$B,Summary!$B992,CPY!$I:$I)</f>
        <v>0</v>
      </c>
    </row>
    <row r="993" spans="1:6" x14ac:dyDescent="0.25">
      <c r="A993" s="50">
        <f t="shared" si="15"/>
        <v>991</v>
      </c>
      <c r="B993" s="50">
        <v>5870</v>
      </c>
      <c r="C993" s="50" t="s">
        <v>1029</v>
      </c>
      <c r="D993" s="51" t="s">
        <v>85</v>
      </c>
      <c r="F993" s="52">
        <f>SUMIF(CPY!$B:$B,Summary!$B993,CPY!$I:$I)</f>
        <v>0</v>
      </c>
    </row>
    <row r="994" spans="1:6" x14ac:dyDescent="0.25">
      <c r="A994" s="50">
        <f t="shared" si="15"/>
        <v>992</v>
      </c>
      <c r="B994" s="50">
        <v>5873</v>
      </c>
      <c r="C994" s="50" t="s">
        <v>1030</v>
      </c>
      <c r="D994" s="51" t="s">
        <v>51</v>
      </c>
      <c r="F994" s="52">
        <f>SUMIF(CPY!$B:$B,Summary!$B994,CPY!$I:$I)</f>
        <v>0</v>
      </c>
    </row>
    <row r="995" spans="1:6" x14ac:dyDescent="0.25">
      <c r="A995" s="50">
        <f t="shared" si="15"/>
        <v>993</v>
      </c>
      <c r="B995" s="50">
        <v>5874</v>
      </c>
      <c r="C995" s="50" t="s">
        <v>1031</v>
      </c>
      <c r="D995" s="51" t="s">
        <v>69</v>
      </c>
      <c r="F995" s="52">
        <f>SUMIF(CPY!$B:$B,Summary!$B995,CPY!$I:$I)</f>
        <v>0</v>
      </c>
    </row>
    <row r="996" spans="1:6" x14ac:dyDescent="0.25">
      <c r="A996" s="50">
        <f t="shared" si="15"/>
        <v>994</v>
      </c>
      <c r="B996" s="50">
        <v>5875</v>
      </c>
      <c r="C996" s="50" t="s">
        <v>1032</v>
      </c>
      <c r="D996" s="51" t="s">
        <v>78</v>
      </c>
      <c r="F996" s="52">
        <f>SUMIF(CPY!$B:$B,Summary!$B996,CPY!$I:$I)</f>
        <v>0</v>
      </c>
    </row>
    <row r="997" spans="1:6" x14ac:dyDescent="0.25">
      <c r="A997" s="50">
        <f t="shared" si="15"/>
        <v>995</v>
      </c>
      <c r="B997" s="50">
        <v>5878</v>
      </c>
      <c r="C997" s="50" t="s">
        <v>1033</v>
      </c>
      <c r="D997" s="51" t="s">
        <v>85</v>
      </c>
      <c r="F997" s="52">
        <f>SUMIF(CPY!$B:$B,Summary!$B997,CPY!$I:$I)</f>
        <v>0</v>
      </c>
    </row>
    <row r="998" spans="1:6" x14ac:dyDescent="0.25">
      <c r="A998" s="50">
        <f t="shared" si="15"/>
        <v>996</v>
      </c>
      <c r="B998" s="50">
        <v>5879</v>
      </c>
      <c r="C998" s="50" t="s">
        <v>1034</v>
      </c>
      <c r="D998" s="51" t="s">
        <v>85</v>
      </c>
      <c r="F998" s="52">
        <f>SUMIF(CPY!$B:$B,Summary!$B998,CPY!$I:$I)</f>
        <v>0</v>
      </c>
    </row>
    <row r="999" spans="1:6" x14ac:dyDescent="0.25">
      <c r="A999" s="50">
        <f t="shared" si="15"/>
        <v>997</v>
      </c>
      <c r="B999" s="50">
        <v>5880</v>
      </c>
      <c r="C999" s="50" t="s">
        <v>1035</v>
      </c>
      <c r="D999" s="51" t="s">
        <v>85</v>
      </c>
      <c r="F999" s="52">
        <f>SUMIF(CPY!$B:$B,Summary!$B999,CPY!$I:$I)</f>
        <v>0</v>
      </c>
    </row>
    <row r="1000" spans="1:6" x14ac:dyDescent="0.25">
      <c r="A1000" s="50">
        <f t="shared" si="15"/>
        <v>998</v>
      </c>
      <c r="B1000" s="50">
        <v>5881</v>
      </c>
      <c r="C1000" s="50" t="s">
        <v>1036</v>
      </c>
      <c r="D1000" s="51" t="s">
        <v>85</v>
      </c>
      <c r="F1000" s="52">
        <f>SUMIF(CPY!$B:$B,Summary!$B1000,CPY!$I:$I)</f>
        <v>0</v>
      </c>
    </row>
    <row r="1001" spans="1:6" x14ac:dyDescent="0.25">
      <c r="A1001" s="50">
        <f t="shared" si="15"/>
        <v>999</v>
      </c>
      <c r="B1001" s="50">
        <v>5882</v>
      </c>
      <c r="C1001" s="50" t="s">
        <v>1037</v>
      </c>
      <c r="D1001" s="51" t="s">
        <v>85</v>
      </c>
      <c r="F1001" s="52">
        <f>SUMIF(CPY!$B:$B,Summary!$B1001,CPY!$I:$I)</f>
        <v>0</v>
      </c>
    </row>
    <row r="1002" spans="1:6" x14ac:dyDescent="0.25">
      <c r="A1002" s="50">
        <f t="shared" si="15"/>
        <v>1000</v>
      </c>
      <c r="B1002" s="50">
        <v>5883</v>
      </c>
      <c r="C1002" s="50" t="s">
        <v>285</v>
      </c>
      <c r="D1002" s="51" t="s">
        <v>85</v>
      </c>
      <c r="F1002" s="52">
        <f>SUMIF(CPY!$B:$B,Summary!$B1002,CPY!$I:$I)</f>
        <v>0</v>
      </c>
    </row>
    <row r="1003" spans="1:6" x14ac:dyDescent="0.25">
      <c r="A1003" s="50">
        <f t="shared" si="15"/>
        <v>1001</v>
      </c>
      <c r="B1003" s="50">
        <v>5886</v>
      </c>
      <c r="C1003" s="50" t="s">
        <v>1038</v>
      </c>
      <c r="D1003" s="51" t="s">
        <v>85</v>
      </c>
      <c r="F1003" s="52">
        <f>SUMIF(CPY!$B:$B,Summary!$B1003,CPY!$I:$I)</f>
        <v>0</v>
      </c>
    </row>
    <row r="1004" spans="1:6" x14ac:dyDescent="0.25">
      <c r="A1004" s="50">
        <f t="shared" si="15"/>
        <v>1002</v>
      </c>
      <c r="B1004" s="50">
        <v>5887</v>
      </c>
      <c r="C1004" s="50" t="s">
        <v>1039</v>
      </c>
      <c r="D1004" s="51" t="s">
        <v>51</v>
      </c>
      <c r="F1004" s="52">
        <f>SUMIF(CPY!$B:$B,Summary!$B1004,CPY!$I:$I)</f>
        <v>0</v>
      </c>
    </row>
    <row r="1005" spans="1:6" x14ac:dyDescent="0.25">
      <c r="A1005" s="50">
        <f t="shared" si="15"/>
        <v>1003</v>
      </c>
      <c r="B1005" s="50">
        <v>5888</v>
      </c>
      <c r="C1005" s="50" t="s">
        <v>1040</v>
      </c>
      <c r="D1005" s="51" t="s">
        <v>69</v>
      </c>
      <c r="F1005" s="52">
        <f>SUMIF(CPY!$B:$B,Summary!$B1005,CPY!$I:$I)</f>
        <v>0</v>
      </c>
    </row>
    <row r="1006" spans="1:6" x14ac:dyDescent="0.25">
      <c r="A1006" s="50">
        <f t="shared" si="15"/>
        <v>1004</v>
      </c>
      <c r="B1006" s="50">
        <v>5889</v>
      </c>
      <c r="C1006" s="50" t="s">
        <v>1041</v>
      </c>
      <c r="D1006" s="51" t="s">
        <v>69</v>
      </c>
      <c r="F1006" s="52">
        <f>SUMIF(CPY!$B:$B,Summary!$B1006,CPY!$I:$I)</f>
        <v>0</v>
      </c>
    </row>
    <row r="1007" spans="1:6" x14ac:dyDescent="0.25">
      <c r="A1007" s="50">
        <f t="shared" si="15"/>
        <v>1005</v>
      </c>
      <c r="B1007" s="50">
        <v>5891</v>
      </c>
      <c r="C1007" s="50" t="s">
        <v>1042</v>
      </c>
      <c r="D1007" s="51" t="s">
        <v>85</v>
      </c>
      <c r="F1007" s="52">
        <f>SUMIF(CPY!$B:$B,Summary!$B1007,CPY!$I:$I)</f>
        <v>0</v>
      </c>
    </row>
    <row r="1008" spans="1:6" x14ac:dyDescent="0.25">
      <c r="A1008" s="50">
        <f t="shared" si="15"/>
        <v>1006</v>
      </c>
      <c r="B1008" s="50">
        <v>5893</v>
      </c>
      <c r="C1008" s="50" t="s">
        <v>1043</v>
      </c>
      <c r="D1008" s="51" t="s">
        <v>46</v>
      </c>
      <c r="F1008" s="52">
        <f>SUMIF(CPY!$B:$B,Summary!$B1008,CPY!$I:$I)</f>
        <v>0</v>
      </c>
    </row>
    <row r="1009" spans="1:6" x14ac:dyDescent="0.25">
      <c r="A1009" s="50">
        <f t="shared" si="15"/>
        <v>1007</v>
      </c>
      <c r="B1009" s="50">
        <v>5894</v>
      </c>
      <c r="C1009" s="50" t="s">
        <v>1044</v>
      </c>
      <c r="D1009" s="51" t="s">
        <v>69</v>
      </c>
      <c r="F1009" s="52">
        <f>SUMIF(CPY!$B:$B,Summary!$B1009,CPY!$I:$I)</f>
        <v>0</v>
      </c>
    </row>
    <row r="1010" spans="1:6" x14ac:dyDescent="0.25">
      <c r="A1010" s="50">
        <f t="shared" si="15"/>
        <v>1008</v>
      </c>
      <c r="B1010" s="50">
        <v>5895</v>
      </c>
      <c r="C1010" s="50" t="s">
        <v>1045</v>
      </c>
      <c r="D1010" s="51" t="s">
        <v>85</v>
      </c>
      <c r="F1010" s="52">
        <f>SUMIF(CPY!$B:$B,Summary!$B1010,CPY!$I:$I)</f>
        <v>0</v>
      </c>
    </row>
    <row r="1011" spans="1:6" x14ac:dyDescent="0.25">
      <c r="A1011" s="50">
        <f t="shared" si="15"/>
        <v>1009</v>
      </c>
      <c r="B1011" s="50">
        <v>5898</v>
      </c>
      <c r="C1011" s="50" t="s">
        <v>1046</v>
      </c>
      <c r="D1011" s="51" t="s">
        <v>85</v>
      </c>
      <c r="F1011" s="52">
        <f>SUMIF(CPY!$B:$B,Summary!$B1011,CPY!$I:$I)</f>
        <v>0</v>
      </c>
    </row>
    <row r="1012" spans="1:6" x14ac:dyDescent="0.25">
      <c r="A1012" s="50">
        <f t="shared" si="15"/>
        <v>1010</v>
      </c>
      <c r="B1012" s="50">
        <v>5899</v>
      </c>
      <c r="C1012" s="50" t="s">
        <v>1047</v>
      </c>
      <c r="D1012" s="51" t="s">
        <v>85</v>
      </c>
      <c r="F1012" s="52">
        <f>SUMIF(CPY!$B:$B,Summary!$B1012,CPY!$I:$I)</f>
        <v>0</v>
      </c>
    </row>
    <row r="1013" spans="1:6" x14ac:dyDescent="0.25">
      <c r="A1013" s="50">
        <f t="shared" si="15"/>
        <v>1011</v>
      </c>
      <c r="B1013" s="50">
        <v>5900</v>
      </c>
      <c r="C1013" s="50" t="s">
        <v>1048</v>
      </c>
      <c r="D1013" s="51" t="s">
        <v>85</v>
      </c>
      <c r="F1013" s="52">
        <f>SUMIF(CPY!$B:$B,Summary!$B1013,CPY!$I:$I)</f>
        <v>0</v>
      </c>
    </row>
    <row r="1014" spans="1:6" x14ac:dyDescent="0.25">
      <c r="A1014" s="50">
        <f t="shared" si="15"/>
        <v>1012</v>
      </c>
      <c r="B1014" s="50">
        <v>5901</v>
      </c>
      <c r="C1014" s="50" t="s">
        <v>1049</v>
      </c>
      <c r="D1014" s="51" t="s">
        <v>85</v>
      </c>
      <c r="F1014" s="52">
        <f>SUMIF(CPY!$B:$B,Summary!$B1014,CPY!$I:$I)</f>
        <v>0</v>
      </c>
    </row>
    <row r="1015" spans="1:6" x14ac:dyDescent="0.25">
      <c r="A1015" s="50">
        <f t="shared" si="15"/>
        <v>1013</v>
      </c>
      <c r="B1015" s="50">
        <v>5902</v>
      </c>
      <c r="C1015" s="50" t="s">
        <v>1050</v>
      </c>
      <c r="D1015" s="51" t="s">
        <v>85</v>
      </c>
      <c r="F1015" s="52">
        <f>SUMIF(CPY!$B:$B,Summary!$B1015,CPY!$I:$I)</f>
        <v>0</v>
      </c>
    </row>
    <row r="1016" spans="1:6" x14ac:dyDescent="0.25">
      <c r="A1016" s="50">
        <f t="shared" si="15"/>
        <v>1014</v>
      </c>
      <c r="B1016" s="50">
        <v>5903</v>
      </c>
      <c r="C1016" s="50" t="s">
        <v>1051</v>
      </c>
      <c r="D1016" s="51" t="s">
        <v>69</v>
      </c>
      <c r="F1016" s="52">
        <f>SUMIF(CPY!$B:$B,Summary!$B1016,CPY!$I:$I)</f>
        <v>0</v>
      </c>
    </row>
    <row r="1017" spans="1:6" x14ac:dyDescent="0.25">
      <c r="A1017" s="50">
        <f t="shared" si="15"/>
        <v>1015</v>
      </c>
      <c r="B1017" s="50">
        <v>5904</v>
      </c>
      <c r="C1017" s="50" t="s">
        <v>1052</v>
      </c>
      <c r="D1017" s="51" t="s">
        <v>85</v>
      </c>
      <c r="F1017" s="52">
        <f>SUMIF(CPY!$B:$B,Summary!$B1017,CPY!$I:$I)</f>
        <v>0</v>
      </c>
    </row>
    <row r="1018" spans="1:6" x14ac:dyDescent="0.25">
      <c r="A1018" s="50">
        <f t="shared" si="15"/>
        <v>1016</v>
      </c>
      <c r="B1018" s="50">
        <v>5906</v>
      </c>
      <c r="C1018" s="50" t="s">
        <v>1053</v>
      </c>
      <c r="D1018" s="51" t="s">
        <v>69</v>
      </c>
      <c r="F1018" s="52">
        <f>SUMIF(CPY!$B:$B,Summary!$B1018,CPY!$I:$I)</f>
        <v>0</v>
      </c>
    </row>
    <row r="1019" spans="1:6" x14ac:dyDescent="0.25">
      <c r="A1019" s="50">
        <f t="shared" si="15"/>
        <v>1017</v>
      </c>
      <c r="B1019" s="50">
        <v>5907</v>
      </c>
      <c r="C1019" s="50" t="s">
        <v>1054</v>
      </c>
      <c r="D1019" s="51" t="s">
        <v>69</v>
      </c>
      <c r="F1019" s="52">
        <f>SUMIF(CPY!$B:$B,Summary!$B1019,CPY!$I:$I)</f>
        <v>0</v>
      </c>
    </row>
    <row r="1020" spans="1:6" x14ac:dyDescent="0.25">
      <c r="A1020" s="50">
        <f t="shared" si="15"/>
        <v>1018</v>
      </c>
      <c r="B1020" s="50">
        <v>5909</v>
      </c>
      <c r="C1020" s="50" t="s">
        <v>1055</v>
      </c>
      <c r="D1020" s="51" t="s">
        <v>69</v>
      </c>
      <c r="F1020" s="52">
        <f>SUMIF(CPY!$B:$B,Summary!$B1020,CPY!$I:$I)</f>
        <v>0</v>
      </c>
    </row>
    <row r="1021" spans="1:6" x14ac:dyDescent="0.25">
      <c r="A1021" s="50">
        <f t="shared" si="15"/>
        <v>1019</v>
      </c>
      <c r="B1021" s="50">
        <v>5910</v>
      </c>
      <c r="C1021" s="50" t="s">
        <v>1056</v>
      </c>
      <c r="D1021" s="51" t="s">
        <v>69</v>
      </c>
      <c r="F1021" s="52">
        <f>SUMIF(CPY!$B:$B,Summary!$B1021,CPY!$I:$I)</f>
        <v>0</v>
      </c>
    </row>
    <row r="1022" spans="1:6" x14ac:dyDescent="0.25">
      <c r="A1022" s="50">
        <f t="shared" si="15"/>
        <v>1020</v>
      </c>
      <c r="B1022" s="50">
        <v>5911</v>
      </c>
      <c r="C1022" s="50" t="s">
        <v>1057</v>
      </c>
      <c r="D1022" s="51" t="s">
        <v>85</v>
      </c>
      <c r="F1022" s="52">
        <f>SUMIF(CPY!$B:$B,Summary!$B1022,CPY!$I:$I)</f>
        <v>0</v>
      </c>
    </row>
    <row r="1023" spans="1:6" x14ac:dyDescent="0.25">
      <c r="A1023" s="50">
        <f t="shared" si="15"/>
        <v>1021</v>
      </c>
      <c r="B1023" s="50">
        <v>5912</v>
      </c>
      <c r="C1023" s="50" t="s">
        <v>1058</v>
      </c>
      <c r="D1023" s="51" t="s">
        <v>85</v>
      </c>
      <c r="F1023" s="52">
        <f>SUMIF(CPY!$B:$B,Summary!$B1023,CPY!$I:$I)</f>
        <v>0</v>
      </c>
    </row>
    <row r="1024" spans="1:6" x14ac:dyDescent="0.25">
      <c r="A1024" s="50">
        <f t="shared" si="15"/>
        <v>1022</v>
      </c>
      <c r="B1024" s="50">
        <v>5914</v>
      </c>
      <c r="C1024" s="50" t="s">
        <v>1059</v>
      </c>
      <c r="D1024" s="51" t="s">
        <v>85</v>
      </c>
      <c r="F1024" s="52">
        <f>SUMIF(CPY!$B:$B,Summary!$B1024,CPY!$I:$I)</f>
        <v>0</v>
      </c>
    </row>
    <row r="1025" spans="1:6" x14ac:dyDescent="0.25">
      <c r="A1025" s="50">
        <f t="shared" si="15"/>
        <v>1023</v>
      </c>
      <c r="B1025" s="50">
        <v>5915</v>
      </c>
      <c r="C1025" s="50" t="s">
        <v>1060</v>
      </c>
      <c r="D1025" s="51" t="s">
        <v>85</v>
      </c>
      <c r="F1025" s="52">
        <f>SUMIF(CPY!$B:$B,Summary!$B1025,CPY!$I:$I)</f>
        <v>0</v>
      </c>
    </row>
    <row r="1026" spans="1:6" x14ac:dyDescent="0.25">
      <c r="A1026" s="50">
        <f t="shared" si="15"/>
        <v>1024</v>
      </c>
      <c r="B1026" s="50">
        <v>5916</v>
      </c>
      <c r="C1026" s="50" t="s">
        <v>1061</v>
      </c>
      <c r="D1026" s="51" t="s">
        <v>85</v>
      </c>
      <c r="F1026" s="52">
        <f>SUMIF(CPY!$B:$B,Summary!$B1026,CPY!$I:$I)</f>
        <v>0</v>
      </c>
    </row>
    <row r="1027" spans="1:6" x14ac:dyDescent="0.25">
      <c r="A1027" s="50">
        <f t="shared" si="15"/>
        <v>1025</v>
      </c>
      <c r="B1027" s="50">
        <v>5917</v>
      </c>
      <c r="C1027" s="50" t="s">
        <v>1062</v>
      </c>
      <c r="D1027" s="51" t="s">
        <v>69</v>
      </c>
      <c r="F1027" s="52">
        <f>SUMIF(CPY!$B:$B,Summary!$B1027,CPY!$I:$I)</f>
        <v>0</v>
      </c>
    </row>
    <row r="1028" spans="1:6" x14ac:dyDescent="0.25">
      <c r="A1028" s="50">
        <f t="shared" si="15"/>
        <v>1026</v>
      </c>
      <c r="B1028" s="50">
        <v>5918</v>
      </c>
      <c r="C1028" s="50" t="s">
        <v>1063</v>
      </c>
      <c r="D1028" s="51" t="s">
        <v>69</v>
      </c>
      <c r="F1028" s="52">
        <f>SUMIF(CPY!$B:$B,Summary!$B1028,CPY!$I:$I)</f>
        <v>0</v>
      </c>
    </row>
    <row r="1029" spans="1:6" x14ac:dyDescent="0.25">
      <c r="A1029" s="50">
        <f t="shared" ref="A1029:A1092" si="16">+A1028+1</f>
        <v>1027</v>
      </c>
      <c r="B1029" s="50">
        <v>5920</v>
      </c>
      <c r="C1029" s="50" t="s">
        <v>1064</v>
      </c>
      <c r="D1029" s="51" t="s">
        <v>85</v>
      </c>
      <c r="F1029" s="52">
        <f>SUMIF(CPY!$B:$B,Summary!$B1029,CPY!$I:$I)</f>
        <v>0</v>
      </c>
    </row>
    <row r="1030" spans="1:6" x14ac:dyDescent="0.25">
      <c r="A1030" s="50">
        <f t="shared" si="16"/>
        <v>1028</v>
      </c>
      <c r="B1030" s="50">
        <v>5921</v>
      </c>
      <c r="C1030" s="50" t="s">
        <v>1065</v>
      </c>
      <c r="D1030" s="51" t="s">
        <v>85</v>
      </c>
      <c r="F1030" s="52">
        <f>SUMIF(CPY!$B:$B,Summary!$B1030,CPY!$I:$I)</f>
        <v>0</v>
      </c>
    </row>
    <row r="1031" spans="1:6" x14ac:dyDescent="0.25">
      <c r="A1031" s="50">
        <f t="shared" si="16"/>
        <v>1029</v>
      </c>
      <c r="B1031" s="50">
        <v>5923</v>
      </c>
      <c r="C1031" s="50" t="s">
        <v>1066</v>
      </c>
      <c r="D1031" s="51" t="s">
        <v>85</v>
      </c>
      <c r="F1031" s="52">
        <f>SUMIF(CPY!$B:$B,Summary!$B1031,CPY!$I:$I)</f>
        <v>0</v>
      </c>
    </row>
    <row r="1032" spans="1:6" x14ac:dyDescent="0.25">
      <c r="A1032" s="50">
        <f t="shared" si="16"/>
        <v>1030</v>
      </c>
      <c r="B1032" s="50">
        <v>5925</v>
      </c>
      <c r="C1032" s="50" t="s">
        <v>1067</v>
      </c>
      <c r="D1032" s="51" t="s">
        <v>78</v>
      </c>
      <c r="F1032" s="52">
        <f>SUMIF(CPY!$B:$B,Summary!$B1032,CPY!$I:$I)</f>
        <v>0</v>
      </c>
    </row>
    <row r="1033" spans="1:6" x14ac:dyDescent="0.25">
      <c r="A1033" s="50">
        <f t="shared" si="16"/>
        <v>1031</v>
      </c>
      <c r="B1033" s="50">
        <v>5926</v>
      </c>
      <c r="C1033" s="50" t="s">
        <v>1068</v>
      </c>
      <c r="D1033" s="51" t="s">
        <v>85</v>
      </c>
      <c r="F1033" s="52">
        <f>SUMIF(CPY!$B:$B,Summary!$B1033,CPY!$I:$I)</f>
        <v>0</v>
      </c>
    </row>
    <row r="1034" spans="1:6" x14ac:dyDescent="0.25">
      <c r="A1034" s="50">
        <f t="shared" si="16"/>
        <v>1032</v>
      </c>
      <c r="B1034" s="50">
        <v>5929</v>
      </c>
      <c r="C1034" s="50" t="s">
        <v>1069</v>
      </c>
      <c r="D1034" s="51" t="s">
        <v>85</v>
      </c>
      <c r="F1034" s="52">
        <f>SUMIF(CPY!$B:$B,Summary!$B1034,CPY!$I:$I)</f>
        <v>0</v>
      </c>
    </row>
    <row r="1035" spans="1:6" x14ac:dyDescent="0.25">
      <c r="A1035" s="50">
        <f t="shared" si="16"/>
        <v>1033</v>
      </c>
      <c r="B1035" s="50">
        <v>5931</v>
      </c>
      <c r="C1035" s="50" t="s">
        <v>1070</v>
      </c>
      <c r="D1035" s="51" t="s">
        <v>85</v>
      </c>
      <c r="F1035" s="52">
        <f>SUMIF(CPY!$B:$B,Summary!$B1035,CPY!$I:$I)</f>
        <v>0</v>
      </c>
    </row>
    <row r="1036" spans="1:6" x14ac:dyDescent="0.25">
      <c r="A1036" s="50">
        <f t="shared" si="16"/>
        <v>1034</v>
      </c>
      <c r="B1036" s="50">
        <v>5932</v>
      </c>
      <c r="C1036" s="50" t="s">
        <v>1071</v>
      </c>
      <c r="D1036" s="51" t="s">
        <v>85</v>
      </c>
      <c r="F1036" s="52">
        <f>SUMIF(CPY!$B:$B,Summary!$B1036,CPY!$I:$I)</f>
        <v>0</v>
      </c>
    </row>
    <row r="1037" spans="1:6" x14ac:dyDescent="0.25">
      <c r="A1037" s="50">
        <f t="shared" si="16"/>
        <v>1035</v>
      </c>
      <c r="B1037" s="50">
        <v>5933</v>
      </c>
      <c r="C1037" s="50" t="s">
        <v>1072</v>
      </c>
      <c r="D1037" s="51" t="s">
        <v>85</v>
      </c>
      <c r="F1037" s="52">
        <f>SUMIF(CPY!$B:$B,Summary!$B1037,CPY!$I:$I)</f>
        <v>0</v>
      </c>
    </row>
    <row r="1038" spans="1:6" x14ac:dyDescent="0.25">
      <c r="A1038" s="50">
        <f t="shared" si="16"/>
        <v>1036</v>
      </c>
      <c r="B1038" s="50">
        <v>5936</v>
      </c>
      <c r="C1038" s="50" t="s">
        <v>1073</v>
      </c>
      <c r="D1038" s="51" t="s">
        <v>85</v>
      </c>
      <c r="F1038" s="52">
        <f>SUMIF(CPY!$B:$B,Summary!$B1038,CPY!$I:$I)</f>
        <v>0</v>
      </c>
    </row>
    <row r="1039" spans="1:6" x14ac:dyDescent="0.25">
      <c r="A1039" s="50">
        <f t="shared" si="16"/>
        <v>1037</v>
      </c>
      <c r="B1039" s="50">
        <v>5937</v>
      </c>
      <c r="C1039" s="50" t="s">
        <v>1074</v>
      </c>
      <c r="D1039" s="51" t="s">
        <v>85</v>
      </c>
      <c r="F1039" s="52">
        <f>SUMIF(CPY!$B:$B,Summary!$B1039,CPY!$I:$I)</f>
        <v>0</v>
      </c>
    </row>
    <row r="1040" spans="1:6" x14ac:dyDescent="0.25">
      <c r="A1040" s="50">
        <f t="shared" si="16"/>
        <v>1038</v>
      </c>
      <c r="B1040" s="50">
        <v>5938</v>
      </c>
      <c r="C1040" s="50" t="s">
        <v>1075</v>
      </c>
      <c r="D1040" s="51" t="s">
        <v>85</v>
      </c>
      <c r="F1040" s="52">
        <f>SUMIF(CPY!$B:$B,Summary!$B1040,CPY!$I:$I)</f>
        <v>0</v>
      </c>
    </row>
    <row r="1041" spans="1:6" x14ac:dyDescent="0.25">
      <c r="A1041" s="50">
        <f t="shared" si="16"/>
        <v>1039</v>
      </c>
      <c r="B1041" s="50">
        <v>5939</v>
      </c>
      <c r="C1041" s="50" t="s">
        <v>1076</v>
      </c>
      <c r="D1041" s="51" t="s">
        <v>85</v>
      </c>
      <c r="F1041" s="52">
        <f>SUMIF(CPY!$B:$B,Summary!$B1041,CPY!$I:$I)</f>
        <v>0</v>
      </c>
    </row>
    <row r="1042" spans="1:6" x14ac:dyDescent="0.25">
      <c r="A1042" s="50">
        <f t="shared" si="16"/>
        <v>1040</v>
      </c>
      <c r="B1042" s="50">
        <v>5940</v>
      </c>
      <c r="C1042" s="50" t="s">
        <v>1077</v>
      </c>
      <c r="D1042" s="51" t="s">
        <v>85</v>
      </c>
      <c r="F1042" s="52">
        <f>SUMIF(CPY!$B:$B,Summary!$B1042,CPY!$I:$I)</f>
        <v>0</v>
      </c>
    </row>
    <row r="1043" spans="1:6" x14ac:dyDescent="0.25">
      <c r="A1043" s="50">
        <f t="shared" si="16"/>
        <v>1041</v>
      </c>
      <c r="B1043" s="50">
        <v>5941</v>
      </c>
      <c r="C1043" s="50" t="s">
        <v>1078</v>
      </c>
      <c r="D1043" s="51" t="s">
        <v>85</v>
      </c>
      <c r="F1043" s="52">
        <f>SUMIF(CPY!$B:$B,Summary!$B1043,CPY!$I:$I)</f>
        <v>0</v>
      </c>
    </row>
    <row r="1044" spans="1:6" x14ac:dyDescent="0.25">
      <c r="A1044" s="50">
        <f t="shared" si="16"/>
        <v>1042</v>
      </c>
      <c r="B1044" s="50">
        <v>5942</v>
      </c>
      <c r="C1044" s="50" t="s">
        <v>1079</v>
      </c>
      <c r="D1044" s="51" t="s">
        <v>85</v>
      </c>
      <c r="F1044" s="52">
        <f>SUMIF(CPY!$B:$B,Summary!$B1044,CPY!$I:$I)</f>
        <v>0</v>
      </c>
    </row>
    <row r="1045" spans="1:6" x14ac:dyDescent="0.25">
      <c r="A1045" s="50">
        <f t="shared" si="16"/>
        <v>1043</v>
      </c>
      <c r="B1045" s="50">
        <v>5944</v>
      </c>
      <c r="C1045" s="50" t="s">
        <v>1080</v>
      </c>
      <c r="D1045" s="51" t="s">
        <v>85</v>
      </c>
      <c r="F1045" s="52">
        <f>SUMIF(CPY!$B:$B,Summary!$B1045,CPY!$I:$I)</f>
        <v>0</v>
      </c>
    </row>
    <row r="1046" spans="1:6" x14ac:dyDescent="0.25">
      <c r="A1046" s="50">
        <f t="shared" si="16"/>
        <v>1044</v>
      </c>
      <c r="B1046" s="50">
        <v>5945</v>
      </c>
      <c r="C1046" s="50" t="s">
        <v>1081</v>
      </c>
      <c r="D1046" s="51" t="s">
        <v>85</v>
      </c>
      <c r="F1046" s="52">
        <f>SUMIF(CPY!$B:$B,Summary!$B1046,CPY!$I:$I)</f>
        <v>0</v>
      </c>
    </row>
    <row r="1047" spans="1:6" x14ac:dyDescent="0.25">
      <c r="A1047" s="50">
        <f t="shared" si="16"/>
        <v>1045</v>
      </c>
      <c r="B1047" s="50">
        <v>5946</v>
      </c>
      <c r="C1047" s="50" t="s">
        <v>1082</v>
      </c>
      <c r="D1047" s="51" t="s">
        <v>85</v>
      </c>
      <c r="F1047" s="52">
        <f>SUMIF(CPY!$B:$B,Summary!$B1047,CPY!$I:$I)</f>
        <v>0</v>
      </c>
    </row>
    <row r="1048" spans="1:6" x14ac:dyDescent="0.25">
      <c r="A1048" s="50">
        <f t="shared" si="16"/>
        <v>1046</v>
      </c>
      <c r="B1048" s="50">
        <v>5947</v>
      </c>
      <c r="C1048" s="50" t="s">
        <v>1083</v>
      </c>
      <c r="D1048" s="51" t="s">
        <v>85</v>
      </c>
      <c r="F1048" s="52">
        <f>SUMIF(CPY!$B:$B,Summary!$B1048,CPY!$I:$I)</f>
        <v>0</v>
      </c>
    </row>
    <row r="1049" spans="1:6" x14ac:dyDescent="0.25">
      <c r="A1049" s="50">
        <f t="shared" si="16"/>
        <v>1047</v>
      </c>
      <c r="B1049" s="50">
        <v>5948</v>
      </c>
      <c r="C1049" s="50" t="s">
        <v>1084</v>
      </c>
      <c r="D1049" s="51" t="s">
        <v>85</v>
      </c>
      <c r="F1049" s="52">
        <f>SUMIF(CPY!$B:$B,Summary!$B1049,CPY!$I:$I)</f>
        <v>0</v>
      </c>
    </row>
    <row r="1050" spans="1:6" x14ac:dyDescent="0.25">
      <c r="A1050" s="50">
        <f t="shared" si="16"/>
        <v>1048</v>
      </c>
      <c r="B1050" s="50">
        <v>5949</v>
      </c>
      <c r="C1050" s="50" t="s">
        <v>1085</v>
      </c>
      <c r="D1050" s="51" t="s">
        <v>85</v>
      </c>
      <c r="F1050" s="52">
        <f>SUMIF(CPY!$B:$B,Summary!$B1050,CPY!$I:$I)</f>
        <v>0</v>
      </c>
    </row>
    <row r="1051" spans="1:6" x14ac:dyDescent="0.25">
      <c r="A1051" s="50">
        <f t="shared" si="16"/>
        <v>1049</v>
      </c>
      <c r="B1051" s="50">
        <v>5951</v>
      </c>
      <c r="C1051" s="50" t="s">
        <v>1086</v>
      </c>
      <c r="D1051" s="51" t="s">
        <v>85</v>
      </c>
      <c r="F1051" s="52">
        <f>SUMIF(CPY!$B:$B,Summary!$B1051,CPY!$I:$I)</f>
        <v>0</v>
      </c>
    </row>
    <row r="1052" spans="1:6" x14ac:dyDescent="0.25">
      <c r="A1052" s="50">
        <f t="shared" si="16"/>
        <v>1050</v>
      </c>
      <c r="B1052" s="50">
        <v>5953</v>
      </c>
      <c r="C1052" s="50" t="s">
        <v>1087</v>
      </c>
      <c r="D1052" s="51" t="s">
        <v>85</v>
      </c>
      <c r="F1052" s="52">
        <f>SUMIF(CPY!$B:$B,Summary!$B1052,CPY!$I:$I)</f>
        <v>0</v>
      </c>
    </row>
    <row r="1053" spans="1:6" x14ac:dyDescent="0.25">
      <c r="A1053" s="50">
        <f t="shared" si="16"/>
        <v>1051</v>
      </c>
      <c r="B1053" s="50">
        <v>5954</v>
      </c>
      <c r="C1053" s="50" t="s">
        <v>1088</v>
      </c>
      <c r="D1053" s="51" t="s">
        <v>85</v>
      </c>
      <c r="F1053" s="52">
        <f>SUMIF(CPY!$B:$B,Summary!$B1053,CPY!$I:$I)</f>
        <v>0</v>
      </c>
    </row>
    <row r="1054" spans="1:6" x14ac:dyDescent="0.25">
      <c r="A1054" s="50">
        <f t="shared" si="16"/>
        <v>1052</v>
      </c>
      <c r="B1054" s="50">
        <v>5955</v>
      </c>
      <c r="C1054" s="50" t="s">
        <v>1089</v>
      </c>
      <c r="D1054" s="51" t="s">
        <v>85</v>
      </c>
      <c r="F1054" s="52">
        <f>SUMIF(CPY!$B:$B,Summary!$B1054,CPY!$I:$I)</f>
        <v>0</v>
      </c>
    </row>
    <row r="1055" spans="1:6" x14ac:dyDescent="0.25">
      <c r="A1055" s="50">
        <f t="shared" si="16"/>
        <v>1053</v>
      </c>
      <c r="B1055" s="50">
        <v>5956</v>
      </c>
      <c r="C1055" s="50" t="s">
        <v>1090</v>
      </c>
      <c r="D1055" s="51" t="s">
        <v>85</v>
      </c>
      <c r="F1055" s="52">
        <f>SUMIF(CPY!$B:$B,Summary!$B1055,CPY!$I:$I)</f>
        <v>0</v>
      </c>
    </row>
    <row r="1056" spans="1:6" x14ac:dyDescent="0.25">
      <c r="A1056" s="50">
        <f t="shared" si="16"/>
        <v>1054</v>
      </c>
      <c r="B1056" s="50">
        <v>5959</v>
      </c>
      <c r="C1056" s="50" t="s">
        <v>1091</v>
      </c>
      <c r="D1056" s="51" t="s">
        <v>85</v>
      </c>
      <c r="F1056" s="52">
        <f>SUMIF(CPY!$B:$B,Summary!$B1056,CPY!$I:$I)</f>
        <v>0</v>
      </c>
    </row>
    <row r="1057" spans="1:6" x14ac:dyDescent="0.25">
      <c r="A1057" s="50">
        <f t="shared" si="16"/>
        <v>1055</v>
      </c>
      <c r="B1057" s="50">
        <v>5960</v>
      </c>
      <c r="C1057" s="50" t="s">
        <v>1092</v>
      </c>
      <c r="D1057" s="51" t="s">
        <v>85</v>
      </c>
      <c r="F1057" s="52">
        <f>SUMIF(CPY!$B:$B,Summary!$B1057,CPY!$I:$I)</f>
        <v>0</v>
      </c>
    </row>
    <row r="1058" spans="1:6" x14ac:dyDescent="0.25">
      <c r="A1058" s="50">
        <f t="shared" si="16"/>
        <v>1056</v>
      </c>
      <c r="B1058" s="50">
        <v>5961</v>
      </c>
      <c r="C1058" s="50" t="s">
        <v>1093</v>
      </c>
      <c r="D1058" s="51" t="s">
        <v>85</v>
      </c>
      <c r="F1058" s="52">
        <f>SUMIF(CPY!$B:$B,Summary!$B1058,CPY!$I:$I)</f>
        <v>0</v>
      </c>
    </row>
    <row r="1059" spans="1:6" x14ac:dyDescent="0.25">
      <c r="A1059" s="50">
        <f t="shared" si="16"/>
        <v>1057</v>
      </c>
      <c r="B1059" s="50">
        <v>5962</v>
      </c>
      <c r="C1059" s="50" t="s">
        <v>1094</v>
      </c>
      <c r="D1059" s="51" t="s">
        <v>85</v>
      </c>
      <c r="F1059" s="52">
        <f>SUMIF(CPY!$B:$B,Summary!$B1059,CPY!$I:$I)</f>
        <v>0</v>
      </c>
    </row>
    <row r="1060" spans="1:6" x14ac:dyDescent="0.25">
      <c r="A1060" s="50">
        <f t="shared" si="16"/>
        <v>1058</v>
      </c>
      <c r="B1060" s="50">
        <v>5963</v>
      </c>
      <c r="C1060" s="50" t="s">
        <v>1095</v>
      </c>
      <c r="D1060" s="51" t="s">
        <v>85</v>
      </c>
      <c r="F1060" s="52">
        <f>SUMIF(CPY!$B:$B,Summary!$B1060,CPY!$I:$I)</f>
        <v>0</v>
      </c>
    </row>
    <row r="1061" spans="1:6" x14ac:dyDescent="0.25">
      <c r="A1061" s="50">
        <f t="shared" si="16"/>
        <v>1059</v>
      </c>
      <c r="B1061" s="50">
        <v>5964</v>
      </c>
      <c r="C1061" s="50" t="s">
        <v>1096</v>
      </c>
      <c r="D1061" s="51" t="s">
        <v>85</v>
      </c>
      <c r="F1061" s="52">
        <f>SUMIF(CPY!$B:$B,Summary!$B1061,CPY!$I:$I)</f>
        <v>0</v>
      </c>
    </row>
    <row r="1062" spans="1:6" x14ac:dyDescent="0.25">
      <c r="A1062" s="50">
        <f t="shared" si="16"/>
        <v>1060</v>
      </c>
      <c r="B1062" s="50">
        <v>5965</v>
      </c>
      <c r="C1062" s="50" t="s">
        <v>1097</v>
      </c>
      <c r="D1062" s="51" t="s">
        <v>85</v>
      </c>
      <c r="F1062" s="52">
        <f>SUMIF(CPY!$B:$B,Summary!$B1062,CPY!$I:$I)</f>
        <v>0</v>
      </c>
    </row>
    <row r="1063" spans="1:6" x14ac:dyDescent="0.25">
      <c r="A1063" s="50">
        <f t="shared" si="16"/>
        <v>1061</v>
      </c>
      <c r="B1063" s="50">
        <v>5966</v>
      </c>
      <c r="C1063" s="50" t="s">
        <v>1098</v>
      </c>
      <c r="D1063" s="51" t="s">
        <v>85</v>
      </c>
      <c r="F1063" s="52">
        <f>SUMIF(CPY!$B:$B,Summary!$B1063,CPY!$I:$I)</f>
        <v>0</v>
      </c>
    </row>
    <row r="1064" spans="1:6" x14ac:dyDescent="0.25">
      <c r="A1064" s="50">
        <f t="shared" si="16"/>
        <v>1062</v>
      </c>
      <c r="B1064" s="50">
        <v>5968</v>
      </c>
      <c r="C1064" s="50" t="s">
        <v>1099</v>
      </c>
      <c r="D1064" s="51" t="s">
        <v>85</v>
      </c>
      <c r="F1064" s="52">
        <f>SUMIF(CPY!$B:$B,Summary!$B1064,CPY!$I:$I)</f>
        <v>0</v>
      </c>
    </row>
    <row r="1065" spans="1:6" x14ac:dyDescent="0.25">
      <c r="A1065" s="50">
        <f t="shared" si="16"/>
        <v>1063</v>
      </c>
      <c r="B1065" s="50">
        <v>5971</v>
      </c>
      <c r="C1065" s="50" t="s">
        <v>1100</v>
      </c>
      <c r="D1065" s="51" t="s">
        <v>85</v>
      </c>
      <c r="F1065" s="52">
        <f>SUMIF(CPY!$B:$B,Summary!$B1065,CPY!$I:$I)</f>
        <v>0</v>
      </c>
    </row>
    <row r="1066" spans="1:6" x14ac:dyDescent="0.25">
      <c r="A1066" s="50">
        <f t="shared" si="16"/>
        <v>1064</v>
      </c>
      <c r="B1066" s="50">
        <v>5972</v>
      </c>
      <c r="C1066" s="50" t="s">
        <v>1101</v>
      </c>
      <c r="D1066" s="51" t="s">
        <v>85</v>
      </c>
      <c r="F1066" s="52">
        <f>SUMIF(CPY!$B:$B,Summary!$B1066,CPY!$I:$I)</f>
        <v>0</v>
      </c>
    </row>
    <row r="1067" spans="1:6" x14ac:dyDescent="0.25">
      <c r="A1067" s="50">
        <f t="shared" si="16"/>
        <v>1065</v>
      </c>
      <c r="B1067" s="50">
        <v>5973</v>
      </c>
      <c r="C1067" s="50" t="s">
        <v>1102</v>
      </c>
      <c r="D1067" s="51" t="s">
        <v>85</v>
      </c>
      <c r="F1067" s="52">
        <f>SUMIF(CPY!$B:$B,Summary!$B1067,CPY!$I:$I)</f>
        <v>0</v>
      </c>
    </row>
    <row r="1068" spans="1:6" x14ac:dyDescent="0.25">
      <c r="A1068" s="50">
        <f t="shared" si="16"/>
        <v>1066</v>
      </c>
      <c r="B1068" s="50">
        <v>5976</v>
      </c>
      <c r="C1068" s="50" t="s">
        <v>1103</v>
      </c>
      <c r="D1068" s="51" t="s">
        <v>85</v>
      </c>
      <c r="F1068" s="52">
        <f>SUMIF(CPY!$B:$B,Summary!$B1068,CPY!$I:$I)</f>
        <v>0</v>
      </c>
    </row>
    <row r="1069" spans="1:6" x14ac:dyDescent="0.25">
      <c r="A1069" s="50">
        <f t="shared" si="16"/>
        <v>1067</v>
      </c>
      <c r="B1069" s="50">
        <v>5977</v>
      </c>
      <c r="C1069" s="50" t="s">
        <v>1104</v>
      </c>
      <c r="D1069" s="51" t="s">
        <v>85</v>
      </c>
      <c r="F1069" s="52">
        <f>SUMIF(CPY!$B:$B,Summary!$B1069,CPY!$I:$I)</f>
        <v>0</v>
      </c>
    </row>
    <row r="1070" spans="1:6" x14ac:dyDescent="0.25">
      <c r="A1070" s="50">
        <f t="shared" si="16"/>
        <v>1068</v>
      </c>
      <c r="B1070" s="50">
        <v>5978</v>
      </c>
      <c r="C1070" s="50" t="s">
        <v>1105</v>
      </c>
      <c r="D1070" s="51" t="s">
        <v>85</v>
      </c>
      <c r="F1070" s="52">
        <f>SUMIF(CPY!$B:$B,Summary!$B1070,CPY!$I:$I)</f>
        <v>0</v>
      </c>
    </row>
    <row r="1071" spans="1:6" x14ac:dyDescent="0.25">
      <c r="A1071" s="50">
        <f t="shared" si="16"/>
        <v>1069</v>
      </c>
      <c r="B1071" s="50">
        <v>5979</v>
      </c>
      <c r="C1071" s="50" t="s">
        <v>1106</v>
      </c>
      <c r="D1071" s="51" t="s">
        <v>85</v>
      </c>
      <c r="F1071" s="52">
        <f>SUMIF(CPY!$B:$B,Summary!$B1071,CPY!$I:$I)</f>
        <v>0</v>
      </c>
    </row>
    <row r="1072" spans="1:6" x14ac:dyDescent="0.25">
      <c r="A1072" s="50">
        <f t="shared" si="16"/>
        <v>1070</v>
      </c>
      <c r="B1072" s="50">
        <v>5980</v>
      </c>
      <c r="C1072" s="50" t="s">
        <v>1107</v>
      </c>
      <c r="D1072" s="51" t="s">
        <v>85</v>
      </c>
      <c r="F1072" s="52">
        <f>SUMIF(CPY!$B:$B,Summary!$B1072,CPY!$I:$I)</f>
        <v>0</v>
      </c>
    </row>
    <row r="1073" spans="1:6" x14ac:dyDescent="0.25">
      <c r="A1073" s="50">
        <f t="shared" si="16"/>
        <v>1071</v>
      </c>
      <c r="B1073" s="50">
        <v>5981</v>
      </c>
      <c r="C1073" s="50" t="s">
        <v>1108</v>
      </c>
      <c r="D1073" s="51" t="s">
        <v>85</v>
      </c>
      <c r="F1073" s="52">
        <f>SUMIF(CPY!$B:$B,Summary!$B1073,CPY!$I:$I)</f>
        <v>0</v>
      </c>
    </row>
    <row r="1074" spans="1:6" x14ac:dyDescent="0.25">
      <c r="A1074" s="50">
        <f t="shared" si="16"/>
        <v>1072</v>
      </c>
      <c r="B1074" s="50">
        <v>5983</v>
      </c>
      <c r="C1074" s="50" t="s">
        <v>1109</v>
      </c>
      <c r="D1074" s="51" t="s">
        <v>85</v>
      </c>
      <c r="F1074" s="52">
        <f>SUMIF(CPY!$B:$B,Summary!$B1074,CPY!$I:$I)</f>
        <v>0</v>
      </c>
    </row>
    <row r="1075" spans="1:6" x14ac:dyDescent="0.25">
      <c r="A1075" s="50">
        <f t="shared" si="16"/>
        <v>1073</v>
      </c>
      <c r="B1075" s="50">
        <v>5984</v>
      </c>
      <c r="C1075" s="50" t="s">
        <v>1110</v>
      </c>
      <c r="D1075" s="51" t="s">
        <v>85</v>
      </c>
      <c r="F1075" s="52">
        <f>SUMIF(CPY!$B:$B,Summary!$B1075,CPY!$I:$I)</f>
        <v>0</v>
      </c>
    </row>
    <row r="1076" spans="1:6" x14ac:dyDescent="0.25">
      <c r="A1076" s="50">
        <f t="shared" si="16"/>
        <v>1074</v>
      </c>
      <c r="B1076" s="50">
        <v>5987</v>
      </c>
      <c r="C1076" s="50" t="s">
        <v>1111</v>
      </c>
      <c r="D1076" s="51" t="s">
        <v>69</v>
      </c>
      <c r="F1076" s="52">
        <f>SUMIF(CPY!$B:$B,Summary!$B1076,CPY!$I:$I)</f>
        <v>0</v>
      </c>
    </row>
    <row r="1077" spans="1:6" x14ac:dyDescent="0.25">
      <c r="A1077" s="50">
        <f t="shared" si="16"/>
        <v>1075</v>
      </c>
      <c r="B1077" s="50">
        <v>5988</v>
      </c>
      <c r="C1077" s="50" t="s">
        <v>1112</v>
      </c>
      <c r="D1077" s="51" t="s">
        <v>85</v>
      </c>
      <c r="F1077" s="52">
        <f>SUMIF(CPY!$B:$B,Summary!$B1077,CPY!$I:$I)</f>
        <v>0</v>
      </c>
    </row>
    <row r="1078" spans="1:6" x14ac:dyDescent="0.25">
      <c r="A1078" s="50">
        <f t="shared" si="16"/>
        <v>1076</v>
      </c>
      <c r="B1078" s="50">
        <v>5989</v>
      </c>
      <c r="C1078" s="50" t="s">
        <v>1113</v>
      </c>
      <c r="D1078" s="51" t="s">
        <v>85</v>
      </c>
      <c r="F1078" s="52">
        <f>SUMIF(CPY!$B:$B,Summary!$B1078,CPY!$I:$I)</f>
        <v>0</v>
      </c>
    </row>
    <row r="1079" spans="1:6" x14ac:dyDescent="0.25">
      <c r="A1079" s="50">
        <f t="shared" si="16"/>
        <v>1077</v>
      </c>
      <c r="B1079" s="50">
        <v>5990</v>
      </c>
      <c r="C1079" s="50" t="s">
        <v>1114</v>
      </c>
      <c r="D1079" s="51" t="s">
        <v>85</v>
      </c>
      <c r="F1079" s="52">
        <f>SUMIF(CPY!$B:$B,Summary!$B1079,CPY!$I:$I)</f>
        <v>0</v>
      </c>
    </row>
    <row r="1080" spans="1:6" x14ac:dyDescent="0.25">
      <c r="A1080" s="50">
        <f t="shared" si="16"/>
        <v>1078</v>
      </c>
      <c r="B1080" s="50">
        <v>5994</v>
      </c>
      <c r="C1080" s="50" t="s">
        <v>1115</v>
      </c>
      <c r="D1080" s="51" t="s">
        <v>85</v>
      </c>
      <c r="F1080" s="52">
        <f>SUMIF(CPY!$B:$B,Summary!$B1080,CPY!$I:$I)</f>
        <v>0</v>
      </c>
    </row>
    <row r="1081" spans="1:6" x14ac:dyDescent="0.25">
      <c r="A1081" s="50">
        <f t="shared" si="16"/>
        <v>1079</v>
      </c>
      <c r="B1081" s="50">
        <v>5995</v>
      </c>
      <c r="C1081" s="50" t="s">
        <v>1116</v>
      </c>
      <c r="D1081" s="51" t="s">
        <v>85</v>
      </c>
      <c r="F1081" s="52">
        <f>SUMIF(CPY!$B:$B,Summary!$B1081,CPY!$I:$I)</f>
        <v>0</v>
      </c>
    </row>
    <row r="1082" spans="1:6" x14ac:dyDescent="0.25">
      <c r="A1082" s="50">
        <f t="shared" si="16"/>
        <v>1080</v>
      </c>
      <c r="B1082" s="50">
        <v>5998</v>
      </c>
      <c r="C1082" s="50" t="s">
        <v>1117</v>
      </c>
      <c r="D1082" s="51" t="s">
        <v>85</v>
      </c>
      <c r="F1082" s="52">
        <f>SUMIF(CPY!$B:$B,Summary!$B1082,CPY!$I:$I)</f>
        <v>0</v>
      </c>
    </row>
    <row r="1083" spans="1:6" x14ac:dyDescent="0.25">
      <c r="A1083" s="50">
        <f t="shared" si="16"/>
        <v>1081</v>
      </c>
      <c r="B1083" s="50">
        <v>5999</v>
      </c>
      <c r="C1083" s="50" t="s">
        <v>1118</v>
      </c>
      <c r="D1083" s="51" t="s">
        <v>85</v>
      </c>
      <c r="F1083" s="52">
        <f>SUMIF(CPY!$B:$B,Summary!$B1083,CPY!$I:$I)</f>
        <v>0</v>
      </c>
    </row>
    <row r="1084" spans="1:6" x14ac:dyDescent="0.25">
      <c r="A1084" s="50">
        <f t="shared" si="16"/>
        <v>1082</v>
      </c>
      <c r="B1084" s="50">
        <v>6001</v>
      </c>
      <c r="C1084" s="50" t="s">
        <v>1119</v>
      </c>
      <c r="D1084" s="51" t="s">
        <v>85</v>
      </c>
      <c r="F1084" s="52">
        <f>SUMIF(CPY!$B:$B,Summary!$B1084,CPY!$I:$I)</f>
        <v>0</v>
      </c>
    </row>
    <row r="1085" spans="1:6" x14ac:dyDescent="0.25">
      <c r="A1085" s="50">
        <f t="shared" si="16"/>
        <v>1083</v>
      </c>
      <c r="B1085" s="50">
        <v>6007</v>
      </c>
      <c r="C1085" s="50" t="s">
        <v>1120</v>
      </c>
      <c r="D1085" s="51" t="s">
        <v>85</v>
      </c>
      <c r="F1085" s="52">
        <f>SUMIF(CPY!$B:$B,Summary!$B1085,CPY!$I:$I)</f>
        <v>0</v>
      </c>
    </row>
    <row r="1086" spans="1:6" x14ac:dyDescent="0.25">
      <c r="A1086" s="50">
        <f t="shared" si="16"/>
        <v>1084</v>
      </c>
      <c r="B1086" s="50">
        <v>6008</v>
      </c>
      <c r="C1086" s="50" t="s">
        <v>1121</v>
      </c>
      <c r="D1086" s="51" t="s">
        <v>85</v>
      </c>
      <c r="F1086" s="52">
        <f>SUMIF(CPY!$B:$B,Summary!$B1086,CPY!$I:$I)</f>
        <v>0</v>
      </c>
    </row>
    <row r="1087" spans="1:6" x14ac:dyDescent="0.25">
      <c r="A1087" s="50">
        <f t="shared" si="16"/>
        <v>1085</v>
      </c>
      <c r="B1087" s="50">
        <v>6010</v>
      </c>
      <c r="C1087" s="50" t="s">
        <v>1122</v>
      </c>
      <c r="D1087" s="51" t="s">
        <v>85</v>
      </c>
      <c r="F1087" s="52">
        <f>SUMIF(CPY!$B:$B,Summary!$B1087,CPY!$I:$I)</f>
        <v>0</v>
      </c>
    </row>
    <row r="1088" spans="1:6" x14ac:dyDescent="0.25">
      <c r="A1088" s="50">
        <f t="shared" si="16"/>
        <v>1086</v>
      </c>
      <c r="B1088" s="50">
        <v>6011</v>
      </c>
      <c r="C1088" s="50" t="s">
        <v>1123</v>
      </c>
      <c r="D1088" s="51" t="s">
        <v>85</v>
      </c>
      <c r="F1088" s="52">
        <f>SUMIF(CPY!$B:$B,Summary!$B1088,CPY!$I:$I)</f>
        <v>0</v>
      </c>
    </row>
    <row r="1089" spans="1:6" x14ac:dyDescent="0.25">
      <c r="A1089" s="50">
        <f t="shared" si="16"/>
        <v>1087</v>
      </c>
      <c r="B1089" s="50">
        <v>6013</v>
      </c>
      <c r="C1089" s="50" t="s">
        <v>1124</v>
      </c>
      <c r="D1089" s="51" t="s">
        <v>85</v>
      </c>
      <c r="F1089" s="52">
        <f>SUMIF(CPY!$B:$B,Summary!$B1089,CPY!$I:$I)</f>
        <v>0</v>
      </c>
    </row>
    <row r="1090" spans="1:6" x14ac:dyDescent="0.25">
      <c r="A1090" s="50">
        <f t="shared" si="16"/>
        <v>1088</v>
      </c>
      <c r="B1090" s="50">
        <v>6014</v>
      </c>
      <c r="C1090" s="50" t="s">
        <v>1125</v>
      </c>
      <c r="D1090" s="51" t="s">
        <v>85</v>
      </c>
      <c r="F1090" s="52">
        <f>SUMIF(CPY!$B:$B,Summary!$B1090,CPY!$I:$I)</f>
        <v>0</v>
      </c>
    </row>
    <row r="1091" spans="1:6" x14ac:dyDescent="0.25">
      <c r="A1091" s="50">
        <f t="shared" si="16"/>
        <v>1089</v>
      </c>
      <c r="B1091" s="50">
        <v>6015</v>
      </c>
      <c r="C1091" s="50" t="s">
        <v>1126</v>
      </c>
      <c r="D1091" s="51" t="s">
        <v>85</v>
      </c>
      <c r="F1091" s="52">
        <f>SUMIF(CPY!$B:$B,Summary!$B1091,CPY!$I:$I)</f>
        <v>0</v>
      </c>
    </row>
    <row r="1092" spans="1:6" x14ac:dyDescent="0.25">
      <c r="A1092" s="50">
        <f t="shared" si="16"/>
        <v>1090</v>
      </c>
      <c r="B1092" s="50">
        <v>6016</v>
      </c>
      <c r="C1092" s="50" t="s">
        <v>1127</v>
      </c>
      <c r="D1092" s="51" t="s">
        <v>85</v>
      </c>
      <c r="F1092" s="52">
        <f>SUMIF(CPY!$B:$B,Summary!$B1092,CPY!$I:$I)</f>
        <v>0</v>
      </c>
    </row>
    <row r="1093" spans="1:6" x14ac:dyDescent="0.25">
      <c r="A1093" s="50">
        <f t="shared" ref="A1093:A1156" si="17">+A1092+1</f>
        <v>1091</v>
      </c>
      <c r="B1093" s="50">
        <v>6017</v>
      </c>
      <c r="C1093" s="50" t="s">
        <v>1128</v>
      </c>
      <c r="D1093" s="51" t="s">
        <v>85</v>
      </c>
      <c r="F1093" s="52">
        <f>SUMIF(CPY!$B:$B,Summary!$B1093,CPY!$I:$I)</f>
        <v>0</v>
      </c>
    </row>
    <row r="1094" spans="1:6" x14ac:dyDescent="0.25">
      <c r="A1094" s="50">
        <f t="shared" si="17"/>
        <v>1092</v>
      </c>
      <c r="B1094" s="50">
        <v>6018</v>
      </c>
      <c r="C1094" s="50" t="s">
        <v>1129</v>
      </c>
      <c r="D1094" s="51" t="s">
        <v>85</v>
      </c>
      <c r="F1094" s="52">
        <f>SUMIF(CPY!$B:$B,Summary!$B1094,CPY!$I:$I)</f>
        <v>0</v>
      </c>
    </row>
    <row r="1095" spans="1:6" x14ac:dyDescent="0.25">
      <c r="A1095" s="50">
        <f t="shared" si="17"/>
        <v>1093</v>
      </c>
      <c r="B1095" s="50">
        <v>6019</v>
      </c>
      <c r="C1095" s="50" t="s">
        <v>1130</v>
      </c>
      <c r="D1095" s="51" t="s">
        <v>85</v>
      </c>
      <c r="F1095" s="52">
        <f>SUMIF(CPY!$B:$B,Summary!$B1095,CPY!$I:$I)</f>
        <v>0</v>
      </c>
    </row>
    <row r="1096" spans="1:6" x14ac:dyDescent="0.25">
      <c r="A1096" s="50">
        <f t="shared" si="17"/>
        <v>1094</v>
      </c>
      <c r="B1096" s="50">
        <v>6020</v>
      </c>
      <c r="C1096" s="50" t="s">
        <v>1131</v>
      </c>
      <c r="D1096" s="51" t="s">
        <v>85</v>
      </c>
      <c r="F1096" s="52">
        <f>SUMIF(CPY!$B:$B,Summary!$B1096,CPY!$I:$I)</f>
        <v>0</v>
      </c>
    </row>
    <row r="1097" spans="1:6" x14ac:dyDescent="0.25">
      <c r="A1097" s="50">
        <f t="shared" si="17"/>
        <v>1095</v>
      </c>
      <c r="B1097" s="50">
        <v>6021</v>
      </c>
      <c r="C1097" s="50" t="s">
        <v>1132</v>
      </c>
      <c r="D1097" s="51" t="s">
        <v>85</v>
      </c>
      <c r="F1097" s="52">
        <f>SUMIF(CPY!$B:$B,Summary!$B1097,CPY!$I:$I)</f>
        <v>0</v>
      </c>
    </row>
    <row r="1098" spans="1:6" x14ac:dyDescent="0.25">
      <c r="A1098" s="50">
        <f t="shared" si="17"/>
        <v>1096</v>
      </c>
      <c r="B1098" s="50">
        <v>6022</v>
      </c>
      <c r="C1098" s="50" t="s">
        <v>1133</v>
      </c>
      <c r="D1098" s="51" t="s">
        <v>85</v>
      </c>
      <c r="F1098" s="52">
        <f>SUMIF(CPY!$B:$B,Summary!$B1098,CPY!$I:$I)</f>
        <v>0</v>
      </c>
    </row>
    <row r="1099" spans="1:6" x14ac:dyDescent="0.25">
      <c r="A1099" s="50">
        <f t="shared" si="17"/>
        <v>1097</v>
      </c>
      <c r="B1099" s="50">
        <v>6023</v>
      </c>
      <c r="C1099" s="50" t="s">
        <v>1134</v>
      </c>
      <c r="D1099" s="51" t="s">
        <v>85</v>
      </c>
      <c r="F1099" s="52">
        <f>SUMIF(CPY!$B:$B,Summary!$B1099,CPY!$I:$I)</f>
        <v>0</v>
      </c>
    </row>
    <row r="1100" spans="1:6" x14ac:dyDescent="0.25">
      <c r="A1100" s="50">
        <f t="shared" si="17"/>
        <v>1098</v>
      </c>
      <c r="B1100" s="50">
        <v>6024</v>
      </c>
      <c r="C1100" s="50" t="s">
        <v>1135</v>
      </c>
      <c r="D1100" s="51" t="s">
        <v>85</v>
      </c>
      <c r="F1100" s="52">
        <f>SUMIF(CPY!$B:$B,Summary!$B1100,CPY!$I:$I)</f>
        <v>0</v>
      </c>
    </row>
    <row r="1101" spans="1:6" x14ac:dyDescent="0.25">
      <c r="A1101" s="50">
        <f t="shared" si="17"/>
        <v>1099</v>
      </c>
      <c r="B1101" s="50">
        <v>6025</v>
      </c>
      <c r="C1101" s="50" t="s">
        <v>1136</v>
      </c>
      <c r="D1101" s="51" t="s">
        <v>85</v>
      </c>
      <c r="F1101" s="52">
        <f>SUMIF(CPY!$B:$B,Summary!$B1101,CPY!$I:$I)</f>
        <v>0</v>
      </c>
    </row>
    <row r="1102" spans="1:6" x14ac:dyDescent="0.25">
      <c r="A1102" s="50">
        <f t="shared" si="17"/>
        <v>1100</v>
      </c>
      <c r="B1102" s="50">
        <v>6026</v>
      </c>
      <c r="C1102" s="50" t="s">
        <v>1137</v>
      </c>
      <c r="D1102" s="51" t="s">
        <v>85</v>
      </c>
      <c r="F1102" s="52">
        <f>SUMIF(CPY!$B:$B,Summary!$B1102,CPY!$I:$I)</f>
        <v>0</v>
      </c>
    </row>
    <row r="1103" spans="1:6" x14ac:dyDescent="0.25">
      <c r="A1103" s="50">
        <f t="shared" si="17"/>
        <v>1101</v>
      </c>
      <c r="B1103" s="50">
        <v>6027</v>
      </c>
      <c r="C1103" s="50" t="s">
        <v>1138</v>
      </c>
      <c r="D1103" s="51" t="s">
        <v>85</v>
      </c>
      <c r="F1103" s="52">
        <f>SUMIF(CPY!$B:$B,Summary!$B1103,CPY!$I:$I)</f>
        <v>0</v>
      </c>
    </row>
    <row r="1104" spans="1:6" x14ac:dyDescent="0.25">
      <c r="A1104" s="50">
        <f t="shared" si="17"/>
        <v>1102</v>
      </c>
      <c r="B1104" s="50">
        <v>6028</v>
      </c>
      <c r="C1104" s="50" t="s">
        <v>1139</v>
      </c>
      <c r="D1104" s="51" t="s">
        <v>85</v>
      </c>
      <c r="F1104" s="52">
        <f>SUMIF(CPY!$B:$B,Summary!$B1104,CPY!$I:$I)</f>
        <v>0</v>
      </c>
    </row>
    <row r="1105" spans="1:6" x14ac:dyDescent="0.25">
      <c r="A1105" s="50">
        <f t="shared" si="17"/>
        <v>1103</v>
      </c>
      <c r="B1105" s="50">
        <v>6029</v>
      </c>
      <c r="C1105" s="50" t="s">
        <v>1140</v>
      </c>
      <c r="D1105" s="51" t="s">
        <v>85</v>
      </c>
      <c r="F1105" s="52">
        <f>SUMIF(CPY!$B:$B,Summary!$B1105,CPY!$I:$I)</f>
        <v>0</v>
      </c>
    </row>
    <row r="1106" spans="1:6" x14ac:dyDescent="0.25">
      <c r="A1106" s="50">
        <f t="shared" si="17"/>
        <v>1104</v>
      </c>
      <c r="B1106" s="50">
        <v>6030</v>
      </c>
      <c r="C1106" s="50" t="s">
        <v>1141</v>
      </c>
      <c r="D1106" s="51" t="s">
        <v>85</v>
      </c>
      <c r="F1106" s="52">
        <f>SUMIF(CPY!$B:$B,Summary!$B1106,CPY!$I:$I)</f>
        <v>0</v>
      </c>
    </row>
    <row r="1107" spans="1:6" x14ac:dyDescent="0.25">
      <c r="A1107" s="50">
        <f t="shared" si="17"/>
        <v>1105</v>
      </c>
      <c r="B1107" s="50">
        <v>6031</v>
      </c>
      <c r="C1107" s="50" t="s">
        <v>1142</v>
      </c>
      <c r="D1107" s="51" t="s">
        <v>85</v>
      </c>
      <c r="F1107" s="52">
        <f>SUMIF(CPY!$B:$B,Summary!$B1107,CPY!$I:$I)</f>
        <v>0</v>
      </c>
    </row>
    <row r="1108" spans="1:6" x14ac:dyDescent="0.25">
      <c r="A1108" s="50">
        <f t="shared" si="17"/>
        <v>1106</v>
      </c>
      <c r="B1108" s="50">
        <v>6033</v>
      </c>
      <c r="C1108" s="50" t="s">
        <v>1143</v>
      </c>
      <c r="D1108" s="51" t="s">
        <v>85</v>
      </c>
      <c r="F1108" s="52">
        <f>SUMIF(CPY!$B:$B,Summary!$B1108,CPY!$I:$I)</f>
        <v>0</v>
      </c>
    </row>
    <row r="1109" spans="1:6" x14ac:dyDescent="0.25">
      <c r="A1109" s="50">
        <f t="shared" si="17"/>
        <v>1107</v>
      </c>
      <c r="B1109" s="50">
        <v>6034</v>
      </c>
      <c r="C1109" s="50" t="s">
        <v>1144</v>
      </c>
      <c r="D1109" s="51" t="s">
        <v>85</v>
      </c>
      <c r="F1109" s="52">
        <f>SUMIF(CPY!$B:$B,Summary!$B1109,CPY!$I:$I)</f>
        <v>0</v>
      </c>
    </row>
    <row r="1110" spans="1:6" x14ac:dyDescent="0.25">
      <c r="A1110" s="50">
        <f t="shared" si="17"/>
        <v>1108</v>
      </c>
      <c r="B1110" s="50">
        <v>6036</v>
      </c>
      <c r="C1110" s="50" t="s">
        <v>1145</v>
      </c>
      <c r="D1110" s="51" t="s">
        <v>85</v>
      </c>
      <c r="F1110" s="52">
        <f>SUMIF(CPY!$B:$B,Summary!$B1110,CPY!$I:$I)</f>
        <v>0</v>
      </c>
    </row>
    <row r="1111" spans="1:6" x14ac:dyDescent="0.25">
      <c r="A1111" s="50">
        <f t="shared" si="17"/>
        <v>1109</v>
      </c>
      <c r="B1111" s="50">
        <v>6037</v>
      </c>
      <c r="C1111" s="50" t="s">
        <v>1146</v>
      </c>
      <c r="D1111" s="51" t="s">
        <v>85</v>
      </c>
      <c r="F1111" s="52">
        <f>SUMIF(CPY!$B:$B,Summary!$B1111,CPY!$I:$I)</f>
        <v>0</v>
      </c>
    </row>
    <row r="1112" spans="1:6" x14ac:dyDescent="0.25">
      <c r="A1112" s="50">
        <f t="shared" si="17"/>
        <v>1110</v>
      </c>
      <c r="B1112" s="50">
        <v>6038</v>
      </c>
      <c r="C1112" s="50" t="s">
        <v>1147</v>
      </c>
      <c r="D1112" s="51" t="s">
        <v>85</v>
      </c>
      <c r="F1112" s="52">
        <f>SUMIF(CPY!$B:$B,Summary!$B1112,CPY!$I:$I)</f>
        <v>0</v>
      </c>
    </row>
    <row r="1113" spans="1:6" x14ac:dyDescent="0.25">
      <c r="A1113" s="50">
        <f t="shared" si="17"/>
        <v>1111</v>
      </c>
      <c r="B1113" s="50">
        <v>6043</v>
      </c>
      <c r="C1113" s="50" t="s">
        <v>1148</v>
      </c>
      <c r="D1113" s="51" t="s">
        <v>85</v>
      </c>
      <c r="F1113" s="52">
        <f>SUMIF(CPY!$B:$B,Summary!$B1113,CPY!$I:$I)</f>
        <v>0</v>
      </c>
    </row>
    <row r="1114" spans="1:6" x14ac:dyDescent="0.25">
      <c r="A1114" s="50">
        <f t="shared" si="17"/>
        <v>1112</v>
      </c>
      <c r="B1114" s="50">
        <v>6044</v>
      </c>
      <c r="C1114" s="50" t="s">
        <v>1149</v>
      </c>
      <c r="D1114" s="51" t="s">
        <v>85</v>
      </c>
      <c r="F1114" s="52">
        <f>SUMIF(CPY!$B:$B,Summary!$B1114,CPY!$I:$I)</f>
        <v>0</v>
      </c>
    </row>
    <row r="1115" spans="1:6" x14ac:dyDescent="0.25">
      <c r="A1115" s="50">
        <f t="shared" si="17"/>
        <v>1113</v>
      </c>
      <c r="B1115" s="50">
        <v>6046</v>
      </c>
      <c r="C1115" s="50" t="s">
        <v>1150</v>
      </c>
      <c r="D1115" s="51" t="s">
        <v>85</v>
      </c>
      <c r="F1115" s="52">
        <f>SUMIF(CPY!$B:$B,Summary!$B1115,CPY!$I:$I)</f>
        <v>0</v>
      </c>
    </row>
    <row r="1116" spans="1:6" x14ac:dyDescent="0.25">
      <c r="A1116" s="50">
        <f t="shared" si="17"/>
        <v>1114</v>
      </c>
      <c r="B1116" s="50">
        <v>6047</v>
      </c>
      <c r="C1116" s="50" t="s">
        <v>1151</v>
      </c>
      <c r="D1116" s="51" t="s">
        <v>85</v>
      </c>
      <c r="F1116" s="52">
        <f>SUMIF(CPY!$B:$B,Summary!$B1116,CPY!$I:$I)</f>
        <v>0</v>
      </c>
    </row>
    <row r="1117" spans="1:6" x14ac:dyDescent="0.25">
      <c r="A1117" s="50">
        <f t="shared" si="17"/>
        <v>1115</v>
      </c>
      <c r="B1117" s="50">
        <v>6048</v>
      </c>
      <c r="C1117" s="50" t="s">
        <v>1152</v>
      </c>
      <c r="D1117" s="51" t="s">
        <v>85</v>
      </c>
      <c r="F1117" s="52">
        <f>SUMIF(CPY!$B:$B,Summary!$B1117,CPY!$I:$I)</f>
        <v>0</v>
      </c>
    </row>
    <row r="1118" spans="1:6" x14ac:dyDescent="0.25">
      <c r="A1118" s="50">
        <f t="shared" si="17"/>
        <v>1116</v>
      </c>
      <c r="B1118" s="50">
        <v>6049</v>
      </c>
      <c r="C1118" s="50" t="s">
        <v>1153</v>
      </c>
      <c r="D1118" s="51" t="s">
        <v>85</v>
      </c>
      <c r="F1118" s="52">
        <f>SUMIF(CPY!$B:$B,Summary!$B1118,CPY!$I:$I)</f>
        <v>0</v>
      </c>
    </row>
    <row r="1119" spans="1:6" x14ac:dyDescent="0.25">
      <c r="A1119" s="50">
        <f t="shared" si="17"/>
        <v>1117</v>
      </c>
      <c r="B1119" s="50">
        <v>6053</v>
      </c>
      <c r="C1119" s="50" t="s">
        <v>1154</v>
      </c>
      <c r="D1119" s="51" t="s">
        <v>85</v>
      </c>
      <c r="F1119" s="52">
        <f>SUMIF(CPY!$B:$B,Summary!$B1119,CPY!$I:$I)</f>
        <v>0</v>
      </c>
    </row>
    <row r="1120" spans="1:6" x14ac:dyDescent="0.25">
      <c r="A1120" s="50">
        <f t="shared" si="17"/>
        <v>1118</v>
      </c>
      <c r="B1120" s="50">
        <v>6056</v>
      </c>
      <c r="C1120" s="50" t="s">
        <v>1155</v>
      </c>
      <c r="D1120" s="51" t="s">
        <v>85</v>
      </c>
      <c r="F1120" s="52">
        <f>SUMIF(CPY!$B:$B,Summary!$B1120,CPY!$I:$I)</f>
        <v>0</v>
      </c>
    </row>
    <row r="1121" spans="1:6" x14ac:dyDescent="0.25">
      <c r="A1121" s="50">
        <f t="shared" si="17"/>
        <v>1119</v>
      </c>
      <c r="B1121" s="50">
        <v>6057</v>
      </c>
      <c r="C1121" s="50" t="s">
        <v>1156</v>
      </c>
      <c r="D1121" s="51" t="s">
        <v>85</v>
      </c>
      <c r="F1121" s="52">
        <f>SUMIF(CPY!$B:$B,Summary!$B1121,CPY!$I:$I)</f>
        <v>0</v>
      </c>
    </row>
    <row r="1122" spans="1:6" x14ac:dyDescent="0.25">
      <c r="A1122" s="50">
        <f t="shared" si="17"/>
        <v>1120</v>
      </c>
      <c r="B1122" s="50">
        <v>6059</v>
      </c>
      <c r="C1122" s="50" t="s">
        <v>1157</v>
      </c>
      <c r="D1122" s="51" t="s">
        <v>85</v>
      </c>
      <c r="F1122" s="52">
        <f>SUMIF(CPY!$B:$B,Summary!$B1122,CPY!$I:$I)</f>
        <v>0</v>
      </c>
    </row>
    <row r="1123" spans="1:6" x14ac:dyDescent="0.25">
      <c r="A1123" s="50">
        <f t="shared" si="17"/>
        <v>1121</v>
      </c>
      <c r="B1123" s="50">
        <v>6060</v>
      </c>
      <c r="C1123" s="50" t="s">
        <v>1158</v>
      </c>
      <c r="D1123" s="51" t="s">
        <v>78</v>
      </c>
      <c r="F1123" s="52">
        <f>SUMIF(CPY!$B:$B,Summary!$B1123,CPY!$I:$I)</f>
        <v>0</v>
      </c>
    </row>
    <row r="1124" spans="1:6" x14ac:dyDescent="0.25">
      <c r="A1124" s="50">
        <f t="shared" si="17"/>
        <v>1122</v>
      </c>
      <c r="B1124" s="50">
        <v>6061</v>
      </c>
      <c r="C1124" s="50" t="s">
        <v>1159</v>
      </c>
      <c r="D1124" s="51" t="s">
        <v>85</v>
      </c>
      <c r="F1124" s="52">
        <f>SUMIF(CPY!$B:$B,Summary!$B1124,CPY!$I:$I)</f>
        <v>0</v>
      </c>
    </row>
    <row r="1125" spans="1:6" x14ac:dyDescent="0.25">
      <c r="A1125" s="50">
        <f t="shared" si="17"/>
        <v>1123</v>
      </c>
      <c r="B1125" s="50">
        <v>6062</v>
      </c>
      <c r="C1125" s="50" t="s">
        <v>1160</v>
      </c>
      <c r="D1125" s="51" t="s">
        <v>85</v>
      </c>
      <c r="F1125" s="52">
        <f>SUMIF(CPY!$B:$B,Summary!$B1125,CPY!$I:$I)</f>
        <v>0</v>
      </c>
    </row>
    <row r="1126" spans="1:6" x14ac:dyDescent="0.25">
      <c r="A1126" s="50">
        <f t="shared" si="17"/>
        <v>1124</v>
      </c>
      <c r="B1126" s="50">
        <v>6063</v>
      </c>
      <c r="C1126" s="50" t="s">
        <v>1161</v>
      </c>
      <c r="D1126" s="51" t="s">
        <v>69</v>
      </c>
      <c r="F1126" s="52">
        <f>SUMIF(CPY!$B:$B,Summary!$B1126,CPY!$I:$I)</f>
        <v>0</v>
      </c>
    </row>
    <row r="1127" spans="1:6" x14ac:dyDescent="0.25">
      <c r="A1127" s="50">
        <f t="shared" si="17"/>
        <v>1125</v>
      </c>
      <c r="B1127" s="50">
        <v>6065</v>
      </c>
      <c r="C1127" s="50" t="s">
        <v>1162</v>
      </c>
      <c r="D1127" s="51" t="s">
        <v>85</v>
      </c>
      <c r="F1127" s="52">
        <f>SUMIF(CPY!$B:$B,Summary!$B1127,CPY!$I:$I)</f>
        <v>0</v>
      </c>
    </row>
    <row r="1128" spans="1:6" x14ac:dyDescent="0.25">
      <c r="A1128" s="50">
        <f t="shared" si="17"/>
        <v>1126</v>
      </c>
      <c r="B1128" s="50">
        <v>6066</v>
      </c>
      <c r="C1128" s="50" t="s">
        <v>1163</v>
      </c>
      <c r="D1128" s="51" t="s">
        <v>85</v>
      </c>
      <c r="F1128" s="52">
        <f>SUMIF(CPY!$B:$B,Summary!$B1128,CPY!$I:$I)</f>
        <v>0</v>
      </c>
    </row>
    <row r="1129" spans="1:6" x14ac:dyDescent="0.25">
      <c r="A1129" s="50">
        <f t="shared" si="17"/>
        <v>1127</v>
      </c>
      <c r="B1129" s="50">
        <v>6067</v>
      </c>
      <c r="C1129" s="50" t="s">
        <v>1164</v>
      </c>
      <c r="D1129" s="51" t="s">
        <v>85</v>
      </c>
      <c r="F1129" s="52">
        <f>SUMIF(CPY!$B:$B,Summary!$B1129,CPY!$I:$I)</f>
        <v>0</v>
      </c>
    </row>
    <row r="1130" spans="1:6" x14ac:dyDescent="0.25">
      <c r="A1130" s="50">
        <f t="shared" si="17"/>
        <v>1128</v>
      </c>
      <c r="B1130" s="50">
        <v>6068</v>
      </c>
      <c r="C1130" s="50" t="s">
        <v>1165</v>
      </c>
      <c r="D1130" s="51" t="s">
        <v>85</v>
      </c>
      <c r="F1130" s="52">
        <f>SUMIF(CPY!$B:$B,Summary!$B1130,CPY!$I:$I)</f>
        <v>0</v>
      </c>
    </row>
    <row r="1131" spans="1:6" x14ac:dyDescent="0.25">
      <c r="A1131" s="50">
        <f t="shared" si="17"/>
        <v>1129</v>
      </c>
      <c r="B1131" s="50">
        <v>6069</v>
      </c>
      <c r="C1131" s="50" t="s">
        <v>1166</v>
      </c>
      <c r="D1131" s="51" t="s">
        <v>85</v>
      </c>
      <c r="F1131" s="52">
        <f>SUMIF(CPY!$B:$B,Summary!$B1131,CPY!$I:$I)</f>
        <v>0</v>
      </c>
    </row>
    <row r="1132" spans="1:6" x14ac:dyDescent="0.25">
      <c r="A1132" s="50">
        <f t="shared" si="17"/>
        <v>1130</v>
      </c>
      <c r="B1132" s="50">
        <v>6070</v>
      </c>
      <c r="C1132" s="50" t="s">
        <v>928</v>
      </c>
      <c r="D1132" s="51" t="s">
        <v>85</v>
      </c>
      <c r="F1132" s="52">
        <f>SUMIF(CPY!$B:$B,Summary!$B1132,CPY!$I:$I)</f>
        <v>0</v>
      </c>
    </row>
    <row r="1133" spans="1:6" x14ac:dyDescent="0.25">
      <c r="A1133" s="50">
        <f t="shared" si="17"/>
        <v>1131</v>
      </c>
      <c r="B1133" s="50">
        <v>6071</v>
      </c>
      <c r="C1133" s="50" t="s">
        <v>1167</v>
      </c>
      <c r="D1133" s="51" t="s">
        <v>85</v>
      </c>
      <c r="F1133" s="52">
        <f>SUMIF(CPY!$B:$B,Summary!$B1133,CPY!$I:$I)</f>
        <v>0</v>
      </c>
    </row>
    <row r="1134" spans="1:6" x14ac:dyDescent="0.25">
      <c r="A1134" s="50">
        <f t="shared" si="17"/>
        <v>1132</v>
      </c>
      <c r="B1134" s="50">
        <v>6073</v>
      </c>
      <c r="C1134" s="50" t="s">
        <v>1168</v>
      </c>
      <c r="D1134" s="51" t="s">
        <v>85</v>
      </c>
      <c r="F1134" s="52">
        <f>SUMIF(CPY!$B:$B,Summary!$B1134,CPY!$I:$I)</f>
        <v>0</v>
      </c>
    </row>
    <row r="1135" spans="1:6" x14ac:dyDescent="0.25">
      <c r="A1135" s="50">
        <f t="shared" si="17"/>
        <v>1133</v>
      </c>
      <c r="B1135" s="50">
        <v>6076</v>
      </c>
      <c r="C1135" s="50" t="s">
        <v>1169</v>
      </c>
      <c r="D1135" s="51" t="s">
        <v>85</v>
      </c>
      <c r="F1135" s="52">
        <f>SUMIF(CPY!$B:$B,Summary!$B1135,CPY!$I:$I)</f>
        <v>0</v>
      </c>
    </row>
    <row r="1136" spans="1:6" x14ac:dyDescent="0.25">
      <c r="A1136" s="50">
        <f t="shared" si="17"/>
        <v>1134</v>
      </c>
      <c r="B1136" s="50">
        <v>6077</v>
      </c>
      <c r="C1136" s="50" t="s">
        <v>1170</v>
      </c>
      <c r="D1136" s="51" t="s">
        <v>69</v>
      </c>
      <c r="F1136" s="52">
        <f>SUMIF(CPY!$B:$B,Summary!$B1136,CPY!$I:$I)</f>
        <v>0</v>
      </c>
    </row>
    <row r="1137" spans="1:6" x14ac:dyDescent="0.25">
      <c r="A1137" s="50">
        <f t="shared" si="17"/>
        <v>1135</v>
      </c>
      <c r="B1137" s="50">
        <v>6078</v>
      </c>
      <c r="C1137" s="50" t="s">
        <v>1171</v>
      </c>
      <c r="D1137" s="51" t="s">
        <v>85</v>
      </c>
      <c r="F1137" s="52">
        <f>SUMIF(CPY!$B:$B,Summary!$B1137,CPY!$I:$I)</f>
        <v>0</v>
      </c>
    </row>
    <row r="1138" spans="1:6" x14ac:dyDescent="0.25">
      <c r="A1138" s="50">
        <f t="shared" si="17"/>
        <v>1136</v>
      </c>
      <c r="B1138" s="50">
        <v>6079</v>
      </c>
      <c r="C1138" s="50" t="s">
        <v>1172</v>
      </c>
      <c r="D1138" s="51" t="s">
        <v>69</v>
      </c>
      <c r="F1138" s="52">
        <f>SUMIF(CPY!$B:$B,Summary!$B1138,CPY!$I:$I)</f>
        <v>0</v>
      </c>
    </row>
    <row r="1139" spans="1:6" x14ac:dyDescent="0.25">
      <c r="A1139" s="50">
        <f t="shared" si="17"/>
        <v>1137</v>
      </c>
      <c r="B1139" s="50">
        <v>6080</v>
      </c>
      <c r="C1139" s="50" t="s">
        <v>1173</v>
      </c>
      <c r="D1139" s="51" t="s">
        <v>85</v>
      </c>
      <c r="F1139" s="52">
        <f>SUMIF(CPY!$B:$B,Summary!$B1139,CPY!$I:$I)</f>
        <v>0</v>
      </c>
    </row>
    <row r="1140" spans="1:6" x14ac:dyDescent="0.25">
      <c r="A1140" s="50">
        <f t="shared" si="17"/>
        <v>1138</v>
      </c>
      <c r="B1140" s="50">
        <v>6081</v>
      </c>
      <c r="C1140" s="50" t="s">
        <v>1174</v>
      </c>
      <c r="D1140" s="51" t="s">
        <v>85</v>
      </c>
      <c r="F1140" s="52">
        <f>SUMIF(CPY!$B:$B,Summary!$B1140,CPY!$I:$I)</f>
        <v>0</v>
      </c>
    </row>
    <row r="1141" spans="1:6" x14ac:dyDescent="0.25">
      <c r="A1141" s="50">
        <f t="shared" si="17"/>
        <v>1139</v>
      </c>
      <c r="B1141" s="50">
        <v>6082</v>
      </c>
      <c r="C1141" s="50" t="s">
        <v>1175</v>
      </c>
      <c r="D1141" s="51" t="s">
        <v>85</v>
      </c>
      <c r="F1141" s="52">
        <f>SUMIF(CPY!$B:$B,Summary!$B1141,CPY!$I:$I)</f>
        <v>0</v>
      </c>
    </row>
    <row r="1142" spans="1:6" x14ac:dyDescent="0.25">
      <c r="A1142" s="50">
        <f t="shared" si="17"/>
        <v>1140</v>
      </c>
      <c r="B1142" s="50">
        <v>6083</v>
      </c>
      <c r="C1142" s="50" t="s">
        <v>1176</v>
      </c>
      <c r="D1142" s="51" t="s">
        <v>85</v>
      </c>
      <c r="F1142" s="52">
        <f>SUMIF(CPY!$B:$B,Summary!$B1142,CPY!$I:$I)</f>
        <v>0</v>
      </c>
    </row>
    <row r="1143" spans="1:6" x14ac:dyDescent="0.25">
      <c r="A1143" s="50">
        <f t="shared" si="17"/>
        <v>1141</v>
      </c>
      <c r="B1143" s="50">
        <v>6084</v>
      </c>
      <c r="C1143" s="50" t="s">
        <v>1177</v>
      </c>
      <c r="D1143" s="51" t="s">
        <v>85</v>
      </c>
      <c r="F1143" s="52">
        <f>SUMIF(CPY!$B:$B,Summary!$B1143,CPY!$I:$I)</f>
        <v>0</v>
      </c>
    </row>
    <row r="1144" spans="1:6" x14ac:dyDescent="0.25">
      <c r="A1144" s="50">
        <f t="shared" si="17"/>
        <v>1142</v>
      </c>
      <c r="B1144" s="50">
        <v>6085</v>
      </c>
      <c r="C1144" s="50" t="s">
        <v>1178</v>
      </c>
      <c r="D1144" s="51" t="s">
        <v>85</v>
      </c>
      <c r="F1144" s="52">
        <f>SUMIF(CPY!$B:$B,Summary!$B1144,CPY!$I:$I)</f>
        <v>0</v>
      </c>
    </row>
    <row r="1145" spans="1:6" x14ac:dyDescent="0.25">
      <c r="A1145" s="50">
        <f t="shared" si="17"/>
        <v>1143</v>
      </c>
      <c r="B1145" s="50">
        <v>6087</v>
      </c>
      <c r="C1145" s="50" t="s">
        <v>1179</v>
      </c>
      <c r="D1145" s="51" t="s">
        <v>85</v>
      </c>
      <c r="F1145" s="52">
        <f>SUMIF(CPY!$B:$B,Summary!$B1145,CPY!$I:$I)</f>
        <v>0</v>
      </c>
    </row>
    <row r="1146" spans="1:6" x14ac:dyDescent="0.25">
      <c r="A1146" s="50">
        <f t="shared" si="17"/>
        <v>1144</v>
      </c>
      <c r="B1146" s="50">
        <v>6089</v>
      </c>
      <c r="C1146" s="50" t="s">
        <v>1180</v>
      </c>
      <c r="D1146" s="51" t="s">
        <v>85</v>
      </c>
      <c r="F1146" s="52">
        <f>SUMIF(CPY!$B:$B,Summary!$B1146,CPY!$I:$I)</f>
        <v>0</v>
      </c>
    </row>
    <row r="1147" spans="1:6" x14ac:dyDescent="0.25">
      <c r="A1147" s="50">
        <f t="shared" si="17"/>
        <v>1145</v>
      </c>
      <c r="B1147" s="50">
        <v>6090</v>
      </c>
      <c r="C1147" s="50" t="s">
        <v>1181</v>
      </c>
      <c r="D1147" s="51" t="s">
        <v>85</v>
      </c>
      <c r="F1147" s="52">
        <f>SUMIF(CPY!$B:$B,Summary!$B1147,CPY!$I:$I)</f>
        <v>0</v>
      </c>
    </row>
    <row r="1148" spans="1:6" x14ac:dyDescent="0.25">
      <c r="A1148" s="50">
        <f t="shared" si="17"/>
        <v>1146</v>
      </c>
      <c r="B1148" s="50">
        <v>6091</v>
      </c>
      <c r="C1148" s="50" t="s">
        <v>1182</v>
      </c>
      <c r="D1148" s="51" t="s">
        <v>85</v>
      </c>
      <c r="F1148" s="52">
        <f>SUMIF(CPY!$B:$B,Summary!$B1148,CPY!$I:$I)</f>
        <v>0</v>
      </c>
    </row>
    <row r="1149" spans="1:6" x14ac:dyDescent="0.25">
      <c r="A1149" s="50">
        <f t="shared" si="17"/>
        <v>1147</v>
      </c>
      <c r="B1149" s="50">
        <v>6095</v>
      </c>
      <c r="C1149" s="50" t="s">
        <v>1183</v>
      </c>
      <c r="D1149" s="51" t="s">
        <v>85</v>
      </c>
      <c r="F1149" s="52">
        <f>SUMIF(CPY!$B:$B,Summary!$B1149,CPY!$I:$I)</f>
        <v>0</v>
      </c>
    </row>
    <row r="1150" spans="1:6" x14ac:dyDescent="0.25">
      <c r="A1150" s="50">
        <f t="shared" si="17"/>
        <v>1148</v>
      </c>
      <c r="B1150" s="50">
        <v>6096</v>
      </c>
      <c r="C1150" s="50" t="s">
        <v>1184</v>
      </c>
      <c r="D1150" s="51" t="s">
        <v>85</v>
      </c>
      <c r="F1150" s="52">
        <f>SUMIF(CPY!$B:$B,Summary!$B1150,CPY!$I:$I)</f>
        <v>0</v>
      </c>
    </row>
    <row r="1151" spans="1:6" x14ac:dyDescent="0.25">
      <c r="A1151" s="50">
        <f t="shared" si="17"/>
        <v>1149</v>
      </c>
      <c r="B1151" s="50">
        <v>6097</v>
      </c>
      <c r="C1151" s="50" t="s">
        <v>1185</v>
      </c>
      <c r="D1151" s="51" t="s">
        <v>85</v>
      </c>
      <c r="F1151" s="52">
        <f>SUMIF(CPY!$B:$B,Summary!$B1151,CPY!$I:$I)</f>
        <v>0</v>
      </c>
    </row>
    <row r="1152" spans="1:6" x14ac:dyDescent="0.25">
      <c r="A1152" s="50">
        <f t="shared" si="17"/>
        <v>1150</v>
      </c>
      <c r="B1152" s="50">
        <v>6098</v>
      </c>
      <c r="C1152" s="50" t="s">
        <v>1186</v>
      </c>
      <c r="D1152" s="51" t="s">
        <v>85</v>
      </c>
      <c r="F1152" s="52">
        <f>SUMIF(CPY!$B:$B,Summary!$B1152,CPY!$I:$I)</f>
        <v>0</v>
      </c>
    </row>
    <row r="1153" spans="1:6" x14ac:dyDescent="0.25">
      <c r="A1153" s="50">
        <f t="shared" si="17"/>
        <v>1151</v>
      </c>
      <c r="B1153" s="50">
        <v>6099</v>
      </c>
      <c r="C1153" s="50" t="s">
        <v>1187</v>
      </c>
      <c r="D1153" s="51" t="s">
        <v>69</v>
      </c>
      <c r="F1153" s="52">
        <f>SUMIF(CPY!$B:$B,Summary!$B1153,CPY!$I:$I)</f>
        <v>0</v>
      </c>
    </row>
    <row r="1154" spans="1:6" x14ac:dyDescent="0.25">
      <c r="A1154" s="50">
        <f t="shared" si="17"/>
        <v>1152</v>
      </c>
      <c r="B1154" s="50">
        <v>6100</v>
      </c>
      <c r="C1154" s="50" t="s">
        <v>1188</v>
      </c>
      <c r="D1154" s="51" t="s">
        <v>69</v>
      </c>
      <c r="F1154" s="52">
        <f>SUMIF(CPY!$B:$B,Summary!$B1154,CPY!$I:$I)</f>
        <v>0</v>
      </c>
    </row>
    <row r="1155" spans="1:6" x14ac:dyDescent="0.25">
      <c r="A1155" s="50">
        <f t="shared" si="17"/>
        <v>1153</v>
      </c>
      <c r="B1155" s="50">
        <v>6101</v>
      </c>
      <c r="C1155" s="50" t="s">
        <v>1189</v>
      </c>
      <c r="D1155" s="51" t="s">
        <v>69</v>
      </c>
      <c r="F1155" s="52">
        <f>SUMIF(CPY!$B:$B,Summary!$B1155,CPY!$I:$I)</f>
        <v>0</v>
      </c>
    </row>
    <row r="1156" spans="1:6" x14ac:dyDescent="0.25">
      <c r="A1156" s="50">
        <f t="shared" si="17"/>
        <v>1154</v>
      </c>
      <c r="B1156" s="50">
        <v>6102</v>
      </c>
      <c r="C1156" s="50" t="s">
        <v>1190</v>
      </c>
      <c r="D1156" s="51" t="s">
        <v>85</v>
      </c>
      <c r="F1156" s="52">
        <f>SUMIF(CPY!$B:$B,Summary!$B1156,CPY!$I:$I)</f>
        <v>0</v>
      </c>
    </row>
    <row r="1157" spans="1:6" x14ac:dyDescent="0.25">
      <c r="A1157" s="50">
        <f t="shared" ref="A1157:A1220" si="18">+A1156+1</f>
        <v>1155</v>
      </c>
      <c r="B1157" s="50">
        <v>6103</v>
      </c>
      <c r="C1157" s="50" t="s">
        <v>1191</v>
      </c>
      <c r="D1157" s="51" t="s">
        <v>69</v>
      </c>
      <c r="F1157" s="52">
        <f>SUMIF(CPY!$B:$B,Summary!$B1157,CPY!$I:$I)</f>
        <v>0</v>
      </c>
    </row>
    <row r="1158" spans="1:6" x14ac:dyDescent="0.25">
      <c r="A1158" s="50">
        <f t="shared" si="18"/>
        <v>1156</v>
      </c>
      <c r="B1158" s="50">
        <v>6105</v>
      </c>
      <c r="C1158" s="50" t="s">
        <v>1192</v>
      </c>
      <c r="D1158" s="51" t="s">
        <v>85</v>
      </c>
      <c r="F1158" s="52">
        <f>SUMIF(CPY!$B:$B,Summary!$B1158,CPY!$I:$I)</f>
        <v>0</v>
      </c>
    </row>
    <row r="1159" spans="1:6" x14ac:dyDescent="0.25">
      <c r="A1159" s="50">
        <f t="shared" si="18"/>
        <v>1157</v>
      </c>
      <c r="B1159" s="50">
        <v>6106</v>
      </c>
      <c r="C1159" s="50" t="s">
        <v>1193</v>
      </c>
      <c r="D1159" s="51" t="s">
        <v>85</v>
      </c>
      <c r="F1159" s="52">
        <f>SUMIF(CPY!$B:$B,Summary!$B1159,CPY!$I:$I)</f>
        <v>0</v>
      </c>
    </row>
    <row r="1160" spans="1:6" x14ac:dyDescent="0.25">
      <c r="A1160" s="50">
        <f t="shared" si="18"/>
        <v>1158</v>
      </c>
      <c r="B1160" s="50">
        <v>6107</v>
      </c>
      <c r="C1160" s="50" t="s">
        <v>1194</v>
      </c>
      <c r="D1160" s="51" t="s">
        <v>85</v>
      </c>
      <c r="F1160" s="52">
        <f>SUMIF(CPY!$B:$B,Summary!$B1160,CPY!$I:$I)</f>
        <v>0</v>
      </c>
    </row>
    <row r="1161" spans="1:6" x14ac:dyDescent="0.25">
      <c r="A1161" s="50">
        <f t="shared" si="18"/>
        <v>1159</v>
      </c>
      <c r="B1161" s="50">
        <v>6108</v>
      </c>
      <c r="C1161" s="50" t="s">
        <v>1195</v>
      </c>
      <c r="D1161" s="51" t="s">
        <v>85</v>
      </c>
      <c r="F1161" s="52">
        <f>SUMIF(CPY!$B:$B,Summary!$B1161,CPY!$I:$I)</f>
        <v>0</v>
      </c>
    </row>
    <row r="1162" spans="1:6" x14ac:dyDescent="0.25">
      <c r="A1162" s="50">
        <f t="shared" si="18"/>
        <v>1160</v>
      </c>
      <c r="B1162" s="50">
        <v>6109</v>
      </c>
      <c r="C1162" s="50" t="s">
        <v>1196</v>
      </c>
      <c r="D1162" s="51" t="s">
        <v>85</v>
      </c>
      <c r="F1162" s="52">
        <f>SUMIF(CPY!$B:$B,Summary!$B1162,CPY!$I:$I)</f>
        <v>0</v>
      </c>
    </row>
    <row r="1163" spans="1:6" x14ac:dyDescent="0.25">
      <c r="A1163" s="50">
        <f t="shared" si="18"/>
        <v>1161</v>
      </c>
      <c r="B1163" s="50">
        <v>6110</v>
      </c>
      <c r="C1163" s="50" t="s">
        <v>1197</v>
      </c>
      <c r="D1163" s="51" t="s">
        <v>85</v>
      </c>
      <c r="F1163" s="52">
        <f>SUMIF(CPY!$B:$B,Summary!$B1163,CPY!$I:$I)</f>
        <v>0</v>
      </c>
    </row>
    <row r="1164" spans="1:6" x14ac:dyDescent="0.25">
      <c r="A1164" s="50">
        <f t="shared" si="18"/>
        <v>1162</v>
      </c>
      <c r="B1164" s="50">
        <v>6111</v>
      </c>
      <c r="C1164" s="50" t="s">
        <v>1198</v>
      </c>
      <c r="D1164" s="51" t="s">
        <v>85</v>
      </c>
      <c r="F1164" s="52">
        <f>SUMIF(CPY!$B:$B,Summary!$B1164,CPY!$I:$I)</f>
        <v>0</v>
      </c>
    </row>
    <row r="1165" spans="1:6" x14ac:dyDescent="0.25">
      <c r="A1165" s="50">
        <f t="shared" si="18"/>
        <v>1163</v>
      </c>
      <c r="B1165" s="50">
        <v>6115</v>
      </c>
      <c r="C1165" s="50" t="s">
        <v>1199</v>
      </c>
      <c r="D1165" s="51" t="s">
        <v>85</v>
      </c>
      <c r="F1165" s="52">
        <f>SUMIF(CPY!$B:$B,Summary!$B1165,CPY!$I:$I)</f>
        <v>0</v>
      </c>
    </row>
    <row r="1166" spans="1:6" x14ac:dyDescent="0.25">
      <c r="A1166" s="50">
        <f t="shared" si="18"/>
        <v>1164</v>
      </c>
      <c r="B1166" s="50">
        <v>6116</v>
      </c>
      <c r="C1166" s="50" t="s">
        <v>1200</v>
      </c>
      <c r="D1166" s="51" t="s">
        <v>85</v>
      </c>
      <c r="F1166" s="52">
        <f>SUMIF(CPY!$B:$B,Summary!$B1166,CPY!$I:$I)</f>
        <v>0</v>
      </c>
    </row>
    <row r="1167" spans="1:6" x14ac:dyDescent="0.25">
      <c r="A1167" s="50">
        <f t="shared" si="18"/>
        <v>1165</v>
      </c>
      <c r="B1167" s="50">
        <v>6117</v>
      </c>
      <c r="C1167" s="50" t="s">
        <v>1201</v>
      </c>
      <c r="D1167" s="51" t="s">
        <v>85</v>
      </c>
      <c r="F1167" s="52">
        <f>SUMIF(CPY!$B:$B,Summary!$B1167,CPY!$I:$I)</f>
        <v>0</v>
      </c>
    </row>
    <row r="1168" spans="1:6" x14ac:dyDescent="0.25">
      <c r="A1168" s="50">
        <f t="shared" si="18"/>
        <v>1166</v>
      </c>
      <c r="B1168" s="50">
        <v>6121</v>
      </c>
      <c r="C1168" s="50" t="s">
        <v>1202</v>
      </c>
      <c r="D1168" s="51" t="s">
        <v>85</v>
      </c>
      <c r="F1168" s="52">
        <f>SUMIF(CPY!$B:$B,Summary!$B1168,CPY!$I:$I)</f>
        <v>0</v>
      </c>
    </row>
    <row r="1169" spans="1:6" x14ac:dyDescent="0.25">
      <c r="A1169" s="50">
        <f t="shared" si="18"/>
        <v>1167</v>
      </c>
      <c r="B1169" s="50">
        <v>6123</v>
      </c>
      <c r="C1169" s="50" t="s">
        <v>1203</v>
      </c>
      <c r="D1169" s="51" t="s">
        <v>85</v>
      </c>
      <c r="F1169" s="52">
        <f>SUMIF(CPY!$B:$B,Summary!$B1169,CPY!$I:$I)</f>
        <v>0</v>
      </c>
    </row>
    <row r="1170" spans="1:6" x14ac:dyDescent="0.25">
      <c r="A1170" s="50">
        <f t="shared" si="18"/>
        <v>1168</v>
      </c>
      <c r="B1170" s="50">
        <v>6126</v>
      </c>
      <c r="C1170" s="50" t="s">
        <v>1204</v>
      </c>
      <c r="D1170" s="51" t="s">
        <v>85</v>
      </c>
      <c r="F1170" s="52">
        <f>SUMIF(CPY!$B:$B,Summary!$B1170,CPY!$I:$I)</f>
        <v>0</v>
      </c>
    </row>
    <row r="1171" spans="1:6" x14ac:dyDescent="0.25">
      <c r="A1171" s="50">
        <f t="shared" si="18"/>
        <v>1169</v>
      </c>
      <c r="B1171" s="50">
        <v>6128</v>
      </c>
      <c r="C1171" s="50" t="s">
        <v>1205</v>
      </c>
      <c r="D1171" s="51" t="s">
        <v>85</v>
      </c>
      <c r="F1171" s="52">
        <f>SUMIF(CPY!$B:$B,Summary!$B1171,CPY!$I:$I)</f>
        <v>0</v>
      </c>
    </row>
    <row r="1172" spans="1:6" x14ac:dyDescent="0.25">
      <c r="A1172" s="50">
        <f t="shared" si="18"/>
        <v>1170</v>
      </c>
      <c r="B1172" s="50">
        <v>6129</v>
      </c>
      <c r="C1172" s="50" t="s">
        <v>1206</v>
      </c>
      <c r="D1172" s="51" t="s">
        <v>85</v>
      </c>
      <c r="F1172" s="52">
        <f>SUMIF(CPY!$B:$B,Summary!$B1172,CPY!$I:$I)</f>
        <v>0</v>
      </c>
    </row>
    <row r="1173" spans="1:6" x14ac:dyDescent="0.25">
      <c r="A1173" s="50">
        <f t="shared" si="18"/>
        <v>1171</v>
      </c>
      <c r="B1173" s="50">
        <v>6131</v>
      </c>
      <c r="C1173" s="50" t="s">
        <v>1207</v>
      </c>
      <c r="D1173" s="51" t="s">
        <v>85</v>
      </c>
      <c r="F1173" s="52">
        <f>SUMIF(CPY!$B:$B,Summary!$B1173,CPY!$I:$I)</f>
        <v>0</v>
      </c>
    </row>
    <row r="1174" spans="1:6" x14ac:dyDescent="0.25">
      <c r="A1174" s="50">
        <f t="shared" si="18"/>
        <v>1172</v>
      </c>
      <c r="B1174" s="50">
        <v>6134</v>
      </c>
      <c r="C1174" s="50" t="s">
        <v>1208</v>
      </c>
      <c r="D1174" s="51" t="s">
        <v>85</v>
      </c>
      <c r="F1174" s="52">
        <f>SUMIF(CPY!$B:$B,Summary!$B1174,CPY!$I:$I)</f>
        <v>0</v>
      </c>
    </row>
    <row r="1175" spans="1:6" x14ac:dyDescent="0.25">
      <c r="A1175" s="50">
        <f t="shared" si="18"/>
        <v>1173</v>
      </c>
      <c r="B1175" s="50">
        <v>6135</v>
      </c>
      <c r="C1175" s="50" t="s">
        <v>1209</v>
      </c>
      <c r="D1175" s="51" t="s">
        <v>85</v>
      </c>
      <c r="F1175" s="52">
        <f>SUMIF(CPY!$B:$B,Summary!$B1175,CPY!$I:$I)</f>
        <v>0</v>
      </c>
    </row>
    <row r="1176" spans="1:6" x14ac:dyDescent="0.25">
      <c r="A1176" s="50">
        <f t="shared" si="18"/>
        <v>1174</v>
      </c>
      <c r="B1176" s="50">
        <v>6137</v>
      </c>
      <c r="C1176" s="50" t="s">
        <v>592</v>
      </c>
      <c r="D1176" s="51" t="s">
        <v>85</v>
      </c>
      <c r="F1176" s="52">
        <f>SUMIF(CPY!$B:$B,Summary!$B1176,CPY!$I:$I)</f>
        <v>0</v>
      </c>
    </row>
    <row r="1177" spans="1:6" x14ac:dyDescent="0.25">
      <c r="A1177" s="50">
        <f t="shared" si="18"/>
        <v>1175</v>
      </c>
      <c r="B1177" s="50">
        <v>6138</v>
      </c>
      <c r="C1177" s="50" t="s">
        <v>1210</v>
      </c>
      <c r="D1177" s="51" t="s">
        <v>85</v>
      </c>
      <c r="F1177" s="52">
        <f>SUMIF(CPY!$B:$B,Summary!$B1177,CPY!$I:$I)</f>
        <v>0</v>
      </c>
    </row>
    <row r="1178" spans="1:6" x14ac:dyDescent="0.25">
      <c r="A1178" s="50">
        <f t="shared" si="18"/>
        <v>1176</v>
      </c>
      <c r="B1178" s="50">
        <v>6140</v>
      </c>
      <c r="C1178" s="50" t="s">
        <v>1211</v>
      </c>
      <c r="D1178" s="51" t="s">
        <v>85</v>
      </c>
      <c r="F1178" s="52">
        <f>SUMIF(CPY!$B:$B,Summary!$B1178,CPY!$I:$I)</f>
        <v>0</v>
      </c>
    </row>
    <row r="1179" spans="1:6" x14ac:dyDescent="0.25">
      <c r="A1179" s="50">
        <f t="shared" si="18"/>
        <v>1177</v>
      </c>
      <c r="B1179" s="50">
        <v>6142</v>
      </c>
      <c r="C1179" s="50" t="s">
        <v>1212</v>
      </c>
      <c r="D1179" s="51" t="s">
        <v>85</v>
      </c>
      <c r="F1179" s="52">
        <f>SUMIF(CPY!$B:$B,Summary!$B1179,CPY!$I:$I)</f>
        <v>0</v>
      </c>
    </row>
    <row r="1180" spans="1:6" x14ac:dyDescent="0.25">
      <c r="A1180" s="50">
        <f t="shared" si="18"/>
        <v>1178</v>
      </c>
      <c r="B1180" s="50">
        <v>6145</v>
      </c>
      <c r="C1180" s="50" t="s">
        <v>1213</v>
      </c>
      <c r="D1180" s="51" t="s">
        <v>85</v>
      </c>
      <c r="F1180" s="52">
        <f>SUMIF(CPY!$B:$B,Summary!$B1180,CPY!$I:$I)</f>
        <v>0</v>
      </c>
    </row>
    <row r="1181" spans="1:6" x14ac:dyDescent="0.25">
      <c r="A1181" s="50">
        <f t="shared" si="18"/>
        <v>1179</v>
      </c>
      <c r="B1181" s="50">
        <v>6146</v>
      </c>
      <c r="C1181" s="50" t="s">
        <v>1214</v>
      </c>
      <c r="D1181" s="51" t="s">
        <v>85</v>
      </c>
      <c r="F1181" s="52">
        <f>SUMIF(CPY!$B:$B,Summary!$B1181,CPY!$I:$I)</f>
        <v>0</v>
      </c>
    </row>
    <row r="1182" spans="1:6" x14ac:dyDescent="0.25">
      <c r="A1182" s="50">
        <f t="shared" si="18"/>
        <v>1180</v>
      </c>
      <c r="B1182" s="50">
        <v>6153</v>
      </c>
      <c r="C1182" s="50" t="s">
        <v>1215</v>
      </c>
      <c r="D1182" s="51" t="s">
        <v>85</v>
      </c>
      <c r="F1182" s="52">
        <f>SUMIF(CPY!$B:$B,Summary!$B1182,CPY!$I:$I)</f>
        <v>0</v>
      </c>
    </row>
    <row r="1183" spans="1:6" x14ac:dyDescent="0.25">
      <c r="A1183" s="50">
        <f t="shared" si="18"/>
        <v>1181</v>
      </c>
      <c r="B1183" s="50">
        <v>6158</v>
      </c>
      <c r="C1183" s="50" t="s">
        <v>1216</v>
      </c>
      <c r="D1183" s="51" t="s">
        <v>46</v>
      </c>
      <c r="F1183" s="52">
        <f>SUMIF(CPY!$B:$B,Summary!$B1183,CPY!$I:$I)</f>
        <v>0</v>
      </c>
    </row>
    <row r="1184" spans="1:6" x14ac:dyDescent="0.25">
      <c r="A1184" s="50">
        <f t="shared" si="18"/>
        <v>1182</v>
      </c>
      <c r="B1184" s="50">
        <v>6159</v>
      </c>
      <c r="C1184" s="50" t="s">
        <v>1217</v>
      </c>
      <c r="D1184" s="51" t="s">
        <v>85</v>
      </c>
      <c r="F1184" s="52">
        <f>SUMIF(CPY!$B:$B,Summary!$B1184,CPY!$I:$I)</f>
        <v>0</v>
      </c>
    </row>
    <row r="1185" spans="1:6" x14ac:dyDescent="0.25">
      <c r="A1185" s="50">
        <f t="shared" si="18"/>
        <v>1183</v>
      </c>
      <c r="B1185" s="50">
        <v>6161</v>
      </c>
      <c r="C1185" s="50" t="s">
        <v>1218</v>
      </c>
      <c r="D1185" s="51" t="s">
        <v>85</v>
      </c>
      <c r="F1185" s="52">
        <f>SUMIF(CPY!$B:$B,Summary!$B1185,CPY!$I:$I)</f>
        <v>0</v>
      </c>
    </row>
    <row r="1186" spans="1:6" x14ac:dyDescent="0.25">
      <c r="A1186" s="50">
        <f t="shared" si="18"/>
        <v>1184</v>
      </c>
      <c r="B1186" s="50">
        <v>6162</v>
      </c>
      <c r="C1186" s="50" t="s">
        <v>1219</v>
      </c>
      <c r="D1186" s="51" t="s">
        <v>85</v>
      </c>
      <c r="F1186" s="52">
        <f>SUMIF(CPY!$B:$B,Summary!$B1186,CPY!$I:$I)</f>
        <v>0</v>
      </c>
    </row>
    <row r="1187" spans="1:6" x14ac:dyDescent="0.25">
      <c r="A1187" s="50">
        <f t="shared" si="18"/>
        <v>1185</v>
      </c>
      <c r="B1187" s="50">
        <v>6163</v>
      </c>
      <c r="C1187" s="50" t="s">
        <v>1220</v>
      </c>
      <c r="D1187" s="51" t="s">
        <v>85</v>
      </c>
      <c r="F1187" s="52">
        <f>SUMIF(CPY!$B:$B,Summary!$B1187,CPY!$I:$I)</f>
        <v>0</v>
      </c>
    </row>
    <row r="1188" spans="1:6" x14ac:dyDescent="0.25">
      <c r="A1188" s="50">
        <f t="shared" si="18"/>
        <v>1186</v>
      </c>
      <c r="B1188" s="50">
        <v>6168</v>
      </c>
      <c r="C1188" s="50" t="s">
        <v>1221</v>
      </c>
      <c r="D1188" s="51" t="s">
        <v>85</v>
      </c>
      <c r="F1188" s="52">
        <f>SUMIF(CPY!$B:$B,Summary!$B1188,CPY!$I:$I)</f>
        <v>0</v>
      </c>
    </row>
    <row r="1189" spans="1:6" x14ac:dyDescent="0.25">
      <c r="A1189" s="50">
        <f t="shared" si="18"/>
        <v>1187</v>
      </c>
      <c r="B1189" s="50">
        <v>6170</v>
      </c>
      <c r="C1189" s="50" t="s">
        <v>1222</v>
      </c>
      <c r="D1189" s="51" t="s">
        <v>85</v>
      </c>
      <c r="F1189" s="52">
        <f>SUMIF(CPY!$B:$B,Summary!$B1189,CPY!$I:$I)</f>
        <v>0</v>
      </c>
    </row>
    <row r="1190" spans="1:6" x14ac:dyDescent="0.25">
      <c r="A1190" s="50">
        <f t="shared" si="18"/>
        <v>1188</v>
      </c>
      <c r="B1190" s="50">
        <v>6172</v>
      </c>
      <c r="C1190" s="50" t="s">
        <v>1223</v>
      </c>
      <c r="D1190" s="51" t="s">
        <v>85</v>
      </c>
      <c r="F1190" s="52">
        <f>SUMIF(CPY!$B:$B,Summary!$B1190,CPY!$I:$I)</f>
        <v>0</v>
      </c>
    </row>
    <row r="1191" spans="1:6" x14ac:dyDescent="0.25">
      <c r="A1191" s="50">
        <f t="shared" si="18"/>
        <v>1189</v>
      </c>
      <c r="B1191" s="50">
        <v>6173</v>
      </c>
      <c r="C1191" s="50" t="s">
        <v>1224</v>
      </c>
      <c r="D1191" s="51" t="s">
        <v>85</v>
      </c>
      <c r="F1191" s="52">
        <f>SUMIF(CPY!$B:$B,Summary!$B1191,CPY!$I:$I)</f>
        <v>0</v>
      </c>
    </row>
    <row r="1192" spans="1:6" x14ac:dyDescent="0.25">
      <c r="A1192" s="50">
        <f t="shared" si="18"/>
        <v>1190</v>
      </c>
      <c r="B1192" s="50">
        <v>6174</v>
      </c>
      <c r="C1192" s="50" t="s">
        <v>1225</v>
      </c>
      <c r="D1192" s="51" t="s">
        <v>85</v>
      </c>
      <c r="F1192" s="52">
        <f>SUMIF(CPY!$B:$B,Summary!$B1192,CPY!$I:$I)</f>
        <v>0</v>
      </c>
    </row>
    <row r="1193" spans="1:6" x14ac:dyDescent="0.25">
      <c r="A1193" s="50">
        <f t="shared" si="18"/>
        <v>1191</v>
      </c>
      <c r="B1193" s="50">
        <v>6175</v>
      </c>
      <c r="C1193" s="50" t="s">
        <v>1226</v>
      </c>
      <c r="D1193" s="51" t="s">
        <v>85</v>
      </c>
      <c r="F1193" s="52">
        <f>SUMIF(CPY!$B:$B,Summary!$B1193,CPY!$I:$I)</f>
        <v>0</v>
      </c>
    </row>
    <row r="1194" spans="1:6" x14ac:dyDescent="0.25">
      <c r="A1194" s="50">
        <f t="shared" si="18"/>
        <v>1192</v>
      </c>
      <c r="B1194" s="50">
        <v>6176</v>
      </c>
      <c r="C1194" s="50" t="s">
        <v>1227</v>
      </c>
      <c r="D1194" s="51" t="s">
        <v>85</v>
      </c>
      <c r="F1194" s="52">
        <f>SUMIF(CPY!$B:$B,Summary!$B1194,CPY!$I:$I)</f>
        <v>0</v>
      </c>
    </row>
    <row r="1195" spans="1:6" x14ac:dyDescent="0.25">
      <c r="A1195" s="50">
        <f t="shared" si="18"/>
        <v>1193</v>
      </c>
      <c r="B1195" s="50">
        <v>6178</v>
      </c>
      <c r="C1195" s="50" t="s">
        <v>1228</v>
      </c>
      <c r="D1195" s="51" t="s">
        <v>85</v>
      </c>
      <c r="F1195" s="52">
        <f>SUMIF(CPY!$B:$B,Summary!$B1195,CPY!$I:$I)</f>
        <v>0</v>
      </c>
    </row>
    <row r="1196" spans="1:6" x14ac:dyDescent="0.25">
      <c r="A1196" s="50">
        <f t="shared" si="18"/>
        <v>1194</v>
      </c>
      <c r="B1196" s="50">
        <v>6184</v>
      </c>
      <c r="C1196" s="50" t="s">
        <v>1229</v>
      </c>
      <c r="D1196" s="51" t="s">
        <v>85</v>
      </c>
      <c r="F1196" s="52">
        <f>SUMIF(CPY!$B:$B,Summary!$B1196,CPY!$I:$I)</f>
        <v>0</v>
      </c>
    </row>
    <row r="1197" spans="1:6" x14ac:dyDescent="0.25">
      <c r="A1197" s="50">
        <f t="shared" si="18"/>
        <v>1195</v>
      </c>
      <c r="B1197" s="50">
        <v>6186</v>
      </c>
      <c r="C1197" s="50" t="s">
        <v>1230</v>
      </c>
      <c r="D1197" s="51" t="s">
        <v>85</v>
      </c>
      <c r="F1197" s="52">
        <f>SUMIF(CPY!$B:$B,Summary!$B1197,CPY!$I:$I)</f>
        <v>0</v>
      </c>
    </row>
    <row r="1198" spans="1:6" x14ac:dyDescent="0.25">
      <c r="A1198" s="50">
        <f t="shared" si="18"/>
        <v>1196</v>
      </c>
      <c r="B1198" s="50">
        <v>6187</v>
      </c>
      <c r="C1198" s="50" t="s">
        <v>1231</v>
      </c>
      <c r="D1198" s="51" t="s">
        <v>85</v>
      </c>
      <c r="F1198" s="52">
        <f>SUMIF(CPY!$B:$B,Summary!$B1198,CPY!$I:$I)</f>
        <v>0</v>
      </c>
    </row>
    <row r="1199" spans="1:6" x14ac:dyDescent="0.25">
      <c r="A1199" s="50">
        <f t="shared" si="18"/>
        <v>1197</v>
      </c>
      <c r="B1199" s="50">
        <v>6189</v>
      </c>
      <c r="C1199" s="50" t="s">
        <v>1232</v>
      </c>
      <c r="D1199" s="51" t="s">
        <v>69</v>
      </c>
      <c r="F1199" s="52">
        <f>SUMIF(CPY!$B:$B,Summary!$B1199,CPY!$I:$I)</f>
        <v>0</v>
      </c>
    </row>
    <row r="1200" spans="1:6" x14ac:dyDescent="0.25">
      <c r="A1200" s="50">
        <f t="shared" si="18"/>
        <v>1198</v>
      </c>
      <c r="B1200" s="50">
        <v>6191</v>
      </c>
      <c r="C1200" s="50" t="s">
        <v>1233</v>
      </c>
      <c r="D1200" s="51" t="s">
        <v>51</v>
      </c>
      <c r="F1200" s="52">
        <f>SUMIF(CPY!$B:$B,Summary!$B1200,CPY!$I:$I)</f>
        <v>0</v>
      </c>
    </row>
    <row r="1201" spans="1:6" x14ac:dyDescent="0.25">
      <c r="A1201" s="50">
        <f t="shared" si="18"/>
        <v>1199</v>
      </c>
      <c r="B1201" s="50">
        <v>6193</v>
      </c>
      <c r="C1201" s="50" t="s">
        <v>1234</v>
      </c>
      <c r="D1201" s="51" t="s">
        <v>85</v>
      </c>
      <c r="F1201" s="52">
        <f>SUMIF(CPY!$B:$B,Summary!$B1201,CPY!$I:$I)</f>
        <v>0</v>
      </c>
    </row>
    <row r="1202" spans="1:6" x14ac:dyDescent="0.25">
      <c r="A1202" s="50">
        <f t="shared" si="18"/>
        <v>1200</v>
      </c>
      <c r="B1202" s="50">
        <v>6194</v>
      </c>
      <c r="C1202" s="50" t="s">
        <v>1235</v>
      </c>
      <c r="D1202" s="51" t="s">
        <v>78</v>
      </c>
      <c r="F1202" s="52">
        <f>SUMIF(CPY!$B:$B,Summary!$B1202,CPY!$I:$I)</f>
        <v>0</v>
      </c>
    </row>
    <row r="1203" spans="1:6" x14ac:dyDescent="0.25">
      <c r="A1203" s="50">
        <f t="shared" si="18"/>
        <v>1201</v>
      </c>
      <c r="B1203" s="50">
        <v>6195</v>
      </c>
      <c r="C1203" s="50" t="s">
        <v>1236</v>
      </c>
      <c r="D1203" s="51" t="s">
        <v>85</v>
      </c>
      <c r="F1203" s="52">
        <f>SUMIF(CPY!$B:$B,Summary!$B1203,CPY!$I:$I)</f>
        <v>0</v>
      </c>
    </row>
    <row r="1204" spans="1:6" x14ac:dyDescent="0.25">
      <c r="A1204" s="50">
        <f t="shared" si="18"/>
        <v>1202</v>
      </c>
      <c r="B1204" s="50">
        <v>6196</v>
      </c>
      <c r="C1204" s="50" t="s">
        <v>1237</v>
      </c>
      <c r="D1204" s="51" t="s">
        <v>69</v>
      </c>
      <c r="F1204" s="52">
        <f>SUMIF(CPY!$B:$B,Summary!$B1204,CPY!$I:$I)</f>
        <v>0</v>
      </c>
    </row>
    <row r="1205" spans="1:6" x14ac:dyDescent="0.25">
      <c r="A1205" s="50">
        <f t="shared" si="18"/>
        <v>1203</v>
      </c>
      <c r="B1205" s="50">
        <v>6198</v>
      </c>
      <c r="C1205" s="50" t="s">
        <v>1238</v>
      </c>
      <c r="D1205" s="51" t="s">
        <v>46</v>
      </c>
      <c r="F1205" s="52">
        <f>SUMIF(CPY!$B:$B,Summary!$B1205,CPY!$I:$I)</f>
        <v>0</v>
      </c>
    </row>
    <row r="1206" spans="1:6" x14ac:dyDescent="0.25">
      <c r="A1206" s="50">
        <f t="shared" si="18"/>
        <v>1204</v>
      </c>
      <c r="B1206" s="50">
        <v>6199</v>
      </c>
      <c r="C1206" s="50" t="s">
        <v>1239</v>
      </c>
      <c r="D1206" s="51" t="s">
        <v>46</v>
      </c>
      <c r="F1206" s="52">
        <f>SUMIF(CPY!$B:$B,Summary!$B1206,CPY!$I:$I)</f>
        <v>0</v>
      </c>
    </row>
    <row r="1207" spans="1:6" x14ac:dyDescent="0.25">
      <c r="A1207" s="50">
        <f t="shared" si="18"/>
        <v>1205</v>
      </c>
      <c r="B1207" s="50">
        <v>6201</v>
      </c>
      <c r="C1207" s="50" t="s">
        <v>1240</v>
      </c>
      <c r="D1207" s="51" t="s">
        <v>85</v>
      </c>
      <c r="F1207" s="52">
        <f>SUMIF(CPY!$B:$B,Summary!$B1207,CPY!$I:$I)</f>
        <v>0</v>
      </c>
    </row>
    <row r="1208" spans="1:6" x14ac:dyDescent="0.25">
      <c r="A1208" s="50">
        <f t="shared" si="18"/>
        <v>1206</v>
      </c>
      <c r="B1208" s="50">
        <v>6202</v>
      </c>
      <c r="C1208" s="50" t="s">
        <v>1241</v>
      </c>
      <c r="D1208" s="51" t="s">
        <v>85</v>
      </c>
      <c r="F1208" s="52">
        <f>SUMIF(CPY!$B:$B,Summary!$B1208,CPY!$I:$I)</f>
        <v>0</v>
      </c>
    </row>
    <row r="1209" spans="1:6" x14ac:dyDescent="0.25">
      <c r="A1209" s="50">
        <f t="shared" si="18"/>
        <v>1207</v>
      </c>
      <c r="B1209" s="50">
        <v>6204</v>
      </c>
      <c r="C1209" s="50" t="s">
        <v>1242</v>
      </c>
      <c r="D1209" s="51" t="s">
        <v>85</v>
      </c>
      <c r="F1209" s="52">
        <f>SUMIF(CPY!$B:$B,Summary!$B1209,CPY!$I:$I)</f>
        <v>0</v>
      </c>
    </row>
    <row r="1210" spans="1:6" x14ac:dyDescent="0.25">
      <c r="A1210" s="50">
        <f t="shared" si="18"/>
        <v>1208</v>
      </c>
      <c r="B1210" s="50">
        <v>6206</v>
      </c>
      <c r="C1210" s="50" t="s">
        <v>1243</v>
      </c>
      <c r="D1210" s="51" t="s">
        <v>85</v>
      </c>
      <c r="F1210" s="52">
        <f>SUMIF(CPY!$B:$B,Summary!$B1210,CPY!$I:$I)</f>
        <v>0</v>
      </c>
    </row>
    <row r="1211" spans="1:6" x14ac:dyDescent="0.25">
      <c r="A1211" s="50">
        <f t="shared" si="18"/>
        <v>1209</v>
      </c>
      <c r="B1211" s="50">
        <v>6208</v>
      </c>
      <c r="C1211" s="50" t="s">
        <v>1244</v>
      </c>
      <c r="D1211" s="51" t="s">
        <v>85</v>
      </c>
      <c r="F1211" s="52">
        <f>SUMIF(CPY!$B:$B,Summary!$B1211,CPY!$I:$I)</f>
        <v>0</v>
      </c>
    </row>
    <row r="1212" spans="1:6" x14ac:dyDescent="0.25">
      <c r="A1212" s="50">
        <f t="shared" si="18"/>
        <v>1210</v>
      </c>
      <c r="B1212" s="50">
        <v>6209</v>
      </c>
      <c r="C1212" s="50" t="s">
        <v>1245</v>
      </c>
      <c r="D1212" s="51" t="s">
        <v>69</v>
      </c>
      <c r="F1212" s="52">
        <f>SUMIF(CPY!$B:$B,Summary!$B1212,CPY!$I:$I)</f>
        <v>0</v>
      </c>
    </row>
    <row r="1213" spans="1:6" x14ac:dyDescent="0.25">
      <c r="A1213" s="50">
        <f t="shared" si="18"/>
        <v>1211</v>
      </c>
      <c r="B1213" s="50">
        <v>6210</v>
      </c>
      <c r="C1213" s="50" t="s">
        <v>1246</v>
      </c>
      <c r="D1213" s="51" t="s">
        <v>85</v>
      </c>
      <c r="F1213" s="52">
        <f>SUMIF(CPY!$B:$B,Summary!$B1213,CPY!$I:$I)</f>
        <v>0</v>
      </c>
    </row>
    <row r="1214" spans="1:6" x14ac:dyDescent="0.25">
      <c r="A1214" s="50">
        <f t="shared" si="18"/>
        <v>1212</v>
      </c>
      <c r="B1214" s="50">
        <v>6212</v>
      </c>
      <c r="C1214" s="50" t="s">
        <v>1247</v>
      </c>
      <c r="D1214" s="51" t="s">
        <v>69</v>
      </c>
      <c r="F1214" s="52">
        <f>SUMIF(CPY!$B:$B,Summary!$B1214,CPY!$I:$I)</f>
        <v>0</v>
      </c>
    </row>
    <row r="1215" spans="1:6" x14ac:dyDescent="0.25">
      <c r="A1215" s="50">
        <f t="shared" si="18"/>
        <v>1213</v>
      </c>
      <c r="B1215" s="50">
        <v>6213</v>
      </c>
      <c r="C1215" s="50" t="s">
        <v>1248</v>
      </c>
      <c r="D1215" s="51" t="s">
        <v>85</v>
      </c>
      <c r="F1215" s="52">
        <f>SUMIF(CPY!$B:$B,Summary!$B1215,CPY!$I:$I)</f>
        <v>0</v>
      </c>
    </row>
    <row r="1216" spans="1:6" x14ac:dyDescent="0.25">
      <c r="A1216" s="50">
        <f t="shared" si="18"/>
        <v>1214</v>
      </c>
      <c r="B1216" s="50">
        <v>6215</v>
      </c>
      <c r="C1216" s="50" t="s">
        <v>1249</v>
      </c>
      <c r="D1216" s="51" t="s">
        <v>78</v>
      </c>
      <c r="F1216" s="52">
        <f>SUMIF(CPY!$B:$B,Summary!$B1216,CPY!$I:$I)</f>
        <v>0</v>
      </c>
    </row>
    <row r="1217" spans="1:6" x14ac:dyDescent="0.25">
      <c r="A1217" s="50">
        <f t="shared" si="18"/>
        <v>1215</v>
      </c>
      <c r="B1217" s="50">
        <v>6216</v>
      </c>
      <c r="C1217" s="50" t="s">
        <v>1250</v>
      </c>
      <c r="D1217" s="51" t="s">
        <v>78</v>
      </c>
      <c r="F1217" s="52">
        <f>SUMIF(CPY!$B:$B,Summary!$B1217,CPY!$I:$I)</f>
        <v>0</v>
      </c>
    </row>
    <row r="1218" spans="1:6" x14ac:dyDescent="0.25">
      <c r="A1218" s="50">
        <f t="shared" si="18"/>
        <v>1216</v>
      </c>
      <c r="B1218" s="50">
        <v>6217</v>
      </c>
      <c r="C1218" s="50" t="s">
        <v>1251</v>
      </c>
      <c r="D1218" s="51" t="s">
        <v>69</v>
      </c>
      <c r="F1218" s="52">
        <f>SUMIF(CPY!$B:$B,Summary!$B1218,CPY!$I:$I)</f>
        <v>0</v>
      </c>
    </row>
    <row r="1219" spans="1:6" x14ac:dyDescent="0.25">
      <c r="A1219" s="50">
        <f t="shared" si="18"/>
        <v>1217</v>
      </c>
      <c r="B1219" s="50">
        <v>6218</v>
      </c>
      <c r="C1219" s="50" t="s">
        <v>1252</v>
      </c>
      <c r="D1219" s="51" t="s">
        <v>85</v>
      </c>
      <c r="F1219" s="52">
        <f>SUMIF(CPY!$B:$B,Summary!$B1219,CPY!$I:$I)</f>
        <v>0</v>
      </c>
    </row>
    <row r="1220" spans="1:6" x14ac:dyDescent="0.25">
      <c r="A1220" s="50">
        <f t="shared" si="18"/>
        <v>1218</v>
      </c>
      <c r="B1220" s="50">
        <v>6219</v>
      </c>
      <c r="C1220" s="50" t="s">
        <v>1253</v>
      </c>
      <c r="D1220" s="51" t="s">
        <v>85</v>
      </c>
      <c r="F1220" s="52">
        <f>SUMIF(CPY!$B:$B,Summary!$B1220,CPY!$I:$I)</f>
        <v>0</v>
      </c>
    </row>
    <row r="1221" spans="1:6" x14ac:dyDescent="0.25">
      <c r="A1221" s="50">
        <f t="shared" ref="A1221:A1284" si="19">+A1220+1</f>
        <v>1219</v>
      </c>
      <c r="B1221" s="50">
        <v>6220</v>
      </c>
      <c r="C1221" s="50" t="s">
        <v>1254</v>
      </c>
      <c r="D1221" s="51" t="s">
        <v>69</v>
      </c>
      <c r="F1221" s="52">
        <f>SUMIF(CPY!$B:$B,Summary!$B1221,CPY!$I:$I)</f>
        <v>0</v>
      </c>
    </row>
    <row r="1222" spans="1:6" x14ac:dyDescent="0.25">
      <c r="A1222" s="50">
        <f t="shared" si="19"/>
        <v>1220</v>
      </c>
      <c r="B1222" s="50">
        <v>6223</v>
      </c>
      <c r="C1222" s="50" t="s">
        <v>1255</v>
      </c>
      <c r="D1222" s="51" t="s">
        <v>46</v>
      </c>
      <c r="F1222" s="52">
        <f>SUMIF(CPY!$B:$B,Summary!$B1222,CPY!$I:$I)</f>
        <v>0</v>
      </c>
    </row>
    <row r="1223" spans="1:6" x14ac:dyDescent="0.25">
      <c r="A1223" s="50">
        <f t="shared" si="19"/>
        <v>1221</v>
      </c>
      <c r="B1223" s="50">
        <v>6224</v>
      </c>
      <c r="C1223" s="50" t="s">
        <v>1256</v>
      </c>
      <c r="D1223" s="51" t="s">
        <v>69</v>
      </c>
      <c r="F1223" s="52">
        <f>SUMIF(CPY!$B:$B,Summary!$B1223,CPY!$I:$I)</f>
        <v>0</v>
      </c>
    </row>
    <row r="1224" spans="1:6" x14ac:dyDescent="0.25">
      <c r="A1224" s="50">
        <f t="shared" si="19"/>
        <v>1222</v>
      </c>
      <c r="B1224" s="50">
        <v>6225</v>
      </c>
      <c r="C1224" s="50" t="s">
        <v>1257</v>
      </c>
      <c r="D1224" s="51" t="s">
        <v>46</v>
      </c>
      <c r="F1224" s="52">
        <f>SUMIF(CPY!$B:$B,Summary!$B1224,CPY!$I:$I)</f>
        <v>0</v>
      </c>
    </row>
    <row r="1225" spans="1:6" x14ac:dyDescent="0.25">
      <c r="A1225" s="50">
        <f t="shared" si="19"/>
        <v>1223</v>
      </c>
      <c r="B1225" s="50">
        <v>6226</v>
      </c>
      <c r="C1225" s="50" t="s">
        <v>1258</v>
      </c>
      <c r="D1225" s="51" t="s">
        <v>85</v>
      </c>
      <c r="F1225" s="52">
        <f>SUMIF(CPY!$B:$B,Summary!$B1225,CPY!$I:$I)</f>
        <v>0</v>
      </c>
    </row>
    <row r="1226" spans="1:6" x14ac:dyDescent="0.25">
      <c r="A1226" s="50">
        <f t="shared" si="19"/>
        <v>1224</v>
      </c>
      <c r="B1226" s="50">
        <v>6227</v>
      </c>
      <c r="C1226" s="50" t="s">
        <v>1259</v>
      </c>
      <c r="D1226" s="51" t="s">
        <v>85</v>
      </c>
      <c r="F1226" s="52">
        <f>SUMIF(CPY!$B:$B,Summary!$B1226,CPY!$I:$I)</f>
        <v>0</v>
      </c>
    </row>
    <row r="1227" spans="1:6" x14ac:dyDescent="0.25">
      <c r="A1227" s="50">
        <f t="shared" si="19"/>
        <v>1225</v>
      </c>
      <c r="B1227" s="50">
        <v>6228</v>
      </c>
      <c r="C1227" s="50" t="s">
        <v>1260</v>
      </c>
      <c r="D1227" s="51" t="s">
        <v>85</v>
      </c>
      <c r="F1227" s="52">
        <f>SUMIF(CPY!$B:$B,Summary!$B1227,CPY!$I:$I)</f>
        <v>0</v>
      </c>
    </row>
    <row r="1228" spans="1:6" x14ac:dyDescent="0.25">
      <c r="A1228" s="50">
        <f t="shared" si="19"/>
        <v>1226</v>
      </c>
      <c r="B1228" s="50">
        <v>6229</v>
      </c>
      <c r="C1228" s="50" t="s">
        <v>1261</v>
      </c>
      <c r="D1228" s="51" t="s">
        <v>85</v>
      </c>
      <c r="F1228" s="52">
        <f>SUMIF(CPY!$B:$B,Summary!$B1228,CPY!$I:$I)</f>
        <v>0</v>
      </c>
    </row>
    <row r="1229" spans="1:6" x14ac:dyDescent="0.25">
      <c r="A1229" s="50">
        <f t="shared" si="19"/>
        <v>1227</v>
      </c>
      <c r="B1229" s="50">
        <v>6231</v>
      </c>
      <c r="C1229" s="50" t="s">
        <v>1262</v>
      </c>
      <c r="D1229" s="51" t="s">
        <v>85</v>
      </c>
      <c r="F1229" s="52">
        <f>SUMIF(CPY!$B:$B,Summary!$B1229,CPY!$I:$I)</f>
        <v>0</v>
      </c>
    </row>
    <row r="1230" spans="1:6" x14ac:dyDescent="0.25">
      <c r="A1230" s="50">
        <f t="shared" si="19"/>
        <v>1228</v>
      </c>
      <c r="B1230" s="50">
        <v>6232</v>
      </c>
      <c r="C1230" s="50" t="s">
        <v>1263</v>
      </c>
      <c r="D1230" s="51" t="s">
        <v>85</v>
      </c>
      <c r="F1230" s="52">
        <f>SUMIF(CPY!$B:$B,Summary!$B1230,CPY!$I:$I)</f>
        <v>0</v>
      </c>
    </row>
    <row r="1231" spans="1:6" x14ac:dyDescent="0.25">
      <c r="A1231" s="50">
        <f t="shared" si="19"/>
        <v>1229</v>
      </c>
      <c r="B1231" s="50">
        <v>6233</v>
      </c>
      <c r="C1231" s="50" t="s">
        <v>1264</v>
      </c>
      <c r="D1231" s="51" t="s">
        <v>85</v>
      </c>
      <c r="F1231" s="52">
        <f>SUMIF(CPY!$B:$B,Summary!$B1231,CPY!$I:$I)</f>
        <v>0</v>
      </c>
    </row>
    <row r="1232" spans="1:6" x14ac:dyDescent="0.25">
      <c r="A1232" s="50">
        <f t="shared" si="19"/>
        <v>1230</v>
      </c>
      <c r="B1232" s="50">
        <v>6234</v>
      </c>
      <c r="C1232" s="50" t="s">
        <v>1265</v>
      </c>
      <c r="D1232" s="51" t="s">
        <v>85</v>
      </c>
      <c r="F1232" s="52">
        <f>SUMIF(CPY!$B:$B,Summary!$B1232,CPY!$I:$I)</f>
        <v>0</v>
      </c>
    </row>
    <row r="1233" spans="1:6" x14ac:dyDescent="0.25">
      <c r="A1233" s="50">
        <f t="shared" si="19"/>
        <v>1231</v>
      </c>
      <c r="B1233" s="50">
        <v>6236</v>
      </c>
      <c r="C1233" s="50" t="s">
        <v>1266</v>
      </c>
      <c r="D1233" s="51" t="s">
        <v>85</v>
      </c>
      <c r="F1233" s="52">
        <f>SUMIF(CPY!$B:$B,Summary!$B1233,CPY!$I:$I)</f>
        <v>0</v>
      </c>
    </row>
    <row r="1234" spans="1:6" x14ac:dyDescent="0.25">
      <c r="A1234" s="50">
        <f t="shared" si="19"/>
        <v>1232</v>
      </c>
      <c r="B1234" s="50">
        <v>6237</v>
      </c>
      <c r="C1234" s="50" t="s">
        <v>1267</v>
      </c>
      <c r="D1234" s="51" t="s">
        <v>85</v>
      </c>
      <c r="F1234" s="52">
        <f>SUMIF(CPY!$B:$B,Summary!$B1234,CPY!$I:$I)</f>
        <v>0</v>
      </c>
    </row>
    <row r="1235" spans="1:6" x14ac:dyDescent="0.25">
      <c r="A1235" s="50">
        <f t="shared" si="19"/>
        <v>1233</v>
      </c>
      <c r="B1235" s="50">
        <v>6239</v>
      </c>
      <c r="C1235" s="50" t="s">
        <v>61</v>
      </c>
      <c r="D1235" s="51" t="s">
        <v>85</v>
      </c>
      <c r="F1235" s="52">
        <f>SUMIF(CPY!$B:$B,Summary!$B1235,CPY!$I:$I)</f>
        <v>0</v>
      </c>
    </row>
    <row r="1236" spans="1:6" x14ac:dyDescent="0.25">
      <c r="A1236" s="50">
        <f t="shared" si="19"/>
        <v>1234</v>
      </c>
      <c r="B1236" s="50">
        <v>6240</v>
      </c>
      <c r="C1236" s="50" t="s">
        <v>1268</v>
      </c>
      <c r="D1236" s="51" t="s">
        <v>85</v>
      </c>
      <c r="F1236" s="52">
        <f>SUMIF(CPY!$B:$B,Summary!$B1236,CPY!$I:$I)</f>
        <v>0</v>
      </c>
    </row>
    <row r="1237" spans="1:6" x14ac:dyDescent="0.25">
      <c r="A1237" s="50">
        <f t="shared" si="19"/>
        <v>1235</v>
      </c>
      <c r="B1237" s="50">
        <v>6241</v>
      </c>
      <c r="C1237" s="50" t="s">
        <v>1269</v>
      </c>
      <c r="D1237" s="51" t="s">
        <v>85</v>
      </c>
      <c r="F1237" s="52">
        <f>SUMIF(CPY!$B:$B,Summary!$B1237,CPY!$I:$I)</f>
        <v>0</v>
      </c>
    </row>
    <row r="1238" spans="1:6" x14ac:dyDescent="0.25">
      <c r="A1238" s="50">
        <f t="shared" si="19"/>
        <v>1236</v>
      </c>
      <c r="B1238" s="50">
        <v>6244</v>
      </c>
      <c r="C1238" s="50" t="s">
        <v>1270</v>
      </c>
      <c r="D1238" s="51" t="s">
        <v>85</v>
      </c>
      <c r="F1238" s="52">
        <f>SUMIF(CPY!$B:$B,Summary!$B1238,CPY!$I:$I)</f>
        <v>0</v>
      </c>
    </row>
    <row r="1239" spans="1:6" x14ac:dyDescent="0.25">
      <c r="A1239" s="50">
        <f t="shared" si="19"/>
        <v>1237</v>
      </c>
      <c r="B1239" s="50">
        <v>6245</v>
      </c>
      <c r="C1239" s="50" t="s">
        <v>1271</v>
      </c>
      <c r="D1239" s="51" t="s">
        <v>85</v>
      </c>
      <c r="F1239" s="52">
        <f>SUMIF(CPY!$B:$B,Summary!$B1239,CPY!$I:$I)</f>
        <v>0</v>
      </c>
    </row>
    <row r="1240" spans="1:6" x14ac:dyDescent="0.25">
      <c r="A1240" s="50">
        <f t="shared" si="19"/>
        <v>1238</v>
      </c>
      <c r="B1240" s="50">
        <v>6246</v>
      </c>
      <c r="C1240" s="50" t="s">
        <v>1272</v>
      </c>
      <c r="D1240" s="51" t="s">
        <v>85</v>
      </c>
      <c r="F1240" s="52">
        <f>SUMIF(CPY!$B:$B,Summary!$B1240,CPY!$I:$I)</f>
        <v>0</v>
      </c>
    </row>
    <row r="1241" spans="1:6" x14ac:dyDescent="0.25">
      <c r="A1241" s="50">
        <f t="shared" si="19"/>
        <v>1239</v>
      </c>
      <c r="B1241" s="50">
        <v>6247</v>
      </c>
      <c r="C1241" s="50" t="s">
        <v>1273</v>
      </c>
      <c r="D1241" s="51" t="s">
        <v>85</v>
      </c>
      <c r="F1241" s="52">
        <f>SUMIF(CPY!$B:$B,Summary!$B1241,CPY!$I:$I)</f>
        <v>0</v>
      </c>
    </row>
    <row r="1242" spans="1:6" x14ac:dyDescent="0.25">
      <c r="A1242" s="50">
        <f t="shared" si="19"/>
        <v>1240</v>
      </c>
      <c r="B1242" s="50">
        <v>6248</v>
      </c>
      <c r="C1242" s="50" t="s">
        <v>1104</v>
      </c>
      <c r="D1242" s="51" t="s">
        <v>85</v>
      </c>
      <c r="F1242" s="52">
        <f>SUMIF(CPY!$B:$B,Summary!$B1242,CPY!$I:$I)</f>
        <v>0</v>
      </c>
    </row>
    <row r="1243" spans="1:6" x14ac:dyDescent="0.25">
      <c r="A1243" s="50">
        <f t="shared" si="19"/>
        <v>1241</v>
      </c>
      <c r="B1243" s="50">
        <v>6249</v>
      </c>
      <c r="C1243" s="50" t="s">
        <v>1274</v>
      </c>
      <c r="D1243" s="51" t="s">
        <v>85</v>
      </c>
      <c r="F1243" s="52">
        <f>SUMIF(CPY!$B:$B,Summary!$B1243,CPY!$I:$I)</f>
        <v>0</v>
      </c>
    </row>
    <row r="1244" spans="1:6" x14ac:dyDescent="0.25">
      <c r="A1244" s="50">
        <f t="shared" si="19"/>
        <v>1242</v>
      </c>
      <c r="B1244" s="50">
        <v>6250</v>
      </c>
      <c r="C1244" s="50" t="s">
        <v>1275</v>
      </c>
      <c r="D1244" s="51" t="s">
        <v>85</v>
      </c>
      <c r="F1244" s="52">
        <f>SUMIF(CPY!$B:$B,Summary!$B1244,CPY!$I:$I)</f>
        <v>0</v>
      </c>
    </row>
    <row r="1245" spans="1:6" x14ac:dyDescent="0.25">
      <c r="A1245" s="50">
        <f t="shared" si="19"/>
        <v>1243</v>
      </c>
      <c r="B1245" s="50">
        <v>6251</v>
      </c>
      <c r="C1245" s="50" t="s">
        <v>1276</v>
      </c>
      <c r="D1245" s="51" t="s">
        <v>85</v>
      </c>
      <c r="F1245" s="52">
        <f>SUMIF(CPY!$B:$B,Summary!$B1245,CPY!$I:$I)</f>
        <v>0</v>
      </c>
    </row>
    <row r="1246" spans="1:6" x14ac:dyDescent="0.25">
      <c r="A1246" s="50">
        <f t="shared" si="19"/>
        <v>1244</v>
      </c>
      <c r="B1246" s="50">
        <v>6252</v>
      </c>
      <c r="C1246" s="50" t="s">
        <v>1277</v>
      </c>
      <c r="D1246" s="51" t="s">
        <v>85</v>
      </c>
      <c r="F1246" s="52">
        <f>SUMIF(CPY!$B:$B,Summary!$B1246,CPY!$I:$I)</f>
        <v>0</v>
      </c>
    </row>
    <row r="1247" spans="1:6" x14ac:dyDescent="0.25">
      <c r="A1247" s="50">
        <f t="shared" si="19"/>
        <v>1245</v>
      </c>
      <c r="B1247" s="50">
        <v>6253</v>
      </c>
      <c r="C1247" s="50" t="s">
        <v>1278</v>
      </c>
      <c r="D1247" s="51" t="s">
        <v>85</v>
      </c>
      <c r="F1247" s="52">
        <f>SUMIF(CPY!$B:$B,Summary!$B1247,CPY!$I:$I)</f>
        <v>0</v>
      </c>
    </row>
    <row r="1248" spans="1:6" x14ac:dyDescent="0.25">
      <c r="A1248" s="50">
        <f t="shared" si="19"/>
        <v>1246</v>
      </c>
      <c r="B1248" s="50">
        <v>6254</v>
      </c>
      <c r="C1248" s="50" t="s">
        <v>1279</v>
      </c>
      <c r="D1248" s="51" t="s">
        <v>85</v>
      </c>
      <c r="F1248" s="52">
        <f>SUMIF(CPY!$B:$B,Summary!$B1248,CPY!$I:$I)</f>
        <v>0</v>
      </c>
    </row>
    <row r="1249" spans="1:6" x14ac:dyDescent="0.25">
      <c r="A1249" s="50">
        <f t="shared" si="19"/>
        <v>1247</v>
      </c>
      <c r="B1249" s="50">
        <v>6255</v>
      </c>
      <c r="C1249" s="50" t="s">
        <v>1280</v>
      </c>
      <c r="D1249" s="51" t="s">
        <v>85</v>
      </c>
      <c r="F1249" s="52">
        <f>SUMIF(CPY!$B:$B,Summary!$B1249,CPY!$I:$I)</f>
        <v>0</v>
      </c>
    </row>
    <row r="1250" spans="1:6" x14ac:dyDescent="0.25">
      <c r="A1250" s="50">
        <f t="shared" si="19"/>
        <v>1248</v>
      </c>
      <c r="B1250" s="50">
        <v>6259</v>
      </c>
      <c r="C1250" s="50" t="s">
        <v>1281</v>
      </c>
      <c r="D1250" s="51" t="s">
        <v>85</v>
      </c>
      <c r="F1250" s="52">
        <f>SUMIF(CPY!$B:$B,Summary!$B1250,CPY!$I:$I)</f>
        <v>0</v>
      </c>
    </row>
    <row r="1251" spans="1:6" x14ac:dyDescent="0.25">
      <c r="A1251" s="50">
        <f t="shared" si="19"/>
        <v>1249</v>
      </c>
      <c r="B1251" s="50">
        <v>6260</v>
      </c>
      <c r="C1251" s="50" t="s">
        <v>1282</v>
      </c>
      <c r="D1251" s="51" t="s">
        <v>85</v>
      </c>
      <c r="F1251" s="52">
        <f>SUMIF(CPY!$B:$B,Summary!$B1251,CPY!$I:$I)</f>
        <v>0</v>
      </c>
    </row>
    <row r="1252" spans="1:6" x14ac:dyDescent="0.25">
      <c r="A1252" s="50">
        <f t="shared" si="19"/>
        <v>1250</v>
      </c>
      <c r="B1252" s="50">
        <v>6261</v>
      </c>
      <c r="C1252" s="50" t="s">
        <v>1283</v>
      </c>
      <c r="D1252" s="51" t="s">
        <v>85</v>
      </c>
      <c r="F1252" s="52">
        <f>SUMIF(CPY!$B:$B,Summary!$B1252,CPY!$I:$I)</f>
        <v>0</v>
      </c>
    </row>
    <row r="1253" spans="1:6" x14ac:dyDescent="0.25">
      <c r="A1253" s="50">
        <f t="shared" si="19"/>
        <v>1251</v>
      </c>
      <c r="B1253" s="50">
        <v>6262</v>
      </c>
      <c r="C1253" s="50" t="s">
        <v>1284</v>
      </c>
      <c r="D1253" s="51" t="s">
        <v>85</v>
      </c>
      <c r="F1253" s="52">
        <f>SUMIF(CPY!$B:$B,Summary!$B1253,CPY!$I:$I)</f>
        <v>0</v>
      </c>
    </row>
    <row r="1254" spans="1:6" x14ac:dyDescent="0.25">
      <c r="A1254" s="50">
        <f t="shared" si="19"/>
        <v>1252</v>
      </c>
      <c r="B1254" s="50">
        <v>6265</v>
      </c>
      <c r="C1254" s="50" t="s">
        <v>1285</v>
      </c>
      <c r="D1254" s="51" t="s">
        <v>85</v>
      </c>
      <c r="F1254" s="52">
        <f>SUMIF(CPY!$B:$B,Summary!$B1254,CPY!$I:$I)</f>
        <v>0</v>
      </c>
    </row>
    <row r="1255" spans="1:6" x14ac:dyDescent="0.25">
      <c r="A1255" s="50">
        <f t="shared" si="19"/>
        <v>1253</v>
      </c>
      <c r="B1255" s="50">
        <v>6266</v>
      </c>
      <c r="C1255" s="50" t="s">
        <v>1286</v>
      </c>
      <c r="D1255" s="51" t="s">
        <v>85</v>
      </c>
      <c r="F1255" s="52">
        <f>SUMIF(CPY!$B:$B,Summary!$B1255,CPY!$I:$I)</f>
        <v>0</v>
      </c>
    </row>
    <row r="1256" spans="1:6" x14ac:dyDescent="0.25">
      <c r="A1256" s="50">
        <f t="shared" si="19"/>
        <v>1254</v>
      </c>
      <c r="B1256" s="50">
        <v>6267</v>
      </c>
      <c r="C1256" s="50" t="s">
        <v>1287</v>
      </c>
      <c r="D1256" s="51" t="s">
        <v>85</v>
      </c>
      <c r="F1256" s="52">
        <f>SUMIF(CPY!$B:$B,Summary!$B1256,CPY!$I:$I)</f>
        <v>0</v>
      </c>
    </row>
    <row r="1257" spans="1:6" x14ac:dyDescent="0.25">
      <c r="A1257" s="50">
        <f t="shared" si="19"/>
        <v>1255</v>
      </c>
      <c r="B1257" s="50">
        <v>6268</v>
      </c>
      <c r="C1257" s="50" t="s">
        <v>1288</v>
      </c>
      <c r="D1257" s="51" t="s">
        <v>85</v>
      </c>
      <c r="F1257" s="52">
        <f>SUMIF(CPY!$B:$B,Summary!$B1257,CPY!$I:$I)</f>
        <v>0</v>
      </c>
    </row>
    <row r="1258" spans="1:6" x14ac:dyDescent="0.25">
      <c r="A1258" s="50">
        <f t="shared" si="19"/>
        <v>1256</v>
      </c>
      <c r="B1258" s="50">
        <v>6269</v>
      </c>
      <c r="C1258" s="50" t="s">
        <v>1289</v>
      </c>
      <c r="D1258" s="51" t="s">
        <v>85</v>
      </c>
      <c r="F1258" s="52">
        <f>SUMIF(CPY!$B:$B,Summary!$B1258,CPY!$I:$I)</f>
        <v>0</v>
      </c>
    </row>
    <row r="1259" spans="1:6" x14ac:dyDescent="0.25">
      <c r="A1259" s="50">
        <f t="shared" si="19"/>
        <v>1257</v>
      </c>
      <c r="B1259" s="50">
        <v>6270</v>
      </c>
      <c r="C1259" s="50" t="s">
        <v>1290</v>
      </c>
      <c r="D1259" s="51" t="s">
        <v>85</v>
      </c>
      <c r="F1259" s="52">
        <f>SUMIF(CPY!$B:$B,Summary!$B1259,CPY!$I:$I)</f>
        <v>0</v>
      </c>
    </row>
    <row r="1260" spans="1:6" x14ac:dyDescent="0.25">
      <c r="A1260" s="50">
        <f t="shared" si="19"/>
        <v>1258</v>
      </c>
      <c r="B1260" s="50">
        <v>6272</v>
      </c>
      <c r="C1260" s="50" t="s">
        <v>1291</v>
      </c>
      <c r="D1260" s="51" t="s">
        <v>85</v>
      </c>
      <c r="F1260" s="52">
        <f>SUMIF(CPY!$B:$B,Summary!$B1260,CPY!$I:$I)</f>
        <v>0</v>
      </c>
    </row>
    <row r="1261" spans="1:6" x14ac:dyDescent="0.25">
      <c r="A1261" s="50">
        <f t="shared" si="19"/>
        <v>1259</v>
      </c>
      <c r="B1261" s="50">
        <v>6275</v>
      </c>
      <c r="C1261" s="50" t="s">
        <v>1292</v>
      </c>
      <c r="D1261" s="51" t="s">
        <v>85</v>
      </c>
      <c r="F1261" s="52">
        <f>SUMIF(CPY!$B:$B,Summary!$B1261,CPY!$I:$I)</f>
        <v>0</v>
      </c>
    </row>
    <row r="1262" spans="1:6" x14ac:dyDescent="0.25">
      <c r="A1262" s="50">
        <f t="shared" si="19"/>
        <v>1260</v>
      </c>
      <c r="B1262" s="50">
        <v>6276</v>
      </c>
      <c r="C1262" s="50" t="s">
        <v>1293</v>
      </c>
      <c r="D1262" s="51" t="s">
        <v>85</v>
      </c>
      <c r="F1262" s="52">
        <f>SUMIF(CPY!$B:$B,Summary!$B1262,CPY!$I:$I)</f>
        <v>0</v>
      </c>
    </row>
    <row r="1263" spans="1:6" x14ac:dyDescent="0.25">
      <c r="A1263" s="50">
        <f t="shared" si="19"/>
        <v>1261</v>
      </c>
      <c r="B1263" s="50">
        <v>6277</v>
      </c>
      <c r="C1263" s="50" t="s">
        <v>1294</v>
      </c>
      <c r="D1263" s="51" t="s">
        <v>85</v>
      </c>
      <c r="F1263" s="52">
        <f>SUMIF(CPY!$B:$B,Summary!$B1263,CPY!$I:$I)</f>
        <v>0</v>
      </c>
    </row>
    <row r="1264" spans="1:6" x14ac:dyDescent="0.25">
      <c r="A1264" s="50">
        <f t="shared" si="19"/>
        <v>1262</v>
      </c>
      <c r="B1264" s="50">
        <v>6278</v>
      </c>
      <c r="C1264" s="50" t="s">
        <v>1295</v>
      </c>
      <c r="D1264" s="51" t="s">
        <v>85</v>
      </c>
      <c r="F1264" s="52">
        <f>SUMIF(CPY!$B:$B,Summary!$B1264,CPY!$I:$I)</f>
        <v>0</v>
      </c>
    </row>
    <row r="1265" spans="1:6" x14ac:dyDescent="0.25">
      <c r="A1265" s="50">
        <f t="shared" si="19"/>
        <v>1263</v>
      </c>
      <c r="B1265" s="50">
        <v>6280</v>
      </c>
      <c r="C1265" s="50" t="s">
        <v>1296</v>
      </c>
      <c r="D1265" s="51" t="s">
        <v>46</v>
      </c>
      <c r="F1265" s="52">
        <f>SUMIF(CPY!$B:$B,Summary!$B1265,CPY!$I:$I)</f>
        <v>0</v>
      </c>
    </row>
    <row r="1266" spans="1:6" x14ac:dyDescent="0.25">
      <c r="A1266" s="50">
        <f t="shared" si="19"/>
        <v>1264</v>
      </c>
      <c r="B1266" s="50">
        <v>6281</v>
      </c>
      <c r="C1266" s="50" t="s">
        <v>1297</v>
      </c>
      <c r="D1266" s="51" t="s">
        <v>85</v>
      </c>
      <c r="F1266" s="52">
        <f>SUMIF(CPY!$B:$B,Summary!$B1266,CPY!$I:$I)</f>
        <v>0</v>
      </c>
    </row>
    <row r="1267" spans="1:6" x14ac:dyDescent="0.25">
      <c r="A1267" s="50">
        <f t="shared" si="19"/>
        <v>1265</v>
      </c>
      <c r="B1267" s="50">
        <v>6282</v>
      </c>
      <c r="C1267" s="50" t="s">
        <v>549</v>
      </c>
      <c r="D1267" s="51" t="s">
        <v>85</v>
      </c>
      <c r="F1267" s="52">
        <f>SUMIF(CPY!$B:$B,Summary!$B1267,CPY!$I:$I)</f>
        <v>0</v>
      </c>
    </row>
    <row r="1268" spans="1:6" x14ac:dyDescent="0.25">
      <c r="A1268" s="50">
        <f t="shared" si="19"/>
        <v>1266</v>
      </c>
      <c r="B1268" s="50">
        <v>6283</v>
      </c>
      <c r="C1268" s="50" t="s">
        <v>1298</v>
      </c>
      <c r="D1268" s="51" t="s">
        <v>85</v>
      </c>
      <c r="F1268" s="52">
        <f>SUMIF(CPY!$B:$B,Summary!$B1268,CPY!$I:$I)</f>
        <v>0</v>
      </c>
    </row>
    <row r="1269" spans="1:6" x14ac:dyDescent="0.25">
      <c r="A1269" s="50">
        <f t="shared" si="19"/>
        <v>1267</v>
      </c>
      <c r="B1269" s="50">
        <v>6284</v>
      </c>
      <c r="C1269" s="50" t="s">
        <v>1299</v>
      </c>
      <c r="D1269" s="51" t="s">
        <v>85</v>
      </c>
      <c r="F1269" s="52">
        <f>SUMIF(CPY!$B:$B,Summary!$B1269,CPY!$I:$I)</f>
        <v>0</v>
      </c>
    </row>
    <row r="1270" spans="1:6" x14ac:dyDescent="0.25">
      <c r="A1270" s="50">
        <f t="shared" si="19"/>
        <v>1268</v>
      </c>
      <c r="B1270" s="50">
        <v>6285</v>
      </c>
      <c r="C1270" s="50" t="s">
        <v>1300</v>
      </c>
      <c r="D1270" s="51" t="s">
        <v>85</v>
      </c>
      <c r="F1270" s="52">
        <f>SUMIF(CPY!$B:$B,Summary!$B1270,CPY!$I:$I)</f>
        <v>0</v>
      </c>
    </row>
    <row r="1271" spans="1:6" x14ac:dyDescent="0.25">
      <c r="A1271" s="50">
        <f t="shared" si="19"/>
        <v>1269</v>
      </c>
      <c r="B1271" s="50">
        <v>6287</v>
      </c>
      <c r="C1271" s="50" t="s">
        <v>1301</v>
      </c>
      <c r="D1271" s="51" t="s">
        <v>69</v>
      </c>
      <c r="F1271" s="52">
        <f>SUMIF(CPY!$B:$B,Summary!$B1271,CPY!$I:$I)</f>
        <v>0</v>
      </c>
    </row>
    <row r="1272" spans="1:6" x14ac:dyDescent="0.25">
      <c r="A1272" s="50">
        <f t="shared" si="19"/>
        <v>1270</v>
      </c>
      <c r="B1272" s="50">
        <v>6289</v>
      </c>
      <c r="C1272" s="50" t="s">
        <v>1302</v>
      </c>
      <c r="D1272" s="51" t="s">
        <v>69</v>
      </c>
      <c r="F1272" s="52">
        <f>SUMIF(CPY!$B:$B,Summary!$B1272,CPY!$I:$I)</f>
        <v>0</v>
      </c>
    </row>
    <row r="1273" spans="1:6" x14ac:dyDescent="0.25">
      <c r="A1273" s="50">
        <f t="shared" si="19"/>
        <v>1271</v>
      </c>
      <c r="B1273" s="50">
        <v>6290</v>
      </c>
      <c r="C1273" s="50" t="s">
        <v>1303</v>
      </c>
      <c r="D1273" s="51" t="s">
        <v>78</v>
      </c>
      <c r="F1273" s="52">
        <f>SUMIF(CPY!$B:$B,Summary!$B1273,CPY!$I:$I)</f>
        <v>0</v>
      </c>
    </row>
    <row r="1274" spans="1:6" x14ac:dyDescent="0.25">
      <c r="A1274" s="50">
        <f t="shared" si="19"/>
        <v>1272</v>
      </c>
      <c r="B1274" s="50">
        <v>6294</v>
      </c>
      <c r="C1274" s="50" t="s">
        <v>1304</v>
      </c>
      <c r="D1274" s="51" t="s">
        <v>85</v>
      </c>
      <c r="F1274" s="52">
        <f>SUMIF(CPY!$B:$B,Summary!$B1274,CPY!$I:$I)</f>
        <v>0</v>
      </c>
    </row>
    <row r="1275" spans="1:6" x14ac:dyDescent="0.25">
      <c r="A1275" s="50">
        <f t="shared" si="19"/>
        <v>1273</v>
      </c>
      <c r="B1275" s="50">
        <v>6295</v>
      </c>
      <c r="C1275" s="50" t="s">
        <v>1305</v>
      </c>
      <c r="D1275" s="51" t="s">
        <v>85</v>
      </c>
      <c r="F1275" s="52">
        <f>SUMIF(CPY!$B:$B,Summary!$B1275,CPY!$I:$I)</f>
        <v>0</v>
      </c>
    </row>
    <row r="1276" spans="1:6" x14ac:dyDescent="0.25">
      <c r="A1276" s="50">
        <f t="shared" si="19"/>
        <v>1274</v>
      </c>
      <c r="B1276" s="50">
        <v>6298</v>
      </c>
      <c r="C1276" s="50" t="s">
        <v>1306</v>
      </c>
      <c r="D1276" s="51" t="s">
        <v>69</v>
      </c>
      <c r="F1276" s="52">
        <f>SUMIF(CPY!$B:$B,Summary!$B1276,CPY!$I:$I)</f>
        <v>0</v>
      </c>
    </row>
    <row r="1277" spans="1:6" x14ac:dyDescent="0.25">
      <c r="A1277" s="50">
        <f t="shared" si="19"/>
        <v>1275</v>
      </c>
      <c r="B1277" s="50">
        <v>6299</v>
      </c>
      <c r="C1277" s="50" t="s">
        <v>1307</v>
      </c>
      <c r="D1277" s="51" t="s">
        <v>69</v>
      </c>
      <c r="F1277" s="52">
        <f>SUMIF(CPY!$B:$B,Summary!$B1277,CPY!$I:$I)</f>
        <v>0</v>
      </c>
    </row>
    <row r="1278" spans="1:6" x14ac:dyDescent="0.25">
      <c r="A1278" s="50">
        <f t="shared" si="19"/>
        <v>1276</v>
      </c>
      <c r="B1278" s="50">
        <v>6300</v>
      </c>
      <c r="C1278" s="50" t="s">
        <v>1308</v>
      </c>
      <c r="D1278" s="51" t="s">
        <v>85</v>
      </c>
      <c r="F1278" s="52">
        <f>SUMIF(CPY!$B:$B,Summary!$B1278,CPY!$I:$I)</f>
        <v>0</v>
      </c>
    </row>
    <row r="1279" spans="1:6" x14ac:dyDescent="0.25">
      <c r="A1279" s="50">
        <f t="shared" si="19"/>
        <v>1277</v>
      </c>
      <c r="B1279" s="50">
        <v>6301</v>
      </c>
      <c r="C1279" s="50" t="s">
        <v>1309</v>
      </c>
      <c r="D1279" s="51" t="s">
        <v>85</v>
      </c>
      <c r="F1279" s="52">
        <f>SUMIF(CPY!$B:$B,Summary!$B1279,CPY!$I:$I)</f>
        <v>0</v>
      </c>
    </row>
    <row r="1280" spans="1:6" x14ac:dyDescent="0.25">
      <c r="A1280" s="50">
        <f t="shared" si="19"/>
        <v>1278</v>
      </c>
      <c r="B1280" s="50">
        <v>6302</v>
      </c>
      <c r="C1280" s="50" t="s">
        <v>1310</v>
      </c>
      <c r="D1280" s="51" t="s">
        <v>85</v>
      </c>
      <c r="F1280" s="52">
        <f>SUMIF(CPY!$B:$B,Summary!$B1280,CPY!$I:$I)</f>
        <v>0</v>
      </c>
    </row>
    <row r="1281" spans="1:6" x14ac:dyDescent="0.25">
      <c r="A1281" s="50">
        <f t="shared" si="19"/>
        <v>1279</v>
      </c>
      <c r="B1281" s="50">
        <v>6303</v>
      </c>
      <c r="C1281" s="50" t="s">
        <v>1311</v>
      </c>
      <c r="D1281" s="51" t="s">
        <v>85</v>
      </c>
      <c r="F1281" s="52">
        <f>SUMIF(CPY!$B:$B,Summary!$B1281,CPY!$I:$I)</f>
        <v>0</v>
      </c>
    </row>
    <row r="1282" spans="1:6" x14ac:dyDescent="0.25">
      <c r="A1282" s="50">
        <f t="shared" si="19"/>
        <v>1280</v>
      </c>
      <c r="B1282" s="50">
        <v>6304</v>
      </c>
      <c r="C1282" s="50" t="s">
        <v>1312</v>
      </c>
      <c r="D1282" s="51" t="s">
        <v>69</v>
      </c>
      <c r="F1282" s="52">
        <f>SUMIF(CPY!$B:$B,Summary!$B1282,CPY!$I:$I)</f>
        <v>0</v>
      </c>
    </row>
    <row r="1283" spans="1:6" x14ac:dyDescent="0.25">
      <c r="A1283" s="50">
        <f t="shared" si="19"/>
        <v>1281</v>
      </c>
      <c r="B1283" s="50">
        <v>6305</v>
      </c>
      <c r="C1283" s="50" t="s">
        <v>1313</v>
      </c>
      <c r="D1283" s="51" t="s">
        <v>85</v>
      </c>
      <c r="F1283" s="52">
        <f>SUMIF(CPY!$B:$B,Summary!$B1283,CPY!$I:$I)</f>
        <v>0</v>
      </c>
    </row>
    <row r="1284" spans="1:6" x14ac:dyDescent="0.25">
      <c r="A1284" s="50">
        <f t="shared" si="19"/>
        <v>1282</v>
      </c>
      <c r="B1284" s="50">
        <v>6308</v>
      </c>
      <c r="C1284" s="50" t="s">
        <v>1314</v>
      </c>
      <c r="D1284" s="51" t="s">
        <v>85</v>
      </c>
      <c r="F1284" s="52">
        <f>SUMIF(CPY!$B:$B,Summary!$B1284,CPY!$I:$I)</f>
        <v>0</v>
      </c>
    </row>
    <row r="1285" spans="1:6" x14ac:dyDescent="0.25">
      <c r="A1285" s="50">
        <f t="shared" ref="A1285:A1348" si="20">+A1284+1</f>
        <v>1283</v>
      </c>
      <c r="B1285" s="50">
        <v>6309</v>
      </c>
      <c r="C1285" s="50" t="s">
        <v>1315</v>
      </c>
      <c r="D1285" s="51" t="s">
        <v>85</v>
      </c>
      <c r="F1285" s="52">
        <f>SUMIF(CPY!$B:$B,Summary!$B1285,CPY!$I:$I)</f>
        <v>0</v>
      </c>
    </row>
    <row r="1286" spans="1:6" x14ac:dyDescent="0.25">
      <c r="A1286" s="50">
        <f t="shared" si="20"/>
        <v>1284</v>
      </c>
      <c r="B1286" s="50">
        <v>6311</v>
      </c>
      <c r="C1286" s="50" t="s">
        <v>1316</v>
      </c>
      <c r="D1286" s="51" t="s">
        <v>85</v>
      </c>
      <c r="F1286" s="52">
        <f>SUMIF(CPY!$B:$B,Summary!$B1286,CPY!$I:$I)</f>
        <v>0</v>
      </c>
    </row>
    <row r="1287" spans="1:6" x14ac:dyDescent="0.25">
      <c r="A1287" s="50">
        <f t="shared" si="20"/>
        <v>1285</v>
      </c>
      <c r="B1287" s="50">
        <v>6314</v>
      </c>
      <c r="C1287" s="50" t="s">
        <v>1317</v>
      </c>
      <c r="D1287" s="51" t="s">
        <v>85</v>
      </c>
      <c r="F1287" s="52">
        <f>SUMIF(CPY!$B:$B,Summary!$B1287,CPY!$I:$I)</f>
        <v>0</v>
      </c>
    </row>
    <row r="1288" spans="1:6" x14ac:dyDescent="0.25">
      <c r="A1288" s="50">
        <f t="shared" si="20"/>
        <v>1286</v>
      </c>
      <c r="B1288" s="50">
        <v>6315</v>
      </c>
      <c r="C1288" s="50" t="s">
        <v>1318</v>
      </c>
      <c r="D1288" s="51" t="s">
        <v>85</v>
      </c>
      <c r="F1288" s="52">
        <f>SUMIF(CPY!$B:$B,Summary!$B1288,CPY!$I:$I)</f>
        <v>0</v>
      </c>
    </row>
    <row r="1289" spans="1:6" x14ac:dyDescent="0.25">
      <c r="A1289" s="50">
        <f t="shared" si="20"/>
        <v>1287</v>
      </c>
      <c r="B1289" s="50">
        <v>6316</v>
      </c>
      <c r="C1289" s="50" t="s">
        <v>1319</v>
      </c>
      <c r="D1289" s="51" t="s">
        <v>46</v>
      </c>
      <c r="F1289" s="52">
        <f>SUMIF(CPY!$B:$B,Summary!$B1289,CPY!$I:$I)</f>
        <v>0</v>
      </c>
    </row>
    <row r="1290" spans="1:6" x14ac:dyDescent="0.25">
      <c r="A1290" s="50">
        <f t="shared" si="20"/>
        <v>1288</v>
      </c>
      <c r="B1290" s="50">
        <v>6317</v>
      </c>
      <c r="C1290" s="50" t="s">
        <v>1320</v>
      </c>
      <c r="D1290" s="51" t="s">
        <v>69</v>
      </c>
      <c r="F1290" s="52">
        <f>SUMIF(CPY!$B:$B,Summary!$B1290,CPY!$I:$I)</f>
        <v>0</v>
      </c>
    </row>
    <row r="1291" spans="1:6" x14ac:dyDescent="0.25">
      <c r="A1291" s="50">
        <f t="shared" si="20"/>
        <v>1289</v>
      </c>
      <c r="B1291" s="50">
        <v>6318</v>
      </c>
      <c r="C1291" s="50" t="s">
        <v>1321</v>
      </c>
      <c r="D1291" s="51" t="s">
        <v>69</v>
      </c>
      <c r="F1291" s="52">
        <f>SUMIF(CPY!$B:$B,Summary!$B1291,CPY!$I:$I)</f>
        <v>0</v>
      </c>
    </row>
    <row r="1292" spans="1:6" x14ac:dyDescent="0.25">
      <c r="A1292" s="50">
        <f t="shared" si="20"/>
        <v>1290</v>
      </c>
      <c r="B1292" s="50">
        <v>6319</v>
      </c>
      <c r="C1292" s="50" t="s">
        <v>1322</v>
      </c>
      <c r="D1292" s="51" t="s">
        <v>69</v>
      </c>
      <c r="F1292" s="52">
        <f>SUMIF(CPY!$B:$B,Summary!$B1292,CPY!$I:$I)</f>
        <v>0</v>
      </c>
    </row>
    <row r="1293" spans="1:6" x14ac:dyDescent="0.25">
      <c r="A1293" s="50">
        <f t="shared" si="20"/>
        <v>1291</v>
      </c>
      <c r="B1293" s="50">
        <v>6320</v>
      </c>
      <c r="C1293" s="50" t="s">
        <v>1323</v>
      </c>
      <c r="D1293" s="51" t="s">
        <v>85</v>
      </c>
      <c r="F1293" s="52">
        <f>SUMIF(CPY!$B:$B,Summary!$B1293,CPY!$I:$I)</f>
        <v>0</v>
      </c>
    </row>
    <row r="1294" spans="1:6" x14ac:dyDescent="0.25">
      <c r="A1294" s="50">
        <f t="shared" si="20"/>
        <v>1292</v>
      </c>
      <c r="B1294" s="50">
        <v>6321</v>
      </c>
      <c r="C1294" s="50" t="s">
        <v>1324</v>
      </c>
      <c r="D1294" s="51" t="s">
        <v>85</v>
      </c>
      <c r="F1294" s="52">
        <f>SUMIF(CPY!$B:$B,Summary!$B1294,CPY!$I:$I)</f>
        <v>0</v>
      </c>
    </row>
    <row r="1295" spans="1:6" x14ac:dyDescent="0.25">
      <c r="A1295" s="50">
        <f t="shared" si="20"/>
        <v>1293</v>
      </c>
      <c r="B1295" s="50">
        <v>6322</v>
      </c>
      <c r="C1295" s="50" t="s">
        <v>1325</v>
      </c>
      <c r="D1295" s="51" t="s">
        <v>69</v>
      </c>
      <c r="F1295" s="52">
        <f>SUMIF(CPY!$B:$B,Summary!$B1295,CPY!$I:$I)</f>
        <v>0</v>
      </c>
    </row>
    <row r="1296" spans="1:6" x14ac:dyDescent="0.25">
      <c r="A1296" s="50">
        <f t="shared" si="20"/>
        <v>1294</v>
      </c>
      <c r="B1296" s="50">
        <v>6323</v>
      </c>
      <c r="C1296" s="50" t="s">
        <v>1326</v>
      </c>
      <c r="D1296" s="51" t="s">
        <v>46</v>
      </c>
      <c r="F1296" s="52">
        <f>SUMIF(CPY!$B:$B,Summary!$B1296,CPY!$I:$I)</f>
        <v>0</v>
      </c>
    </row>
    <row r="1297" spans="1:6" x14ac:dyDescent="0.25">
      <c r="A1297" s="50">
        <f t="shared" si="20"/>
        <v>1295</v>
      </c>
      <c r="B1297" s="50">
        <v>6324</v>
      </c>
      <c r="C1297" s="50" t="s">
        <v>1327</v>
      </c>
      <c r="D1297" s="51" t="s">
        <v>78</v>
      </c>
      <c r="F1297" s="52">
        <f>SUMIF(CPY!$B:$B,Summary!$B1297,CPY!$I:$I)</f>
        <v>0</v>
      </c>
    </row>
    <row r="1298" spans="1:6" x14ac:dyDescent="0.25">
      <c r="A1298" s="50">
        <f t="shared" si="20"/>
        <v>1296</v>
      </c>
      <c r="B1298" s="50">
        <v>6327</v>
      </c>
      <c r="C1298" s="50" t="s">
        <v>1328</v>
      </c>
      <c r="D1298" s="51" t="s">
        <v>46</v>
      </c>
      <c r="F1298" s="52">
        <f>SUMIF(CPY!$B:$B,Summary!$B1298,CPY!$I:$I)</f>
        <v>0</v>
      </c>
    </row>
    <row r="1299" spans="1:6" x14ac:dyDescent="0.25">
      <c r="A1299" s="50">
        <f t="shared" si="20"/>
        <v>1297</v>
      </c>
      <c r="B1299" s="50">
        <v>6330</v>
      </c>
      <c r="C1299" s="50" t="s">
        <v>1329</v>
      </c>
      <c r="D1299" s="51" t="s">
        <v>85</v>
      </c>
      <c r="F1299" s="52">
        <f>SUMIF(CPY!$B:$B,Summary!$B1299,CPY!$I:$I)</f>
        <v>0</v>
      </c>
    </row>
    <row r="1300" spans="1:6" x14ac:dyDescent="0.25">
      <c r="A1300" s="50">
        <f t="shared" si="20"/>
        <v>1298</v>
      </c>
      <c r="B1300" s="50">
        <v>6331</v>
      </c>
      <c r="C1300" s="50" t="s">
        <v>1330</v>
      </c>
      <c r="D1300" s="51" t="s">
        <v>78</v>
      </c>
      <c r="F1300" s="52">
        <f>SUMIF(CPY!$B:$B,Summary!$B1300,CPY!$I:$I)</f>
        <v>0</v>
      </c>
    </row>
    <row r="1301" spans="1:6" x14ac:dyDescent="0.25">
      <c r="A1301" s="50">
        <f t="shared" si="20"/>
        <v>1299</v>
      </c>
      <c r="B1301" s="50">
        <v>6332</v>
      </c>
      <c r="C1301" s="50" t="s">
        <v>1331</v>
      </c>
      <c r="D1301" s="51" t="s">
        <v>85</v>
      </c>
      <c r="F1301" s="52">
        <f>SUMIF(CPY!$B:$B,Summary!$B1301,CPY!$I:$I)</f>
        <v>0</v>
      </c>
    </row>
    <row r="1302" spans="1:6" x14ac:dyDescent="0.25">
      <c r="A1302" s="50">
        <f t="shared" si="20"/>
        <v>1300</v>
      </c>
      <c r="B1302" s="50">
        <v>6333</v>
      </c>
      <c r="C1302" s="50" t="s">
        <v>1332</v>
      </c>
      <c r="D1302" s="51" t="s">
        <v>85</v>
      </c>
      <c r="F1302" s="52">
        <f>SUMIF(CPY!$B:$B,Summary!$B1302,CPY!$I:$I)</f>
        <v>0</v>
      </c>
    </row>
    <row r="1303" spans="1:6" x14ac:dyDescent="0.25">
      <c r="A1303" s="50">
        <f t="shared" si="20"/>
        <v>1301</v>
      </c>
      <c r="B1303" s="50">
        <v>6335</v>
      </c>
      <c r="C1303" s="50" t="s">
        <v>1333</v>
      </c>
      <c r="D1303" s="51" t="s">
        <v>78</v>
      </c>
      <c r="F1303" s="52">
        <f>SUMIF(CPY!$B:$B,Summary!$B1303,CPY!$I:$I)</f>
        <v>0</v>
      </c>
    </row>
    <row r="1304" spans="1:6" x14ac:dyDescent="0.25">
      <c r="A1304" s="50">
        <f t="shared" si="20"/>
        <v>1302</v>
      </c>
      <c r="B1304" s="50">
        <v>6339</v>
      </c>
      <c r="C1304" s="50" t="s">
        <v>1334</v>
      </c>
      <c r="D1304" s="51" t="s">
        <v>85</v>
      </c>
      <c r="F1304" s="52">
        <f>SUMIF(CPY!$B:$B,Summary!$B1304,CPY!$I:$I)</f>
        <v>0</v>
      </c>
    </row>
    <row r="1305" spans="1:6" x14ac:dyDescent="0.25">
      <c r="A1305" s="50">
        <f t="shared" si="20"/>
        <v>1303</v>
      </c>
      <c r="B1305" s="50">
        <v>6341</v>
      </c>
      <c r="C1305" s="50" t="s">
        <v>1335</v>
      </c>
      <c r="D1305" s="51" t="s">
        <v>85</v>
      </c>
      <c r="F1305" s="52">
        <f>SUMIF(CPY!$B:$B,Summary!$B1305,CPY!$I:$I)</f>
        <v>0</v>
      </c>
    </row>
    <row r="1306" spans="1:6" x14ac:dyDescent="0.25">
      <c r="A1306" s="50">
        <f t="shared" si="20"/>
        <v>1304</v>
      </c>
      <c r="B1306" s="50">
        <v>6342</v>
      </c>
      <c r="C1306" s="50" t="s">
        <v>1336</v>
      </c>
      <c r="D1306" s="51" t="s">
        <v>85</v>
      </c>
      <c r="F1306" s="52">
        <f>SUMIF(CPY!$B:$B,Summary!$B1306,CPY!$I:$I)</f>
        <v>0</v>
      </c>
    </row>
    <row r="1307" spans="1:6" x14ac:dyDescent="0.25">
      <c r="A1307" s="50">
        <f t="shared" si="20"/>
        <v>1305</v>
      </c>
      <c r="B1307" s="50">
        <v>6343</v>
      </c>
      <c r="C1307" s="50" t="s">
        <v>1337</v>
      </c>
      <c r="D1307" s="51" t="s">
        <v>85</v>
      </c>
      <c r="F1307" s="52">
        <f>SUMIF(CPY!$B:$B,Summary!$B1307,CPY!$I:$I)</f>
        <v>0</v>
      </c>
    </row>
    <row r="1308" spans="1:6" x14ac:dyDescent="0.25">
      <c r="A1308" s="50">
        <f t="shared" si="20"/>
        <v>1306</v>
      </c>
      <c r="B1308" s="50">
        <v>6344</v>
      </c>
      <c r="C1308" s="50" t="s">
        <v>1338</v>
      </c>
      <c r="D1308" s="51" t="s">
        <v>85</v>
      </c>
      <c r="F1308" s="52">
        <f>SUMIF(CPY!$B:$B,Summary!$B1308,CPY!$I:$I)</f>
        <v>0</v>
      </c>
    </row>
    <row r="1309" spans="1:6" x14ac:dyDescent="0.25">
      <c r="A1309" s="50">
        <f t="shared" si="20"/>
        <v>1307</v>
      </c>
      <c r="B1309" s="50">
        <v>6345</v>
      </c>
      <c r="C1309" s="50" t="s">
        <v>1339</v>
      </c>
      <c r="D1309" s="51" t="s">
        <v>85</v>
      </c>
      <c r="F1309" s="52">
        <f>SUMIF(CPY!$B:$B,Summary!$B1309,CPY!$I:$I)</f>
        <v>0</v>
      </c>
    </row>
    <row r="1310" spans="1:6" x14ac:dyDescent="0.25">
      <c r="A1310" s="50">
        <f t="shared" si="20"/>
        <v>1308</v>
      </c>
      <c r="B1310" s="50">
        <v>6346</v>
      </c>
      <c r="C1310" s="50" t="s">
        <v>1340</v>
      </c>
      <c r="D1310" s="51" t="s">
        <v>85</v>
      </c>
      <c r="F1310" s="52">
        <f>SUMIF(CPY!$B:$B,Summary!$B1310,CPY!$I:$I)</f>
        <v>0</v>
      </c>
    </row>
    <row r="1311" spans="1:6" x14ac:dyDescent="0.25">
      <c r="A1311" s="50">
        <f t="shared" si="20"/>
        <v>1309</v>
      </c>
      <c r="B1311" s="50">
        <v>6347</v>
      </c>
      <c r="C1311" s="50" t="s">
        <v>1341</v>
      </c>
      <c r="D1311" s="51" t="s">
        <v>46</v>
      </c>
      <c r="F1311" s="52">
        <f>SUMIF(CPY!$B:$B,Summary!$B1311,CPY!$I:$I)</f>
        <v>0</v>
      </c>
    </row>
    <row r="1312" spans="1:6" x14ac:dyDescent="0.25">
      <c r="A1312" s="50">
        <f t="shared" si="20"/>
        <v>1310</v>
      </c>
      <c r="B1312" s="50">
        <v>6348</v>
      </c>
      <c r="C1312" s="50" t="s">
        <v>1342</v>
      </c>
      <c r="D1312" s="51" t="s">
        <v>69</v>
      </c>
      <c r="F1312" s="52">
        <f>SUMIF(CPY!$B:$B,Summary!$B1312,CPY!$I:$I)</f>
        <v>0</v>
      </c>
    </row>
    <row r="1313" spans="1:6" x14ac:dyDescent="0.25">
      <c r="A1313" s="50">
        <f t="shared" si="20"/>
        <v>1311</v>
      </c>
      <c r="B1313" s="50">
        <v>6349</v>
      </c>
      <c r="C1313" s="50" t="s">
        <v>1343</v>
      </c>
      <c r="D1313" s="51" t="s">
        <v>85</v>
      </c>
      <c r="F1313" s="52">
        <f>SUMIF(CPY!$B:$B,Summary!$B1313,CPY!$I:$I)</f>
        <v>0</v>
      </c>
    </row>
    <row r="1314" spans="1:6" x14ac:dyDescent="0.25">
      <c r="A1314" s="50">
        <f t="shared" si="20"/>
        <v>1312</v>
      </c>
      <c r="B1314" s="50">
        <v>6352</v>
      </c>
      <c r="C1314" s="50" t="s">
        <v>1344</v>
      </c>
      <c r="D1314" s="51" t="s">
        <v>78</v>
      </c>
      <c r="F1314" s="52">
        <f>SUMIF(CPY!$B:$B,Summary!$B1314,CPY!$I:$I)</f>
        <v>0</v>
      </c>
    </row>
    <row r="1315" spans="1:6" x14ac:dyDescent="0.25">
      <c r="A1315" s="50">
        <f t="shared" si="20"/>
        <v>1313</v>
      </c>
      <c r="B1315" s="50">
        <v>6353</v>
      </c>
      <c r="C1315" s="50" t="s">
        <v>1345</v>
      </c>
      <c r="D1315" s="51" t="s">
        <v>69</v>
      </c>
      <c r="F1315" s="52">
        <f>SUMIF(CPY!$B:$B,Summary!$B1315,CPY!$I:$I)</f>
        <v>0</v>
      </c>
    </row>
    <row r="1316" spans="1:6" x14ac:dyDescent="0.25">
      <c r="A1316" s="50">
        <f t="shared" si="20"/>
        <v>1314</v>
      </c>
      <c r="B1316" s="50">
        <v>6354</v>
      </c>
      <c r="C1316" s="50" t="s">
        <v>1346</v>
      </c>
      <c r="D1316" s="51" t="s">
        <v>78</v>
      </c>
      <c r="F1316" s="52">
        <f>SUMIF(CPY!$B:$B,Summary!$B1316,CPY!$I:$I)</f>
        <v>0</v>
      </c>
    </row>
    <row r="1317" spans="1:6" x14ac:dyDescent="0.25">
      <c r="A1317" s="50">
        <f t="shared" si="20"/>
        <v>1315</v>
      </c>
      <c r="B1317" s="50">
        <v>6356</v>
      </c>
      <c r="C1317" s="50" t="s">
        <v>1347</v>
      </c>
      <c r="D1317" s="51" t="s">
        <v>85</v>
      </c>
      <c r="F1317" s="52">
        <f>SUMIF(CPY!$B:$B,Summary!$B1317,CPY!$I:$I)</f>
        <v>0</v>
      </c>
    </row>
    <row r="1318" spans="1:6" x14ac:dyDescent="0.25">
      <c r="A1318" s="50">
        <f t="shared" si="20"/>
        <v>1316</v>
      </c>
      <c r="B1318" s="50">
        <v>6357</v>
      </c>
      <c r="C1318" s="50" t="s">
        <v>1348</v>
      </c>
      <c r="D1318" s="51" t="s">
        <v>85</v>
      </c>
      <c r="F1318" s="52">
        <f>SUMIF(CPY!$B:$B,Summary!$B1318,CPY!$I:$I)</f>
        <v>0</v>
      </c>
    </row>
    <row r="1319" spans="1:6" x14ac:dyDescent="0.25">
      <c r="A1319" s="50">
        <f t="shared" si="20"/>
        <v>1317</v>
      </c>
      <c r="B1319" s="50">
        <v>6358</v>
      </c>
      <c r="C1319" s="50" t="s">
        <v>1349</v>
      </c>
      <c r="D1319" s="51" t="s">
        <v>85</v>
      </c>
      <c r="F1319" s="52">
        <f>SUMIF(CPY!$B:$B,Summary!$B1319,CPY!$I:$I)</f>
        <v>0</v>
      </c>
    </row>
    <row r="1320" spans="1:6" x14ac:dyDescent="0.25">
      <c r="A1320" s="50">
        <f t="shared" si="20"/>
        <v>1318</v>
      </c>
      <c r="B1320" s="50">
        <v>6361</v>
      </c>
      <c r="C1320" s="50" t="s">
        <v>1350</v>
      </c>
      <c r="D1320" s="51" t="s">
        <v>85</v>
      </c>
      <c r="F1320" s="52">
        <f>SUMIF(CPY!$B:$B,Summary!$B1320,CPY!$I:$I)</f>
        <v>0</v>
      </c>
    </row>
    <row r="1321" spans="1:6" x14ac:dyDescent="0.25">
      <c r="A1321" s="50">
        <f t="shared" si="20"/>
        <v>1319</v>
      </c>
      <c r="B1321" s="50">
        <v>6362</v>
      </c>
      <c r="C1321" s="50" t="s">
        <v>1351</v>
      </c>
      <c r="D1321" s="51" t="s">
        <v>69</v>
      </c>
      <c r="F1321" s="52">
        <f>SUMIF(CPY!$B:$B,Summary!$B1321,CPY!$I:$I)</f>
        <v>0</v>
      </c>
    </row>
    <row r="1322" spans="1:6" x14ac:dyDescent="0.25">
      <c r="A1322" s="50">
        <f t="shared" si="20"/>
        <v>1320</v>
      </c>
      <c r="B1322" s="50">
        <v>6364</v>
      </c>
      <c r="C1322" s="50" t="s">
        <v>1352</v>
      </c>
      <c r="D1322" s="51" t="s">
        <v>85</v>
      </c>
      <c r="F1322" s="52">
        <f>SUMIF(CPY!$B:$B,Summary!$B1322,CPY!$I:$I)</f>
        <v>0</v>
      </c>
    </row>
    <row r="1323" spans="1:6" x14ac:dyDescent="0.25">
      <c r="A1323" s="50">
        <f t="shared" si="20"/>
        <v>1321</v>
      </c>
      <c r="B1323" s="50">
        <v>6365</v>
      </c>
      <c r="C1323" s="50" t="s">
        <v>1353</v>
      </c>
      <c r="D1323" s="51" t="s">
        <v>85</v>
      </c>
      <c r="F1323" s="52">
        <f>SUMIF(CPY!$B:$B,Summary!$B1323,CPY!$I:$I)</f>
        <v>0</v>
      </c>
    </row>
    <row r="1324" spans="1:6" x14ac:dyDescent="0.25">
      <c r="A1324" s="50">
        <f t="shared" si="20"/>
        <v>1322</v>
      </c>
      <c r="B1324" s="50">
        <v>6366</v>
      </c>
      <c r="C1324" s="50" t="s">
        <v>1354</v>
      </c>
      <c r="D1324" s="51" t="s">
        <v>85</v>
      </c>
      <c r="F1324" s="52">
        <f>SUMIF(CPY!$B:$B,Summary!$B1324,CPY!$I:$I)</f>
        <v>0</v>
      </c>
    </row>
    <row r="1325" spans="1:6" x14ac:dyDescent="0.25">
      <c r="A1325" s="50">
        <f t="shared" si="20"/>
        <v>1323</v>
      </c>
      <c r="B1325" s="50">
        <v>6370</v>
      </c>
      <c r="C1325" s="50" t="s">
        <v>1286</v>
      </c>
      <c r="D1325" s="51" t="s">
        <v>85</v>
      </c>
      <c r="F1325" s="52">
        <f>SUMIF(CPY!$B:$B,Summary!$B1325,CPY!$I:$I)</f>
        <v>0</v>
      </c>
    </row>
    <row r="1326" spans="1:6" x14ac:dyDescent="0.25">
      <c r="A1326" s="50">
        <f t="shared" si="20"/>
        <v>1324</v>
      </c>
      <c r="B1326" s="50">
        <v>6372</v>
      </c>
      <c r="C1326" s="50" t="s">
        <v>1355</v>
      </c>
      <c r="D1326" s="51" t="s">
        <v>85</v>
      </c>
      <c r="F1326" s="52">
        <f>SUMIF(CPY!$B:$B,Summary!$B1326,CPY!$I:$I)</f>
        <v>0</v>
      </c>
    </row>
    <row r="1327" spans="1:6" x14ac:dyDescent="0.25">
      <c r="A1327" s="50">
        <f t="shared" si="20"/>
        <v>1325</v>
      </c>
      <c r="B1327" s="50">
        <v>6374</v>
      </c>
      <c r="C1327" s="50" t="s">
        <v>1356</v>
      </c>
      <c r="D1327" s="51" t="s">
        <v>85</v>
      </c>
      <c r="F1327" s="52">
        <f>SUMIF(CPY!$B:$B,Summary!$B1327,CPY!$I:$I)</f>
        <v>0</v>
      </c>
    </row>
    <row r="1328" spans="1:6" x14ac:dyDescent="0.25">
      <c r="A1328" s="50">
        <f t="shared" si="20"/>
        <v>1326</v>
      </c>
      <c r="B1328" s="50">
        <v>6375</v>
      </c>
      <c r="C1328" s="50" t="s">
        <v>1357</v>
      </c>
      <c r="D1328" s="51" t="s">
        <v>85</v>
      </c>
      <c r="F1328" s="52">
        <f>SUMIF(CPY!$B:$B,Summary!$B1328,CPY!$I:$I)</f>
        <v>0</v>
      </c>
    </row>
    <row r="1329" spans="1:6" x14ac:dyDescent="0.25">
      <c r="A1329" s="50">
        <f t="shared" si="20"/>
        <v>1327</v>
      </c>
      <c r="B1329" s="50">
        <v>6376</v>
      </c>
      <c r="C1329" s="50" t="s">
        <v>1358</v>
      </c>
      <c r="D1329" s="51" t="s">
        <v>85</v>
      </c>
      <c r="F1329" s="52">
        <f>SUMIF(CPY!$B:$B,Summary!$B1329,CPY!$I:$I)</f>
        <v>0</v>
      </c>
    </row>
    <row r="1330" spans="1:6" x14ac:dyDescent="0.25">
      <c r="A1330" s="50">
        <f t="shared" si="20"/>
        <v>1328</v>
      </c>
      <c r="B1330" s="50">
        <v>6377</v>
      </c>
      <c r="C1330" s="50" t="s">
        <v>1359</v>
      </c>
      <c r="D1330" s="51" t="s">
        <v>85</v>
      </c>
      <c r="F1330" s="52">
        <f>SUMIF(CPY!$B:$B,Summary!$B1330,CPY!$I:$I)</f>
        <v>0</v>
      </c>
    </row>
    <row r="1331" spans="1:6" x14ac:dyDescent="0.25">
      <c r="A1331" s="50">
        <f t="shared" si="20"/>
        <v>1329</v>
      </c>
      <c r="B1331" s="50">
        <v>6380</v>
      </c>
      <c r="C1331" s="50" t="s">
        <v>1360</v>
      </c>
      <c r="D1331" s="51" t="s">
        <v>85</v>
      </c>
      <c r="F1331" s="52">
        <f>SUMIF(CPY!$B:$B,Summary!$B1331,CPY!$I:$I)</f>
        <v>0</v>
      </c>
    </row>
    <row r="1332" spans="1:6" x14ac:dyDescent="0.25">
      <c r="A1332" s="50">
        <f t="shared" si="20"/>
        <v>1330</v>
      </c>
      <c r="B1332" s="50">
        <v>6381</v>
      </c>
      <c r="C1332" s="50" t="s">
        <v>1361</v>
      </c>
      <c r="D1332" s="51" t="s">
        <v>85</v>
      </c>
      <c r="F1332" s="52">
        <f>SUMIF(CPY!$B:$B,Summary!$B1332,CPY!$I:$I)</f>
        <v>0</v>
      </c>
    </row>
    <row r="1333" spans="1:6" x14ac:dyDescent="0.25">
      <c r="A1333" s="50">
        <f t="shared" si="20"/>
        <v>1331</v>
      </c>
      <c r="B1333" s="50">
        <v>6385</v>
      </c>
      <c r="C1333" s="50" t="s">
        <v>1362</v>
      </c>
      <c r="D1333" s="51" t="s">
        <v>85</v>
      </c>
      <c r="F1333" s="52">
        <f>SUMIF(CPY!$B:$B,Summary!$B1333,CPY!$I:$I)</f>
        <v>0</v>
      </c>
    </row>
    <row r="1334" spans="1:6" x14ac:dyDescent="0.25">
      <c r="A1334" s="50">
        <f t="shared" si="20"/>
        <v>1332</v>
      </c>
      <c r="B1334" s="50">
        <v>6386</v>
      </c>
      <c r="C1334" s="50" t="s">
        <v>1363</v>
      </c>
      <c r="D1334" s="51" t="s">
        <v>85</v>
      </c>
      <c r="F1334" s="52">
        <f>SUMIF(CPY!$B:$B,Summary!$B1334,CPY!$I:$I)</f>
        <v>0</v>
      </c>
    </row>
    <row r="1335" spans="1:6" x14ac:dyDescent="0.25">
      <c r="A1335" s="50">
        <f t="shared" si="20"/>
        <v>1333</v>
      </c>
      <c r="B1335" s="50">
        <v>6387</v>
      </c>
      <c r="C1335" s="50" t="s">
        <v>1364</v>
      </c>
      <c r="D1335" s="51" t="s">
        <v>85</v>
      </c>
      <c r="F1335" s="52">
        <f>SUMIF(CPY!$B:$B,Summary!$B1335,CPY!$I:$I)</f>
        <v>0</v>
      </c>
    </row>
    <row r="1336" spans="1:6" x14ac:dyDescent="0.25">
      <c r="A1336" s="50">
        <f t="shared" si="20"/>
        <v>1334</v>
      </c>
      <c r="B1336" s="50">
        <v>6388</v>
      </c>
      <c r="C1336" s="50" t="s">
        <v>1365</v>
      </c>
      <c r="D1336" s="51" t="s">
        <v>85</v>
      </c>
      <c r="F1336" s="52">
        <f>SUMIF(CPY!$B:$B,Summary!$B1336,CPY!$I:$I)</f>
        <v>0</v>
      </c>
    </row>
    <row r="1337" spans="1:6" x14ac:dyDescent="0.25">
      <c r="A1337" s="50">
        <f t="shared" si="20"/>
        <v>1335</v>
      </c>
      <c r="B1337" s="50">
        <v>6390</v>
      </c>
      <c r="C1337" s="50" t="s">
        <v>1366</v>
      </c>
      <c r="D1337" s="51" t="s">
        <v>85</v>
      </c>
      <c r="F1337" s="52">
        <f>SUMIF(CPY!$B:$B,Summary!$B1337,CPY!$I:$I)</f>
        <v>0</v>
      </c>
    </row>
    <row r="1338" spans="1:6" x14ac:dyDescent="0.25">
      <c r="A1338" s="50">
        <f t="shared" si="20"/>
        <v>1336</v>
      </c>
      <c r="B1338" s="50">
        <v>6391</v>
      </c>
      <c r="C1338" s="50" t="s">
        <v>1367</v>
      </c>
      <c r="D1338" s="51" t="s">
        <v>85</v>
      </c>
      <c r="F1338" s="52">
        <f>SUMIF(CPY!$B:$B,Summary!$B1338,CPY!$I:$I)</f>
        <v>0</v>
      </c>
    </row>
    <row r="1339" spans="1:6" x14ac:dyDescent="0.25">
      <c r="A1339" s="50">
        <f t="shared" si="20"/>
        <v>1337</v>
      </c>
      <c r="B1339" s="50">
        <v>6392</v>
      </c>
      <c r="C1339" s="50" t="s">
        <v>1368</v>
      </c>
      <c r="D1339" s="51" t="s">
        <v>85</v>
      </c>
      <c r="F1339" s="52">
        <f>SUMIF(CPY!$B:$B,Summary!$B1339,CPY!$I:$I)</f>
        <v>0</v>
      </c>
    </row>
    <row r="1340" spans="1:6" x14ac:dyDescent="0.25">
      <c r="A1340" s="50">
        <f t="shared" si="20"/>
        <v>1338</v>
      </c>
      <c r="B1340" s="50">
        <v>6394</v>
      </c>
      <c r="C1340" s="50" t="s">
        <v>1369</v>
      </c>
      <c r="D1340" s="51" t="s">
        <v>85</v>
      </c>
      <c r="F1340" s="52">
        <f>SUMIF(CPY!$B:$B,Summary!$B1340,CPY!$I:$I)</f>
        <v>0</v>
      </c>
    </row>
    <row r="1341" spans="1:6" x14ac:dyDescent="0.25">
      <c r="A1341" s="50">
        <f t="shared" si="20"/>
        <v>1339</v>
      </c>
      <c r="B1341" s="50">
        <v>6395</v>
      </c>
      <c r="C1341" s="50" t="s">
        <v>1370</v>
      </c>
      <c r="D1341" s="51" t="s">
        <v>85</v>
      </c>
      <c r="F1341" s="52">
        <f>SUMIF(CPY!$B:$B,Summary!$B1341,CPY!$I:$I)</f>
        <v>0</v>
      </c>
    </row>
    <row r="1342" spans="1:6" x14ac:dyDescent="0.25">
      <c r="A1342" s="50">
        <f t="shared" si="20"/>
        <v>1340</v>
      </c>
      <c r="B1342" s="50">
        <v>6397</v>
      </c>
      <c r="C1342" s="50" t="s">
        <v>1371</v>
      </c>
      <c r="D1342" s="51" t="s">
        <v>85</v>
      </c>
      <c r="F1342" s="52">
        <f>SUMIF(CPY!$B:$B,Summary!$B1342,CPY!$I:$I)</f>
        <v>0</v>
      </c>
    </row>
    <row r="1343" spans="1:6" x14ac:dyDescent="0.25">
      <c r="A1343" s="50">
        <f t="shared" si="20"/>
        <v>1341</v>
      </c>
      <c r="B1343" s="50">
        <v>6399</v>
      </c>
      <c r="C1343" s="50" t="s">
        <v>1372</v>
      </c>
      <c r="D1343" s="51" t="s">
        <v>85</v>
      </c>
      <c r="F1343" s="52">
        <f>SUMIF(CPY!$B:$B,Summary!$B1343,CPY!$I:$I)</f>
        <v>0</v>
      </c>
    </row>
    <row r="1344" spans="1:6" x14ac:dyDescent="0.25">
      <c r="A1344" s="50">
        <f t="shared" si="20"/>
        <v>1342</v>
      </c>
      <c r="B1344" s="50">
        <v>6401</v>
      </c>
      <c r="C1344" s="50" t="s">
        <v>1373</v>
      </c>
      <c r="D1344" s="51" t="s">
        <v>85</v>
      </c>
      <c r="F1344" s="52">
        <f>SUMIF(CPY!$B:$B,Summary!$B1344,CPY!$I:$I)</f>
        <v>0</v>
      </c>
    </row>
    <row r="1345" spans="1:6" x14ac:dyDescent="0.25">
      <c r="A1345" s="50">
        <f t="shared" si="20"/>
        <v>1343</v>
      </c>
      <c r="B1345" s="50">
        <v>6402</v>
      </c>
      <c r="C1345" s="50" t="s">
        <v>1374</v>
      </c>
      <c r="D1345" s="51" t="s">
        <v>85</v>
      </c>
      <c r="F1345" s="52">
        <f>SUMIF(CPY!$B:$B,Summary!$B1345,CPY!$I:$I)</f>
        <v>0</v>
      </c>
    </row>
    <row r="1346" spans="1:6" x14ac:dyDescent="0.25">
      <c r="A1346" s="50">
        <f t="shared" si="20"/>
        <v>1344</v>
      </c>
      <c r="B1346" s="50">
        <v>6404</v>
      </c>
      <c r="C1346" s="50" t="s">
        <v>1375</v>
      </c>
      <c r="D1346" s="51" t="s">
        <v>85</v>
      </c>
      <c r="F1346" s="52">
        <f>SUMIF(CPY!$B:$B,Summary!$B1346,CPY!$I:$I)</f>
        <v>0</v>
      </c>
    </row>
    <row r="1347" spans="1:6" x14ac:dyDescent="0.25">
      <c r="A1347" s="50">
        <f t="shared" si="20"/>
        <v>1345</v>
      </c>
      <c r="B1347" s="50">
        <v>6405</v>
      </c>
      <c r="C1347" s="50" t="s">
        <v>1376</v>
      </c>
      <c r="D1347" s="51" t="s">
        <v>85</v>
      </c>
      <c r="F1347" s="52">
        <f>SUMIF(CPY!$B:$B,Summary!$B1347,CPY!$I:$I)</f>
        <v>0</v>
      </c>
    </row>
    <row r="1348" spans="1:6" x14ac:dyDescent="0.25">
      <c r="A1348" s="50">
        <f t="shared" si="20"/>
        <v>1346</v>
      </c>
      <c r="B1348" s="50">
        <v>6406</v>
      </c>
      <c r="C1348" s="50" t="s">
        <v>1377</v>
      </c>
      <c r="D1348" s="51" t="s">
        <v>85</v>
      </c>
      <c r="F1348" s="52">
        <f>SUMIF(CPY!$B:$B,Summary!$B1348,CPY!$I:$I)</f>
        <v>0</v>
      </c>
    </row>
    <row r="1349" spans="1:6" x14ac:dyDescent="0.25">
      <c r="A1349" s="50">
        <f t="shared" ref="A1349:A1412" si="21">+A1348+1</f>
        <v>1347</v>
      </c>
      <c r="B1349" s="50">
        <v>6407</v>
      </c>
      <c r="C1349" s="50" t="s">
        <v>1378</v>
      </c>
      <c r="D1349" s="51" t="s">
        <v>85</v>
      </c>
      <c r="F1349" s="52">
        <f>SUMIF(CPY!$B:$B,Summary!$B1349,CPY!$I:$I)</f>
        <v>0</v>
      </c>
    </row>
    <row r="1350" spans="1:6" x14ac:dyDescent="0.25">
      <c r="A1350" s="50">
        <f t="shared" si="21"/>
        <v>1348</v>
      </c>
      <c r="B1350" s="50">
        <v>6408</v>
      </c>
      <c r="C1350" s="50" t="s">
        <v>1379</v>
      </c>
      <c r="D1350" s="51" t="s">
        <v>85</v>
      </c>
      <c r="F1350" s="52">
        <f>SUMIF(CPY!$B:$B,Summary!$B1350,CPY!$I:$I)</f>
        <v>0</v>
      </c>
    </row>
    <row r="1351" spans="1:6" x14ac:dyDescent="0.25">
      <c r="A1351" s="50">
        <f t="shared" si="21"/>
        <v>1349</v>
      </c>
      <c r="B1351" s="50">
        <v>6410</v>
      </c>
      <c r="C1351" s="50" t="s">
        <v>1380</v>
      </c>
      <c r="D1351" s="51" t="s">
        <v>85</v>
      </c>
      <c r="F1351" s="52">
        <f>SUMIF(CPY!$B:$B,Summary!$B1351,CPY!$I:$I)</f>
        <v>0</v>
      </c>
    </row>
    <row r="1352" spans="1:6" x14ac:dyDescent="0.25">
      <c r="A1352" s="50">
        <f t="shared" si="21"/>
        <v>1350</v>
      </c>
      <c r="B1352" s="50">
        <v>6411</v>
      </c>
      <c r="C1352" s="50" t="s">
        <v>1381</v>
      </c>
      <c r="D1352" s="51" t="s">
        <v>85</v>
      </c>
      <c r="F1352" s="52">
        <f>SUMIF(CPY!$B:$B,Summary!$B1352,CPY!$I:$I)</f>
        <v>0</v>
      </c>
    </row>
    <row r="1353" spans="1:6" x14ac:dyDescent="0.25">
      <c r="A1353" s="50">
        <f t="shared" si="21"/>
        <v>1351</v>
      </c>
      <c r="B1353" s="50">
        <v>6412</v>
      </c>
      <c r="C1353" s="50" t="s">
        <v>1382</v>
      </c>
      <c r="D1353" s="51" t="s">
        <v>85</v>
      </c>
      <c r="F1353" s="52">
        <f>SUMIF(CPY!$B:$B,Summary!$B1353,CPY!$I:$I)</f>
        <v>0</v>
      </c>
    </row>
    <row r="1354" spans="1:6" x14ac:dyDescent="0.25">
      <c r="A1354" s="50">
        <f t="shared" si="21"/>
        <v>1352</v>
      </c>
      <c r="B1354" s="50">
        <v>6413</v>
      </c>
      <c r="C1354" s="50" t="s">
        <v>1383</v>
      </c>
      <c r="D1354" s="51" t="s">
        <v>85</v>
      </c>
      <c r="F1354" s="52">
        <f>SUMIF(CPY!$B:$B,Summary!$B1354,CPY!$I:$I)</f>
        <v>0</v>
      </c>
    </row>
    <row r="1355" spans="1:6" x14ac:dyDescent="0.25">
      <c r="A1355" s="50">
        <f t="shared" si="21"/>
        <v>1353</v>
      </c>
      <c r="B1355" s="50">
        <v>6414</v>
      </c>
      <c r="C1355" s="50" t="s">
        <v>1384</v>
      </c>
      <c r="D1355" s="51" t="s">
        <v>85</v>
      </c>
      <c r="F1355" s="52">
        <f>SUMIF(CPY!$B:$B,Summary!$B1355,CPY!$I:$I)</f>
        <v>0</v>
      </c>
    </row>
    <row r="1356" spans="1:6" x14ac:dyDescent="0.25">
      <c r="A1356" s="50">
        <f t="shared" si="21"/>
        <v>1354</v>
      </c>
      <c r="B1356" s="50">
        <v>6416</v>
      </c>
      <c r="C1356" s="50" t="s">
        <v>1385</v>
      </c>
      <c r="D1356" s="51" t="s">
        <v>85</v>
      </c>
      <c r="F1356" s="52">
        <f>SUMIF(CPY!$B:$B,Summary!$B1356,CPY!$I:$I)</f>
        <v>0</v>
      </c>
    </row>
    <row r="1357" spans="1:6" x14ac:dyDescent="0.25">
      <c r="A1357" s="50">
        <f t="shared" si="21"/>
        <v>1355</v>
      </c>
      <c r="B1357" s="50">
        <v>6417</v>
      </c>
      <c r="C1357" s="50" t="s">
        <v>1386</v>
      </c>
      <c r="D1357" s="51" t="s">
        <v>85</v>
      </c>
      <c r="F1357" s="52">
        <f>SUMIF(CPY!$B:$B,Summary!$B1357,CPY!$I:$I)</f>
        <v>0</v>
      </c>
    </row>
    <row r="1358" spans="1:6" x14ac:dyDescent="0.25">
      <c r="A1358" s="50">
        <f t="shared" si="21"/>
        <v>1356</v>
      </c>
      <c r="B1358" s="50">
        <v>6419</v>
      </c>
      <c r="C1358" s="50" t="s">
        <v>1387</v>
      </c>
      <c r="D1358" s="51" t="s">
        <v>69</v>
      </c>
      <c r="F1358" s="52">
        <f>SUMIF(CPY!$B:$B,Summary!$B1358,CPY!$I:$I)</f>
        <v>0</v>
      </c>
    </row>
    <row r="1359" spans="1:6" x14ac:dyDescent="0.25">
      <c r="A1359" s="50">
        <f t="shared" si="21"/>
        <v>1357</v>
      </c>
      <c r="B1359" s="50">
        <v>6420</v>
      </c>
      <c r="C1359" s="50" t="s">
        <v>1388</v>
      </c>
      <c r="D1359" s="51" t="s">
        <v>85</v>
      </c>
      <c r="F1359" s="52">
        <f>SUMIF(CPY!$B:$B,Summary!$B1359,CPY!$I:$I)</f>
        <v>0</v>
      </c>
    </row>
    <row r="1360" spans="1:6" x14ac:dyDescent="0.25">
      <c r="A1360" s="50">
        <f t="shared" si="21"/>
        <v>1358</v>
      </c>
      <c r="B1360" s="50">
        <v>6423</v>
      </c>
      <c r="C1360" s="50" t="s">
        <v>1389</v>
      </c>
      <c r="D1360" s="51" t="s">
        <v>85</v>
      </c>
      <c r="F1360" s="52">
        <f>SUMIF(CPY!$B:$B,Summary!$B1360,CPY!$I:$I)</f>
        <v>0</v>
      </c>
    </row>
    <row r="1361" spans="1:6" x14ac:dyDescent="0.25">
      <c r="A1361" s="50">
        <f t="shared" si="21"/>
        <v>1359</v>
      </c>
      <c r="B1361" s="50">
        <v>6424</v>
      </c>
      <c r="C1361" s="50" t="s">
        <v>1390</v>
      </c>
      <c r="D1361" s="51" t="s">
        <v>78</v>
      </c>
      <c r="F1361" s="52">
        <f>SUMIF(CPY!$B:$B,Summary!$B1361,CPY!$I:$I)</f>
        <v>0</v>
      </c>
    </row>
    <row r="1362" spans="1:6" x14ac:dyDescent="0.25">
      <c r="A1362" s="50">
        <f t="shared" si="21"/>
        <v>1360</v>
      </c>
      <c r="B1362" s="50">
        <v>6425</v>
      </c>
      <c r="C1362" s="50" t="s">
        <v>816</v>
      </c>
      <c r="D1362" s="51" t="s">
        <v>85</v>
      </c>
      <c r="F1362" s="52">
        <f>SUMIF(CPY!$B:$B,Summary!$B1362,CPY!$I:$I)</f>
        <v>0</v>
      </c>
    </row>
    <row r="1363" spans="1:6" x14ac:dyDescent="0.25">
      <c r="A1363" s="50">
        <f t="shared" si="21"/>
        <v>1361</v>
      </c>
      <c r="B1363" s="50">
        <v>6426</v>
      </c>
      <c r="C1363" s="50" t="s">
        <v>1391</v>
      </c>
      <c r="D1363" s="51" t="s">
        <v>85</v>
      </c>
      <c r="F1363" s="52">
        <f>SUMIF(CPY!$B:$B,Summary!$B1363,CPY!$I:$I)</f>
        <v>0</v>
      </c>
    </row>
    <row r="1364" spans="1:6" x14ac:dyDescent="0.25">
      <c r="A1364" s="50">
        <f t="shared" si="21"/>
        <v>1362</v>
      </c>
      <c r="B1364" s="50">
        <v>6427</v>
      </c>
      <c r="C1364" s="50" t="s">
        <v>1392</v>
      </c>
      <c r="D1364" s="51" t="s">
        <v>85</v>
      </c>
      <c r="F1364" s="52">
        <f>SUMIF(CPY!$B:$B,Summary!$B1364,CPY!$I:$I)</f>
        <v>0</v>
      </c>
    </row>
    <row r="1365" spans="1:6" x14ac:dyDescent="0.25">
      <c r="A1365" s="50">
        <f t="shared" si="21"/>
        <v>1363</v>
      </c>
      <c r="B1365" s="50">
        <v>6428</v>
      </c>
      <c r="C1365" s="50" t="s">
        <v>1393</v>
      </c>
      <c r="D1365" s="51" t="s">
        <v>69</v>
      </c>
      <c r="F1365" s="52">
        <f>SUMIF(CPY!$B:$B,Summary!$B1365,CPY!$I:$I)</f>
        <v>0</v>
      </c>
    </row>
    <row r="1366" spans="1:6" x14ac:dyDescent="0.25">
      <c r="A1366" s="50">
        <f t="shared" si="21"/>
        <v>1364</v>
      </c>
      <c r="B1366" s="50">
        <v>6430</v>
      </c>
      <c r="C1366" s="50" t="s">
        <v>1394</v>
      </c>
      <c r="D1366" s="51" t="s">
        <v>46</v>
      </c>
      <c r="F1366" s="52">
        <f>SUMIF(CPY!$B:$B,Summary!$B1366,CPY!$I:$I)</f>
        <v>0</v>
      </c>
    </row>
    <row r="1367" spans="1:6" x14ac:dyDescent="0.25">
      <c r="A1367" s="50">
        <f t="shared" si="21"/>
        <v>1365</v>
      </c>
      <c r="B1367" s="50">
        <v>6431</v>
      </c>
      <c r="C1367" s="50" t="s">
        <v>1395</v>
      </c>
      <c r="D1367" s="51" t="s">
        <v>69</v>
      </c>
      <c r="F1367" s="52">
        <f>SUMIF(CPY!$B:$B,Summary!$B1367,CPY!$I:$I)</f>
        <v>0</v>
      </c>
    </row>
    <row r="1368" spans="1:6" x14ac:dyDescent="0.25">
      <c r="A1368" s="50">
        <f t="shared" si="21"/>
        <v>1366</v>
      </c>
      <c r="B1368" s="50">
        <v>6432</v>
      </c>
      <c r="C1368" s="50" t="s">
        <v>1396</v>
      </c>
      <c r="D1368" s="51" t="s">
        <v>69</v>
      </c>
      <c r="F1368" s="52">
        <f>SUMIF(CPY!$B:$B,Summary!$B1368,CPY!$I:$I)</f>
        <v>0</v>
      </c>
    </row>
    <row r="1369" spans="1:6" x14ac:dyDescent="0.25">
      <c r="A1369" s="50">
        <f t="shared" si="21"/>
        <v>1367</v>
      </c>
      <c r="B1369" s="50">
        <v>6434</v>
      </c>
      <c r="C1369" s="50" t="s">
        <v>1044</v>
      </c>
      <c r="D1369" s="51" t="s">
        <v>46</v>
      </c>
      <c r="F1369" s="52">
        <f>SUMIF(CPY!$B:$B,Summary!$B1369,CPY!$I:$I)</f>
        <v>0</v>
      </c>
    </row>
    <row r="1370" spans="1:6" x14ac:dyDescent="0.25">
      <c r="A1370" s="50">
        <f t="shared" si="21"/>
        <v>1368</v>
      </c>
      <c r="B1370" s="50">
        <v>6437</v>
      </c>
      <c r="C1370" s="50" t="s">
        <v>1397</v>
      </c>
      <c r="D1370" s="51" t="s">
        <v>85</v>
      </c>
      <c r="F1370" s="52">
        <f>SUMIF(CPY!$B:$B,Summary!$B1370,CPY!$I:$I)</f>
        <v>0</v>
      </c>
    </row>
    <row r="1371" spans="1:6" x14ac:dyDescent="0.25">
      <c r="A1371" s="50">
        <f t="shared" si="21"/>
        <v>1369</v>
      </c>
      <c r="B1371" s="50">
        <v>6438</v>
      </c>
      <c r="C1371" s="50" t="s">
        <v>1398</v>
      </c>
      <c r="D1371" s="51" t="s">
        <v>85</v>
      </c>
      <c r="F1371" s="52">
        <f>SUMIF(CPY!$B:$B,Summary!$B1371,CPY!$I:$I)</f>
        <v>0</v>
      </c>
    </row>
    <row r="1372" spans="1:6" x14ac:dyDescent="0.25">
      <c r="A1372" s="50">
        <f t="shared" si="21"/>
        <v>1370</v>
      </c>
      <c r="B1372" s="50">
        <v>6439</v>
      </c>
      <c r="C1372" s="50" t="s">
        <v>1399</v>
      </c>
      <c r="D1372" s="51" t="s">
        <v>85</v>
      </c>
      <c r="F1372" s="52">
        <f>SUMIF(CPY!$B:$B,Summary!$B1372,CPY!$I:$I)</f>
        <v>0</v>
      </c>
    </row>
    <row r="1373" spans="1:6" x14ac:dyDescent="0.25">
      <c r="A1373" s="50">
        <f t="shared" si="21"/>
        <v>1371</v>
      </c>
      <c r="B1373" s="50">
        <v>6440</v>
      </c>
      <c r="C1373" s="50" t="s">
        <v>1400</v>
      </c>
      <c r="D1373" s="51" t="s">
        <v>69</v>
      </c>
      <c r="F1373" s="52">
        <f>SUMIF(CPY!$B:$B,Summary!$B1373,CPY!$I:$I)</f>
        <v>0</v>
      </c>
    </row>
    <row r="1374" spans="1:6" x14ac:dyDescent="0.25">
      <c r="A1374" s="50">
        <f t="shared" si="21"/>
        <v>1372</v>
      </c>
      <c r="B1374" s="50">
        <v>6442</v>
      </c>
      <c r="C1374" s="50" t="s">
        <v>1401</v>
      </c>
      <c r="D1374" s="51" t="s">
        <v>85</v>
      </c>
      <c r="F1374" s="52">
        <f>SUMIF(CPY!$B:$B,Summary!$B1374,CPY!$I:$I)</f>
        <v>0</v>
      </c>
    </row>
    <row r="1375" spans="1:6" x14ac:dyDescent="0.25">
      <c r="A1375" s="50">
        <f t="shared" si="21"/>
        <v>1373</v>
      </c>
      <c r="B1375" s="50">
        <v>6443</v>
      </c>
      <c r="C1375" s="50" t="s">
        <v>1402</v>
      </c>
      <c r="D1375" s="51" t="s">
        <v>85</v>
      </c>
      <c r="F1375" s="52">
        <f>SUMIF(CPY!$B:$B,Summary!$B1375,CPY!$I:$I)</f>
        <v>0</v>
      </c>
    </row>
    <row r="1376" spans="1:6" x14ac:dyDescent="0.25">
      <c r="A1376" s="50">
        <f t="shared" si="21"/>
        <v>1374</v>
      </c>
      <c r="B1376" s="50">
        <v>6444</v>
      </c>
      <c r="C1376" s="50" t="s">
        <v>1403</v>
      </c>
      <c r="D1376" s="51" t="s">
        <v>85</v>
      </c>
      <c r="F1376" s="52">
        <f>SUMIF(CPY!$B:$B,Summary!$B1376,CPY!$I:$I)</f>
        <v>0</v>
      </c>
    </row>
    <row r="1377" spans="1:6" x14ac:dyDescent="0.25">
      <c r="A1377" s="50">
        <f t="shared" si="21"/>
        <v>1375</v>
      </c>
      <c r="B1377" s="50">
        <v>6445</v>
      </c>
      <c r="C1377" s="50" t="s">
        <v>1404</v>
      </c>
      <c r="D1377" s="51" t="s">
        <v>69</v>
      </c>
      <c r="F1377" s="52">
        <f>SUMIF(CPY!$B:$B,Summary!$B1377,CPY!$I:$I)</f>
        <v>0</v>
      </c>
    </row>
    <row r="1378" spans="1:6" x14ac:dyDescent="0.25">
      <c r="A1378" s="50">
        <f t="shared" si="21"/>
        <v>1376</v>
      </c>
      <c r="B1378" s="50">
        <v>6448</v>
      </c>
      <c r="C1378" s="50" t="s">
        <v>1405</v>
      </c>
      <c r="D1378" s="51" t="s">
        <v>69</v>
      </c>
      <c r="F1378" s="52">
        <f>SUMIF(CPY!$B:$B,Summary!$B1378,CPY!$I:$I)</f>
        <v>0</v>
      </c>
    </row>
    <row r="1379" spans="1:6" x14ac:dyDescent="0.25">
      <c r="A1379" s="50">
        <f t="shared" si="21"/>
        <v>1377</v>
      </c>
      <c r="B1379" s="50">
        <v>6450</v>
      </c>
      <c r="C1379" s="50" t="s">
        <v>1406</v>
      </c>
      <c r="D1379" s="51" t="s">
        <v>85</v>
      </c>
      <c r="F1379" s="52">
        <f>SUMIF(CPY!$B:$B,Summary!$B1379,CPY!$I:$I)</f>
        <v>0</v>
      </c>
    </row>
    <row r="1380" spans="1:6" x14ac:dyDescent="0.25">
      <c r="A1380" s="50">
        <f t="shared" si="21"/>
        <v>1378</v>
      </c>
      <c r="B1380" s="50">
        <v>6451</v>
      </c>
      <c r="C1380" s="50" t="s">
        <v>1407</v>
      </c>
      <c r="D1380" s="51" t="s">
        <v>85</v>
      </c>
      <c r="F1380" s="52">
        <f>SUMIF(CPY!$B:$B,Summary!$B1380,CPY!$I:$I)</f>
        <v>0</v>
      </c>
    </row>
    <row r="1381" spans="1:6" x14ac:dyDescent="0.25">
      <c r="A1381" s="50">
        <f t="shared" si="21"/>
        <v>1379</v>
      </c>
      <c r="B1381" s="50">
        <v>6453</v>
      </c>
      <c r="C1381" s="50" t="s">
        <v>1408</v>
      </c>
      <c r="D1381" s="51" t="s">
        <v>85</v>
      </c>
      <c r="F1381" s="52">
        <f>SUMIF(CPY!$B:$B,Summary!$B1381,CPY!$I:$I)</f>
        <v>0</v>
      </c>
    </row>
    <row r="1382" spans="1:6" x14ac:dyDescent="0.25">
      <c r="A1382" s="50">
        <f t="shared" si="21"/>
        <v>1380</v>
      </c>
      <c r="B1382" s="50">
        <v>6454</v>
      </c>
      <c r="C1382" s="50" t="s">
        <v>1409</v>
      </c>
      <c r="D1382" s="51" t="s">
        <v>69</v>
      </c>
      <c r="F1382" s="52">
        <f>SUMIF(CPY!$B:$B,Summary!$B1382,CPY!$I:$I)</f>
        <v>0</v>
      </c>
    </row>
    <row r="1383" spans="1:6" x14ac:dyDescent="0.25">
      <c r="A1383" s="50">
        <f t="shared" si="21"/>
        <v>1381</v>
      </c>
      <c r="B1383" s="50">
        <v>6455</v>
      </c>
      <c r="C1383" s="50" t="s">
        <v>1410</v>
      </c>
      <c r="D1383" s="51" t="s">
        <v>85</v>
      </c>
      <c r="F1383" s="52">
        <f>SUMIF(CPY!$B:$B,Summary!$B1383,CPY!$I:$I)</f>
        <v>0</v>
      </c>
    </row>
    <row r="1384" spans="1:6" x14ac:dyDescent="0.25">
      <c r="A1384" s="50">
        <f t="shared" si="21"/>
        <v>1382</v>
      </c>
      <c r="B1384" s="50">
        <v>6457</v>
      </c>
      <c r="C1384" s="50" t="s">
        <v>1411</v>
      </c>
      <c r="D1384" s="51" t="s">
        <v>85</v>
      </c>
      <c r="F1384" s="52">
        <f>SUMIF(CPY!$B:$B,Summary!$B1384,CPY!$I:$I)</f>
        <v>0</v>
      </c>
    </row>
    <row r="1385" spans="1:6" x14ac:dyDescent="0.25">
      <c r="A1385" s="50">
        <f t="shared" si="21"/>
        <v>1383</v>
      </c>
      <c r="B1385" s="50">
        <v>6458</v>
      </c>
      <c r="C1385" s="50" t="s">
        <v>1412</v>
      </c>
      <c r="D1385" s="51" t="s">
        <v>85</v>
      </c>
      <c r="F1385" s="52">
        <f>SUMIF(CPY!$B:$B,Summary!$B1385,CPY!$I:$I)</f>
        <v>0</v>
      </c>
    </row>
    <row r="1386" spans="1:6" x14ac:dyDescent="0.25">
      <c r="A1386" s="50">
        <f t="shared" si="21"/>
        <v>1384</v>
      </c>
      <c r="B1386" s="50">
        <v>6459</v>
      </c>
      <c r="C1386" s="50" t="s">
        <v>1413</v>
      </c>
      <c r="D1386" s="51" t="s">
        <v>85</v>
      </c>
      <c r="F1386" s="52">
        <f>SUMIF(CPY!$B:$B,Summary!$B1386,CPY!$I:$I)</f>
        <v>0</v>
      </c>
    </row>
    <row r="1387" spans="1:6" x14ac:dyDescent="0.25">
      <c r="A1387" s="50">
        <f t="shared" si="21"/>
        <v>1385</v>
      </c>
      <c r="B1387" s="50">
        <v>6460</v>
      </c>
      <c r="C1387" s="50" t="s">
        <v>1414</v>
      </c>
      <c r="D1387" s="51" t="s">
        <v>85</v>
      </c>
      <c r="F1387" s="52">
        <f>SUMIF(CPY!$B:$B,Summary!$B1387,CPY!$I:$I)</f>
        <v>0</v>
      </c>
    </row>
    <row r="1388" spans="1:6" x14ac:dyDescent="0.25">
      <c r="A1388" s="50">
        <f t="shared" si="21"/>
        <v>1386</v>
      </c>
      <c r="B1388" s="50">
        <v>6461</v>
      </c>
      <c r="C1388" s="50" t="s">
        <v>1415</v>
      </c>
      <c r="D1388" s="51" t="s">
        <v>85</v>
      </c>
      <c r="F1388" s="52">
        <f>SUMIF(CPY!$B:$B,Summary!$B1388,CPY!$I:$I)</f>
        <v>0</v>
      </c>
    </row>
    <row r="1389" spans="1:6" x14ac:dyDescent="0.25">
      <c r="A1389" s="50">
        <f t="shared" si="21"/>
        <v>1387</v>
      </c>
      <c r="B1389" s="50">
        <v>6462</v>
      </c>
      <c r="C1389" s="50" t="s">
        <v>1416</v>
      </c>
      <c r="D1389" s="51" t="s">
        <v>85</v>
      </c>
      <c r="F1389" s="52">
        <f>SUMIF(CPY!$B:$B,Summary!$B1389,CPY!$I:$I)</f>
        <v>0</v>
      </c>
    </row>
    <row r="1390" spans="1:6" x14ac:dyDescent="0.25">
      <c r="A1390" s="50">
        <f t="shared" si="21"/>
        <v>1388</v>
      </c>
      <c r="B1390" s="50">
        <v>6463</v>
      </c>
      <c r="C1390" s="50" t="s">
        <v>1417</v>
      </c>
      <c r="D1390" s="51" t="s">
        <v>85</v>
      </c>
      <c r="F1390" s="52">
        <f>SUMIF(CPY!$B:$B,Summary!$B1390,CPY!$I:$I)</f>
        <v>0</v>
      </c>
    </row>
    <row r="1391" spans="1:6" x14ac:dyDescent="0.25">
      <c r="A1391" s="50">
        <f t="shared" si="21"/>
        <v>1389</v>
      </c>
      <c r="B1391" s="50">
        <v>6464</v>
      </c>
      <c r="C1391" s="50" t="s">
        <v>1418</v>
      </c>
      <c r="D1391" s="51" t="s">
        <v>85</v>
      </c>
      <c r="F1391" s="52">
        <f>SUMIF(CPY!$B:$B,Summary!$B1391,CPY!$I:$I)</f>
        <v>0</v>
      </c>
    </row>
    <row r="1392" spans="1:6" x14ac:dyDescent="0.25">
      <c r="A1392" s="50">
        <f t="shared" si="21"/>
        <v>1390</v>
      </c>
      <c r="B1392" s="50">
        <v>6465</v>
      </c>
      <c r="C1392" s="50" t="s">
        <v>1419</v>
      </c>
      <c r="D1392" s="51" t="s">
        <v>85</v>
      </c>
      <c r="F1392" s="52">
        <f>SUMIF(CPY!$B:$B,Summary!$B1392,CPY!$I:$I)</f>
        <v>0</v>
      </c>
    </row>
    <row r="1393" spans="1:6" x14ac:dyDescent="0.25">
      <c r="A1393" s="50">
        <f t="shared" si="21"/>
        <v>1391</v>
      </c>
      <c r="B1393" s="50">
        <v>6466</v>
      </c>
      <c r="C1393" s="50" t="s">
        <v>1420</v>
      </c>
      <c r="D1393" s="51" t="s">
        <v>85</v>
      </c>
      <c r="F1393" s="52">
        <f>SUMIF(CPY!$B:$B,Summary!$B1393,CPY!$I:$I)</f>
        <v>0</v>
      </c>
    </row>
    <row r="1394" spans="1:6" x14ac:dyDescent="0.25">
      <c r="A1394" s="50">
        <f t="shared" si="21"/>
        <v>1392</v>
      </c>
      <c r="B1394" s="50">
        <v>6467</v>
      </c>
      <c r="C1394" s="50" t="s">
        <v>1421</v>
      </c>
      <c r="D1394" s="51" t="s">
        <v>85</v>
      </c>
      <c r="F1394" s="52">
        <f>SUMIF(CPY!$B:$B,Summary!$B1394,CPY!$I:$I)</f>
        <v>0</v>
      </c>
    </row>
    <row r="1395" spans="1:6" x14ac:dyDescent="0.25">
      <c r="A1395" s="50">
        <f t="shared" si="21"/>
        <v>1393</v>
      </c>
      <c r="B1395" s="50">
        <v>6468</v>
      </c>
      <c r="C1395" s="50" t="s">
        <v>1422</v>
      </c>
      <c r="D1395" s="51" t="s">
        <v>85</v>
      </c>
      <c r="F1395" s="52">
        <f>SUMIF(CPY!$B:$B,Summary!$B1395,CPY!$I:$I)</f>
        <v>0</v>
      </c>
    </row>
    <row r="1396" spans="1:6" x14ac:dyDescent="0.25">
      <c r="A1396" s="50">
        <f t="shared" si="21"/>
        <v>1394</v>
      </c>
      <c r="B1396" s="50">
        <v>6470</v>
      </c>
      <c r="C1396" s="50" t="s">
        <v>1423</v>
      </c>
      <c r="D1396" s="51" t="s">
        <v>85</v>
      </c>
      <c r="F1396" s="52">
        <f>SUMIF(CPY!$B:$B,Summary!$B1396,CPY!$I:$I)</f>
        <v>0</v>
      </c>
    </row>
    <row r="1397" spans="1:6" x14ac:dyDescent="0.25">
      <c r="A1397" s="50">
        <f t="shared" si="21"/>
        <v>1395</v>
      </c>
      <c r="B1397" s="50">
        <v>6471</v>
      </c>
      <c r="C1397" s="50" t="s">
        <v>1424</v>
      </c>
      <c r="D1397" s="51" t="s">
        <v>85</v>
      </c>
      <c r="F1397" s="52">
        <f>SUMIF(CPY!$B:$B,Summary!$B1397,CPY!$I:$I)</f>
        <v>0</v>
      </c>
    </row>
    <row r="1398" spans="1:6" x14ac:dyDescent="0.25">
      <c r="A1398" s="50">
        <f t="shared" si="21"/>
        <v>1396</v>
      </c>
      <c r="B1398" s="50">
        <v>6472</v>
      </c>
      <c r="C1398" s="50" t="s">
        <v>1425</v>
      </c>
      <c r="D1398" s="51" t="s">
        <v>85</v>
      </c>
      <c r="F1398" s="52">
        <f>SUMIF(CPY!$B:$B,Summary!$B1398,CPY!$I:$I)</f>
        <v>0</v>
      </c>
    </row>
    <row r="1399" spans="1:6" x14ac:dyDescent="0.25">
      <c r="A1399" s="50">
        <f t="shared" si="21"/>
        <v>1397</v>
      </c>
      <c r="B1399" s="50">
        <v>6474</v>
      </c>
      <c r="C1399" s="50" t="s">
        <v>1426</v>
      </c>
      <c r="D1399" s="51" t="s">
        <v>85</v>
      </c>
      <c r="F1399" s="52">
        <f>SUMIF(CPY!$B:$B,Summary!$B1399,CPY!$I:$I)</f>
        <v>0</v>
      </c>
    </row>
    <row r="1400" spans="1:6" x14ac:dyDescent="0.25">
      <c r="A1400" s="50">
        <f t="shared" si="21"/>
        <v>1398</v>
      </c>
      <c r="B1400" s="50">
        <v>6476</v>
      </c>
      <c r="C1400" s="50" t="s">
        <v>1427</v>
      </c>
      <c r="D1400" s="51" t="s">
        <v>85</v>
      </c>
      <c r="F1400" s="52">
        <f>SUMIF(CPY!$B:$B,Summary!$B1400,CPY!$I:$I)</f>
        <v>0</v>
      </c>
    </row>
    <row r="1401" spans="1:6" x14ac:dyDescent="0.25">
      <c r="A1401" s="50">
        <f t="shared" si="21"/>
        <v>1399</v>
      </c>
      <c r="B1401" s="50">
        <v>6478</v>
      </c>
      <c r="C1401" s="50" t="s">
        <v>1428</v>
      </c>
      <c r="D1401" s="51" t="s">
        <v>85</v>
      </c>
      <c r="F1401" s="52">
        <f>SUMIF(CPY!$B:$B,Summary!$B1401,CPY!$I:$I)</f>
        <v>0</v>
      </c>
    </row>
    <row r="1402" spans="1:6" x14ac:dyDescent="0.25">
      <c r="A1402" s="50">
        <f t="shared" si="21"/>
        <v>1400</v>
      </c>
      <c r="B1402" s="50">
        <v>6479</v>
      </c>
      <c r="C1402" s="50" t="s">
        <v>1429</v>
      </c>
      <c r="D1402" s="51" t="s">
        <v>85</v>
      </c>
      <c r="F1402" s="52">
        <f>SUMIF(CPY!$B:$B,Summary!$B1402,CPY!$I:$I)</f>
        <v>0</v>
      </c>
    </row>
    <row r="1403" spans="1:6" x14ac:dyDescent="0.25">
      <c r="A1403" s="50">
        <f t="shared" si="21"/>
        <v>1401</v>
      </c>
      <c r="B1403" s="50">
        <v>6481</v>
      </c>
      <c r="C1403" s="50" t="s">
        <v>1430</v>
      </c>
      <c r="D1403" s="51" t="s">
        <v>85</v>
      </c>
      <c r="F1403" s="52">
        <f>SUMIF(CPY!$B:$B,Summary!$B1403,CPY!$I:$I)</f>
        <v>0</v>
      </c>
    </row>
    <row r="1404" spans="1:6" x14ac:dyDescent="0.25">
      <c r="A1404" s="50">
        <f t="shared" si="21"/>
        <v>1402</v>
      </c>
      <c r="B1404" s="50">
        <v>6483</v>
      </c>
      <c r="C1404" s="50" t="s">
        <v>1431</v>
      </c>
      <c r="D1404" s="51" t="s">
        <v>85</v>
      </c>
      <c r="F1404" s="52">
        <f>SUMIF(CPY!$B:$B,Summary!$B1404,CPY!$I:$I)</f>
        <v>0</v>
      </c>
    </row>
    <row r="1405" spans="1:6" x14ac:dyDescent="0.25">
      <c r="A1405" s="50">
        <f t="shared" si="21"/>
        <v>1403</v>
      </c>
      <c r="B1405" s="50">
        <v>6485</v>
      </c>
      <c r="C1405" s="50" t="s">
        <v>1432</v>
      </c>
      <c r="D1405" s="51" t="s">
        <v>85</v>
      </c>
      <c r="F1405" s="52">
        <f>SUMIF(CPY!$B:$B,Summary!$B1405,CPY!$I:$I)</f>
        <v>0</v>
      </c>
    </row>
    <row r="1406" spans="1:6" x14ac:dyDescent="0.25">
      <c r="A1406" s="50">
        <f t="shared" si="21"/>
        <v>1404</v>
      </c>
      <c r="B1406" s="50">
        <v>6487</v>
      </c>
      <c r="C1406" s="50" t="s">
        <v>1433</v>
      </c>
      <c r="D1406" s="51" t="s">
        <v>85</v>
      </c>
      <c r="F1406" s="52">
        <f>SUMIF(CPY!$B:$B,Summary!$B1406,CPY!$I:$I)</f>
        <v>0</v>
      </c>
    </row>
    <row r="1407" spans="1:6" x14ac:dyDescent="0.25">
      <c r="A1407" s="50">
        <f t="shared" si="21"/>
        <v>1405</v>
      </c>
      <c r="B1407" s="50">
        <v>6488</v>
      </c>
      <c r="C1407" s="50" t="s">
        <v>1434</v>
      </c>
      <c r="D1407" s="51" t="s">
        <v>85</v>
      </c>
      <c r="F1407" s="52">
        <f>SUMIF(CPY!$B:$B,Summary!$B1407,CPY!$I:$I)</f>
        <v>0</v>
      </c>
    </row>
    <row r="1408" spans="1:6" x14ac:dyDescent="0.25">
      <c r="A1408" s="50">
        <f t="shared" si="21"/>
        <v>1406</v>
      </c>
      <c r="B1408" s="50">
        <v>6491</v>
      </c>
      <c r="C1408" s="50" t="s">
        <v>1435</v>
      </c>
      <c r="D1408" s="51" t="s">
        <v>85</v>
      </c>
      <c r="F1408" s="52">
        <f>SUMIF(CPY!$B:$B,Summary!$B1408,CPY!$I:$I)</f>
        <v>0</v>
      </c>
    </row>
    <row r="1409" spans="1:6" x14ac:dyDescent="0.25">
      <c r="A1409" s="50">
        <f t="shared" si="21"/>
        <v>1407</v>
      </c>
      <c r="B1409" s="50">
        <v>6492</v>
      </c>
      <c r="C1409" s="50" t="s">
        <v>1436</v>
      </c>
      <c r="D1409" s="51" t="s">
        <v>85</v>
      </c>
      <c r="F1409" s="52">
        <f>SUMIF(CPY!$B:$B,Summary!$B1409,CPY!$I:$I)</f>
        <v>0</v>
      </c>
    </row>
    <row r="1410" spans="1:6" x14ac:dyDescent="0.25">
      <c r="A1410" s="50">
        <f t="shared" si="21"/>
        <v>1408</v>
      </c>
      <c r="B1410" s="50">
        <v>6493</v>
      </c>
      <c r="C1410" s="50" t="s">
        <v>1437</v>
      </c>
      <c r="D1410" s="51" t="s">
        <v>85</v>
      </c>
      <c r="F1410" s="52">
        <f>SUMIF(CPY!$B:$B,Summary!$B1410,CPY!$I:$I)</f>
        <v>0</v>
      </c>
    </row>
    <row r="1411" spans="1:6" x14ac:dyDescent="0.25">
      <c r="A1411" s="50">
        <f t="shared" si="21"/>
        <v>1409</v>
      </c>
      <c r="B1411" s="50">
        <v>6494</v>
      </c>
      <c r="C1411" s="50" t="s">
        <v>1438</v>
      </c>
      <c r="D1411" s="51" t="s">
        <v>85</v>
      </c>
      <c r="F1411" s="52">
        <f>SUMIF(CPY!$B:$B,Summary!$B1411,CPY!$I:$I)</f>
        <v>0</v>
      </c>
    </row>
    <row r="1412" spans="1:6" x14ac:dyDescent="0.25">
      <c r="A1412" s="50">
        <f t="shared" si="21"/>
        <v>1410</v>
      </c>
      <c r="B1412" s="50">
        <v>6495</v>
      </c>
      <c r="C1412" s="50" t="s">
        <v>1439</v>
      </c>
      <c r="D1412" s="51" t="s">
        <v>85</v>
      </c>
      <c r="F1412" s="52">
        <f>SUMIF(CPY!$B:$B,Summary!$B1412,CPY!$I:$I)</f>
        <v>0</v>
      </c>
    </row>
    <row r="1413" spans="1:6" x14ac:dyDescent="0.25">
      <c r="A1413" s="50">
        <f t="shared" ref="A1413:A1476" si="22">+A1412+1</f>
        <v>1411</v>
      </c>
      <c r="B1413" s="50">
        <v>6496</v>
      </c>
      <c r="C1413" s="50" t="s">
        <v>1440</v>
      </c>
      <c r="D1413" s="51" t="s">
        <v>85</v>
      </c>
      <c r="F1413" s="52">
        <f>SUMIF(CPY!$B:$B,Summary!$B1413,CPY!$I:$I)</f>
        <v>0</v>
      </c>
    </row>
    <row r="1414" spans="1:6" x14ac:dyDescent="0.25">
      <c r="A1414" s="50">
        <f t="shared" si="22"/>
        <v>1412</v>
      </c>
      <c r="B1414" s="50">
        <v>6497</v>
      </c>
      <c r="C1414" s="50" t="s">
        <v>1441</v>
      </c>
      <c r="D1414" s="51" t="s">
        <v>85</v>
      </c>
      <c r="F1414" s="52">
        <f>SUMIF(CPY!$B:$B,Summary!$B1414,CPY!$I:$I)</f>
        <v>0</v>
      </c>
    </row>
    <row r="1415" spans="1:6" x14ac:dyDescent="0.25">
      <c r="A1415" s="50">
        <f t="shared" si="22"/>
        <v>1413</v>
      </c>
      <c r="B1415" s="50">
        <v>6498</v>
      </c>
      <c r="C1415" s="50" t="s">
        <v>1442</v>
      </c>
      <c r="D1415" s="51" t="s">
        <v>85</v>
      </c>
      <c r="F1415" s="52">
        <f>SUMIF(CPY!$B:$B,Summary!$B1415,CPY!$I:$I)</f>
        <v>0</v>
      </c>
    </row>
    <row r="1416" spans="1:6" x14ac:dyDescent="0.25">
      <c r="A1416" s="50">
        <f t="shared" si="22"/>
        <v>1414</v>
      </c>
      <c r="B1416" s="50">
        <v>6500</v>
      </c>
      <c r="C1416" s="50" t="s">
        <v>1443</v>
      </c>
      <c r="D1416" s="51" t="s">
        <v>85</v>
      </c>
      <c r="F1416" s="52">
        <f>SUMIF(CPY!$B:$B,Summary!$B1416,CPY!$I:$I)</f>
        <v>0</v>
      </c>
    </row>
    <row r="1417" spans="1:6" x14ac:dyDescent="0.25">
      <c r="A1417" s="50">
        <f t="shared" si="22"/>
        <v>1415</v>
      </c>
      <c r="B1417" s="50">
        <v>6502</v>
      </c>
      <c r="C1417" s="50" t="s">
        <v>1444</v>
      </c>
      <c r="D1417" s="51" t="s">
        <v>85</v>
      </c>
      <c r="F1417" s="52">
        <f>SUMIF(CPY!$B:$B,Summary!$B1417,CPY!$I:$I)</f>
        <v>0</v>
      </c>
    </row>
    <row r="1418" spans="1:6" x14ac:dyDescent="0.25">
      <c r="A1418" s="50">
        <f t="shared" si="22"/>
        <v>1416</v>
      </c>
      <c r="B1418" s="50">
        <v>6503</v>
      </c>
      <c r="C1418" s="50" t="s">
        <v>1445</v>
      </c>
      <c r="D1418" s="51" t="s">
        <v>85</v>
      </c>
      <c r="F1418" s="52">
        <f>SUMIF(CPY!$B:$B,Summary!$B1418,CPY!$I:$I)</f>
        <v>0</v>
      </c>
    </row>
    <row r="1419" spans="1:6" x14ac:dyDescent="0.25">
      <c r="A1419" s="50">
        <f t="shared" si="22"/>
        <v>1417</v>
      </c>
      <c r="B1419" s="50">
        <v>6504</v>
      </c>
      <c r="C1419" s="50" t="s">
        <v>1446</v>
      </c>
      <c r="D1419" s="51" t="s">
        <v>85</v>
      </c>
      <c r="F1419" s="52">
        <f>SUMIF(CPY!$B:$B,Summary!$B1419,CPY!$I:$I)</f>
        <v>0</v>
      </c>
    </row>
    <row r="1420" spans="1:6" x14ac:dyDescent="0.25">
      <c r="A1420" s="50">
        <f t="shared" si="22"/>
        <v>1418</v>
      </c>
      <c r="B1420" s="50">
        <v>6505</v>
      </c>
      <c r="C1420" s="50" t="s">
        <v>1447</v>
      </c>
      <c r="D1420" s="51" t="s">
        <v>85</v>
      </c>
      <c r="F1420" s="52">
        <f>SUMIF(CPY!$B:$B,Summary!$B1420,CPY!$I:$I)</f>
        <v>0</v>
      </c>
    </row>
    <row r="1421" spans="1:6" x14ac:dyDescent="0.25">
      <c r="A1421" s="50">
        <f t="shared" si="22"/>
        <v>1419</v>
      </c>
      <c r="B1421" s="50">
        <v>6506</v>
      </c>
      <c r="C1421" s="50" t="s">
        <v>1448</v>
      </c>
      <c r="D1421" s="51" t="s">
        <v>85</v>
      </c>
      <c r="F1421" s="52">
        <f>SUMIF(CPY!$B:$B,Summary!$B1421,CPY!$I:$I)</f>
        <v>0</v>
      </c>
    </row>
    <row r="1422" spans="1:6" x14ac:dyDescent="0.25">
      <c r="A1422" s="50">
        <f t="shared" si="22"/>
        <v>1420</v>
      </c>
      <c r="B1422" s="50">
        <v>6508</v>
      </c>
      <c r="C1422" s="50" t="s">
        <v>1449</v>
      </c>
      <c r="D1422" s="51" t="s">
        <v>85</v>
      </c>
      <c r="F1422" s="52">
        <f>SUMIF(CPY!$B:$B,Summary!$B1422,CPY!$I:$I)</f>
        <v>0</v>
      </c>
    </row>
    <row r="1423" spans="1:6" x14ac:dyDescent="0.25">
      <c r="A1423" s="50">
        <f t="shared" si="22"/>
        <v>1421</v>
      </c>
      <c r="B1423" s="50">
        <v>6509</v>
      </c>
      <c r="C1423" s="50" t="s">
        <v>1450</v>
      </c>
      <c r="D1423" s="51" t="s">
        <v>85</v>
      </c>
      <c r="F1423" s="52">
        <f>SUMIF(CPY!$B:$B,Summary!$B1423,CPY!$I:$I)</f>
        <v>0</v>
      </c>
    </row>
    <row r="1424" spans="1:6" x14ac:dyDescent="0.25">
      <c r="A1424" s="50">
        <f t="shared" si="22"/>
        <v>1422</v>
      </c>
      <c r="B1424" s="50">
        <v>6510</v>
      </c>
      <c r="C1424" s="50" t="s">
        <v>1451</v>
      </c>
      <c r="D1424" s="51" t="s">
        <v>85</v>
      </c>
      <c r="F1424" s="52">
        <f>SUMIF(CPY!$B:$B,Summary!$B1424,CPY!$I:$I)</f>
        <v>0</v>
      </c>
    </row>
    <row r="1425" spans="1:6" x14ac:dyDescent="0.25">
      <c r="A1425" s="50">
        <f t="shared" si="22"/>
        <v>1423</v>
      </c>
      <c r="B1425" s="50">
        <v>6512</v>
      </c>
      <c r="C1425" s="50" t="s">
        <v>1452</v>
      </c>
      <c r="D1425" s="51" t="s">
        <v>85</v>
      </c>
      <c r="F1425" s="52">
        <f>SUMIF(CPY!$B:$B,Summary!$B1425,CPY!$I:$I)</f>
        <v>0</v>
      </c>
    </row>
    <row r="1426" spans="1:6" x14ac:dyDescent="0.25">
      <c r="A1426" s="50">
        <f t="shared" si="22"/>
        <v>1424</v>
      </c>
      <c r="B1426" s="50">
        <v>6513</v>
      </c>
      <c r="C1426" s="50" t="s">
        <v>1453</v>
      </c>
      <c r="D1426" s="51" t="s">
        <v>85</v>
      </c>
      <c r="F1426" s="52">
        <f>SUMIF(CPY!$B:$B,Summary!$B1426,CPY!$I:$I)</f>
        <v>0</v>
      </c>
    </row>
    <row r="1427" spans="1:6" x14ac:dyDescent="0.25">
      <c r="A1427" s="50">
        <f t="shared" si="22"/>
        <v>1425</v>
      </c>
      <c r="B1427" s="50">
        <v>6514</v>
      </c>
      <c r="C1427" s="50" t="s">
        <v>1454</v>
      </c>
      <c r="D1427" s="51" t="s">
        <v>85</v>
      </c>
      <c r="F1427" s="52">
        <f>SUMIF(CPY!$B:$B,Summary!$B1427,CPY!$I:$I)</f>
        <v>0</v>
      </c>
    </row>
    <row r="1428" spans="1:6" x14ac:dyDescent="0.25">
      <c r="A1428" s="50">
        <f t="shared" si="22"/>
        <v>1426</v>
      </c>
      <c r="B1428" s="50">
        <v>6516</v>
      </c>
      <c r="C1428" s="50" t="s">
        <v>1455</v>
      </c>
      <c r="D1428" s="51" t="s">
        <v>85</v>
      </c>
      <c r="F1428" s="52">
        <f>SUMIF(CPY!$B:$B,Summary!$B1428,CPY!$I:$I)</f>
        <v>0</v>
      </c>
    </row>
    <row r="1429" spans="1:6" x14ac:dyDescent="0.25">
      <c r="A1429" s="50">
        <f t="shared" si="22"/>
        <v>1427</v>
      </c>
      <c r="B1429" s="50">
        <v>6517</v>
      </c>
      <c r="C1429" s="50" t="s">
        <v>1456</v>
      </c>
      <c r="D1429" s="51" t="s">
        <v>85</v>
      </c>
      <c r="F1429" s="52">
        <f>SUMIF(CPY!$B:$B,Summary!$B1429,CPY!$I:$I)</f>
        <v>0</v>
      </c>
    </row>
    <row r="1430" spans="1:6" x14ac:dyDescent="0.25">
      <c r="A1430" s="50">
        <f t="shared" si="22"/>
        <v>1428</v>
      </c>
      <c r="B1430" s="50">
        <v>6519</v>
      </c>
      <c r="C1430" s="50" t="s">
        <v>1457</v>
      </c>
      <c r="D1430" s="51" t="s">
        <v>69</v>
      </c>
      <c r="F1430" s="52">
        <f>SUMIF(CPY!$B:$B,Summary!$B1430,CPY!$I:$I)</f>
        <v>0</v>
      </c>
    </row>
    <row r="1431" spans="1:6" x14ac:dyDescent="0.25">
      <c r="A1431" s="50">
        <f t="shared" si="22"/>
        <v>1429</v>
      </c>
      <c r="B1431" s="50">
        <v>6520</v>
      </c>
      <c r="C1431" s="50" t="s">
        <v>1458</v>
      </c>
      <c r="D1431" s="51" t="s">
        <v>85</v>
      </c>
      <c r="F1431" s="52">
        <f>SUMIF(CPY!$B:$B,Summary!$B1431,CPY!$I:$I)</f>
        <v>0</v>
      </c>
    </row>
    <row r="1432" spans="1:6" x14ac:dyDescent="0.25">
      <c r="A1432" s="50">
        <f t="shared" si="22"/>
        <v>1430</v>
      </c>
      <c r="B1432" s="50">
        <v>6521</v>
      </c>
      <c r="C1432" s="50" t="s">
        <v>1459</v>
      </c>
      <c r="D1432" s="51" t="s">
        <v>69</v>
      </c>
      <c r="F1432" s="52">
        <f>SUMIF(CPY!$B:$B,Summary!$B1432,CPY!$I:$I)</f>
        <v>0</v>
      </c>
    </row>
    <row r="1433" spans="1:6" x14ac:dyDescent="0.25">
      <c r="A1433" s="50">
        <f t="shared" si="22"/>
        <v>1431</v>
      </c>
      <c r="B1433" s="50">
        <v>6523</v>
      </c>
      <c r="C1433" s="50" t="s">
        <v>1460</v>
      </c>
      <c r="D1433" s="51" t="s">
        <v>85</v>
      </c>
      <c r="F1433" s="52">
        <f>SUMIF(CPY!$B:$B,Summary!$B1433,CPY!$I:$I)</f>
        <v>0</v>
      </c>
    </row>
    <row r="1434" spans="1:6" x14ac:dyDescent="0.25">
      <c r="A1434" s="50">
        <f t="shared" si="22"/>
        <v>1432</v>
      </c>
      <c r="B1434" s="50">
        <v>6526</v>
      </c>
      <c r="C1434" s="50" t="s">
        <v>1461</v>
      </c>
      <c r="D1434" s="51" t="s">
        <v>85</v>
      </c>
      <c r="F1434" s="52">
        <f>SUMIF(CPY!$B:$B,Summary!$B1434,CPY!$I:$I)</f>
        <v>0</v>
      </c>
    </row>
    <row r="1435" spans="1:6" x14ac:dyDescent="0.25">
      <c r="A1435" s="50">
        <f t="shared" si="22"/>
        <v>1433</v>
      </c>
      <c r="B1435" s="50">
        <v>6527</v>
      </c>
      <c r="C1435" s="50" t="s">
        <v>1462</v>
      </c>
      <c r="D1435" s="51" t="s">
        <v>85</v>
      </c>
      <c r="F1435" s="52">
        <f>SUMIF(CPY!$B:$B,Summary!$B1435,CPY!$I:$I)</f>
        <v>0</v>
      </c>
    </row>
    <row r="1436" spans="1:6" x14ac:dyDescent="0.25">
      <c r="A1436" s="50">
        <f t="shared" si="22"/>
        <v>1434</v>
      </c>
      <c r="B1436" s="50">
        <v>6528</v>
      </c>
      <c r="C1436" s="50" t="s">
        <v>1463</v>
      </c>
      <c r="D1436" s="51" t="s">
        <v>85</v>
      </c>
      <c r="F1436" s="52">
        <f>SUMIF(CPY!$B:$B,Summary!$B1436,CPY!$I:$I)</f>
        <v>0</v>
      </c>
    </row>
    <row r="1437" spans="1:6" x14ac:dyDescent="0.25">
      <c r="A1437" s="50">
        <f t="shared" si="22"/>
        <v>1435</v>
      </c>
      <c r="B1437" s="50">
        <v>6530</v>
      </c>
      <c r="C1437" s="50" t="s">
        <v>1464</v>
      </c>
      <c r="D1437" s="51" t="s">
        <v>69</v>
      </c>
      <c r="F1437" s="52">
        <f>SUMIF(CPY!$B:$B,Summary!$B1437,CPY!$I:$I)</f>
        <v>0</v>
      </c>
    </row>
    <row r="1438" spans="1:6" x14ac:dyDescent="0.25">
      <c r="A1438" s="50">
        <f t="shared" si="22"/>
        <v>1436</v>
      </c>
      <c r="B1438" s="50">
        <v>6532</v>
      </c>
      <c r="C1438" s="50" t="s">
        <v>1465</v>
      </c>
      <c r="D1438" s="51" t="s">
        <v>85</v>
      </c>
      <c r="F1438" s="52">
        <f>SUMIF(CPY!$B:$B,Summary!$B1438,CPY!$I:$I)</f>
        <v>0</v>
      </c>
    </row>
    <row r="1439" spans="1:6" x14ac:dyDescent="0.25">
      <c r="A1439" s="50">
        <f t="shared" si="22"/>
        <v>1437</v>
      </c>
      <c r="B1439" s="50">
        <v>6533</v>
      </c>
      <c r="C1439" s="50" t="s">
        <v>1466</v>
      </c>
      <c r="D1439" s="51" t="s">
        <v>46</v>
      </c>
      <c r="F1439" s="52">
        <f>SUMIF(CPY!$B:$B,Summary!$B1439,CPY!$I:$I)</f>
        <v>0</v>
      </c>
    </row>
    <row r="1440" spans="1:6" x14ac:dyDescent="0.25">
      <c r="A1440" s="50">
        <f t="shared" si="22"/>
        <v>1438</v>
      </c>
      <c r="B1440" s="50">
        <v>6536</v>
      </c>
      <c r="C1440" s="50" t="s">
        <v>1467</v>
      </c>
      <c r="D1440" s="51" t="s">
        <v>85</v>
      </c>
      <c r="F1440" s="52">
        <f>SUMIF(CPY!$B:$B,Summary!$B1440,CPY!$I:$I)</f>
        <v>0</v>
      </c>
    </row>
    <row r="1441" spans="1:6" x14ac:dyDescent="0.25">
      <c r="A1441" s="50">
        <f t="shared" si="22"/>
        <v>1439</v>
      </c>
      <c r="B1441" s="50">
        <v>6537</v>
      </c>
      <c r="C1441" s="50" t="s">
        <v>1468</v>
      </c>
      <c r="D1441" s="51" t="s">
        <v>85</v>
      </c>
      <c r="F1441" s="52">
        <f>SUMIF(CPY!$B:$B,Summary!$B1441,CPY!$I:$I)</f>
        <v>0</v>
      </c>
    </row>
    <row r="1442" spans="1:6" x14ac:dyDescent="0.25">
      <c r="A1442" s="50">
        <f t="shared" si="22"/>
        <v>1440</v>
      </c>
      <c r="B1442" s="50">
        <v>6539</v>
      </c>
      <c r="C1442" s="50" t="s">
        <v>1469</v>
      </c>
      <c r="D1442" s="51" t="s">
        <v>85</v>
      </c>
      <c r="F1442" s="52">
        <f>SUMIF(CPY!$B:$B,Summary!$B1442,CPY!$I:$I)</f>
        <v>0</v>
      </c>
    </row>
    <row r="1443" spans="1:6" x14ac:dyDescent="0.25">
      <c r="A1443" s="50">
        <f t="shared" si="22"/>
        <v>1441</v>
      </c>
      <c r="B1443" s="50">
        <v>6545</v>
      </c>
      <c r="C1443" s="50" t="s">
        <v>1470</v>
      </c>
      <c r="D1443" s="51" t="s">
        <v>85</v>
      </c>
      <c r="F1443" s="52">
        <f>SUMIF(CPY!$B:$B,Summary!$B1443,CPY!$I:$I)</f>
        <v>0</v>
      </c>
    </row>
    <row r="1444" spans="1:6" x14ac:dyDescent="0.25">
      <c r="A1444" s="50">
        <f t="shared" si="22"/>
        <v>1442</v>
      </c>
      <c r="B1444" s="50">
        <v>6546</v>
      </c>
      <c r="C1444" s="50" t="s">
        <v>1471</v>
      </c>
      <c r="D1444" s="51" t="s">
        <v>85</v>
      </c>
      <c r="F1444" s="52">
        <f>SUMIF(CPY!$B:$B,Summary!$B1444,CPY!$I:$I)</f>
        <v>0</v>
      </c>
    </row>
    <row r="1445" spans="1:6" x14ac:dyDescent="0.25">
      <c r="A1445" s="50">
        <f t="shared" si="22"/>
        <v>1443</v>
      </c>
      <c r="B1445" s="50">
        <v>6547</v>
      </c>
      <c r="C1445" s="50" t="s">
        <v>1472</v>
      </c>
      <c r="D1445" s="51" t="s">
        <v>85</v>
      </c>
      <c r="F1445" s="52">
        <f>SUMIF(CPY!$B:$B,Summary!$B1445,CPY!$I:$I)</f>
        <v>0</v>
      </c>
    </row>
    <row r="1446" spans="1:6" x14ac:dyDescent="0.25">
      <c r="A1446" s="50">
        <f t="shared" si="22"/>
        <v>1444</v>
      </c>
      <c r="B1446" s="50">
        <v>6549</v>
      </c>
      <c r="C1446" s="50" t="s">
        <v>1473</v>
      </c>
      <c r="D1446" s="51" t="s">
        <v>85</v>
      </c>
      <c r="F1446" s="52">
        <f>SUMIF(CPY!$B:$B,Summary!$B1446,CPY!$I:$I)</f>
        <v>0</v>
      </c>
    </row>
    <row r="1447" spans="1:6" x14ac:dyDescent="0.25">
      <c r="A1447" s="50">
        <f t="shared" si="22"/>
        <v>1445</v>
      </c>
      <c r="B1447" s="50">
        <v>6550</v>
      </c>
      <c r="C1447" s="50" t="s">
        <v>1474</v>
      </c>
      <c r="D1447" s="51" t="s">
        <v>85</v>
      </c>
      <c r="F1447" s="52">
        <f>SUMIF(CPY!$B:$B,Summary!$B1447,CPY!$I:$I)</f>
        <v>0</v>
      </c>
    </row>
    <row r="1448" spans="1:6" x14ac:dyDescent="0.25">
      <c r="A1448" s="50">
        <f t="shared" si="22"/>
        <v>1446</v>
      </c>
      <c r="B1448" s="50">
        <v>6551</v>
      </c>
      <c r="C1448" s="50" t="s">
        <v>1475</v>
      </c>
      <c r="D1448" s="51" t="s">
        <v>85</v>
      </c>
      <c r="F1448" s="52">
        <f>SUMIF(CPY!$B:$B,Summary!$B1448,CPY!$I:$I)</f>
        <v>0</v>
      </c>
    </row>
    <row r="1449" spans="1:6" x14ac:dyDescent="0.25">
      <c r="A1449" s="50">
        <f t="shared" si="22"/>
        <v>1447</v>
      </c>
      <c r="B1449" s="50">
        <v>6552</v>
      </c>
      <c r="C1449" s="50" t="s">
        <v>1476</v>
      </c>
      <c r="D1449" s="51" t="s">
        <v>85</v>
      </c>
      <c r="F1449" s="52">
        <f>SUMIF(CPY!$B:$B,Summary!$B1449,CPY!$I:$I)</f>
        <v>0</v>
      </c>
    </row>
    <row r="1450" spans="1:6" x14ac:dyDescent="0.25">
      <c r="A1450" s="50">
        <f t="shared" si="22"/>
        <v>1448</v>
      </c>
      <c r="B1450" s="50">
        <v>6553</v>
      </c>
      <c r="C1450" s="50" t="s">
        <v>1477</v>
      </c>
      <c r="D1450" s="51" t="s">
        <v>85</v>
      </c>
      <c r="F1450" s="52">
        <f>SUMIF(CPY!$B:$B,Summary!$B1450,CPY!$I:$I)</f>
        <v>0</v>
      </c>
    </row>
    <row r="1451" spans="1:6" x14ac:dyDescent="0.25">
      <c r="A1451" s="50">
        <f t="shared" si="22"/>
        <v>1449</v>
      </c>
      <c r="B1451" s="50">
        <v>6558</v>
      </c>
      <c r="C1451" s="50" t="s">
        <v>1478</v>
      </c>
      <c r="D1451" s="51" t="s">
        <v>85</v>
      </c>
      <c r="F1451" s="52">
        <f>SUMIF(CPY!$B:$B,Summary!$B1451,CPY!$I:$I)</f>
        <v>0</v>
      </c>
    </row>
    <row r="1452" spans="1:6" x14ac:dyDescent="0.25">
      <c r="A1452" s="50">
        <f t="shared" si="22"/>
        <v>1450</v>
      </c>
      <c r="B1452" s="50">
        <v>6560</v>
      </c>
      <c r="C1452" s="50" t="s">
        <v>1479</v>
      </c>
      <c r="D1452" s="51" t="s">
        <v>85</v>
      </c>
      <c r="F1452" s="52">
        <f>SUMIF(CPY!$B:$B,Summary!$B1452,CPY!$I:$I)</f>
        <v>0</v>
      </c>
    </row>
    <row r="1453" spans="1:6" x14ac:dyDescent="0.25">
      <c r="A1453" s="50">
        <f t="shared" si="22"/>
        <v>1451</v>
      </c>
      <c r="B1453" s="50">
        <v>6562</v>
      </c>
      <c r="C1453" s="50" t="s">
        <v>1480</v>
      </c>
      <c r="D1453" s="51" t="s">
        <v>85</v>
      </c>
      <c r="F1453" s="52">
        <f>SUMIF(CPY!$B:$B,Summary!$B1453,CPY!$I:$I)</f>
        <v>0</v>
      </c>
    </row>
    <row r="1454" spans="1:6" x14ac:dyDescent="0.25">
      <c r="A1454" s="50">
        <f t="shared" si="22"/>
        <v>1452</v>
      </c>
      <c r="B1454" s="50">
        <v>6563</v>
      </c>
      <c r="C1454" s="50" t="s">
        <v>1481</v>
      </c>
      <c r="D1454" s="51" t="s">
        <v>85</v>
      </c>
      <c r="F1454" s="52">
        <f>SUMIF(CPY!$B:$B,Summary!$B1454,CPY!$I:$I)</f>
        <v>0</v>
      </c>
    </row>
    <row r="1455" spans="1:6" x14ac:dyDescent="0.25">
      <c r="A1455" s="50">
        <f t="shared" si="22"/>
        <v>1453</v>
      </c>
      <c r="B1455" s="50">
        <v>6569</v>
      </c>
      <c r="C1455" s="50" t="s">
        <v>1482</v>
      </c>
      <c r="D1455" s="51" t="s">
        <v>85</v>
      </c>
      <c r="F1455" s="52">
        <f>SUMIF(CPY!$B:$B,Summary!$B1455,CPY!$I:$I)</f>
        <v>0</v>
      </c>
    </row>
    <row r="1456" spans="1:6" x14ac:dyDescent="0.25">
      <c r="A1456" s="50">
        <f t="shared" si="22"/>
        <v>1454</v>
      </c>
      <c r="B1456" s="50">
        <v>6573</v>
      </c>
      <c r="C1456" s="50" t="s">
        <v>1483</v>
      </c>
      <c r="D1456" s="51" t="s">
        <v>85</v>
      </c>
      <c r="F1456" s="52">
        <f>SUMIF(CPY!$B:$B,Summary!$B1456,CPY!$I:$I)</f>
        <v>0</v>
      </c>
    </row>
    <row r="1457" spans="1:6" x14ac:dyDescent="0.25">
      <c r="A1457" s="50">
        <f t="shared" si="22"/>
        <v>1455</v>
      </c>
      <c r="B1457" s="50">
        <v>6581</v>
      </c>
      <c r="C1457" s="50" t="s">
        <v>1484</v>
      </c>
      <c r="D1457" s="51" t="s">
        <v>85</v>
      </c>
      <c r="F1457" s="52">
        <f>SUMIF(CPY!$B:$B,Summary!$B1457,CPY!$I:$I)</f>
        <v>0</v>
      </c>
    </row>
    <row r="1458" spans="1:6" x14ac:dyDescent="0.25">
      <c r="A1458" s="50">
        <f t="shared" si="22"/>
        <v>1456</v>
      </c>
      <c r="B1458" s="50">
        <v>6588</v>
      </c>
      <c r="C1458" s="50" t="s">
        <v>1485</v>
      </c>
      <c r="D1458" s="51" t="s">
        <v>85</v>
      </c>
      <c r="F1458" s="52">
        <f>SUMIF(CPY!$B:$B,Summary!$B1458,CPY!$I:$I)</f>
        <v>0</v>
      </c>
    </row>
    <row r="1459" spans="1:6" x14ac:dyDescent="0.25">
      <c r="A1459" s="50">
        <f t="shared" si="22"/>
        <v>1457</v>
      </c>
      <c r="B1459" s="50">
        <v>6589</v>
      </c>
      <c r="C1459" s="50" t="s">
        <v>1486</v>
      </c>
      <c r="D1459" s="51" t="s">
        <v>85</v>
      </c>
      <c r="F1459" s="52">
        <f>SUMIF(CPY!$B:$B,Summary!$B1459,CPY!$I:$I)</f>
        <v>0</v>
      </c>
    </row>
    <row r="1460" spans="1:6" x14ac:dyDescent="0.25">
      <c r="A1460" s="50">
        <f t="shared" si="22"/>
        <v>1458</v>
      </c>
      <c r="B1460" s="50">
        <v>6592</v>
      </c>
      <c r="C1460" s="50" t="s">
        <v>1487</v>
      </c>
      <c r="D1460" s="51" t="s">
        <v>85</v>
      </c>
      <c r="F1460" s="52">
        <f>SUMIF(CPY!$B:$B,Summary!$B1460,CPY!$I:$I)</f>
        <v>0</v>
      </c>
    </row>
    <row r="1461" spans="1:6" x14ac:dyDescent="0.25">
      <c r="A1461" s="50">
        <f t="shared" si="22"/>
        <v>1459</v>
      </c>
      <c r="B1461" s="50">
        <v>6595</v>
      </c>
      <c r="C1461" s="50" t="s">
        <v>1488</v>
      </c>
      <c r="D1461" s="51" t="s">
        <v>85</v>
      </c>
      <c r="F1461" s="52">
        <f>SUMIF(CPY!$B:$B,Summary!$B1461,CPY!$I:$I)</f>
        <v>0</v>
      </c>
    </row>
    <row r="1462" spans="1:6" x14ac:dyDescent="0.25">
      <c r="A1462" s="50">
        <f t="shared" si="22"/>
        <v>1460</v>
      </c>
      <c r="B1462" s="50">
        <v>6597</v>
      </c>
      <c r="C1462" s="50" t="s">
        <v>1489</v>
      </c>
      <c r="D1462" s="51" t="s">
        <v>51</v>
      </c>
      <c r="F1462" s="52">
        <f>SUMIF(CPY!$B:$B,Summary!$B1462,CPY!$I:$I)</f>
        <v>0</v>
      </c>
    </row>
    <row r="1463" spans="1:6" x14ac:dyDescent="0.25">
      <c r="A1463" s="50">
        <f t="shared" si="22"/>
        <v>1461</v>
      </c>
      <c r="B1463" s="50">
        <v>6598</v>
      </c>
      <c r="C1463" s="50" t="s">
        <v>1490</v>
      </c>
      <c r="D1463" s="51" t="s">
        <v>85</v>
      </c>
      <c r="F1463" s="52">
        <f>SUMIF(CPY!$B:$B,Summary!$B1463,CPY!$I:$I)</f>
        <v>0</v>
      </c>
    </row>
    <row r="1464" spans="1:6" x14ac:dyDescent="0.25">
      <c r="A1464" s="50">
        <f t="shared" si="22"/>
        <v>1462</v>
      </c>
      <c r="B1464" s="50">
        <v>6599</v>
      </c>
      <c r="C1464" s="50" t="s">
        <v>1491</v>
      </c>
      <c r="D1464" s="51" t="s">
        <v>69</v>
      </c>
      <c r="F1464" s="52">
        <f>SUMIF(CPY!$B:$B,Summary!$B1464,CPY!$I:$I)</f>
        <v>0</v>
      </c>
    </row>
    <row r="1465" spans="1:6" x14ac:dyDescent="0.25">
      <c r="A1465" s="50">
        <f t="shared" si="22"/>
        <v>1463</v>
      </c>
      <c r="B1465" s="50">
        <v>6600</v>
      </c>
      <c r="C1465" s="50" t="s">
        <v>1492</v>
      </c>
      <c r="D1465" s="51" t="s">
        <v>69</v>
      </c>
      <c r="F1465" s="52">
        <f>SUMIF(CPY!$B:$B,Summary!$B1465,CPY!$I:$I)</f>
        <v>0</v>
      </c>
    </row>
    <row r="1466" spans="1:6" x14ac:dyDescent="0.25">
      <c r="A1466" s="50">
        <f t="shared" si="22"/>
        <v>1464</v>
      </c>
      <c r="B1466" s="50">
        <v>6601</v>
      </c>
      <c r="C1466" s="50" t="s">
        <v>1493</v>
      </c>
      <c r="D1466" s="51" t="s">
        <v>85</v>
      </c>
      <c r="F1466" s="52">
        <f>SUMIF(CPY!$B:$B,Summary!$B1466,CPY!$I:$I)</f>
        <v>0</v>
      </c>
    </row>
    <row r="1467" spans="1:6" x14ac:dyDescent="0.25">
      <c r="A1467" s="50">
        <f t="shared" si="22"/>
        <v>1465</v>
      </c>
      <c r="B1467" s="50">
        <v>6603</v>
      </c>
      <c r="C1467" s="50" t="s">
        <v>1494</v>
      </c>
      <c r="D1467" s="51" t="s">
        <v>85</v>
      </c>
      <c r="F1467" s="52">
        <f>SUMIF(CPY!$B:$B,Summary!$B1467,CPY!$I:$I)</f>
        <v>0</v>
      </c>
    </row>
    <row r="1468" spans="1:6" x14ac:dyDescent="0.25">
      <c r="A1468" s="50">
        <f t="shared" si="22"/>
        <v>1466</v>
      </c>
      <c r="B1468" s="50">
        <v>6604</v>
      </c>
      <c r="C1468" s="50" t="s">
        <v>1495</v>
      </c>
      <c r="D1468" s="51" t="s">
        <v>85</v>
      </c>
      <c r="F1468" s="52">
        <f>SUMIF(CPY!$B:$B,Summary!$B1468,CPY!$I:$I)</f>
        <v>0</v>
      </c>
    </row>
    <row r="1469" spans="1:6" x14ac:dyDescent="0.25">
      <c r="A1469" s="50">
        <f t="shared" si="22"/>
        <v>1467</v>
      </c>
      <c r="B1469" s="50">
        <v>6605</v>
      </c>
      <c r="C1469" s="50" t="s">
        <v>1496</v>
      </c>
      <c r="D1469" s="51" t="s">
        <v>85</v>
      </c>
      <c r="F1469" s="52">
        <f>SUMIF(CPY!$B:$B,Summary!$B1469,CPY!$I:$I)</f>
        <v>0</v>
      </c>
    </row>
    <row r="1470" spans="1:6" x14ac:dyDescent="0.25">
      <c r="A1470" s="50">
        <f t="shared" si="22"/>
        <v>1468</v>
      </c>
      <c r="B1470" s="50">
        <v>6606</v>
      </c>
      <c r="C1470" s="50" t="s">
        <v>1497</v>
      </c>
      <c r="D1470" s="51" t="s">
        <v>85</v>
      </c>
      <c r="F1470" s="52">
        <f>SUMIF(CPY!$B:$B,Summary!$B1470,CPY!$I:$I)</f>
        <v>0</v>
      </c>
    </row>
    <row r="1471" spans="1:6" x14ac:dyDescent="0.25">
      <c r="A1471" s="50">
        <f t="shared" si="22"/>
        <v>1469</v>
      </c>
      <c r="B1471" s="50">
        <v>6608</v>
      </c>
      <c r="C1471" s="50" t="s">
        <v>1498</v>
      </c>
      <c r="D1471" s="51" t="s">
        <v>85</v>
      </c>
      <c r="F1471" s="52">
        <f>SUMIF(CPY!$B:$B,Summary!$B1471,CPY!$I:$I)</f>
        <v>0</v>
      </c>
    </row>
    <row r="1472" spans="1:6" x14ac:dyDescent="0.25">
      <c r="A1472" s="50">
        <f t="shared" si="22"/>
        <v>1470</v>
      </c>
      <c r="B1472" s="50">
        <v>6609</v>
      </c>
      <c r="C1472" s="50" t="s">
        <v>1499</v>
      </c>
      <c r="D1472" s="51" t="s">
        <v>85</v>
      </c>
      <c r="F1472" s="52">
        <f>SUMIF(CPY!$B:$B,Summary!$B1472,CPY!$I:$I)</f>
        <v>0</v>
      </c>
    </row>
    <row r="1473" spans="1:6" x14ac:dyDescent="0.25">
      <c r="A1473" s="50">
        <f t="shared" si="22"/>
        <v>1471</v>
      </c>
      <c r="B1473" s="50">
        <v>6611</v>
      </c>
      <c r="C1473" s="50" t="s">
        <v>1500</v>
      </c>
      <c r="D1473" s="51" t="s">
        <v>85</v>
      </c>
      <c r="F1473" s="52">
        <f>SUMIF(CPY!$B:$B,Summary!$B1473,CPY!$I:$I)</f>
        <v>0</v>
      </c>
    </row>
    <row r="1474" spans="1:6" x14ac:dyDescent="0.25">
      <c r="A1474" s="50">
        <f t="shared" si="22"/>
        <v>1472</v>
      </c>
      <c r="B1474" s="50">
        <v>6612</v>
      </c>
      <c r="C1474" s="50" t="s">
        <v>1501</v>
      </c>
      <c r="D1474" s="51" t="s">
        <v>85</v>
      </c>
      <c r="F1474" s="52">
        <f>SUMIF(CPY!$B:$B,Summary!$B1474,CPY!$I:$I)</f>
        <v>0</v>
      </c>
    </row>
    <row r="1475" spans="1:6" x14ac:dyDescent="0.25">
      <c r="A1475" s="50">
        <f t="shared" si="22"/>
        <v>1473</v>
      </c>
      <c r="B1475" s="50">
        <v>6613</v>
      </c>
      <c r="C1475" s="50" t="s">
        <v>1502</v>
      </c>
      <c r="D1475" s="51" t="s">
        <v>85</v>
      </c>
      <c r="F1475" s="52">
        <f>SUMIF(CPY!$B:$B,Summary!$B1475,CPY!$I:$I)</f>
        <v>0</v>
      </c>
    </row>
    <row r="1476" spans="1:6" x14ac:dyDescent="0.25">
      <c r="A1476" s="50">
        <f t="shared" si="22"/>
        <v>1474</v>
      </c>
      <c r="B1476" s="50">
        <v>6614</v>
      </c>
      <c r="C1476" s="50" t="s">
        <v>1503</v>
      </c>
      <c r="D1476" s="51" t="s">
        <v>85</v>
      </c>
      <c r="F1476" s="52">
        <f>SUMIF(CPY!$B:$B,Summary!$B1476,CPY!$I:$I)</f>
        <v>0</v>
      </c>
    </row>
    <row r="1477" spans="1:6" x14ac:dyDescent="0.25">
      <c r="A1477" s="50">
        <f t="shared" ref="A1477:A1540" si="23">+A1476+1</f>
        <v>1475</v>
      </c>
      <c r="B1477" s="50">
        <v>6616</v>
      </c>
      <c r="C1477" s="50" t="s">
        <v>1504</v>
      </c>
      <c r="D1477" s="51" t="s">
        <v>85</v>
      </c>
      <c r="F1477" s="52">
        <f>SUMIF(CPY!$B:$B,Summary!$B1477,CPY!$I:$I)</f>
        <v>0</v>
      </c>
    </row>
    <row r="1478" spans="1:6" x14ac:dyDescent="0.25">
      <c r="A1478" s="50">
        <f t="shared" si="23"/>
        <v>1476</v>
      </c>
      <c r="B1478" s="50">
        <v>6617</v>
      </c>
      <c r="C1478" s="50" t="s">
        <v>1505</v>
      </c>
      <c r="D1478" s="51" t="s">
        <v>85</v>
      </c>
      <c r="F1478" s="52">
        <f>SUMIF(CPY!$B:$B,Summary!$B1478,CPY!$I:$I)</f>
        <v>0</v>
      </c>
    </row>
    <row r="1479" spans="1:6" x14ac:dyDescent="0.25">
      <c r="A1479" s="50">
        <f t="shared" si="23"/>
        <v>1477</v>
      </c>
      <c r="B1479" s="50">
        <v>6618</v>
      </c>
      <c r="C1479" s="50" t="s">
        <v>1506</v>
      </c>
      <c r="D1479" s="51" t="s">
        <v>85</v>
      </c>
      <c r="F1479" s="52">
        <f>SUMIF(CPY!$B:$B,Summary!$B1479,CPY!$I:$I)</f>
        <v>0</v>
      </c>
    </row>
    <row r="1480" spans="1:6" x14ac:dyDescent="0.25">
      <c r="A1480" s="50">
        <f t="shared" si="23"/>
        <v>1478</v>
      </c>
      <c r="B1480" s="50">
        <v>6619</v>
      </c>
      <c r="C1480" s="50" t="s">
        <v>1507</v>
      </c>
      <c r="D1480" s="51" t="s">
        <v>85</v>
      </c>
      <c r="F1480" s="52">
        <f>SUMIF(CPY!$B:$B,Summary!$B1480,CPY!$I:$I)</f>
        <v>0</v>
      </c>
    </row>
    <row r="1481" spans="1:6" x14ac:dyDescent="0.25">
      <c r="A1481" s="50">
        <f t="shared" si="23"/>
        <v>1479</v>
      </c>
      <c r="B1481" s="50">
        <v>6620</v>
      </c>
      <c r="C1481" s="50" t="s">
        <v>1508</v>
      </c>
      <c r="D1481" s="51" t="s">
        <v>85</v>
      </c>
      <c r="F1481" s="52">
        <f>SUMIF(CPY!$B:$B,Summary!$B1481,CPY!$I:$I)</f>
        <v>0</v>
      </c>
    </row>
    <row r="1482" spans="1:6" x14ac:dyDescent="0.25">
      <c r="A1482" s="50">
        <f t="shared" si="23"/>
        <v>1480</v>
      </c>
      <c r="B1482" s="50">
        <v>6621</v>
      </c>
      <c r="C1482" s="50" t="s">
        <v>1509</v>
      </c>
      <c r="D1482" s="51" t="s">
        <v>85</v>
      </c>
      <c r="F1482" s="52">
        <f>SUMIF(CPY!$B:$B,Summary!$B1482,CPY!$I:$I)</f>
        <v>0</v>
      </c>
    </row>
    <row r="1483" spans="1:6" x14ac:dyDescent="0.25">
      <c r="A1483" s="50">
        <f t="shared" si="23"/>
        <v>1481</v>
      </c>
      <c r="B1483" s="50">
        <v>6622</v>
      </c>
      <c r="C1483" s="50" t="s">
        <v>1510</v>
      </c>
      <c r="D1483" s="51" t="s">
        <v>85</v>
      </c>
      <c r="F1483" s="52">
        <f>SUMIF(CPY!$B:$B,Summary!$B1483,CPY!$I:$I)</f>
        <v>0</v>
      </c>
    </row>
    <row r="1484" spans="1:6" x14ac:dyDescent="0.25">
      <c r="A1484" s="50">
        <f t="shared" si="23"/>
        <v>1482</v>
      </c>
      <c r="B1484" s="50">
        <v>6625</v>
      </c>
      <c r="C1484" s="50" t="s">
        <v>1511</v>
      </c>
      <c r="D1484" s="51" t="s">
        <v>85</v>
      </c>
      <c r="F1484" s="52">
        <f>SUMIF(CPY!$B:$B,Summary!$B1484,CPY!$I:$I)</f>
        <v>0</v>
      </c>
    </row>
    <row r="1485" spans="1:6" x14ac:dyDescent="0.25">
      <c r="A1485" s="50">
        <f t="shared" si="23"/>
        <v>1483</v>
      </c>
      <c r="B1485" s="50">
        <v>6626</v>
      </c>
      <c r="C1485" s="50" t="s">
        <v>1512</v>
      </c>
      <c r="D1485" s="51" t="s">
        <v>85</v>
      </c>
      <c r="F1485" s="52">
        <f>SUMIF(CPY!$B:$B,Summary!$B1485,CPY!$I:$I)</f>
        <v>0</v>
      </c>
    </row>
    <row r="1486" spans="1:6" x14ac:dyDescent="0.25">
      <c r="A1486" s="50">
        <f t="shared" si="23"/>
        <v>1484</v>
      </c>
      <c r="B1486" s="50">
        <v>6630</v>
      </c>
      <c r="C1486" s="50" t="s">
        <v>1513</v>
      </c>
      <c r="D1486" s="51" t="s">
        <v>85</v>
      </c>
      <c r="F1486" s="52">
        <f>SUMIF(CPY!$B:$B,Summary!$B1486,CPY!$I:$I)</f>
        <v>0</v>
      </c>
    </row>
    <row r="1487" spans="1:6" x14ac:dyDescent="0.25">
      <c r="A1487" s="50">
        <f t="shared" si="23"/>
        <v>1485</v>
      </c>
      <c r="B1487" s="50">
        <v>6631</v>
      </c>
      <c r="C1487" s="50" t="s">
        <v>1514</v>
      </c>
      <c r="D1487" s="51" t="s">
        <v>85</v>
      </c>
      <c r="F1487" s="52">
        <f>SUMIF(CPY!$B:$B,Summary!$B1487,CPY!$I:$I)</f>
        <v>0</v>
      </c>
    </row>
    <row r="1488" spans="1:6" x14ac:dyDescent="0.25">
      <c r="A1488" s="50">
        <f t="shared" si="23"/>
        <v>1486</v>
      </c>
      <c r="B1488" s="50">
        <v>6633</v>
      </c>
      <c r="C1488" s="50" t="s">
        <v>1515</v>
      </c>
      <c r="D1488" s="51" t="s">
        <v>85</v>
      </c>
      <c r="F1488" s="52">
        <f>SUMIF(CPY!$B:$B,Summary!$B1488,CPY!$I:$I)</f>
        <v>0</v>
      </c>
    </row>
    <row r="1489" spans="1:6" x14ac:dyDescent="0.25">
      <c r="A1489" s="50">
        <f t="shared" si="23"/>
        <v>1487</v>
      </c>
      <c r="B1489" s="50">
        <v>6634</v>
      </c>
      <c r="C1489" s="50" t="s">
        <v>1516</v>
      </c>
      <c r="D1489" s="51" t="s">
        <v>85</v>
      </c>
      <c r="F1489" s="52">
        <f>SUMIF(CPY!$B:$B,Summary!$B1489,CPY!$I:$I)</f>
        <v>0</v>
      </c>
    </row>
    <row r="1490" spans="1:6" x14ac:dyDescent="0.25">
      <c r="A1490" s="50">
        <f t="shared" si="23"/>
        <v>1488</v>
      </c>
      <c r="B1490" s="50">
        <v>6635</v>
      </c>
      <c r="C1490" s="50" t="s">
        <v>1517</v>
      </c>
      <c r="D1490" s="51" t="s">
        <v>85</v>
      </c>
      <c r="F1490" s="52">
        <f>SUMIF(CPY!$B:$B,Summary!$B1490,CPY!$I:$I)</f>
        <v>0</v>
      </c>
    </row>
    <row r="1491" spans="1:6" x14ac:dyDescent="0.25">
      <c r="A1491" s="50">
        <f t="shared" si="23"/>
        <v>1489</v>
      </c>
      <c r="B1491" s="50">
        <v>6636</v>
      </c>
      <c r="C1491" s="50" t="s">
        <v>1518</v>
      </c>
      <c r="D1491" s="51" t="s">
        <v>85</v>
      </c>
      <c r="F1491" s="52">
        <f>SUMIF(CPY!$B:$B,Summary!$B1491,CPY!$I:$I)</f>
        <v>0</v>
      </c>
    </row>
    <row r="1492" spans="1:6" x14ac:dyDescent="0.25">
      <c r="A1492" s="50">
        <f t="shared" si="23"/>
        <v>1490</v>
      </c>
      <c r="B1492" s="50">
        <v>6637</v>
      </c>
      <c r="C1492" s="50" t="s">
        <v>1519</v>
      </c>
      <c r="D1492" s="51" t="s">
        <v>85</v>
      </c>
      <c r="F1492" s="52">
        <f>SUMIF(CPY!$B:$B,Summary!$B1492,CPY!$I:$I)</f>
        <v>0</v>
      </c>
    </row>
    <row r="1493" spans="1:6" x14ac:dyDescent="0.25">
      <c r="A1493" s="50">
        <f t="shared" si="23"/>
        <v>1491</v>
      </c>
      <c r="B1493" s="50">
        <v>6638</v>
      </c>
      <c r="C1493" s="50" t="s">
        <v>1520</v>
      </c>
      <c r="D1493" s="51" t="s">
        <v>85</v>
      </c>
      <c r="F1493" s="52">
        <f>SUMIF(CPY!$B:$B,Summary!$B1493,CPY!$I:$I)</f>
        <v>0</v>
      </c>
    </row>
    <row r="1494" spans="1:6" x14ac:dyDescent="0.25">
      <c r="A1494" s="50">
        <f t="shared" si="23"/>
        <v>1492</v>
      </c>
      <c r="B1494" s="50">
        <v>6639</v>
      </c>
      <c r="C1494" s="50" t="s">
        <v>1521</v>
      </c>
      <c r="D1494" s="51" t="s">
        <v>85</v>
      </c>
      <c r="F1494" s="52">
        <f>SUMIF(CPY!$B:$B,Summary!$B1494,CPY!$I:$I)</f>
        <v>0</v>
      </c>
    </row>
    <row r="1495" spans="1:6" x14ac:dyDescent="0.25">
      <c r="A1495" s="50">
        <f t="shared" si="23"/>
        <v>1493</v>
      </c>
      <c r="B1495" s="50">
        <v>6640</v>
      </c>
      <c r="C1495" s="50" t="s">
        <v>1522</v>
      </c>
      <c r="D1495" s="51" t="s">
        <v>85</v>
      </c>
      <c r="F1495" s="52">
        <f>SUMIF(CPY!$B:$B,Summary!$B1495,CPY!$I:$I)</f>
        <v>0</v>
      </c>
    </row>
    <row r="1496" spans="1:6" x14ac:dyDescent="0.25">
      <c r="A1496" s="50">
        <f t="shared" si="23"/>
        <v>1494</v>
      </c>
      <c r="B1496" s="50">
        <v>6641</v>
      </c>
      <c r="C1496" s="50" t="s">
        <v>1523</v>
      </c>
      <c r="D1496" s="51" t="s">
        <v>85</v>
      </c>
      <c r="F1496" s="52">
        <f>SUMIF(CPY!$B:$B,Summary!$B1496,CPY!$I:$I)</f>
        <v>0</v>
      </c>
    </row>
    <row r="1497" spans="1:6" x14ac:dyDescent="0.25">
      <c r="A1497" s="50">
        <f t="shared" si="23"/>
        <v>1495</v>
      </c>
      <c r="B1497" s="50">
        <v>6643</v>
      </c>
      <c r="C1497" s="50" t="s">
        <v>1524</v>
      </c>
      <c r="D1497" s="51" t="s">
        <v>85</v>
      </c>
      <c r="F1497" s="52">
        <f>SUMIF(CPY!$B:$B,Summary!$B1497,CPY!$I:$I)</f>
        <v>0</v>
      </c>
    </row>
    <row r="1498" spans="1:6" x14ac:dyDescent="0.25">
      <c r="A1498" s="50">
        <f t="shared" si="23"/>
        <v>1496</v>
      </c>
      <c r="B1498" s="50">
        <v>6644</v>
      </c>
      <c r="C1498" s="50" t="s">
        <v>1525</v>
      </c>
      <c r="D1498" s="51" t="s">
        <v>85</v>
      </c>
      <c r="F1498" s="52">
        <f>SUMIF(CPY!$B:$B,Summary!$B1498,CPY!$I:$I)</f>
        <v>0</v>
      </c>
    </row>
    <row r="1499" spans="1:6" x14ac:dyDescent="0.25">
      <c r="A1499" s="50">
        <f t="shared" si="23"/>
        <v>1497</v>
      </c>
      <c r="B1499" s="50">
        <v>6646</v>
      </c>
      <c r="C1499" s="50" t="s">
        <v>1526</v>
      </c>
      <c r="D1499" s="51" t="s">
        <v>85</v>
      </c>
      <c r="F1499" s="52">
        <f>SUMIF(CPY!$B:$B,Summary!$B1499,CPY!$I:$I)</f>
        <v>0</v>
      </c>
    </row>
    <row r="1500" spans="1:6" x14ac:dyDescent="0.25">
      <c r="A1500" s="50">
        <f t="shared" si="23"/>
        <v>1498</v>
      </c>
      <c r="B1500" s="50">
        <v>6647</v>
      </c>
      <c r="C1500" s="50" t="s">
        <v>1527</v>
      </c>
      <c r="D1500" s="51" t="s">
        <v>85</v>
      </c>
      <c r="F1500" s="52">
        <f>SUMIF(CPY!$B:$B,Summary!$B1500,CPY!$I:$I)</f>
        <v>0</v>
      </c>
    </row>
    <row r="1501" spans="1:6" x14ac:dyDescent="0.25">
      <c r="A1501" s="50">
        <f t="shared" si="23"/>
        <v>1499</v>
      </c>
      <c r="B1501" s="50">
        <v>6648</v>
      </c>
      <c r="C1501" s="50" t="s">
        <v>1528</v>
      </c>
      <c r="D1501" s="51" t="s">
        <v>85</v>
      </c>
      <c r="F1501" s="52">
        <f>SUMIF(CPY!$B:$B,Summary!$B1501,CPY!$I:$I)</f>
        <v>0</v>
      </c>
    </row>
    <row r="1502" spans="1:6" x14ac:dyDescent="0.25">
      <c r="A1502" s="50">
        <f t="shared" si="23"/>
        <v>1500</v>
      </c>
      <c r="B1502" s="50">
        <v>6650</v>
      </c>
      <c r="C1502" s="50" t="s">
        <v>1529</v>
      </c>
      <c r="D1502" s="51" t="s">
        <v>85</v>
      </c>
      <c r="F1502" s="52">
        <f>SUMIF(CPY!$B:$B,Summary!$B1502,CPY!$I:$I)</f>
        <v>0</v>
      </c>
    </row>
    <row r="1503" spans="1:6" x14ac:dyDescent="0.25">
      <c r="A1503" s="50">
        <f t="shared" si="23"/>
        <v>1501</v>
      </c>
      <c r="B1503" s="50">
        <v>6651</v>
      </c>
      <c r="C1503" s="50" t="s">
        <v>1530</v>
      </c>
      <c r="D1503" s="51" t="s">
        <v>69</v>
      </c>
      <c r="F1503" s="52">
        <f>SUMIF(CPY!$B:$B,Summary!$B1503,CPY!$I:$I)</f>
        <v>0</v>
      </c>
    </row>
    <row r="1504" spans="1:6" x14ac:dyDescent="0.25">
      <c r="A1504" s="50">
        <f t="shared" si="23"/>
        <v>1502</v>
      </c>
      <c r="B1504" s="50">
        <v>6652</v>
      </c>
      <c r="C1504" s="50" t="s">
        <v>1531</v>
      </c>
      <c r="D1504" s="51" t="s">
        <v>69</v>
      </c>
      <c r="F1504" s="52">
        <f>SUMIF(CPY!$B:$B,Summary!$B1504,CPY!$I:$I)</f>
        <v>0</v>
      </c>
    </row>
    <row r="1505" spans="1:6" x14ac:dyDescent="0.25">
      <c r="A1505" s="50">
        <f t="shared" si="23"/>
        <v>1503</v>
      </c>
      <c r="B1505" s="50">
        <v>6653</v>
      </c>
      <c r="C1505" s="50" t="s">
        <v>1532</v>
      </c>
      <c r="D1505" s="51" t="s">
        <v>69</v>
      </c>
      <c r="F1505" s="52">
        <f>SUMIF(CPY!$B:$B,Summary!$B1505,CPY!$I:$I)</f>
        <v>0</v>
      </c>
    </row>
    <row r="1506" spans="1:6" x14ac:dyDescent="0.25">
      <c r="A1506" s="50">
        <f t="shared" si="23"/>
        <v>1504</v>
      </c>
      <c r="B1506" s="50">
        <v>6654</v>
      </c>
      <c r="C1506" s="50" t="s">
        <v>1533</v>
      </c>
      <c r="D1506" s="51" t="s">
        <v>85</v>
      </c>
      <c r="F1506" s="52">
        <f>SUMIF(CPY!$B:$B,Summary!$B1506,CPY!$I:$I)</f>
        <v>0</v>
      </c>
    </row>
    <row r="1507" spans="1:6" x14ac:dyDescent="0.25">
      <c r="A1507" s="50">
        <f t="shared" si="23"/>
        <v>1505</v>
      </c>
      <c r="B1507" s="50">
        <v>6655</v>
      </c>
      <c r="C1507" s="50" t="s">
        <v>1534</v>
      </c>
      <c r="D1507" s="51" t="s">
        <v>841</v>
      </c>
      <c r="F1507" s="52">
        <f>SUMIF(CPY!$B:$B,Summary!$B1507,CPY!$I:$I)</f>
        <v>0</v>
      </c>
    </row>
    <row r="1508" spans="1:6" x14ac:dyDescent="0.25">
      <c r="A1508" s="50">
        <f t="shared" si="23"/>
        <v>1506</v>
      </c>
      <c r="B1508" s="50">
        <v>6656</v>
      </c>
      <c r="C1508" s="50" t="s">
        <v>1535</v>
      </c>
      <c r="D1508" s="51" t="s">
        <v>69</v>
      </c>
      <c r="F1508" s="52">
        <f>SUMIF(CPY!$B:$B,Summary!$B1508,CPY!$I:$I)</f>
        <v>0</v>
      </c>
    </row>
    <row r="1509" spans="1:6" x14ac:dyDescent="0.25">
      <c r="A1509" s="50">
        <f t="shared" si="23"/>
        <v>1507</v>
      </c>
      <c r="B1509" s="50">
        <v>6657</v>
      </c>
      <c r="C1509" s="50" t="s">
        <v>1536</v>
      </c>
      <c r="D1509" s="51" t="s">
        <v>69</v>
      </c>
      <c r="F1509" s="52">
        <f>SUMIF(CPY!$B:$B,Summary!$B1509,CPY!$I:$I)</f>
        <v>0</v>
      </c>
    </row>
    <row r="1510" spans="1:6" x14ac:dyDescent="0.25">
      <c r="A1510" s="50">
        <f t="shared" si="23"/>
        <v>1508</v>
      </c>
      <c r="B1510" s="50">
        <v>6660</v>
      </c>
      <c r="C1510" s="50" t="s">
        <v>1537</v>
      </c>
      <c r="D1510" s="51" t="s">
        <v>78</v>
      </c>
      <c r="F1510" s="52">
        <f>SUMIF(CPY!$B:$B,Summary!$B1510,CPY!$I:$I)</f>
        <v>0</v>
      </c>
    </row>
    <row r="1511" spans="1:6" x14ac:dyDescent="0.25">
      <c r="A1511" s="50">
        <f t="shared" si="23"/>
        <v>1509</v>
      </c>
      <c r="B1511" s="50">
        <v>6661</v>
      </c>
      <c r="C1511" s="50" t="s">
        <v>1538</v>
      </c>
      <c r="D1511" s="51" t="s">
        <v>85</v>
      </c>
      <c r="F1511" s="52">
        <f>SUMIF(CPY!$B:$B,Summary!$B1511,CPY!$I:$I)</f>
        <v>0</v>
      </c>
    </row>
    <row r="1512" spans="1:6" x14ac:dyDescent="0.25">
      <c r="A1512" s="50">
        <f t="shared" si="23"/>
        <v>1510</v>
      </c>
      <c r="B1512" s="50">
        <v>6662</v>
      </c>
      <c r="C1512" s="50" t="s">
        <v>1539</v>
      </c>
      <c r="D1512" s="51" t="s">
        <v>85</v>
      </c>
      <c r="F1512" s="52">
        <f>SUMIF(CPY!$B:$B,Summary!$B1512,CPY!$I:$I)</f>
        <v>0</v>
      </c>
    </row>
    <row r="1513" spans="1:6" x14ac:dyDescent="0.25">
      <c r="A1513" s="50">
        <f t="shared" si="23"/>
        <v>1511</v>
      </c>
      <c r="B1513" s="50">
        <v>6663</v>
      </c>
      <c r="C1513" s="50" t="s">
        <v>1540</v>
      </c>
      <c r="D1513" s="51" t="s">
        <v>46</v>
      </c>
      <c r="F1513" s="52">
        <f>SUMIF(CPY!$B:$B,Summary!$B1513,CPY!$I:$I)</f>
        <v>0</v>
      </c>
    </row>
    <row r="1514" spans="1:6" x14ac:dyDescent="0.25">
      <c r="A1514" s="50">
        <f t="shared" si="23"/>
        <v>1512</v>
      </c>
      <c r="B1514" s="50">
        <v>6664</v>
      </c>
      <c r="C1514" s="50" t="s">
        <v>1541</v>
      </c>
      <c r="D1514" s="51" t="s">
        <v>85</v>
      </c>
      <c r="F1514" s="52">
        <f>SUMIF(CPY!$B:$B,Summary!$B1514,CPY!$I:$I)</f>
        <v>0</v>
      </c>
    </row>
    <row r="1515" spans="1:6" x14ac:dyDescent="0.25">
      <c r="A1515" s="50">
        <f t="shared" si="23"/>
        <v>1513</v>
      </c>
      <c r="B1515" s="50">
        <v>6665</v>
      </c>
      <c r="C1515" s="50" t="s">
        <v>1542</v>
      </c>
      <c r="D1515" s="51" t="s">
        <v>85</v>
      </c>
      <c r="F1515" s="52">
        <f>SUMIF(CPY!$B:$B,Summary!$B1515,CPY!$I:$I)</f>
        <v>0</v>
      </c>
    </row>
    <row r="1516" spans="1:6" x14ac:dyDescent="0.25">
      <c r="A1516" s="50">
        <f t="shared" si="23"/>
        <v>1514</v>
      </c>
      <c r="B1516" s="50">
        <v>6666</v>
      </c>
      <c r="C1516" s="50" t="s">
        <v>1543</v>
      </c>
      <c r="D1516" s="51" t="s">
        <v>51</v>
      </c>
      <c r="F1516" s="52">
        <f>SUMIF(CPY!$B:$B,Summary!$B1516,CPY!$I:$I)</f>
        <v>0</v>
      </c>
    </row>
    <row r="1517" spans="1:6" x14ac:dyDescent="0.25">
      <c r="A1517" s="50">
        <f t="shared" si="23"/>
        <v>1515</v>
      </c>
      <c r="B1517" s="50">
        <v>6667</v>
      </c>
      <c r="C1517" s="50" t="s">
        <v>1544</v>
      </c>
      <c r="D1517" s="51" t="s">
        <v>78</v>
      </c>
      <c r="F1517" s="52">
        <f>SUMIF(CPY!$B:$B,Summary!$B1517,CPY!$I:$I)</f>
        <v>0</v>
      </c>
    </row>
    <row r="1518" spans="1:6" x14ac:dyDescent="0.25">
      <c r="A1518" s="50">
        <f t="shared" si="23"/>
        <v>1516</v>
      </c>
      <c r="B1518" s="50">
        <v>6668</v>
      </c>
      <c r="C1518" s="50" t="s">
        <v>1545</v>
      </c>
      <c r="D1518" s="51" t="s">
        <v>69</v>
      </c>
      <c r="F1518" s="52">
        <f>SUMIF(CPY!$B:$B,Summary!$B1518,CPY!$I:$I)</f>
        <v>0</v>
      </c>
    </row>
    <row r="1519" spans="1:6" x14ac:dyDescent="0.25">
      <c r="A1519" s="50">
        <f t="shared" si="23"/>
        <v>1517</v>
      </c>
      <c r="B1519" s="50">
        <v>6671</v>
      </c>
      <c r="C1519" s="50" t="s">
        <v>1546</v>
      </c>
      <c r="D1519" s="51" t="s">
        <v>841</v>
      </c>
      <c r="F1519" s="52">
        <f>SUMIF(CPY!$B:$B,Summary!$B1519,CPY!$I:$I)</f>
        <v>0</v>
      </c>
    </row>
    <row r="1520" spans="1:6" x14ac:dyDescent="0.25">
      <c r="A1520" s="50">
        <f t="shared" si="23"/>
        <v>1518</v>
      </c>
      <c r="B1520" s="50">
        <v>6672</v>
      </c>
      <c r="C1520" s="50" t="s">
        <v>1547</v>
      </c>
      <c r="D1520" s="51" t="s">
        <v>85</v>
      </c>
      <c r="F1520" s="52">
        <f>SUMIF(CPY!$B:$B,Summary!$B1520,CPY!$I:$I)</f>
        <v>0</v>
      </c>
    </row>
    <row r="1521" spans="1:6" x14ac:dyDescent="0.25">
      <c r="A1521" s="50">
        <f t="shared" si="23"/>
        <v>1519</v>
      </c>
      <c r="B1521" s="50">
        <v>6673</v>
      </c>
      <c r="C1521" s="50" t="s">
        <v>1548</v>
      </c>
      <c r="D1521" s="51" t="s">
        <v>85</v>
      </c>
      <c r="F1521" s="52">
        <f>SUMIF(CPY!$B:$B,Summary!$B1521,CPY!$I:$I)</f>
        <v>0</v>
      </c>
    </row>
    <row r="1522" spans="1:6" x14ac:dyDescent="0.25">
      <c r="A1522" s="50">
        <f t="shared" si="23"/>
        <v>1520</v>
      </c>
      <c r="B1522" s="50">
        <v>6675</v>
      </c>
      <c r="C1522" s="50" t="s">
        <v>1549</v>
      </c>
      <c r="D1522" s="51" t="s">
        <v>69</v>
      </c>
      <c r="F1522" s="52">
        <f>SUMIF(CPY!$B:$B,Summary!$B1522,CPY!$I:$I)</f>
        <v>0</v>
      </c>
    </row>
    <row r="1523" spans="1:6" x14ac:dyDescent="0.25">
      <c r="A1523" s="50">
        <f t="shared" si="23"/>
        <v>1521</v>
      </c>
      <c r="B1523" s="50">
        <v>6676</v>
      </c>
      <c r="C1523" s="50" t="s">
        <v>1550</v>
      </c>
      <c r="D1523" s="51" t="s">
        <v>69</v>
      </c>
      <c r="F1523" s="52">
        <f>SUMIF(CPY!$B:$B,Summary!$B1523,CPY!$I:$I)</f>
        <v>0</v>
      </c>
    </row>
    <row r="1524" spans="1:6" x14ac:dyDescent="0.25">
      <c r="A1524" s="50">
        <f t="shared" si="23"/>
        <v>1522</v>
      </c>
      <c r="B1524" s="50">
        <v>6677</v>
      </c>
      <c r="C1524" s="50" t="s">
        <v>1551</v>
      </c>
      <c r="D1524" s="51" t="s">
        <v>85</v>
      </c>
      <c r="F1524" s="52">
        <f>SUMIF(CPY!$B:$B,Summary!$B1524,CPY!$I:$I)</f>
        <v>0</v>
      </c>
    </row>
    <row r="1525" spans="1:6" x14ac:dyDescent="0.25">
      <c r="A1525" s="50">
        <f t="shared" si="23"/>
        <v>1523</v>
      </c>
      <c r="B1525" s="50">
        <v>6678</v>
      </c>
      <c r="C1525" s="50" t="s">
        <v>1552</v>
      </c>
      <c r="D1525" s="51" t="s">
        <v>69</v>
      </c>
      <c r="F1525" s="52">
        <f>SUMIF(CPY!$B:$B,Summary!$B1525,CPY!$I:$I)</f>
        <v>0</v>
      </c>
    </row>
    <row r="1526" spans="1:6" x14ac:dyDescent="0.25">
      <c r="A1526" s="50">
        <f t="shared" si="23"/>
        <v>1524</v>
      </c>
      <c r="B1526" s="50">
        <v>6679</v>
      </c>
      <c r="C1526" s="50" t="s">
        <v>1553</v>
      </c>
      <c r="D1526" s="51" t="s">
        <v>69</v>
      </c>
      <c r="F1526" s="52">
        <f>SUMIF(CPY!$B:$B,Summary!$B1526,CPY!$I:$I)</f>
        <v>0</v>
      </c>
    </row>
    <row r="1527" spans="1:6" x14ac:dyDescent="0.25">
      <c r="A1527" s="50">
        <f t="shared" si="23"/>
        <v>1525</v>
      </c>
      <c r="B1527" s="50">
        <v>6682</v>
      </c>
      <c r="C1527" s="50" t="s">
        <v>1554</v>
      </c>
      <c r="D1527" s="51" t="s">
        <v>841</v>
      </c>
      <c r="F1527" s="52">
        <f>SUMIF(CPY!$B:$B,Summary!$B1527,CPY!$I:$I)</f>
        <v>0</v>
      </c>
    </row>
    <row r="1528" spans="1:6" x14ac:dyDescent="0.25">
      <c r="A1528" s="50">
        <f t="shared" si="23"/>
        <v>1526</v>
      </c>
      <c r="B1528" s="50">
        <v>6684</v>
      </c>
      <c r="C1528" s="50" t="s">
        <v>1555</v>
      </c>
      <c r="D1528" s="51" t="s">
        <v>85</v>
      </c>
      <c r="F1528" s="52">
        <f>SUMIF(CPY!$B:$B,Summary!$B1528,CPY!$I:$I)</f>
        <v>0</v>
      </c>
    </row>
    <row r="1529" spans="1:6" x14ac:dyDescent="0.25">
      <c r="A1529" s="50">
        <f t="shared" si="23"/>
        <v>1527</v>
      </c>
      <c r="B1529" s="50">
        <v>6685</v>
      </c>
      <c r="C1529" s="50" t="s">
        <v>1556</v>
      </c>
      <c r="D1529" s="51" t="s">
        <v>85</v>
      </c>
      <c r="F1529" s="52">
        <f>SUMIF(CPY!$B:$B,Summary!$B1529,CPY!$I:$I)</f>
        <v>0</v>
      </c>
    </row>
    <row r="1530" spans="1:6" x14ac:dyDescent="0.25">
      <c r="A1530" s="50">
        <f t="shared" si="23"/>
        <v>1528</v>
      </c>
      <c r="B1530" s="50">
        <v>6686</v>
      </c>
      <c r="C1530" s="50" t="s">
        <v>1557</v>
      </c>
      <c r="D1530" s="51" t="s">
        <v>69</v>
      </c>
      <c r="F1530" s="52">
        <f>SUMIF(CPY!$B:$B,Summary!$B1530,CPY!$I:$I)</f>
        <v>0</v>
      </c>
    </row>
    <row r="1531" spans="1:6" x14ac:dyDescent="0.25">
      <c r="A1531" s="50">
        <f t="shared" si="23"/>
        <v>1529</v>
      </c>
      <c r="B1531" s="50">
        <v>6687</v>
      </c>
      <c r="C1531" s="50" t="s">
        <v>1558</v>
      </c>
      <c r="D1531" s="51" t="s">
        <v>46</v>
      </c>
      <c r="F1531" s="52">
        <f>SUMIF(CPY!$B:$B,Summary!$B1531,CPY!$I:$I)</f>
        <v>0</v>
      </c>
    </row>
    <row r="1532" spans="1:6" x14ac:dyDescent="0.25">
      <c r="A1532" s="50">
        <f t="shared" si="23"/>
        <v>1530</v>
      </c>
      <c r="B1532" s="50">
        <v>6689</v>
      </c>
      <c r="C1532" s="50" t="s">
        <v>1559</v>
      </c>
      <c r="D1532" s="51" t="s">
        <v>69</v>
      </c>
      <c r="F1532" s="52">
        <f>SUMIF(CPY!$B:$B,Summary!$B1532,CPY!$I:$I)</f>
        <v>0</v>
      </c>
    </row>
    <row r="1533" spans="1:6" x14ac:dyDescent="0.25">
      <c r="A1533" s="50">
        <f t="shared" si="23"/>
        <v>1531</v>
      </c>
      <c r="B1533" s="50">
        <v>6690</v>
      </c>
      <c r="C1533" s="50" t="s">
        <v>1560</v>
      </c>
      <c r="D1533" s="51" t="s">
        <v>85</v>
      </c>
      <c r="F1533" s="52">
        <f>SUMIF(CPY!$B:$B,Summary!$B1533,CPY!$I:$I)</f>
        <v>0</v>
      </c>
    </row>
    <row r="1534" spans="1:6" x14ac:dyDescent="0.25">
      <c r="A1534" s="50">
        <f t="shared" si="23"/>
        <v>1532</v>
      </c>
      <c r="B1534" s="50">
        <v>6691</v>
      </c>
      <c r="C1534" s="50" t="s">
        <v>1561</v>
      </c>
      <c r="D1534" s="51" t="s">
        <v>85</v>
      </c>
      <c r="F1534" s="52">
        <f>SUMIF(CPY!$B:$B,Summary!$B1534,CPY!$I:$I)</f>
        <v>0</v>
      </c>
    </row>
    <row r="1535" spans="1:6" x14ac:dyDescent="0.25">
      <c r="A1535" s="50">
        <f t="shared" si="23"/>
        <v>1533</v>
      </c>
      <c r="B1535" s="50">
        <v>6693</v>
      </c>
      <c r="C1535" s="50" t="s">
        <v>1562</v>
      </c>
      <c r="D1535" s="51" t="s">
        <v>85</v>
      </c>
      <c r="F1535" s="52">
        <f>SUMIF(CPY!$B:$B,Summary!$B1535,CPY!$I:$I)</f>
        <v>0</v>
      </c>
    </row>
    <row r="1536" spans="1:6" x14ac:dyDescent="0.25">
      <c r="A1536" s="50">
        <f t="shared" si="23"/>
        <v>1534</v>
      </c>
      <c r="B1536" s="50">
        <v>6695</v>
      </c>
      <c r="C1536" s="50" t="s">
        <v>1563</v>
      </c>
      <c r="D1536" s="51" t="s">
        <v>78</v>
      </c>
      <c r="F1536" s="52">
        <f>SUMIF(CPY!$B:$B,Summary!$B1536,CPY!$I:$I)</f>
        <v>0</v>
      </c>
    </row>
    <row r="1537" spans="1:6" x14ac:dyDescent="0.25">
      <c r="A1537" s="50">
        <f t="shared" si="23"/>
        <v>1535</v>
      </c>
      <c r="B1537" s="50">
        <v>6696</v>
      </c>
      <c r="C1537" s="50" t="s">
        <v>1564</v>
      </c>
      <c r="D1537" s="51" t="s">
        <v>85</v>
      </c>
      <c r="F1537" s="52">
        <f>SUMIF(CPY!$B:$B,Summary!$B1537,CPY!$I:$I)</f>
        <v>0</v>
      </c>
    </row>
    <row r="1538" spans="1:6" x14ac:dyDescent="0.25">
      <c r="A1538" s="50">
        <f t="shared" si="23"/>
        <v>1536</v>
      </c>
      <c r="B1538" s="50">
        <v>6697</v>
      </c>
      <c r="C1538" s="50" t="s">
        <v>1565</v>
      </c>
      <c r="D1538" s="51" t="s">
        <v>69</v>
      </c>
      <c r="F1538" s="52">
        <f>SUMIF(CPY!$B:$B,Summary!$B1538,CPY!$I:$I)</f>
        <v>0</v>
      </c>
    </row>
    <row r="1539" spans="1:6" x14ac:dyDescent="0.25">
      <c r="A1539" s="50">
        <f t="shared" si="23"/>
        <v>1537</v>
      </c>
      <c r="B1539" s="50">
        <v>6698</v>
      </c>
      <c r="C1539" s="50" t="s">
        <v>1566</v>
      </c>
      <c r="D1539" s="51" t="s">
        <v>85</v>
      </c>
      <c r="F1539" s="52">
        <f>SUMIF(CPY!$B:$B,Summary!$B1539,CPY!$I:$I)</f>
        <v>0</v>
      </c>
    </row>
    <row r="1540" spans="1:6" x14ac:dyDescent="0.25">
      <c r="A1540" s="50">
        <f t="shared" si="23"/>
        <v>1538</v>
      </c>
      <c r="B1540" s="50">
        <v>6699</v>
      </c>
      <c r="C1540" s="50" t="s">
        <v>1567</v>
      </c>
      <c r="D1540" s="51" t="s">
        <v>69</v>
      </c>
      <c r="F1540" s="52">
        <f>SUMIF(CPY!$B:$B,Summary!$B1540,CPY!$I:$I)</f>
        <v>0</v>
      </c>
    </row>
    <row r="1541" spans="1:6" x14ac:dyDescent="0.25">
      <c r="A1541" s="50">
        <f t="shared" ref="A1541:A1604" si="24">+A1540+1</f>
        <v>1539</v>
      </c>
      <c r="B1541" s="50">
        <v>6700</v>
      </c>
      <c r="C1541" s="50" t="s">
        <v>1568</v>
      </c>
      <c r="D1541" s="51" t="s">
        <v>85</v>
      </c>
      <c r="F1541" s="52">
        <f>SUMIF(CPY!$B:$B,Summary!$B1541,CPY!$I:$I)</f>
        <v>0</v>
      </c>
    </row>
    <row r="1542" spans="1:6" x14ac:dyDescent="0.25">
      <c r="A1542" s="50">
        <f t="shared" si="24"/>
        <v>1540</v>
      </c>
      <c r="B1542" s="50">
        <v>6701</v>
      </c>
      <c r="C1542" s="50" t="s">
        <v>1569</v>
      </c>
      <c r="D1542" s="51" t="s">
        <v>46</v>
      </c>
      <c r="F1542" s="52">
        <f>SUMIF(CPY!$B:$B,Summary!$B1542,CPY!$I:$I)</f>
        <v>0</v>
      </c>
    </row>
    <row r="1543" spans="1:6" x14ac:dyDescent="0.25">
      <c r="A1543" s="50">
        <f t="shared" si="24"/>
        <v>1541</v>
      </c>
      <c r="B1543" s="50">
        <v>6702</v>
      </c>
      <c r="C1543" s="50" t="s">
        <v>1570</v>
      </c>
      <c r="D1543" s="51" t="s">
        <v>85</v>
      </c>
      <c r="F1543" s="52">
        <f>SUMIF(CPY!$B:$B,Summary!$B1543,CPY!$I:$I)</f>
        <v>0</v>
      </c>
    </row>
    <row r="1544" spans="1:6" x14ac:dyDescent="0.25">
      <c r="A1544" s="50">
        <f t="shared" si="24"/>
        <v>1542</v>
      </c>
      <c r="B1544" s="50">
        <v>6703</v>
      </c>
      <c r="C1544" s="50" t="s">
        <v>1571</v>
      </c>
      <c r="D1544" s="51" t="s">
        <v>69</v>
      </c>
      <c r="F1544" s="52">
        <f>SUMIF(CPY!$B:$B,Summary!$B1544,CPY!$I:$I)</f>
        <v>0</v>
      </c>
    </row>
    <row r="1545" spans="1:6" x14ac:dyDescent="0.25">
      <c r="A1545" s="50">
        <f t="shared" si="24"/>
        <v>1543</v>
      </c>
      <c r="B1545" s="50">
        <v>6704</v>
      </c>
      <c r="C1545" s="50" t="s">
        <v>1572</v>
      </c>
      <c r="D1545" s="51" t="s">
        <v>69</v>
      </c>
      <c r="F1545" s="52">
        <f>SUMIF(CPY!$B:$B,Summary!$B1545,CPY!$I:$I)</f>
        <v>0</v>
      </c>
    </row>
    <row r="1546" spans="1:6" x14ac:dyDescent="0.25">
      <c r="A1546" s="50">
        <f t="shared" si="24"/>
        <v>1544</v>
      </c>
      <c r="B1546" s="50">
        <v>6705</v>
      </c>
      <c r="C1546" s="50" t="s">
        <v>1573</v>
      </c>
      <c r="D1546" s="51" t="s">
        <v>85</v>
      </c>
      <c r="F1546" s="52">
        <f>SUMIF(CPY!$B:$B,Summary!$B1546,CPY!$I:$I)</f>
        <v>0</v>
      </c>
    </row>
    <row r="1547" spans="1:6" x14ac:dyDescent="0.25">
      <c r="A1547" s="50">
        <f t="shared" si="24"/>
        <v>1545</v>
      </c>
      <c r="B1547" s="50">
        <v>6706</v>
      </c>
      <c r="C1547" s="50" t="s">
        <v>1574</v>
      </c>
      <c r="D1547" s="51" t="s">
        <v>51</v>
      </c>
      <c r="F1547" s="52">
        <f>SUMIF(CPY!$B:$B,Summary!$B1547,CPY!$I:$I)</f>
        <v>0</v>
      </c>
    </row>
    <row r="1548" spans="1:6" x14ac:dyDescent="0.25">
      <c r="A1548" s="50">
        <f t="shared" si="24"/>
        <v>1546</v>
      </c>
      <c r="B1548" s="50">
        <v>6707</v>
      </c>
      <c r="C1548" s="50" t="s">
        <v>1575</v>
      </c>
      <c r="D1548" s="51" t="s">
        <v>69</v>
      </c>
      <c r="F1548" s="52">
        <f>SUMIF(CPY!$B:$B,Summary!$B1548,CPY!$I:$I)</f>
        <v>0</v>
      </c>
    </row>
    <row r="1549" spans="1:6" x14ac:dyDescent="0.25">
      <c r="A1549" s="50">
        <f t="shared" si="24"/>
        <v>1547</v>
      </c>
      <c r="B1549" s="50">
        <v>6709</v>
      </c>
      <c r="C1549" s="50" t="s">
        <v>1576</v>
      </c>
      <c r="D1549" s="51" t="s">
        <v>85</v>
      </c>
      <c r="F1549" s="52">
        <f>SUMIF(CPY!$B:$B,Summary!$B1549,CPY!$I:$I)</f>
        <v>0</v>
      </c>
    </row>
    <row r="1550" spans="1:6" x14ac:dyDescent="0.25">
      <c r="A1550" s="50">
        <f t="shared" si="24"/>
        <v>1548</v>
      </c>
      <c r="B1550" s="50">
        <v>6710</v>
      </c>
      <c r="C1550" s="50" t="s">
        <v>1577</v>
      </c>
      <c r="D1550" s="51" t="s">
        <v>85</v>
      </c>
      <c r="F1550" s="52">
        <f>SUMIF(CPY!$B:$B,Summary!$B1550,CPY!$I:$I)</f>
        <v>0</v>
      </c>
    </row>
    <row r="1551" spans="1:6" x14ac:dyDescent="0.25">
      <c r="A1551" s="50">
        <f t="shared" si="24"/>
        <v>1549</v>
      </c>
      <c r="B1551" s="50">
        <v>6711</v>
      </c>
      <c r="C1551" s="50" t="s">
        <v>1578</v>
      </c>
      <c r="D1551" s="51" t="s">
        <v>69</v>
      </c>
      <c r="F1551" s="52">
        <f>SUMIF(CPY!$B:$B,Summary!$B1551,CPY!$I:$I)</f>
        <v>0</v>
      </c>
    </row>
    <row r="1552" spans="1:6" x14ac:dyDescent="0.25">
      <c r="A1552" s="50">
        <f t="shared" si="24"/>
        <v>1550</v>
      </c>
      <c r="B1552" s="50">
        <v>6713</v>
      </c>
      <c r="C1552" s="50" t="s">
        <v>1579</v>
      </c>
      <c r="D1552" s="51" t="s">
        <v>46</v>
      </c>
      <c r="F1552" s="52">
        <f>SUMIF(CPY!$B:$B,Summary!$B1552,CPY!$I:$I)</f>
        <v>0</v>
      </c>
    </row>
    <row r="1553" spans="1:6" x14ac:dyDescent="0.25">
      <c r="A1553" s="50">
        <f t="shared" si="24"/>
        <v>1551</v>
      </c>
      <c r="B1553" s="50">
        <v>6714</v>
      </c>
      <c r="C1553" s="50" t="s">
        <v>1580</v>
      </c>
      <c r="D1553" s="51" t="s">
        <v>78</v>
      </c>
      <c r="F1553" s="52">
        <f>SUMIF(CPY!$B:$B,Summary!$B1553,CPY!$I:$I)</f>
        <v>0</v>
      </c>
    </row>
    <row r="1554" spans="1:6" x14ac:dyDescent="0.25">
      <c r="A1554" s="50">
        <f t="shared" si="24"/>
        <v>1552</v>
      </c>
      <c r="B1554" s="50">
        <v>6715</v>
      </c>
      <c r="C1554" s="50" t="s">
        <v>1581</v>
      </c>
      <c r="D1554" s="51" t="s">
        <v>78</v>
      </c>
      <c r="F1554" s="52">
        <f>SUMIF(CPY!$B:$B,Summary!$B1554,CPY!$I:$I)</f>
        <v>0</v>
      </c>
    </row>
    <row r="1555" spans="1:6" x14ac:dyDescent="0.25">
      <c r="A1555" s="50">
        <f t="shared" si="24"/>
        <v>1553</v>
      </c>
      <c r="B1555" s="50">
        <v>6716</v>
      </c>
      <c r="C1555" s="50" t="s">
        <v>1582</v>
      </c>
      <c r="D1555" s="51" t="s">
        <v>78</v>
      </c>
      <c r="F1555" s="52">
        <f>SUMIF(CPY!$B:$B,Summary!$B1555,CPY!$I:$I)</f>
        <v>0</v>
      </c>
    </row>
    <row r="1556" spans="1:6" x14ac:dyDescent="0.25">
      <c r="A1556" s="50">
        <f t="shared" si="24"/>
        <v>1554</v>
      </c>
      <c r="B1556" s="50">
        <v>6719</v>
      </c>
      <c r="C1556" s="50" t="s">
        <v>1583</v>
      </c>
      <c r="D1556" s="51" t="s">
        <v>85</v>
      </c>
      <c r="F1556" s="52">
        <f>SUMIF(CPY!$B:$B,Summary!$B1556,CPY!$I:$I)</f>
        <v>0</v>
      </c>
    </row>
    <row r="1557" spans="1:6" x14ac:dyDescent="0.25">
      <c r="A1557" s="50">
        <f t="shared" si="24"/>
        <v>1555</v>
      </c>
      <c r="B1557" s="50">
        <v>6720</v>
      </c>
      <c r="C1557" s="50" t="s">
        <v>1584</v>
      </c>
      <c r="D1557" s="51" t="s">
        <v>85</v>
      </c>
      <c r="F1557" s="52">
        <f>SUMIF(CPY!$B:$B,Summary!$B1557,CPY!$I:$I)</f>
        <v>0</v>
      </c>
    </row>
    <row r="1558" spans="1:6" x14ac:dyDescent="0.25">
      <c r="A1558" s="50">
        <f t="shared" si="24"/>
        <v>1556</v>
      </c>
      <c r="B1558" s="50">
        <v>6721</v>
      </c>
      <c r="C1558" s="50" t="s">
        <v>1585</v>
      </c>
      <c r="D1558" s="51" t="s">
        <v>69</v>
      </c>
      <c r="F1558" s="52">
        <f>SUMIF(CPY!$B:$B,Summary!$B1558,CPY!$I:$I)</f>
        <v>0</v>
      </c>
    </row>
    <row r="1559" spans="1:6" x14ac:dyDescent="0.25">
      <c r="A1559" s="50">
        <f t="shared" si="24"/>
        <v>1557</v>
      </c>
      <c r="B1559" s="50">
        <v>6722</v>
      </c>
      <c r="C1559" s="50" t="s">
        <v>1586</v>
      </c>
      <c r="D1559" s="51" t="s">
        <v>85</v>
      </c>
      <c r="F1559" s="52">
        <f>SUMIF(CPY!$B:$B,Summary!$B1559,CPY!$I:$I)</f>
        <v>0</v>
      </c>
    </row>
    <row r="1560" spans="1:6" x14ac:dyDescent="0.25">
      <c r="A1560" s="50">
        <f t="shared" si="24"/>
        <v>1558</v>
      </c>
      <c r="B1560" s="50">
        <v>6724</v>
      </c>
      <c r="C1560" s="50" t="s">
        <v>1587</v>
      </c>
      <c r="D1560" s="51" t="s">
        <v>85</v>
      </c>
      <c r="F1560" s="52">
        <f>SUMIF(CPY!$B:$B,Summary!$B1560,CPY!$I:$I)</f>
        <v>0</v>
      </c>
    </row>
    <row r="1561" spans="1:6" x14ac:dyDescent="0.25">
      <c r="A1561" s="50">
        <f t="shared" si="24"/>
        <v>1559</v>
      </c>
      <c r="B1561" s="50">
        <v>6725</v>
      </c>
      <c r="C1561" s="50" t="s">
        <v>1588</v>
      </c>
      <c r="D1561" s="51" t="s">
        <v>78</v>
      </c>
      <c r="F1561" s="52">
        <f>SUMIF(CPY!$B:$B,Summary!$B1561,CPY!$I:$I)</f>
        <v>0</v>
      </c>
    </row>
    <row r="1562" spans="1:6" x14ac:dyDescent="0.25">
      <c r="A1562" s="50">
        <f t="shared" si="24"/>
        <v>1560</v>
      </c>
      <c r="B1562" s="50">
        <v>6726</v>
      </c>
      <c r="C1562" s="50" t="s">
        <v>1589</v>
      </c>
      <c r="D1562" s="51" t="s">
        <v>69</v>
      </c>
      <c r="F1562" s="52">
        <f>SUMIF(CPY!$B:$B,Summary!$B1562,CPY!$I:$I)</f>
        <v>0</v>
      </c>
    </row>
    <row r="1563" spans="1:6" x14ac:dyDescent="0.25">
      <c r="A1563" s="50">
        <f t="shared" si="24"/>
        <v>1561</v>
      </c>
      <c r="B1563" s="50">
        <v>6727</v>
      </c>
      <c r="C1563" s="50" t="s">
        <v>1590</v>
      </c>
      <c r="D1563" s="51" t="s">
        <v>69</v>
      </c>
      <c r="F1563" s="52">
        <f>SUMIF(CPY!$B:$B,Summary!$B1563,CPY!$I:$I)</f>
        <v>0</v>
      </c>
    </row>
    <row r="1564" spans="1:6" x14ac:dyDescent="0.25">
      <c r="A1564" s="50">
        <f t="shared" si="24"/>
        <v>1562</v>
      </c>
      <c r="B1564" s="50">
        <v>6728</v>
      </c>
      <c r="C1564" s="50" t="s">
        <v>1591</v>
      </c>
      <c r="D1564" s="51" t="s">
        <v>69</v>
      </c>
      <c r="F1564" s="52">
        <f>SUMIF(CPY!$B:$B,Summary!$B1564,CPY!$I:$I)</f>
        <v>0</v>
      </c>
    </row>
    <row r="1565" spans="1:6" x14ac:dyDescent="0.25">
      <c r="A1565" s="50">
        <f t="shared" si="24"/>
        <v>1563</v>
      </c>
      <c r="B1565" s="50">
        <v>6730</v>
      </c>
      <c r="C1565" s="50" t="s">
        <v>1592</v>
      </c>
      <c r="D1565" s="51" t="s">
        <v>69</v>
      </c>
      <c r="F1565" s="52">
        <f>SUMIF(CPY!$B:$B,Summary!$B1565,CPY!$I:$I)</f>
        <v>0</v>
      </c>
    </row>
    <row r="1566" spans="1:6" x14ac:dyDescent="0.25">
      <c r="A1566" s="50">
        <f t="shared" si="24"/>
        <v>1564</v>
      </c>
      <c r="B1566" s="50">
        <v>6731</v>
      </c>
      <c r="C1566" s="50" t="s">
        <v>1593</v>
      </c>
      <c r="D1566" s="51" t="s">
        <v>78</v>
      </c>
      <c r="F1566" s="52">
        <f>SUMIF(CPY!$B:$B,Summary!$B1566,CPY!$I:$I)</f>
        <v>0</v>
      </c>
    </row>
    <row r="1567" spans="1:6" x14ac:dyDescent="0.25">
      <c r="A1567" s="50">
        <f t="shared" si="24"/>
        <v>1565</v>
      </c>
      <c r="B1567" s="50">
        <v>6732</v>
      </c>
      <c r="C1567" s="50" t="s">
        <v>1594</v>
      </c>
      <c r="D1567" s="51" t="s">
        <v>78</v>
      </c>
      <c r="F1567" s="52">
        <f>SUMIF(CPY!$B:$B,Summary!$B1567,CPY!$I:$I)</f>
        <v>0</v>
      </c>
    </row>
    <row r="1568" spans="1:6" x14ac:dyDescent="0.25">
      <c r="A1568" s="50">
        <f t="shared" si="24"/>
        <v>1566</v>
      </c>
      <c r="B1568" s="50">
        <v>6733</v>
      </c>
      <c r="C1568" s="50" t="s">
        <v>1595</v>
      </c>
      <c r="D1568" s="51" t="s">
        <v>69</v>
      </c>
      <c r="F1568" s="52">
        <f>SUMIF(CPY!$B:$B,Summary!$B1568,CPY!$I:$I)</f>
        <v>0</v>
      </c>
    </row>
    <row r="1569" spans="1:6" x14ac:dyDescent="0.25">
      <c r="A1569" s="50">
        <f t="shared" si="24"/>
        <v>1567</v>
      </c>
      <c r="B1569" s="50">
        <v>6734</v>
      </c>
      <c r="C1569" s="50" t="s">
        <v>1596</v>
      </c>
      <c r="D1569" s="51" t="s">
        <v>46</v>
      </c>
      <c r="F1569" s="52">
        <f>SUMIF(CPY!$B:$B,Summary!$B1569,CPY!$I:$I)</f>
        <v>0</v>
      </c>
    </row>
    <row r="1570" spans="1:6" x14ac:dyDescent="0.25">
      <c r="A1570" s="50">
        <f t="shared" si="24"/>
        <v>1568</v>
      </c>
      <c r="B1570" s="50">
        <v>6735</v>
      </c>
      <c r="C1570" s="50" t="s">
        <v>1597</v>
      </c>
      <c r="D1570" s="51" t="s">
        <v>78</v>
      </c>
      <c r="F1570" s="52">
        <f>SUMIF(CPY!$B:$B,Summary!$B1570,CPY!$I:$I)</f>
        <v>0</v>
      </c>
    </row>
    <row r="1571" spans="1:6" x14ac:dyDescent="0.25">
      <c r="A1571" s="50">
        <f t="shared" si="24"/>
        <v>1569</v>
      </c>
      <c r="B1571" s="50">
        <v>6736</v>
      </c>
      <c r="C1571" s="50" t="s">
        <v>1598</v>
      </c>
      <c r="D1571" s="51" t="s">
        <v>46</v>
      </c>
      <c r="F1571" s="52">
        <f>SUMIF(CPY!$B:$B,Summary!$B1571,CPY!$I:$I)</f>
        <v>0</v>
      </c>
    </row>
    <row r="1572" spans="1:6" x14ac:dyDescent="0.25">
      <c r="A1572" s="50">
        <f t="shared" si="24"/>
        <v>1570</v>
      </c>
      <c r="B1572" s="50">
        <v>6737</v>
      </c>
      <c r="C1572" s="50" t="s">
        <v>1599</v>
      </c>
      <c r="D1572" s="51" t="s">
        <v>69</v>
      </c>
      <c r="F1572" s="52">
        <f>SUMIF(CPY!$B:$B,Summary!$B1572,CPY!$I:$I)</f>
        <v>0</v>
      </c>
    </row>
    <row r="1573" spans="1:6" x14ac:dyDescent="0.25">
      <c r="A1573" s="50">
        <f t="shared" si="24"/>
        <v>1571</v>
      </c>
      <c r="B1573" s="50">
        <v>6738</v>
      </c>
      <c r="C1573" s="50" t="s">
        <v>1600</v>
      </c>
      <c r="D1573" s="51" t="s">
        <v>85</v>
      </c>
      <c r="F1573" s="52">
        <f>SUMIF(CPY!$B:$B,Summary!$B1573,CPY!$I:$I)</f>
        <v>0</v>
      </c>
    </row>
    <row r="1574" spans="1:6" x14ac:dyDescent="0.25">
      <c r="A1574" s="50">
        <f t="shared" si="24"/>
        <v>1572</v>
      </c>
      <c r="B1574" s="50">
        <v>6740</v>
      </c>
      <c r="C1574" s="50" t="s">
        <v>1601</v>
      </c>
      <c r="D1574" s="51" t="s">
        <v>69</v>
      </c>
      <c r="F1574" s="52">
        <f>SUMIF(CPY!$B:$B,Summary!$B1574,CPY!$I:$I)</f>
        <v>0</v>
      </c>
    </row>
    <row r="1575" spans="1:6" x14ac:dyDescent="0.25">
      <c r="A1575" s="50">
        <f t="shared" si="24"/>
        <v>1573</v>
      </c>
      <c r="B1575" s="50">
        <v>6741</v>
      </c>
      <c r="C1575" s="50" t="s">
        <v>1602</v>
      </c>
      <c r="D1575" s="51" t="s">
        <v>51</v>
      </c>
      <c r="F1575" s="52">
        <f>SUMIF(CPY!$B:$B,Summary!$B1575,CPY!$I:$I)</f>
        <v>0</v>
      </c>
    </row>
    <row r="1576" spans="1:6" x14ac:dyDescent="0.25">
      <c r="A1576" s="50">
        <f t="shared" si="24"/>
        <v>1574</v>
      </c>
      <c r="B1576" s="50">
        <v>6742</v>
      </c>
      <c r="C1576" s="50" t="s">
        <v>1603</v>
      </c>
      <c r="D1576" s="51" t="s">
        <v>78</v>
      </c>
      <c r="F1576" s="52">
        <f>SUMIF(CPY!$B:$B,Summary!$B1576,CPY!$I:$I)</f>
        <v>0</v>
      </c>
    </row>
    <row r="1577" spans="1:6" x14ac:dyDescent="0.25">
      <c r="A1577" s="50">
        <f t="shared" si="24"/>
        <v>1575</v>
      </c>
      <c r="B1577" s="50">
        <v>6744</v>
      </c>
      <c r="C1577" s="50" t="s">
        <v>1604</v>
      </c>
      <c r="D1577" s="51" t="s">
        <v>85</v>
      </c>
      <c r="F1577" s="52">
        <f>SUMIF(CPY!$B:$B,Summary!$B1577,CPY!$I:$I)</f>
        <v>0</v>
      </c>
    </row>
    <row r="1578" spans="1:6" x14ac:dyDescent="0.25">
      <c r="A1578" s="50">
        <f t="shared" si="24"/>
        <v>1576</v>
      </c>
      <c r="B1578" s="50">
        <v>6745</v>
      </c>
      <c r="C1578" s="50" t="s">
        <v>1605</v>
      </c>
      <c r="D1578" s="51" t="s">
        <v>85</v>
      </c>
      <c r="F1578" s="52">
        <f>SUMIF(CPY!$B:$B,Summary!$B1578,CPY!$I:$I)</f>
        <v>0</v>
      </c>
    </row>
    <row r="1579" spans="1:6" x14ac:dyDescent="0.25">
      <c r="A1579" s="50">
        <f t="shared" si="24"/>
        <v>1577</v>
      </c>
      <c r="B1579" s="50">
        <v>6748</v>
      </c>
      <c r="C1579" s="50" t="s">
        <v>1606</v>
      </c>
      <c r="D1579" s="51" t="s">
        <v>69</v>
      </c>
      <c r="F1579" s="52">
        <f>SUMIF(CPY!$B:$B,Summary!$B1579,CPY!$I:$I)</f>
        <v>0</v>
      </c>
    </row>
    <row r="1580" spans="1:6" x14ac:dyDescent="0.25">
      <c r="A1580" s="50">
        <f t="shared" si="24"/>
        <v>1578</v>
      </c>
      <c r="B1580" s="50">
        <v>6749</v>
      </c>
      <c r="C1580" s="50" t="s">
        <v>1607</v>
      </c>
      <c r="D1580" s="51" t="s">
        <v>69</v>
      </c>
      <c r="F1580" s="52">
        <f>SUMIF(CPY!$B:$B,Summary!$B1580,CPY!$I:$I)</f>
        <v>0</v>
      </c>
    </row>
    <row r="1581" spans="1:6" x14ac:dyDescent="0.25">
      <c r="A1581" s="50">
        <f t="shared" si="24"/>
        <v>1579</v>
      </c>
      <c r="B1581" s="50">
        <v>6751</v>
      </c>
      <c r="C1581" s="50" t="s">
        <v>1608</v>
      </c>
      <c r="D1581" s="51" t="s">
        <v>78</v>
      </c>
      <c r="F1581" s="52">
        <f>SUMIF(CPY!$B:$B,Summary!$B1581,CPY!$I:$I)</f>
        <v>0</v>
      </c>
    </row>
    <row r="1582" spans="1:6" x14ac:dyDescent="0.25">
      <c r="A1582" s="50">
        <f t="shared" si="24"/>
        <v>1580</v>
      </c>
      <c r="B1582" s="50">
        <v>6753</v>
      </c>
      <c r="C1582" s="50" t="s">
        <v>1141</v>
      </c>
      <c r="D1582" s="51" t="s">
        <v>841</v>
      </c>
      <c r="F1582" s="52">
        <f>SUMIF(CPY!$B:$B,Summary!$B1582,CPY!$I:$I)</f>
        <v>0</v>
      </c>
    </row>
    <row r="1583" spans="1:6" x14ac:dyDescent="0.25">
      <c r="A1583" s="50">
        <f t="shared" si="24"/>
        <v>1581</v>
      </c>
      <c r="B1583" s="50">
        <v>6754</v>
      </c>
      <c r="C1583" s="50" t="s">
        <v>1609</v>
      </c>
      <c r="D1583" s="51" t="s">
        <v>69</v>
      </c>
      <c r="F1583" s="52">
        <f>SUMIF(CPY!$B:$B,Summary!$B1583,CPY!$I:$I)</f>
        <v>0</v>
      </c>
    </row>
    <row r="1584" spans="1:6" x14ac:dyDescent="0.25">
      <c r="A1584" s="50">
        <f t="shared" si="24"/>
        <v>1582</v>
      </c>
      <c r="B1584" s="50">
        <v>6755</v>
      </c>
      <c r="C1584" s="50" t="s">
        <v>1610</v>
      </c>
      <c r="D1584" s="51" t="s">
        <v>33</v>
      </c>
      <c r="F1584" s="52">
        <f>SUMIF(CPY!$B:$B,Summary!$B1584,CPY!$I:$I)</f>
        <v>0</v>
      </c>
    </row>
    <row r="1585" spans="1:6" x14ac:dyDescent="0.25">
      <c r="A1585" s="50">
        <f t="shared" si="24"/>
        <v>1583</v>
      </c>
      <c r="B1585" s="50">
        <v>6756</v>
      </c>
      <c r="C1585" s="50" t="s">
        <v>1611</v>
      </c>
      <c r="D1585" s="51" t="s">
        <v>85</v>
      </c>
      <c r="F1585" s="52">
        <f>SUMIF(CPY!$B:$B,Summary!$B1585,CPY!$I:$I)</f>
        <v>0</v>
      </c>
    </row>
    <row r="1586" spans="1:6" x14ac:dyDescent="0.25">
      <c r="A1586" s="50">
        <f t="shared" si="24"/>
        <v>1584</v>
      </c>
      <c r="B1586" s="50">
        <v>6757</v>
      </c>
      <c r="C1586" s="50" t="s">
        <v>1612</v>
      </c>
      <c r="D1586" s="51" t="s">
        <v>46</v>
      </c>
      <c r="F1586" s="52">
        <f>SUMIF(CPY!$B:$B,Summary!$B1586,CPY!$I:$I)</f>
        <v>0</v>
      </c>
    </row>
    <row r="1587" spans="1:6" x14ac:dyDescent="0.25">
      <c r="A1587" s="50">
        <f t="shared" si="24"/>
        <v>1585</v>
      </c>
      <c r="B1587" s="50">
        <v>6758</v>
      </c>
      <c r="C1587" s="50" t="s">
        <v>1613</v>
      </c>
      <c r="D1587" s="51" t="s">
        <v>69</v>
      </c>
      <c r="F1587" s="52">
        <f>SUMIF(CPY!$B:$B,Summary!$B1587,CPY!$I:$I)</f>
        <v>0</v>
      </c>
    </row>
    <row r="1588" spans="1:6" x14ac:dyDescent="0.25">
      <c r="A1588" s="50">
        <f t="shared" si="24"/>
        <v>1586</v>
      </c>
      <c r="B1588" s="50">
        <v>6759</v>
      </c>
      <c r="C1588" s="50" t="s">
        <v>1614</v>
      </c>
      <c r="D1588" s="51" t="s">
        <v>85</v>
      </c>
      <c r="F1588" s="52">
        <f>SUMIF(CPY!$B:$B,Summary!$B1588,CPY!$I:$I)</f>
        <v>0</v>
      </c>
    </row>
    <row r="1589" spans="1:6" x14ac:dyDescent="0.25">
      <c r="A1589" s="50">
        <f t="shared" si="24"/>
        <v>1587</v>
      </c>
      <c r="B1589" s="50">
        <v>6760</v>
      </c>
      <c r="C1589" s="50" t="s">
        <v>1615</v>
      </c>
      <c r="D1589" s="51" t="s">
        <v>85</v>
      </c>
      <c r="F1589" s="52">
        <f>SUMIF(CPY!$B:$B,Summary!$B1589,CPY!$I:$I)</f>
        <v>0</v>
      </c>
    </row>
    <row r="1590" spans="1:6" x14ac:dyDescent="0.25">
      <c r="A1590" s="50">
        <f t="shared" si="24"/>
        <v>1588</v>
      </c>
      <c r="B1590" s="50">
        <v>6761</v>
      </c>
      <c r="C1590" s="50" t="s">
        <v>1616</v>
      </c>
      <c r="D1590" s="51" t="s">
        <v>85</v>
      </c>
      <c r="F1590" s="52">
        <f>SUMIF(CPY!$B:$B,Summary!$B1590,CPY!$I:$I)</f>
        <v>0</v>
      </c>
    </row>
    <row r="1591" spans="1:6" x14ac:dyDescent="0.25">
      <c r="A1591" s="50">
        <f t="shared" si="24"/>
        <v>1589</v>
      </c>
      <c r="B1591" s="50">
        <v>6762</v>
      </c>
      <c r="C1591" s="50" t="s">
        <v>1617</v>
      </c>
      <c r="D1591" s="51" t="s">
        <v>69</v>
      </c>
      <c r="F1591" s="52">
        <f>SUMIF(CPY!$B:$B,Summary!$B1591,CPY!$I:$I)</f>
        <v>0</v>
      </c>
    </row>
    <row r="1592" spans="1:6" x14ac:dyDescent="0.25">
      <c r="A1592" s="50">
        <f t="shared" si="24"/>
        <v>1590</v>
      </c>
      <c r="B1592" s="50">
        <v>6763</v>
      </c>
      <c r="C1592" s="50" t="s">
        <v>1618</v>
      </c>
      <c r="D1592" s="51" t="s">
        <v>69</v>
      </c>
      <c r="F1592" s="52">
        <f>SUMIF(CPY!$B:$B,Summary!$B1592,CPY!$I:$I)</f>
        <v>0</v>
      </c>
    </row>
    <row r="1593" spans="1:6" x14ac:dyDescent="0.25">
      <c r="A1593" s="50">
        <f t="shared" si="24"/>
        <v>1591</v>
      </c>
      <c r="B1593" s="50">
        <v>6764</v>
      </c>
      <c r="C1593" s="50" t="s">
        <v>1619</v>
      </c>
      <c r="D1593" s="51" t="s">
        <v>69</v>
      </c>
      <c r="F1593" s="52">
        <f>SUMIF(CPY!$B:$B,Summary!$B1593,CPY!$I:$I)</f>
        <v>0</v>
      </c>
    </row>
    <row r="1594" spans="1:6" x14ac:dyDescent="0.25">
      <c r="A1594" s="50">
        <f t="shared" si="24"/>
        <v>1592</v>
      </c>
      <c r="B1594" s="50">
        <v>6767</v>
      </c>
      <c r="C1594" s="50" t="s">
        <v>1620</v>
      </c>
      <c r="D1594" s="51" t="s">
        <v>69</v>
      </c>
      <c r="F1594" s="52">
        <f>SUMIF(CPY!$B:$B,Summary!$B1594,CPY!$I:$I)</f>
        <v>0</v>
      </c>
    </row>
    <row r="1595" spans="1:6" x14ac:dyDescent="0.25">
      <c r="A1595" s="50">
        <f t="shared" si="24"/>
        <v>1593</v>
      </c>
      <c r="B1595" s="50">
        <v>6768</v>
      </c>
      <c r="C1595" s="50" t="s">
        <v>1621</v>
      </c>
      <c r="D1595" s="51" t="s">
        <v>46</v>
      </c>
      <c r="F1595" s="52">
        <f>SUMIF(CPY!$B:$B,Summary!$B1595,CPY!$I:$I)</f>
        <v>0</v>
      </c>
    </row>
    <row r="1596" spans="1:6" x14ac:dyDescent="0.25">
      <c r="A1596" s="50">
        <f t="shared" si="24"/>
        <v>1594</v>
      </c>
      <c r="B1596" s="50">
        <v>6769</v>
      </c>
      <c r="C1596" s="50" t="s">
        <v>1622</v>
      </c>
      <c r="D1596" s="51" t="s">
        <v>69</v>
      </c>
      <c r="F1596" s="52">
        <f>SUMIF(CPY!$B:$B,Summary!$B1596,CPY!$I:$I)</f>
        <v>0</v>
      </c>
    </row>
    <row r="1597" spans="1:6" x14ac:dyDescent="0.25">
      <c r="A1597" s="50">
        <f t="shared" si="24"/>
        <v>1595</v>
      </c>
      <c r="B1597" s="50">
        <v>6770</v>
      </c>
      <c r="C1597" s="50" t="s">
        <v>1623</v>
      </c>
      <c r="D1597" s="51" t="s">
        <v>69</v>
      </c>
      <c r="F1597" s="52">
        <f>SUMIF(CPY!$B:$B,Summary!$B1597,CPY!$I:$I)</f>
        <v>0</v>
      </c>
    </row>
    <row r="1598" spans="1:6" x14ac:dyDescent="0.25">
      <c r="A1598" s="50">
        <f t="shared" si="24"/>
        <v>1596</v>
      </c>
      <c r="B1598" s="50">
        <v>6771</v>
      </c>
      <c r="C1598" s="50" t="s">
        <v>1624</v>
      </c>
      <c r="D1598" s="51" t="s">
        <v>78</v>
      </c>
      <c r="F1598" s="52">
        <f>SUMIF(CPY!$B:$B,Summary!$B1598,CPY!$I:$I)</f>
        <v>0</v>
      </c>
    </row>
    <row r="1599" spans="1:6" x14ac:dyDescent="0.25">
      <c r="A1599" s="50">
        <f t="shared" si="24"/>
        <v>1597</v>
      </c>
      <c r="B1599" s="50">
        <v>6772</v>
      </c>
      <c r="C1599" s="50" t="s">
        <v>1625</v>
      </c>
      <c r="D1599" s="51" t="s">
        <v>85</v>
      </c>
      <c r="F1599" s="52">
        <f>SUMIF(CPY!$B:$B,Summary!$B1599,CPY!$I:$I)</f>
        <v>0</v>
      </c>
    </row>
    <row r="1600" spans="1:6" x14ac:dyDescent="0.25">
      <c r="A1600" s="50">
        <f t="shared" si="24"/>
        <v>1598</v>
      </c>
      <c r="B1600" s="50">
        <v>6773</v>
      </c>
      <c r="C1600" s="50" t="s">
        <v>1626</v>
      </c>
      <c r="D1600" s="51" t="s">
        <v>85</v>
      </c>
      <c r="F1600" s="52">
        <f>SUMIF(CPY!$B:$B,Summary!$B1600,CPY!$I:$I)</f>
        <v>0</v>
      </c>
    </row>
    <row r="1601" spans="1:6" x14ac:dyDescent="0.25">
      <c r="A1601" s="50">
        <f t="shared" si="24"/>
        <v>1599</v>
      </c>
      <c r="B1601" s="50">
        <v>6777</v>
      </c>
      <c r="C1601" s="50" t="s">
        <v>1627</v>
      </c>
      <c r="D1601" s="51" t="s">
        <v>85</v>
      </c>
      <c r="F1601" s="52">
        <f>SUMIF(CPY!$B:$B,Summary!$B1601,CPY!$I:$I)</f>
        <v>0</v>
      </c>
    </row>
    <row r="1602" spans="1:6" x14ac:dyDescent="0.25">
      <c r="A1602" s="50">
        <f t="shared" si="24"/>
        <v>1600</v>
      </c>
      <c r="B1602" s="50">
        <v>6778</v>
      </c>
      <c r="C1602" s="50" t="s">
        <v>1628</v>
      </c>
      <c r="D1602" s="51" t="s">
        <v>69</v>
      </c>
      <c r="F1602" s="52">
        <f>SUMIF(CPY!$B:$B,Summary!$B1602,CPY!$I:$I)</f>
        <v>0</v>
      </c>
    </row>
    <row r="1603" spans="1:6" x14ac:dyDescent="0.25">
      <c r="A1603" s="50">
        <f t="shared" si="24"/>
        <v>1601</v>
      </c>
      <c r="B1603" s="50">
        <v>6779</v>
      </c>
      <c r="C1603" s="50" t="s">
        <v>1629</v>
      </c>
      <c r="D1603" s="51" t="s">
        <v>69</v>
      </c>
      <c r="F1603" s="52">
        <f>SUMIF(CPY!$B:$B,Summary!$B1603,CPY!$I:$I)</f>
        <v>0</v>
      </c>
    </row>
    <row r="1604" spans="1:6" x14ac:dyDescent="0.25">
      <c r="A1604" s="50">
        <f t="shared" si="24"/>
        <v>1602</v>
      </c>
      <c r="B1604" s="50">
        <v>6781</v>
      </c>
      <c r="C1604" s="50" t="s">
        <v>1630</v>
      </c>
      <c r="D1604" s="51" t="s">
        <v>69</v>
      </c>
      <c r="F1604" s="52">
        <f>SUMIF(CPY!$B:$B,Summary!$B1604,CPY!$I:$I)</f>
        <v>0</v>
      </c>
    </row>
    <row r="1605" spans="1:6" x14ac:dyDescent="0.25">
      <c r="A1605" s="50">
        <f t="shared" ref="A1605:A1668" si="25">+A1604+1</f>
        <v>1603</v>
      </c>
      <c r="B1605" s="50">
        <v>6782</v>
      </c>
      <c r="C1605" s="50" t="s">
        <v>1631</v>
      </c>
      <c r="D1605" s="51" t="s">
        <v>85</v>
      </c>
      <c r="F1605" s="52">
        <f>SUMIF(CPY!$B:$B,Summary!$B1605,CPY!$I:$I)</f>
        <v>0</v>
      </c>
    </row>
    <row r="1606" spans="1:6" x14ac:dyDescent="0.25">
      <c r="A1606" s="50">
        <f t="shared" si="25"/>
        <v>1604</v>
      </c>
      <c r="B1606" s="50">
        <v>6785</v>
      </c>
      <c r="C1606" s="50" t="s">
        <v>1632</v>
      </c>
      <c r="D1606" s="51" t="s">
        <v>69</v>
      </c>
      <c r="F1606" s="52">
        <f>SUMIF(CPY!$B:$B,Summary!$B1606,CPY!$I:$I)</f>
        <v>0</v>
      </c>
    </row>
    <row r="1607" spans="1:6" x14ac:dyDescent="0.25">
      <c r="A1607" s="50">
        <f t="shared" si="25"/>
        <v>1605</v>
      </c>
      <c r="B1607" s="50">
        <v>6786</v>
      </c>
      <c r="C1607" s="50" t="s">
        <v>285</v>
      </c>
      <c r="D1607" s="51" t="s">
        <v>69</v>
      </c>
      <c r="F1607" s="52">
        <f>SUMIF(CPY!$B:$B,Summary!$B1607,CPY!$I:$I)</f>
        <v>0</v>
      </c>
    </row>
    <row r="1608" spans="1:6" x14ac:dyDescent="0.25">
      <c r="A1608" s="50">
        <f t="shared" si="25"/>
        <v>1606</v>
      </c>
      <c r="B1608" s="50">
        <v>6787</v>
      </c>
      <c r="C1608" s="50" t="s">
        <v>1633</v>
      </c>
      <c r="D1608" s="51" t="s">
        <v>69</v>
      </c>
      <c r="F1608" s="52">
        <f>SUMIF(CPY!$B:$B,Summary!$B1608,CPY!$I:$I)</f>
        <v>0</v>
      </c>
    </row>
    <row r="1609" spans="1:6" x14ac:dyDescent="0.25">
      <c r="A1609" s="50">
        <f t="shared" si="25"/>
        <v>1607</v>
      </c>
      <c r="B1609" s="50">
        <v>6788</v>
      </c>
      <c r="C1609" s="50" t="s">
        <v>1634</v>
      </c>
      <c r="D1609" s="51" t="s">
        <v>46</v>
      </c>
      <c r="F1609" s="52">
        <f>SUMIF(CPY!$B:$B,Summary!$B1609,CPY!$I:$I)</f>
        <v>0</v>
      </c>
    </row>
    <row r="1610" spans="1:6" x14ac:dyDescent="0.25">
      <c r="A1610" s="50">
        <f t="shared" si="25"/>
        <v>1608</v>
      </c>
      <c r="B1610" s="50">
        <v>6789</v>
      </c>
      <c r="C1610" s="50" t="s">
        <v>1635</v>
      </c>
      <c r="D1610" s="51" t="s">
        <v>78</v>
      </c>
      <c r="F1610" s="52">
        <f>SUMIF(CPY!$B:$B,Summary!$B1610,CPY!$I:$I)</f>
        <v>0</v>
      </c>
    </row>
    <row r="1611" spans="1:6" x14ac:dyDescent="0.25">
      <c r="A1611" s="50">
        <f t="shared" si="25"/>
        <v>1609</v>
      </c>
      <c r="B1611" s="50">
        <v>6790</v>
      </c>
      <c r="C1611" s="50" t="s">
        <v>1636</v>
      </c>
      <c r="D1611" s="51" t="s">
        <v>69</v>
      </c>
      <c r="F1611" s="52">
        <f>SUMIF(CPY!$B:$B,Summary!$B1611,CPY!$I:$I)</f>
        <v>0</v>
      </c>
    </row>
    <row r="1612" spans="1:6" x14ac:dyDescent="0.25">
      <c r="A1612" s="50">
        <f t="shared" si="25"/>
        <v>1610</v>
      </c>
      <c r="B1612" s="50">
        <v>6791</v>
      </c>
      <c r="C1612" s="50" t="s">
        <v>1637</v>
      </c>
      <c r="D1612" s="51" t="s">
        <v>69</v>
      </c>
      <c r="F1612" s="52">
        <f>SUMIF(CPY!$B:$B,Summary!$B1612,CPY!$I:$I)</f>
        <v>0</v>
      </c>
    </row>
    <row r="1613" spans="1:6" x14ac:dyDescent="0.25">
      <c r="A1613" s="50">
        <f t="shared" si="25"/>
        <v>1611</v>
      </c>
      <c r="B1613" s="50">
        <v>6793</v>
      </c>
      <c r="C1613" s="50" t="s">
        <v>1638</v>
      </c>
      <c r="D1613" s="51" t="s">
        <v>69</v>
      </c>
      <c r="F1613" s="52">
        <f>SUMIF(CPY!$B:$B,Summary!$B1613,CPY!$I:$I)</f>
        <v>0</v>
      </c>
    </row>
    <row r="1614" spans="1:6" x14ac:dyDescent="0.25">
      <c r="A1614" s="50">
        <f t="shared" si="25"/>
        <v>1612</v>
      </c>
      <c r="B1614" s="50">
        <v>6794</v>
      </c>
      <c r="C1614" s="50" t="s">
        <v>1639</v>
      </c>
      <c r="D1614" s="51" t="s">
        <v>69</v>
      </c>
      <c r="F1614" s="52">
        <f>SUMIF(CPY!$B:$B,Summary!$B1614,CPY!$I:$I)</f>
        <v>0</v>
      </c>
    </row>
    <row r="1615" spans="1:6" x14ac:dyDescent="0.25">
      <c r="A1615" s="50">
        <f t="shared" si="25"/>
        <v>1613</v>
      </c>
      <c r="B1615" s="50">
        <v>6795</v>
      </c>
      <c r="C1615" s="50" t="s">
        <v>1640</v>
      </c>
      <c r="D1615" s="51" t="s">
        <v>78</v>
      </c>
      <c r="F1615" s="52">
        <f>SUMIF(CPY!$B:$B,Summary!$B1615,CPY!$I:$I)</f>
        <v>0</v>
      </c>
    </row>
    <row r="1616" spans="1:6" x14ac:dyDescent="0.25">
      <c r="A1616" s="50">
        <f t="shared" si="25"/>
        <v>1614</v>
      </c>
      <c r="B1616" s="50">
        <v>6796</v>
      </c>
      <c r="C1616" s="50" t="s">
        <v>1641</v>
      </c>
      <c r="D1616" s="51" t="s">
        <v>69</v>
      </c>
      <c r="F1616" s="52">
        <f>SUMIF(CPY!$B:$B,Summary!$B1616,CPY!$I:$I)</f>
        <v>0</v>
      </c>
    </row>
    <row r="1617" spans="1:6" x14ac:dyDescent="0.25">
      <c r="A1617" s="50">
        <f t="shared" si="25"/>
        <v>1615</v>
      </c>
      <c r="B1617" s="50">
        <v>6797</v>
      </c>
      <c r="C1617" s="50" t="s">
        <v>1642</v>
      </c>
      <c r="D1617" s="51" t="s">
        <v>69</v>
      </c>
      <c r="F1617" s="52">
        <f>SUMIF(CPY!$B:$B,Summary!$B1617,CPY!$I:$I)</f>
        <v>0</v>
      </c>
    </row>
    <row r="1618" spans="1:6" x14ac:dyDescent="0.25">
      <c r="A1618" s="50">
        <f t="shared" si="25"/>
        <v>1616</v>
      </c>
      <c r="B1618" s="50">
        <v>6798</v>
      </c>
      <c r="C1618" s="50" t="s">
        <v>1643</v>
      </c>
      <c r="D1618" s="51" t="s">
        <v>85</v>
      </c>
      <c r="F1618" s="52">
        <f>SUMIF(CPY!$B:$B,Summary!$B1618,CPY!$I:$I)</f>
        <v>0</v>
      </c>
    </row>
    <row r="1619" spans="1:6" x14ac:dyDescent="0.25">
      <c r="A1619" s="50">
        <f t="shared" si="25"/>
        <v>1617</v>
      </c>
      <c r="B1619" s="50">
        <v>6799</v>
      </c>
      <c r="C1619" s="50" t="s">
        <v>1644</v>
      </c>
      <c r="D1619" s="51" t="s">
        <v>69</v>
      </c>
      <c r="F1619" s="52">
        <f>SUMIF(CPY!$B:$B,Summary!$B1619,CPY!$I:$I)</f>
        <v>0</v>
      </c>
    </row>
    <row r="1620" spans="1:6" x14ac:dyDescent="0.25">
      <c r="A1620" s="50">
        <f t="shared" si="25"/>
        <v>1618</v>
      </c>
      <c r="B1620" s="50">
        <v>6801</v>
      </c>
      <c r="C1620" s="50" t="s">
        <v>1645</v>
      </c>
      <c r="D1620" s="51" t="s">
        <v>69</v>
      </c>
      <c r="F1620" s="52">
        <f>SUMIF(CPY!$B:$B,Summary!$B1620,CPY!$I:$I)</f>
        <v>0</v>
      </c>
    </row>
    <row r="1621" spans="1:6" x14ac:dyDescent="0.25">
      <c r="A1621" s="50">
        <f t="shared" si="25"/>
        <v>1619</v>
      </c>
      <c r="B1621" s="50">
        <v>6802</v>
      </c>
      <c r="C1621" s="50" t="s">
        <v>1646</v>
      </c>
      <c r="D1621" s="51" t="s">
        <v>46</v>
      </c>
      <c r="F1621" s="52">
        <f>SUMIF(CPY!$B:$B,Summary!$B1621,CPY!$I:$I)</f>
        <v>0</v>
      </c>
    </row>
    <row r="1622" spans="1:6" x14ac:dyDescent="0.25">
      <c r="A1622" s="50">
        <f t="shared" si="25"/>
        <v>1620</v>
      </c>
      <c r="B1622" s="50">
        <v>6803</v>
      </c>
      <c r="C1622" s="50" t="s">
        <v>1647</v>
      </c>
      <c r="D1622" s="51" t="s">
        <v>46</v>
      </c>
      <c r="F1622" s="52">
        <f>SUMIF(CPY!$B:$B,Summary!$B1622,CPY!$I:$I)</f>
        <v>0</v>
      </c>
    </row>
    <row r="1623" spans="1:6" x14ac:dyDescent="0.25">
      <c r="A1623" s="50">
        <f t="shared" si="25"/>
        <v>1621</v>
      </c>
      <c r="B1623" s="50">
        <v>6804</v>
      </c>
      <c r="C1623" s="50" t="s">
        <v>1648</v>
      </c>
      <c r="D1623" s="51" t="s">
        <v>85</v>
      </c>
      <c r="F1623" s="52">
        <f>SUMIF(CPY!$B:$B,Summary!$B1623,CPY!$I:$I)</f>
        <v>0</v>
      </c>
    </row>
    <row r="1624" spans="1:6" x14ac:dyDescent="0.25">
      <c r="A1624" s="50">
        <f t="shared" si="25"/>
        <v>1622</v>
      </c>
      <c r="B1624" s="50">
        <v>6805</v>
      </c>
      <c r="C1624" s="50" t="s">
        <v>1649</v>
      </c>
      <c r="D1624" s="51" t="s">
        <v>69</v>
      </c>
      <c r="F1624" s="52">
        <f>SUMIF(CPY!$B:$B,Summary!$B1624,CPY!$I:$I)</f>
        <v>0</v>
      </c>
    </row>
    <row r="1625" spans="1:6" x14ac:dyDescent="0.25">
      <c r="A1625" s="50">
        <f t="shared" si="25"/>
        <v>1623</v>
      </c>
      <c r="B1625" s="50">
        <v>6806</v>
      </c>
      <c r="C1625" s="50" t="s">
        <v>1650</v>
      </c>
      <c r="D1625" s="51" t="s">
        <v>46</v>
      </c>
      <c r="F1625" s="52">
        <f>SUMIF(CPY!$B:$B,Summary!$B1625,CPY!$I:$I)</f>
        <v>0</v>
      </c>
    </row>
    <row r="1626" spans="1:6" x14ac:dyDescent="0.25">
      <c r="A1626" s="50">
        <f t="shared" si="25"/>
        <v>1624</v>
      </c>
      <c r="B1626" s="50">
        <v>6807</v>
      </c>
      <c r="C1626" s="50" t="s">
        <v>1651</v>
      </c>
      <c r="D1626" s="51" t="s">
        <v>69</v>
      </c>
      <c r="F1626" s="52">
        <f>SUMIF(CPY!$B:$B,Summary!$B1626,CPY!$I:$I)</f>
        <v>0</v>
      </c>
    </row>
    <row r="1627" spans="1:6" x14ac:dyDescent="0.25">
      <c r="A1627" s="50">
        <f t="shared" si="25"/>
        <v>1625</v>
      </c>
      <c r="B1627" s="50">
        <v>6808</v>
      </c>
      <c r="C1627" s="50" t="s">
        <v>1652</v>
      </c>
      <c r="D1627" s="51" t="s">
        <v>46</v>
      </c>
      <c r="F1627" s="52">
        <f>SUMIF(CPY!$B:$B,Summary!$B1627,CPY!$I:$I)</f>
        <v>0</v>
      </c>
    </row>
    <row r="1628" spans="1:6" x14ac:dyDescent="0.25">
      <c r="A1628" s="50">
        <f t="shared" si="25"/>
        <v>1626</v>
      </c>
      <c r="B1628" s="50">
        <v>6809</v>
      </c>
      <c r="C1628" s="50" t="s">
        <v>1653</v>
      </c>
      <c r="D1628" s="51" t="s">
        <v>69</v>
      </c>
      <c r="F1628" s="52">
        <f>SUMIF(CPY!$B:$B,Summary!$B1628,CPY!$I:$I)</f>
        <v>0</v>
      </c>
    </row>
    <row r="1629" spans="1:6" x14ac:dyDescent="0.25">
      <c r="A1629" s="50">
        <f t="shared" si="25"/>
        <v>1627</v>
      </c>
      <c r="B1629" s="50">
        <v>6811</v>
      </c>
      <c r="C1629" s="50" t="s">
        <v>1654</v>
      </c>
      <c r="D1629" s="51" t="s">
        <v>841</v>
      </c>
      <c r="F1629" s="52">
        <f>SUMIF(CPY!$B:$B,Summary!$B1629,CPY!$I:$I)</f>
        <v>0</v>
      </c>
    </row>
    <row r="1630" spans="1:6" x14ac:dyDescent="0.25">
      <c r="A1630" s="50">
        <f t="shared" si="25"/>
        <v>1628</v>
      </c>
      <c r="B1630" s="50">
        <v>6812</v>
      </c>
      <c r="C1630" s="50" t="s">
        <v>1655</v>
      </c>
      <c r="D1630" s="51" t="s">
        <v>841</v>
      </c>
      <c r="F1630" s="52">
        <f>SUMIF(CPY!$B:$B,Summary!$B1630,CPY!$I:$I)</f>
        <v>0</v>
      </c>
    </row>
    <row r="1631" spans="1:6" x14ac:dyDescent="0.25">
      <c r="A1631" s="50">
        <f t="shared" si="25"/>
        <v>1629</v>
      </c>
      <c r="B1631" s="50">
        <v>6813</v>
      </c>
      <c r="C1631" s="50" t="s">
        <v>1656</v>
      </c>
      <c r="D1631" s="51" t="s">
        <v>78</v>
      </c>
      <c r="F1631" s="52">
        <f>SUMIF(CPY!$B:$B,Summary!$B1631,CPY!$I:$I)</f>
        <v>0</v>
      </c>
    </row>
    <row r="1632" spans="1:6" x14ac:dyDescent="0.25">
      <c r="A1632" s="50">
        <f t="shared" si="25"/>
        <v>1630</v>
      </c>
      <c r="B1632" s="50">
        <v>6814</v>
      </c>
      <c r="C1632" s="50" t="s">
        <v>1657</v>
      </c>
      <c r="D1632" s="51" t="s">
        <v>69</v>
      </c>
      <c r="F1632" s="52">
        <f>SUMIF(CPY!$B:$B,Summary!$B1632,CPY!$I:$I)</f>
        <v>0</v>
      </c>
    </row>
    <row r="1633" spans="1:6" x14ac:dyDescent="0.25">
      <c r="A1633" s="50">
        <f t="shared" si="25"/>
        <v>1631</v>
      </c>
      <c r="B1633" s="50">
        <v>6815</v>
      </c>
      <c r="C1633" s="50" t="s">
        <v>1658</v>
      </c>
      <c r="D1633" s="51" t="s">
        <v>69</v>
      </c>
      <c r="F1633" s="52">
        <f>SUMIF(CPY!$B:$B,Summary!$B1633,CPY!$I:$I)</f>
        <v>0</v>
      </c>
    </row>
    <row r="1634" spans="1:6" x14ac:dyDescent="0.25">
      <c r="A1634" s="50">
        <f t="shared" si="25"/>
        <v>1632</v>
      </c>
      <c r="B1634" s="50">
        <v>6816</v>
      </c>
      <c r="C1634" s="50" t="s">
        <v>1659</v>
      </c>
      <c r="D1634" s="51" t="s">
        <v>78</v>
      </c>
      <c r="F1634" s="52">
        <f>SUMIF(CPY!$B:$B,Summary!$B1634,CPY!$I:$I)</f>
        <v>0</v>
      </c>
    </row>
    <row r="1635" spans="1:6" x14ac:dyDescent="0.25">
      <c r="A1635" s="50">
        <f t="shared" si="25"/>
        <v>1633</v>
      </c>
      <c r="B1635" s="50">
        <v>6817</v>
      </c>
      <c r="C1635" s="50" t="s">
        <v>1660</v>
      </c>
      <c r="D1635" s="51" t="s">
        <v>69</v>
      </c>
      <c r="F1635" s="52">
        <f>SUMIF(CPY!$B:$B,Summary!$B1635,CPY!$I:$I)</f>
        <v>0</v>
      </c>
    </row>
    <row r="1636" spans="1:6" x14ac:dyDescent="0.25">
      <c r="A1636" s="50">
        <f t="shared" si="25"/>
        <v>1634</v>
      </c>
      <c r="B1636" s="50">
        <v>6818</v>
      </c>
      <c r="C1636" s="50" t="s">
        <v>1661</v>
      </c>
      <c r="D1636" s="51" t="s">
        <v>85</v>
      </c>
      <c r="F1636" s="52">
        <f>SUMIF(CPY!$B:$B,Summary!$B1636,CPY!$I:$I)</f>
        <v>0</v>
      </c>
    </row>
    <row r="1637" spans="1:6" x14ac:dyDescent="0.25">
      <c r="A1637" s="50">
        <f t="shared" si="25"/>
        <v>1635</v>
      </c>
      <c r="B1637" s="50">
        <v>6821</v>
      </c>
      <c r="C1637" s="50" t="s">
        <v>1662</v>
      </c>
      <c r="D1637" s="51" t="s">
        <v>69</v>
      </c>
      <c r="F1637" s="52">
        <f>SUMIF(CPY!$B:$B,Summary!$B1637,CPY!$I:$I)</f>
        <v>0</v>
      </c>
    </row>
    <row r="1638" spans="1:6" x14ac:dyDescent="0.25">
      <c r="A1638" s="50">
        <f t="shared" si="25"/>
        <v>1636</v>
      </c>
      <c r="B1638" s="50">
        <v>6824</v>
      </c>
      <c r="C1638" s="50" t="s">
        <v>1663</v>
      </c>
      <c r="D1638" s="51" t="s">
        <v>69</v>
      </c>
      <c r="F1638" s="52">
        <f>SUMIF(CPY!$B:$B,Summary!$B1638,CPY!$I:$I)</f>
        <v>0</v>
      </c>
    </row>
    <row r="1639" spans="1:6" x14ac:dyDescent="0.25">
      <c r="A1639" s="50">
        <f t="shared" si="25"/>
        <v>1637</v>
      </c>
      <c r="B1639" s="50">
        <v>6825</v>
      </c>
      <c r="C1639" s="50" t="s">
        <v>1664</v>
      </c>
      <c r="D1639" s="51" t="s">
        <v>78</v>
      </c>
      <c r="F1639" s="52">
        <f>SUMIF(CPY!$B:$B,Summary!$B1639,CPY!$I:$I)</f>
        <v>0</v>
      </c>
    </row>
    <row r="1640" spans="1:6" x14ac:dyDescent="0.25">
      <c r="A1640" s="50">
        <f t="shared" si="25"/>
        <v>1638</v>
      </c>
      <c r="B1640" s="50">
        <v>6826</v>
      </c>
      <c r="C1640" s="50" t="s">
        <v>1665</v>
      </c>
      <c r="D1640" s="51" t="s">
        <v>85</v>
      </c>
      <c r="F1640" s="52">
        <f>SUMIF(CPY!$B:$B,Summary!$B1640,CPY!$I:$I)</f>
        <v>0</v>
      </c>
    </row>
    <row r="1641" spans="1:6" x14ac:dyDescent="0.25">
      <c r="A1641" s="50">
        <f t="shared" si="25"/>
        <v>1639</v>
      </c>
      <c r="B1641" s="50">
        <v>6827</v>
      </c>
      <c r="C1641" s="50" t="s">
        <v>1666</v>
      </c>
      <c r="D1641" s="51" t="s">
        <v>51</v>
      </c>
      <c r="F1641" s="52">
        <f>SUMIF(CPY!$B:$B,Summary!$B1641,CPY!$I:$I)</f>
        <v>0</v>
      </c>
    </row>
    <row r="1642" spans="1:6" x14ac:dyDescent="0.25">
      <c r="A1642" s="50">
        <f t="shared" si="25"/>
        <v>1640</v>
      </c>
      <c r="B1642" s="50">
        <v>6828</v>
      </c>
      <c r="C1642" s="50" t="s">
        <v>1667</v>
      </c>
      <c r="D1642" s="51" t="s">
        <v>69</v>
      </c>
      <c r="F1642" s="52">
        <f>SUMIF(CPY!$B:$B,Summary!$B1642,CPY!$I:$I)</f>
        <v>0</v>
      </c>
    </row>
    <row r="1643" spans="1:6" x14ac:dyDescent="0.25">
      <c r="A1643" s="50">
        <f t="shared" si="25"/>
        <v>1641</v>
      </c>
      <c r="B1643" s="50">
        <v>6829</v>
      </c>
      <c r="C1643" s="50" t="s">
        <v>1668</v>
      </c>
      <c r="D1643" s="51" t="s">
        <v>78</v>
      </c>
      <c r="F1643" s="52">
        <f>SUMIF(CPY!$B:$B,Summary!$B1643,CPY!$I:$I)</f>
        <v>0</v>
      </c>
    </row>
    <row r="1644" spans="1:6" x14ac:dyDescent="0.25">
      <c r="A1644" s="50">
        <f t="shared" si="25"/>
        <v>1642</v>
      </c>
      <c r="B1644" s="50">
        <v>6830</v>
      </c>
      <c r="C1644" s="50" t="s">
        <v>1669</v>
      </c>
      <c r="D1644" s="51" t="s">
        <v>85</v>
      </c>
      <c r="F1644" s="52">
        <f>SUMIF(CPY!$B:$B,Summary!$B1644,CPY!$I:$I)</f>
        <v>0</v>
      </c>
    </row>
    <row r="1645" spans="1:6" x14ac:dyDescent="0.25">
      <c r="A1645" s="50">
        <f t="shared" si="25"/>
        <v>1643</v>
      </c>
      <c r="B1645" s="50">
        <v>6831</v>
      </c>
      <c r="C1645" s="50" t="s">
        <v>1670</v>
      </c>
      <c r="D1645" s="51" t="s">
        <v>78</v>
      </c>
      <c r="F1645" s="52">
        <f>SUMIF(CPY!$B:$B,Summary!$B1645,CPY!$I:$I)</f>
        <v>0</v>
      </c>
    </row>
    <row r="1646" spans="1:6" x14ac:dyDescent="0.25">
      <c r="A1646" s="50">
        <f t="shared" si="25"/>
        <v>1644</v>
      </c>
      <c r="B1646" s="50">
        <v>6832</v>
      </c>
      <c r="C1646" s="50" t="s">
        <v>1671</v>
      </c>
      <c r="D1646" s="51" t="s">
        <v>46</v>
      </c>
      <c r="F1646" s="52">
        <f>SUMIF(CPY!$B:$B,Summary!$B1646,CPY!$I:$I)</f>
        <v>0</v>
      </c>
    </row>
    <row r="1647" spans="1:6" x14ac:dyDescent="0.25">
      <c r="A1647" s="50">
        <f t="shared" si="25"/>
        <v>1645</v>
      </c>
      <c r="B1647" s="50">
        <v>6833</v>
      </c>
      <c r="C1647" s="50" t="s">
        <v>1672</v>
      </c>
      <c r="D1647" s="51" t="s">
        <v>78</v>
      </c>
      <c r="F1647" s="52">
        <f>SUMIF(CPY!$B:$B,Summary!$B1647,CPY!$I:$I)</f>
        <v>0</v>
      </c>
    </row>
    <row r="1648" spans="1:6" x14ac:dyDescent="0.25">
      <c r="A1648" s="50">
        <f t="shared" si="25"/>
        <v>1646</v>
      </c>
      <c r="B1648" s="50">
        <v>6834</v>
      </c>
      <c r="C1648" s="50" t="s">
        <v>1673</v>
      </c>
      <c r="D1648" s="51" t="s">
        <v>69</v>
      </c>
      <c r="F1648" s="52">
        <f>SUMIF(CPY!$B:$B,Summary!$B1648,CPY!$I:$I)</f>
        <v>0</v>
      </c>
    </row>
    <row r="1649" spans="1:6" x14ac:dyDescent="0.25">
      <c r="A1649" s="50">
        <f t="shared" si="25"/>
        <v>1647</v>
      </c>
      <c r="B1649" s="50">
        <v>6835</v>
      </c>
      <c r="C1649" s="50" t="s">
        <v>1674</v>
      </c>
      <c r="D1649" s="51" t="s">
        <v>69</v>
      </c>
      <c r="F1649" s="52">
        <f>SUMIF(CPY!$B:$B,Summary!$B1649,CPY!$I:$I)</f>
        <v>0</v>
      </c>
    </row>
    <row r="1650" spans="1:6" x14ac:dyDescent="0.25">
      <c r="A1650" s="50">
        <f t="shared" si="25"/>
        <v>1648</v>
      </c>
      <c r="B1650" s="50">
        <v>6836</v>
      </c>
      <c r="C1650" s="50" t="s">
        <v>1675</v>
      </c>
      <c r="D1650" s="51" t="s">
        <v>69</v>
      </c>
      <c r="F1650" s="52">
        <f>SUMIF(CPY!$B:$B,Summary!$B1650,CPY!$I:$I)</f>
        <v>0</v>
      </c>
    </row>
    <row r="1651" spans="1:6" x14ac:dyDescent="0.25">
      <c r="A1651" s="50">
        <f t="shared" si="25"/>
        <v>1649</v>
      </c>
      <c r="B1651" s="50">
        <v>6837</v>
      </c>
      <c r="C1651" s="50" t="s">
        <v>1676</v>
      </c>
      <c r="D1651" s="51" t="s">
        <v>69</v>
      </c>
      <c r="F1651" s="52">
        <f>SUMIF(CPY!$B:$B,Summary!$B1651,CPY!$I:$I)</f>
        <v>0</v>
      </c>
    </row>
    <row r="1652" spans="1:6" x14ac:dyDescent="0.25">
      <c r="A1652" s="50">
        <f t="shared" si="25"/>
        <v>1650</v>
      </c>
      <c r="B1652" s="50">
        <v>6838</v>
      </c>
      <c r="C1652" s="50" t="s">
        <v>1677</v>
      </c>
      <c r="D1652" s="51" t="s">
        <v>69</v>
      </c>
      <c r="F1652" s="52">
        <f>SUMIF(CPY!$B:$B,Summary!$B1652,CPY!$I:$I)</f>
        <v>0</v>
      </c>
    </row>
    <row r="1653" spans="1:6" x14ac:dyDescent="0.25">
      <c r="A1653" s="50">
        <f t="shared" si="25"/>
        <v>1651</v>
      </c>
      <c r="B1653" s="50">
        <v>6839</v>
      </c>
      <c r="C1653" s="50" t="s">
        <v>1678</v>
      </c>
      <c r="D1653" s="51" t="s">
        <v>85</v>
      </c>
      <c r="F1653" s="52">
        <f>SUMIF(CPY!$B:$B,Summary!$B1653,CPY!$I:$I)</f>
        <v>0</v>
      </c>
    </row>
    <row r="1654" spans="1:6" x14ac:dyDescent="0.25">
      <c r="A1654" s="50">
        <f t="shared" si="25"/>
        <v>1652</v>
      </c>
      <c r="B1654" s="50">
        <v>6840</v>
      </c>
      <c r="C1654" s="50" t="s">
        <v>1679</v>
      </c>
      <c r="D1654" s="51" t="s">
        <v>78</v>
      </c>
      <c r="F1654" s="52">
        <f>SUMIF(CPY!$B:$B,Summary!$B1654,CPY!$I:$I)</f>
        <v>0</v>
      </c>
    </row>
    <row r="1655" spans="1:6" x14ac:dyDescent="0.25">
      <c r="A1655" s="50">
        <f t="shared" si="25"/>
        <v>1653</v>
      </c>
      <c r="B1655" s="50">
        <v>6841</v>
      </c>
      <c r="C1655" s="50" t="s">
        <v>1680</v>
      </c>
      <c r="D1655" s="51" t="s">
        <v>69</v>
      </c>
      <c r="F1655" s="52">
        <f>SUMIF(CPY!$B:$B,Summary!$B1655,CPY!$I:$I)</f>
        <v>0</v>
      </c>
    </row>
    <row r="1656" spans="1:6" x14ac:dyDescent="0.25">
      <c r="A1656" s="50">
        <f t="shared" si="25"/>
        <v>1654</v>
      </c>
      <c r="B1656" s="50">
        <v>6842</v>
      </c>
      <c r="C1656" s="50" t="s">
        <v>1681</v>
      </c>
      <c r="D1656" s="51" t="s">
        <v>69</v>
      </c>
      <c r="F1656" s="52">
        <f>SUMIF(CPY!$B:$B,Summary!$B1656,CPY!$I:$I)</f>
        <v>0</v>
      </c>
    </row>
    <row r="1657" spans="1:6" x14ac:dyDescent="0.25">
      <c r="A1657" s="50">
        <f t="shared" si="25"/>
        <v>1655</v>
      </c>
      <c r="B1657" s="50">
        <v>6843</v>
      </c>
      <c r="C1657" s="50" t="s">
        <v>1682</v>
      </c>
      <c r="D1657" s="51" t="s">
        <v>46</v>
      </c>
      <c r="F1657" s="52">
        <f>SUMIF(CPY!$B:$B,Summary!$B1657,CPY!$I:$I)</f>
        <v>0</v>
      </c>
    </row>
    <row r="1658" spans="1:6" x14ac:dyDescent="0.25">
      <c r="A1658" s="50">
        <f t="shared" si="25"/>
        <v>1656</v>
      </c>
      <c r="B1658" s="50">
        <v>6844</v>
      </c>
      <c r="C1658" s="50" t="s">
        <v>1683</v>
      </c>
      <c r="D1658" s="51" t="s">
        <v>69</v>
      </c>
      <c r="F1658" s="52">
        <f>SUMIF(CPY!$B:$B,Summary!$B1658,CPY!$I:$I)</f>
        <v>0</v>
      </c>
    </row>
    <row r="1659" spans="1:6" x14ac:dyDescent="0.25">
      <c r="A1659" s="50">
        <f t="shared" si="25"/>
        <v>1657</v>
      </c>
      <c r="B1659" s="50">
        <v>6845</v>
      </c>
      <c r="C1659" s="50" t="s">
        <v>1684</v>
      </c>
      <c r="D1659" s="51" t="s">
        <v>841</v>
      </c>
      <c r="F1659" s="52">
        <f>SUMIF(CPY!$B:$B,Summary!$B1659,CPY!$I:$I)</f>
        <v>0</v>
      </c>
    </row>
    <row r="1660" spans="1:6" x14ac:dyDescent="0.25">
      <c r="A1660" s="50">
        <f t="shared" si="25"/>
        <v>1658</v>
      </c>
      <c r="B1660" s="50">
        <v>6846</v>
      </c>
      <c r="C1660" s="50" t="s">
        <v>1685</v>
      </c>
      <c r="D1660" s="51" t="s">
        <v>85</v>
      </c>
      <c r="F1660" s="52">
        <f>SUMIF(CPY!$B:$B,Summary!$B1660,CPY!$I:$I)</f>
        <v>0</v>
      </c>
    </row>
    <row r="1661" spans="1:6" x14ac:dyDescent="0.25">
      <c r="A1661" s="50">
        <f t="shared" si="25"/>
        <v>1659</v>
      </c>
      <c r="B1661" s="50">
        <v>6847</v>
      </c>
      <c r="C1661" s="50" t="s">
        <v>1686</v>
      </c>
      <c r="D1661" s="51" t="s">
        <v>85</v>
      </c>
      <c r="F1661" s="52">
        <f>SUMIF(CPY!$B:$B,Summary!$B1661,CPY!$I:$I)</f>
        <v>0</v>
      </c>
    </row>
    <row r="1662" spans="1:6" x14ac:dyDescent="0.25">
      <c r="A1662" s="50">
        <f t="shared" si="25"/>
        <v>1660</v>
      </c>
      <c r="B1662" s="50">
        <v>6849</v>
      </c>
      <c r="C1662" s="50" t="s">
        <v>1687</v>
      </c>
      <c r="D1662" s="51" t="s">
        <v>69</v>
      </c>
      <c r="F1662" s="52">
        <f>SUMIF(CPY!$B:$B,Summary!$B1662,CPY!$I:$I)</f>
        <v>0</v>
      </c>
    </row>
    <row r="1663" spans="1:6" x14ac:dyDescent="0.25">
      <c r="A1663" s="50">
        <f t="shared" si="25"/>
        <v>1661</v>
      </c>
      <c r="B1663" s="50">
        <v>6850</v>
      </c>
      <c r="C1663" s="50" t="s">
        <v>1688</v>
      </c>
      <c r="D1663" s="51" t="s">
        <v>69</v>
      </c>
      <c r="F1663" s="52">
        <f>SUMIF(CPY!$B:$B,Summary!$B1663,CPY!$I:$I)</f>
        <v>0</v>
      </c>
    </row>
    <row r="1664" spans="1:6" x14ac:dyDescent="0.25">
      <c r="A1664" s="50">
        <f t="shared" si="25"/>
        <v>1662</v>
      </c>
      <c r="B1664" s="50">
        <v>6851</v>
      </c>
      <c r="C1664" s="50" t="s">
        <v>1689</v>
      </c>
      <c r="D1664" s="51" t="s">
        <v>85</v>
      </c>
      <c r="F1664" s="52">
        <f>SUMIF(CPY!$B:$B,Summary!$B1664,CPY!$I:$I)</f>
        <v>0</v>
      </c>
    </row>
    <row r="1665" spans="1:6" x14ac:dyDescent="0.25">
      <c r="A1665" s="50">
        <f t="shared" si="25"/>
        <v>1663</v>
      </c>
      <c r="B1665" s="50">
        <v>6852</v>
      </c>
      <c r="C1665" s="50" t="s">
        <v>1690</v>
      </c>
      <c r="D1665" s="51" t="s">
        <v>841</v>
      </c>
      <c r="F1665" s="52">
        <f>SUMIF(CPY!$B:$B,Summary!$B1665,CPY!$I:$I)</f>
        <v>0</v>
      </c>
    </row>
    <row r="1666" spans="1:6" x14ac:dyDescent="0.25">
      <c r="A1666" s="50">
        <f t="shared" si="25"/>
        <v>1664</v>
      </c>
      <c r="B1666" s="50">
        <v>6853</v>
      </c>
      <c r="C1666" s="50" t="s">
        <v>1691</v>
      </c>
      <c r="D1666" s="51" t="s">
        <v>69</v>
      </c>
      <c r="F1666" s="52">
        <f>SUMIF(CPY!$B:$B,Summary!$B1666,CPY!$I:$I)</f>
        <v>0</v>
      </c>
    </row>
    <row r="1667" spans="1:6" x14ac:dyDescent="0.25">
      <c r="A1667" s="50">
        <f t="shared" si="25"/>
        <v>1665</v>
      </c>
      <c r="B1667" s="50">
        <v>6854</v>
      </c>
      <c r="C1667" s="50" t="s">
        <v>1692</v>
      </c>
      <c r="D1667" s="51" t="s">
        <v>69</v>
      </c>
      <c r="F1667" s="52">
        <f>SUMIF(CPY!$B:$B,Summary!$B1667,CPY!$I:$I)</f>
        <v>0</v>
      </c>
    </row>
    <row r="1668" spans="1:6" x14ac:dyDescent="0.25">
      <c r="A1668" s="50">
        <f t="shared" si="25"/>
        <v>1666</v>
      </c>
      <c r="B1668" s="50">
        <v>6855</v>
      </c>
      <c r="C1668" s="50" t="s">
        <v>1693</v>
      </c>
      <c r="D1668" s="51" t="s">
        <v>69</v>
      </c>
      <c r="F1668" s="52">
        <f>SUMIF(CPY!$B:$B,Summary!$B1668,CPY!$I:$I)</f>
        <v>0</v>
      </c>
    </row>
    <row r="1669" spans="1:6" x14ac:dyDescent="0.25">
      <c r="A1669" s="50">
        <f t="shared" ref="A1669:A1732" si="26">+A1668+1</f>
        <v>1667</v>
      </c>
      <c r="B1669" s="50">
        <v>6856</v>
      </c>
      <c r="C1669" s="50" t="s">
        <v>1694</v>
      </c>
      <c r="D1669" s="51" t="s">
        <v>69</v>
      </c>
      <c r="F1669" s="52">
        <f>SUMIF(CPY!$B:$B,Summary!$B1669,CPY!$I:$I)</f>
        <v>0</v>
      </c>
    </row>
    <row r="1670" spans="1:6" x14ac:dyDescent="0.25">
      <c r="A1670" s="50">
        <f t="shared" si="26"/>
        <v>1668</v>
      </c>
      <c r="B1670" s="50">
        <v>6857</v>
      </c>
      <c r="C1670" s="50" t="s">
        <v>1695</v>
      </c>
      <c r="D1670" s="51" t="s">
        <v>841</v>
      </c>
      <c r="F1670" s="52">
        <f>SUMIF(CPY!$B:$B,Summary!$B1670,CPY!$I:$I)</f>
        <v>0</v>
      </c>
    </row>
    <row r="1671" spans="1:6" x14ac:dyDescent="0.25">
      <c r="A1671" s="50">
        <f t="shared" si="26"/>
        <v>1669</v>
      </c>
      <c r="B1671" s="50">
        <v>6859</v>
      </c>
      <c r="C1671" s="50" t="s">
        <v>1696</v>
      </c>
      <c r="D1671" s="51" t="s">
        <v>51</v>
      </c>
      <c r="F1671" s="52">
        <f>SUMIF(CPY!$B:$B,Summary!$B1671,CPY!$I:$I)</f>
        <v>0</v>
      </c>
    </row>
    <row r="1672" spans="1:6" x14ac:dyDescent="0.25">
      <c r="A1672" s="50">
        <f t="shared" si="26"/>
        <v>1670</v>
      </c>
      <c r="B1672" s="50">
        <v>6861</v>
      </c>
      <c r="C1672" s="50" t="s">
        <v>1697</v>
      </c>
      <c r="D1672" s="51" t="s">
        <v>69</v>
      </c>
      <c r="F1672" s="52">
        <f>SUMIF(CPY!$B:$B,Summary!$B1672,CPY!$I:$I)</f>
        <v>0</v>
      </c>
    </row>
    <row r="1673" spans="1:6" x14ac:dyDescent="0.25">
      <c r="A1673" s="50">
        <f t="shared" si="26"/>
        <v>1671</v>
      </c>
      <c r="B1673" s="50">
        <v>6862</v>
      </c>
      <c r="C1673" s="50" t="s">
        <v>1698</v>
      </c>
      <c r="D1673" s="51" t="s">
        <v>69</v>
      </c>
      <c r="F1673" s="52">
        <f>SUMIF(CPY!$B:$B,Summary!$B1673,CPY!$I:$I)</f>
        <v>0</v>
      </c>
    </row>
    <row r="1674" spans="1:6" x14ac:dyDescent="0.25">
      <c r="A1674" s="50">
        <f t="shared" si="26"/>
        <v>1672</v>
      </c>
      <c r="B1674" s="50">
        <v>6863</v>
      </c>
      <c r="C1674" s="50" t="s">
        <v>1699</v>
      </c>
      <c r="D1674" s="51" t="s">
        <v>69</v>
      </c>
      <c r="F1674" s="52">
        <f>SUMIF(CPY!$B:$B,Summary!$B1674,CPY!$I:$I)</f>
        <v>0</v>
      </c>
    </row>
    <row r="1675" spans="1:6" x14ac:dyDescent="0.25">
      <c r="A1675" s="50">
        <f t="shared" si="26"/>
        <v>1673</v>
      </c>
      <c r="B1675" s="50">
        <v>6864</v>
      </c>
      <c r="C1675" s="50" t="s">
        <v>1700</v>
      </c>
      <c r="D1675" s="51" t="s">
        <v>35</v>
      </c>
      <c r="F1675" s="52">
        <f>SUMIF(CPY!$B:$B,Summary!$B1675,CPY!$I:$I)</f>
        <v>0</v>
      </c>
    </row>
    <row r="1676" spans="1:6" x14ac:dyDescent="0.25">
      <c r="A1676" s="50">
        <f t="shared" si="26"/>
        <v>1674</v>
      </c>
      <c r="B1676" s="50">
        <v>6865</v>
      </c>
      <c r="C1676" s="50" t="s">
        <v>1701</v>
      </c>
      <c r="D1676" s="51" t="s">
        <v>46</v>
      </c>
      <c r="F1676" s="52">
        <f>SUMIF(CPY!$B:$B,Summary!$B1676,CPY!$I:$I)</f>
        <v>0</v>
      </c>
    </row>
    <row r="1677" spans="1:6" x14ac:dyDescent="0.25">
      <c r="A1677" s="50">
        <f t="shared" si="26"/>
        <v>1675</v>
      </c>
      <c r="B1677" s="50">
        <v>6866</v>
      </c>
      <c r="C1677" s="50" t="s">
        <v>1702</v>
      </c>
      <c r="D1677" s="51" t="s">
        <v>78</v>
      </c>
      <c r="F1677" s="52">
        <f>SUMIF(CPY!$B:$B,Summary!$B1677,CPY!$I:$I)</f>
        <v>0</v>
      </c>
    </row>
    <row r="1678" spans="1:6" x14ac:dyDescent="0.25">
      <c r="A1678" s="50">
        <f t="shared" si="26"/>
        <v>1676</v>
      </c>
      <c r="B1678" s="50">
        <v>6867</v>
      </c>
      <c r="C1678" s="50" t="s">
        <v>1703</v>
      </c>
      <c r="D1678" s="51" t="s">
        <v>78</v>
      </c>
      <c r="F1678" s="52">
        <f>SUMIF(CPY!$B:$B,Summary!$B1678,CPY!$I:$I)</f>
        <v>0</v>
      </c>
    </row>
    <row r="1679" spans="1:6" x14ac:dyDescent="0.25">
      <c r="A1679" s="50">
        <f t="shared" si="26"/>
        <v>1677</v>
      </c>
      <c r="B1679" s="50">
        <v>6868</v>
      </c>
      <c r="C1679" s="50" t="s">
        <v>1704</v>
      </c>
      <c r="D1679" s="51" t="s">
        <v>69</v>
      </c>
      <c r="F1679" s="52">
        <f>SUMIF(CPY!$B:$B,Summary!$B1679,CPY!$I:$I)</f>
        <v>0</v>
      </c>
    </row>
    <row r="1680" spans="1:6" x14ac:dyDescent="0.25">
      <c r="A1680" s="50">
        <f t="shared" si="26"/>
        <v>1678</v>
      </c>
      <c r="B1680" s="50">
        <v>6869</v>
      </c>
      <c r="C1680" s="50" t="s">
        <v>1705</v>
      </c>
      <c r="D1680" s="51" t="s">
        <v>69</v>
      </c>
      <c r="F1680" s="52">
        <f>SUMIF(CPY!$B:$B,Summary!$B1680,CPY!$I:$I)</f>
        <v>0</v>
      </c>
    </row>
    <row r="1681" spans="1:6" x14ac:dyDescent="0.25">
      <c r="A1681" s="50">
        <f t="shared" si="26"/>
        <v>1679</v>
      </c>
      <c r="B1681" s="50">
        <v>6870</v>
      </c>
      <c r="C1681" s="50" t="s">
        <v>1706</v>
      </c>
      <c r="D1681" s="51" t="s">
        <v>85</v>
      </c>
      <c r="F1681" s="52">
        <f>SUMIF(CPY!$B:$B,Summary!$B1681,CPY!$I:$I)</f>
        <v>0</v>
      </c>
    </row>
    <row r="1682" spans="1:6" x14ac:dyDescent="0.25">
      <c r="A1682" s="50">
        <f t="shared" si="26"/>
        <v>1680</v>
      </c>
      <c r="B1682" s="50">
        <v>6871</v>
      </c>
      <c r="C1682" s="50" t="s">
        <v>1707</v>
      </c>
      <c r="D1682" s="51" t="s">
        <v>85</v>
      </c>
      <c r="F1682" s="52">
        <f>SUMIF(CPY!$B:$B,Summary!$B1682,CPY!$I:$I)</f>
        <v>0</v>
      </c>
    </row>
    <row r="1683" spans="1:6" x14ac:dyDescent="0.25">
      <c r="A1683" s="50">
        <f t="shared" si="26"/>
        <v>1681</v>
      </c>
      <c r="B1683" s="50">
        <v>6872</v>
      </c>
      <c r="C1683" s="50" t="s">
        <v>1708</v>
      </c>
      <c r="D1683" s="51" t="s">
        <v>78</v>
      </c>
      <c r="F1683" s="52">
        <f>SUMIF(CPY!$B:$B,Summary!$B1683,CPY!$I:$I)</f>
        <v>0</v>
      </c>
    </row>
    <row r="1684" spans="1:6" x14ac:dyDescent="0.25">
      <c r="A1684" s="50">
        <f t="shared" si="26"/>
        <v>1682</v>
      </c>
      <c r="B1684" s="50">
        <v>6873</v>
      </c>
      <c r="C1684" s="50" t="s">
        <v>1709</v>
      </c>
      <c r="D1684" s="51" t="s">
        <v>69</v>
      </c>
      <c r="F1684" s="52">
        <f>SUMIF(CPY!$B:$B,Summary!$B1684,CPY!$I:$I)</f>
        <v>0</v>
      </c>
    </row>
    <row r="1685" spans="1:6" x14ac:dyDescent="0.25">
      <c r="A1685" s="50">
        <f t="shared" si="26"/>
        <v>1683</v>
      </c>
      <c r="B1685" s="50">
        <v>6874</v>
      </c>
      <c r="C1685" s="50" t="s">
        <v>1710</v>
      </c>
      <c r="D1685" s="51" t="s">
        <v>841</v>
      </c>
      <c r="F1685" s="52">
        <f>SUMIF(CPY!$B:$B,Summary!$B1685,CPY!$I:$I)</f>
        <v>0</v>
      </c>
    </row>
    <row r="1686" spans="1:6" x14ac:dyDescent="0.25">
      <c r="A1686" s="50">
        <f t="shared" si="26"/>
        <v>1684</v>
      </c>
      <c r="B1686" s="50">
        <v>6875</v>
      </c>
      <c r="C1686" s="50" t="s">
        <v>1711</v>
      </c>
      <c r="D1686" s="51" t="s">
        <v>841</v>
      </c>
      <c r="F1686" s="52">
        <f>SUMIF(CPY!$B:$B,Summary!$B1686,CPY!$I:$I)</f>
        <v>0</v>
      </c>
    </row>
    <row r="1687" spans="1:6" x14ac:dyDescent="0.25">
      <c r="A1687" s="50">
        <f t="shared" si="26"/>
        <v>1685</v>
      </c>
      <c r="B1687" s="50">
        <v>6878</v>
      </c>
      <c r="C1687" s="50" t="s">
        <v>1712</v>
      </c>
      <c r="D1687" s="51" t="s">
        <v>841</v>
      </c>
      <c r="F1687" s="52">
        <f>SUMIF(CPY!$B:$B,Summary!$B1687,CPY!$I:$I)</f>
        <v>0</v>
      </c>
    </row>
    <row r="1688" spans="1:6" x14ac:dyDescent="0.25">
      <c r="A1688" s="50">
        <f t="shared" si="26"/>
        <v>1686</v>
      </c>
      <c r="B1688" s="50">
        <v>6879</v>
      </c>
      <c r="C1688" s="50" t="s">
        <v>1713</v>
      </c>
      <c r="D1688" s="51" t="s">
        <v>841</v>
      </c>
      <c r="F1688" s="52">
        <f>SUMIF(CPY!$B:$B,Summary!$B1688,CPY!$I:$I)</f>
        <v>0</v>
      </c>
    </row>
    <row r="1689" spans="1:6" x14ac:dyDescent="0.25">
      <c r="A1689" s="50">
        <f t="shared" si="26"/>
        <v>1687</v>
      </c>
      <c r="B1689" s="50">
        <v>6882</v>
      </c>
      <c r="C1689" s="50" t="s">
        <v>1714</v>
      </c>
      <c r="D1689" s="51" t="s">
        <v>841</v>
      </c>
      <c r="F1689" s="52">
        <f>SUMIF(CPY!$B:$B,Summary!$B1689,CPY!$I:$I)</f>
        <v>0</v>
      </c>
    </row>
    <row r="1690" spans="1:6" x14ac:dyDescent="0.25">
      <c r="A1690" s="50">
        <f t="shared" si="26"/>
        <v>1688</v>
      </c>
      <c r="B1690" s="50">
        <v>6883</v>
      </c>
      <c r="C1690" s="50" t="s">
        <v>1715</v>
      </c>
      <c r="D1690" s="51" t="s">
        <v>841</v>
      </c>
      <c r="F1690" s="52">
        <f>SUMIF(CPY!$B:$B,Summary!$B1690,CPY!$I:$I)</f>
        <v>0</v>
      </c>
    </row>
    <row r="1691" spans="1:6" x14ac:dyDescent="0.25">
      <c r="A1691" s="50">
        <f t="shared" si="26"/>
        <v>1689</v>
      </c>
      <c r="B1691" s="50">
        <v>6886</v>
      </c>
      <c r="C1691" s="50" t="s">
        <v>1716</v>
      </c>
      <c r="D1691" s="51" t="s">
        <v>841</v>
      </c>
      <c r="F1691" s="52">
        <f>SUMIF(CPY!$B:$B,Summary!$B1691,CPY!$I:$I)</f>
        <v>0</v>
      </c>
    </row>
    <row r="1692" spans="1:6" x14ac:dyDescent="0.25">
      <c r="A1692" s="50">
        <f t="shared" si="26"/>
        <v>1690</v>
      </c>
      <c r="B1692" s="50">
        <v>6888</v>
      </c>
      <c r="C1692" s="50" t="s">
        <v>1717</v>
      </c>
      <c r="D1692" s="51" t="s">
        <v>841</v>
      </c>
      <c r="F1692" s="52">
        <f>SUMIF(CPY!$B:$B,Summary!$B1692,CPY!$I:$I)</f>
        <v>0</v>
      </c>
    </row>
    <row r="1693" spans="1:6" x14ac:dyDescent="0.25">
      <c r="A1693" s="50">
        <f t="shared" si="26"/>
        <v>1691</v>
      </c>
      <c r="B1693" s="50">
        <v>6890</v>
      </c>
      <c r="C1693" s="50" t="s">
        <v>1718</v>
      </c>
      <c r="D1693" s="51" t="s">
        <v>841</v>
      </c>
      <c r="F1693" s="52">
        <f>SUMIF(CPY!$B:$B,Summary!$B1693,CPY!$I:$I)</f>
        <v>0</v>
      </c>
    </row>
    <row r="1694" spans="1:6" x14ac:dyDescent="0.25">
      <c r="A1694" s="50">
        <f t="shared" si="26"/>
        <v>1692</v>
      </c>
      <c r="B1694" s="50">
        <v>6891</v>
      </c>
      <c r="C1694" s="50" t="s">
        <v>1719</v>
      </c>
      <c r="D1694" s="51" t="s">
        <v>841</v>
      </c>
      <c r="F1694" s="52">
        <f>SUMIF(CPY!$B:$B,Summary!$B1694,CPY!$I:$I)</f>
        <v>0</v>
      </c>
    </row>
    <row r="1695" spans="1:6" x14ac:dyDescent="0.25">
      <c r="A1695" s="50">
        <f t="shared" si="26"/>
        <v>1693</v>
      </c>
      <c r="B1695" s="50">
        <v>6893</v>
      </c>
      <c r="C1695" s="50" t="s">
        <v>1720</v>
      </c>
      <c r="D1695" s="51" t="s">
        <v>841</v>
      </c>
      <c r="F1695" s="52">
        <f>SUMIF(CPY!$B:$B,Summary!$B1695,CPY!$I:$I)</f>
        <v>0</v>
      </c>
    </row>
    <row r="1696" spans="1:6" x14ac:dyDescent="0.25">
      <c r="A1696" s="50">
        <f t="shared" si="26"/>
        <v>1694</v>
      </c>
      <c r="B1696" s="50">
        <v>6894</v>
      </c>
      <c r="C1696" s="50" t="s">
        <v>1721</v>
      </c>
      <c r="D1696" s="51" t="s">
        <v>841</v>
      </c>
      <c r="F1696" s="52">
        <f>SUMIF(CPY!$B:$B,Summary!$B1696,CPY!$I:$I)</f>
        <v>0</v>
      </c>
    </row>
    <row r="1697" spans="1:6" x14ac:dyDescent="0.25">
      <c r="A1697" s="50">
        <f t="shared" si="26"/>
        <v>1695</v>
      </c>
      <c r="B1697" s="50">
        <v>6895</v>
      </c>
      <c r="C1697" s="50" t="s">
        <v>1722</v>
      </c>
      <c r="D1697" s="51" t="s">
        <v>841</v>
      </c>
      <c r="F1697" s="52">
        <f>SUMIF(CPY!$B:$B,Summary!$B1697,CPY!$I:$I)</f>
        <v>0</v>
      </c>
    </row>
    <row r="1698" spans="1:6" x14ac:dyDescent="0.25">
      <c r="A1698" s="50">
        <f t="shared" si="26"/>
        <v>1696</v>
      </c>
      <c r="B1698" s="50">
        <v>6897</v>
      </c>
      <c r="C1698" s="50" t="s">
        <v>1723</v>
      </c>
      <c r="D1698" s="51" t="s">
        <v>841</v>
      </c>
      <c r="F1698" s="52">
        <f>SUMIF(CPY!$B:$B,Summary!$B1698,CPY!$I:$I)</f>
        <v>0</v>
      </c>
    </row>
    <row r="1699" spans="1:6" x14ac:dyDescent="0.25">
      <c r="A1699" s="50">
        <f t="shared" si="26"/>
        <v>1697</v>
      </c>
      <c r="B1699" s="50">
        <v>6901</v>
      </c>
      <c r="C1699" s="50" t="s">
        <v>1724</v>
      </c>
      <c r="D1699" s="51" t="s">
        <v>841</v>
      </c>
      <c r="F1699" s="52">
        <f>SUMIF(CPY!$B:$B,Summary!$B1699,CPY!$I:$I)</f>
        <v>0</v>
      </c>
    </row>
    <row r="1700" spans="1:6" x14ac:dyDescent="0.25">
      <c r="A1700" s="50">
        <f t="shared" si="26"/>
        <v>1698</v>
      </c>
      <c r="B1700" s="50">
        <v>6903</v>
      </c>
      <c r="C1700" s="50" t="s">
        <v>1725</v>
      </c>
      <c r="D1700" s="51" t="s">
        <v>841</v>
      </c>
      <c r="F1700" s="52">
        <f>SUMIF(CPY!$B:$B,Summary!$B1700,CPY!$I:$I)</f>
        <v>0</v>
      </c>
    </row>
    <row r="1701" spans="1:6" x14ac:dyDescent="0.25">
      <c r="A1701" s="50">
        <f t="shared" si="26"/>
        <v>1699</v>
      </c>
      <c r="B1701" s="50">
        <v>6905</v>
      </c>
      <c r="C1701" s="50" t="s">
        <v>1726</v>
      </c>
      <c r="D1701" s="51" t="s">
        <v>841</v>
      </c>
      <c r="F1701" s="52">
        <f>SUMIF(CPY!$B:$B,Summary!$B1701,CPY!$I:$I)</f>
        <v>0</v>
      </c>
    </row>
    <row r="1702" spans="1:6" x14ac:dyDescent="0.25">
      <c r="A1702" s="50">
        <f t="shared" si="26"/>
        <v>1700</v>
      </c>
      <c r="B1702" s="50">
        <v>6909</v>
      </c>
      <c r="C1702" s="50" t="s">
        <v>1727</v>
      </c>
      <c r="D1702" s="51" t="s">
        <v>841</v>
      </c>
      <c r="F1702" s="52">
        <f>SUMIF(CPY!$B:$B,Summary!$B1702,CPY!$I:$I)</f>
        <v>0</v>
      </c>
    </row>
    <row r="1703" spans="1:6" x14ac:dyDescent="0.25">
      <c r="A1703" s="50">
        <f t="shared" si="26"/>
        <v>1701</v>
      </c>
      <c r="B1703" s="50">
        <v>6910</v>
      </c>
      <c r="C1703" s="50" t="s">
        <v>1728</v>
      </c>
      <c r="D1703" s="51" t="s">
        <v>841</v>
      </c>
      <c r="F1703" s="52">
        <f>SUMIF(CPY!$B:$B,Summary!$B1703,CPY!$I:$I)</f>
        <v>0</v>
      </c>
    </row>
    <row r="1704" spans="1:6" x14ac:dyDescent="0.25">
      <c r="A1704" s="50">
        <f t="shared" si="26"/>
        <v>1702</v>
      </c>
      <c r="B1704" s="50">
        <v>6911</v>
      </c>
      <c r="C1704" s="50" t="s">
        <v>1729</v>
      </c>
      <c r="D1704" s="51" t="s">
        <v>841</v>
      </c>
      <c r="F1704" s="52">
        <f>SUMIF(CPY!$B:$B,Summary!$B1704,CPY!$I:$I)</f>
        <v>0</v>
      </c>
    </row>
    <row r="1705" spans="1:6" x14ac:dyDescent="0.25">
      <c r="A1705" s="50">
        <f t="shared" si="26"/>
        <v>1703</v>
      </c>
      <c r="B1705" s="50">
        <v>6912</v>
      </c>
      <c r="C1705" s="50" t="s">
        <v>1730</v>
      </c>
      <c r="D1705" s="51" t="s">
        <v>841</v>
      </c>
      <c r="F1705" s="52">
        <f>SUMIF(CPY!$B:$B,Summary!$B1705,CPY!$I:$I)</f>
        <v>0</v>
      </c>
    </row>
    <row r="1706" spans="1:6" x14ac:dyDescent="0.25">
      <c r="A1706" s="50">
        <f t="shared" si="26"/>
        <v>1704</v>
      </c>
      <c r="B1706" s="50">
        <v>6913</v>
      </c>
      <c r="C1706" s="50" t="s">
        <v>1731</v>
      </c>
      <c r="D1706" s="51" t="s">
        <v>841</v>
      </c>
      <c r="F1706" s="52">
        <f>SUMIF(CPY!$B:$B,Summary!$B1706,CPY!$I:$I)</f>
        <v>0</v>
      </c>
    </row>
    <row r="1707" spans="1:6" x14ac:dyDescent="0.25">
      <c r="A1707" s="50">
        <f t="shared" si="26"/>
        <v>1705</v>
      </c>
      <c r="B1707" s="50">
        <v>6914</v>
      </c>
      <c r="C1707" s="50" t="s">
        <v>1732</v>
      </c>
      <c r="D1707" s="51" t="s">
        <v>841</v>
      </c>
      <c r="F1707" s="52">
        <f>SUMIF(CPY!$B:$B,Summary!$B1707,CPY!$I:$I)</f>
        <v>0</v>
      </c>
    </row>
    <row r="1708" spans="1:6" x14ac:dyDescent="0.25">
      <c r="A1708" s="50">
        <f t="shared" si="26"/>
        <v>1706</v>
      </c>
      <c r="B1708" s="50">
        <v>6915</v>
      </c>
      <c r="C1708" s="50" t="s">
        <v>1733</v>
      </c>
      <c r="D1708" s="51" t="s">
        <v>841</v>
      </c>
      <c r="F1708" s="52">
        <f>SUMIF(CPY!$B:$B,Summary!$B1708,CPY!$I:$I)</f>
        <v>0</v>
      </c>
    </row>
    <row r="1709" spans="1:6" x14ac:dyDescent="0.25">
      <c r="A1709" s="50">
        <f t="shared" si="26"/>
        <v>1707</v>
      </c>
      <c r="B1709" s="50">
        <v>6916</v>
      </c>
      <c r="C1709" s="50" t="s">
        <v>1734</v>
      </c>
      <c r="D1709" s="51" t="s">
        <v>841</v>
      </c>
      <c r="F1709" s="52">
        <f>SUMIF(CPY!$B:$B,Summary!$B1709,CPY!$I:$I)</f>
        <v>0</v>
      </c>
    </row>
    <row r="1710" spans="1:6" x14ac:dyDescent="0.25">
      <c r="A1710" s="50">
        <f t="shared" si="26"/>
        <v>1708</v>
      </c>
      <c r="B1710" s="50">
        <v>6917</v>
      </c>
      <c r="C1710" s="50" t="s">
        <v>1735</v>
      </c>
      <c r="D1710" s="51" t="s">
        <v>841</v>
      </c>
      <c r="F1710" s="52">
        <f>SUMIF(CPY!$B:$B,Summary!$B1710,CPY!$I:$I)</f>
        <v>0</v>
      </c>
    </row>
    <row r="1711" spans="1:6" x14ac:dyDescent="0.25">
      <c r="A1711" s="50">
        <f t="shared" si="26"/>
        <v>1709</v>
      </c>
      <c r="B1711" s="50">
        <v>6918</v>
      </c>
      <c r="C1711" s="50" t="s">
        <v>1736</v>
      </c>
      <c r="D1711" s="51" t="s">
        <v>841</v>
      </c>
      <c r="F1711" s="52">
        <f>SUMIF(CPY!$B:$B,Summary!$B1711,CPY!$I:$I)</f>
        <v>0</v>
      </c>
    </row>
    <row r="1712" spans="1:6" x14ac:dyDescent="0.25">
      <c r="A1712" s="50">
        <f t="shared" si="26"/>
        <v>1710</v>
      </c>
      <c r="B1712" s="50">
        <v>6919</v>
      </c>
      <c r="C1712" s="50" t="s">
        <v>1737</v>
      </c>
      <c r="D1712" s="51" t="s">
        <v>841</v>
      </c>
      <c r="F1712" s="52">
        <f>SUMIF(CPY!$B:$B,Summary!$B1712,CPY!$I:$I)</f>
        <v>0</v>
      </c>
    </row>
    <row r="1713" spans="1:6" x14ac:dyDescent="0.25">
      <c r="A1713" s="50">
        <f t="shared" si="26"/>
        <v>1711</v>
      </c>
      <c r="B1713" s="50">
        <v>6920</v>
      </c>
      <c r="C1713" s="50" t="s">
        <v>1738</v>
      </c>
      <c r="D1713" s="51" t="s">
        <v>841</v>
      </c>
      <c r="F1713" s="52">
        <f>SUMIF(CPY!$B:$B,Summary!$B1713,CPY!$I:$I)</f>
        <v>0</v>
      </c>
    </row>
    <row r="1714" spans="1:6" x14ac:dyDescent="0.25">
      <c r="A1714" s="50">
        <f t="shared" si="26"/>
        <v>1712</v>
      </c>
      <c r="B1714" s="50">
        <v>6921</v>
      </c>
      <c r="C1714" s="50" t="s">
        <v>1739</v>
      </c>
      <c r="D1714" s="51" t="s">
        <v>841</v>
      </c>
      <c r="F1714" s="52">
        <f>SUMIF(CPY!$B:$B,Summary!$B1714,CPY!$I:$I)</f>
        <v>0</v>
      </c>
    </row>
    <row r="1715" spans="1:6" x14ac:dyDescent="0.25">
      <c r="A1715" s="50">
        <f t="shared" si="26"/>
        <v>1713</v>
      </c>
      <c r="B1715" s="50">
        <v>6923</v>
      </c>
      <c r="C1715" s="50" t="s">
        <v>1740</v>
      </c>
      <c r="D1715" s="51" t="s">
        <v>69</v>
      </c>
      <c r="F1715" s="52">
        <f>SUMIF(CPY!$B:$B,Summary!$B1715,CPY!$I:$I)</f>
        <v>0</v>
      </c>
    </row>
    <row r="1716" spans="1:6" x14ac:dyDescent="0.25">
      <c r="A1716" s="50">
        <f t="shared" si="26"/>
        <v>1714</v>
      </c>
      <c r="B1716" s="50">
        <v>6924</v>
      </c>
      <c r="C1716" s="50" t="s">
        <v>1741</v>
      </c>
      <c r="D1716" s="51" t="s">
        <v>69</v>
      </c>
      <c r="F1716" s="52">
        <f>SUMIF(CPY!$B:$B,Summary!$B1716,CPY!$I:$I)</f>
        <v>0</v>
      </c>
    </row>
    <row r="1717" spans="1:6" x14ac:dyDescent="0.25">
      <c r="A1717" s="50">
        <f t="shared" si="26"/>
        <v>1715</v>
      </c>
      <c r="B1717" s="50">
        <v>6925</v>
      </c>
      <c r="C1717" s="50" t="s">
        <v>1742</v>
      </c>
      <c r="D1717" s="51" t="s">
        <v>85</v>
      </c>
      <c r="F1717" s="52">
        <f>SUMIF(CPY!$B:$B,Summary!$B1717,CPY!$I:$I)</f>
        <v>0</v>
      </c>
    </row>
    <row r="1718" spans="1:6" x14ac:dyDescent="0.25">
      <c r="A1718" s="50">
        <f t="shared" si="26"/>
        <v>1716</v>
      </c>
      <c r="B1718" s="50">
        <v>6926</v>
      </c>
      <c r="C1718" s="50" t="s">
        <v>1743</v>
      </c>
      <c r="D1718" s="51" t="s">
        <v>841</v>
      </c>
      <c r="F1718" s="52">
        <f>SUMIF(CPY!$B:$B,Summary!$B1718,CPY!$I:$I)</f>
        <v>0</v>
      </c>
    </row>
    <row r="1719" spans="1:6" x14ac:dyDescent="0.25">
      <c r="A1719" s="50">
        <f t="shared" si="26"/>
        <v>1717</v>
      </c>
      <c r="B1719" s="50">
        <v>6927</v>
      </c>
      <c r="C1719" s="50" t="s">
        <v>1744</v>
      </c>
      <c r="D1719" s="51" t="s">
        <v>841</v>
      </c>
      <c r="F1719" s="52">
        <f>SUMIF(CPY!$B:$B,Summary!$B1719,CPY!$I:$I)</f>
        <v>0</v>
      </c>
    </row>
    <row r="1720" spans="1:6" x14ac:dyDescent="0.25">
      <c r="A1720" s="50">
        <f t="shared" si="26"/>
        <v>1718</v>
      </c>
      <c r="B1720" s="50">
        <v>6928</v>
      </c>
      <c r="C1720" s="50" t="s">
        <v>1745</v>
      </c>
      <c r="D1720" s="51" t="s">
        <v>46</v>
      </c>
      <c r="F1720" s="52">
        <f>SUMIF(CPY!$B:$B,Summary!$B1720,CPY!$I:$I)</f>
        <v>0</v>
      </c>
    </row>
    <row r="1721" spans="1:6" x14ac:dyDescent="0.25">
      <c r="A1721" s="50">
        <f t="shared" si="26"/>
        <v>1719</v>
      </c>
      <c r="B1721" s="50">
        <v>6929</v>
      </c>
      <c r="C1721" s="50" t="s">
        <v>1746</v>
      </c>
      <c r="D1721" s="51" t="s">
        <v>85</v>
      </c>
      <c r="F1721" s="52">
        <f>SUMIF(CPY!$B:$B,Summary!$B1721,CPY!$I:$I)</f>
        <v>0</v>
      </c>
    </row>
    <row r="1722" spans="1:6" x14ac:dyDescent="0.25">
      <c r="A1722" s="50">
        <f t="shared" si="26"/>
        <v>1720</v>
      </c>
      <c r="B1722" s="50">
        <v>6930</v>
      </c>
      <c r="C1722" s="50" t="s">
        <v>1747</v>
      </c>
      <c r="D1722" s="51" t="s">
        <v>78</v>
      </c>
      <c r="F1722" s="52">
        <f>SUMIF(CPY!$B:$B,Summary!$B1722,CPY!$I:$I)</f>
        <v>0</v>
      </c>
    </row>
    <row r="1723" spans="1:6" x14ac:dyDescent="0.25">
      <c r="A1723" s="50">
        <f t="shared" si="26"/>
        <v>1721</v>
      </c>
      <c r="B1723" s="50">
        <v>6931</v>
      </c>
      <c r="C1723" s="50" t="s">
        <v>1748</v>
      </c>
      <c r="D1723" s="51" t="s">
        <v>841</v>
      </c>
      <c r="F1723" s="52">
        <f>SUMIF(CPY!$B:$B,Summary!$B1723,CPY!$I:$I)</f>
        <v>0</v>
      </c>
    </row>
    <row r="1724" spans="1:6" x14ac:dyDescent="0.25">
      <c r="A1724" s="50">
        <f t="shared" si="26"/>
        <v>1722</v>
      </c>
      <c r="B1724" s="50">
        <v>6932</v>
      </c>
      <c r="C1724" s="50" t="s">
        <v>1749</v>
      </c>
      <c r="D1724" s="51" t="s">
        <v>841</v>
      </c>
      <c r="F1724" s="52">
        <f>SUMIF(CPY!$B:$B,Summary!$B1724,CPY!$I:$I)</f>
        <v>0</v>
      </c>
    </row>
    <row r="1725" spans="1:6" x14ac:dyDescent="0.25">
      <c r="A1725" s="50">
        <f t="shared" si="26"/>
        <v>1723</v>
      </c>
      <c r="B1725" s="50">
        <v>6933</v>
      </c>
      <c r="C1725" s="50" t="s">
        <v>1750</v>
      </c>
      <c r="D1725" s="51" t="s">
        <v>841</v>
      </c>
      <c r="F1725" s="52">
        <f>SUMIF(CPY!$B:$B,Summary!$B1725,CPY!$I:$I)</f>
        <v>0</v>
      </c>
    </row>
    <row r="1726" spans="1:6" x14ac:dyDescent="0.25">
      <c r="A1726" s="50">
        <f t="shared" si="26"/>
        <v>1724</v>
      </c>
      <c r="B1726" s="50">
        <v>6934</v>
      </c>
      <c r="C1726" s="50" t="s">
        <v>1751</v>
      </c>
      <c r="D1726" s="51" t="s">
        <v>841</v>
      </c>
      <c r="F1726" s="52">
        <f>SUMIF(CPY!$B:$B,Summary!$B1726,CPY!$I:$I)</f>
        <v>0</v>
      </c>
    </row>
    <row r="1727" spans="1:6" x14ac:dyDescent="0.25">
      <c r="A1727" s="50">
        <f t="shared" si="26"/>
        <v>1725</v>
      </c>
      <c r="B1727" s="50">
        <v>6935</v>
      </c>
      <c r="C1727" s="50" t="s">
        <v>1752</v>
      </c>
      <c r="D1727" s="51" t="s">
        <v>841</v>
      </c>
      <c r="F1727" s="52">
        <f>SUMIF(CPY!$B:$B,Summary!$B1727,CPY!$I:$I)</f>
        <v>0</v>
      </c>
    </row>
    <row r="1728" spans="1:6" x14ac:dyDescent="0.25">
      <c r="A1728" s="50">
        <f t="shared" si="26"/>
        <v>1726</v>
      </c>
      <c r="B1728" s="50">
        <v>6936</v>
      </c>
      <c r="C1728" s="50" t="s">
        <v>1753</v>
      </c>
      <c r="D1728" s="51" t="s">
        <v>841</v>
      </c>
      <c r="F1728" s="52">
        <f>SUMIF(CPY!$B:$B,Summary!$B1728,CPY!$I:$I)</f>
        <v>0</v>
      </c>
    </row>
    <row r="1729" spans="1:6" x14ac:dyDescent="0.25">
      <c r="A1729" s="50">
        <f t="shared" si="26"/>
        <v>1727</v>
      </c>
      <c r="B1729" s="50">
        <v>6938</v>
      </c>
      <c r="C1729" s="50" t="s">
        <v>1754</v>
      </c>
      <c r="D1729" s="51" t="s">
        <v>841</v>
      </c>
      <c r="F1729" s="52">
        <f>SUMIF(CPY!$B:$B,Summary!$B1729,CPY!$I:$I)</f>
        <v>0</v>
      </c>
    </row>
    <row r="1730" spans="1:6" x14ac:dyDescent="0.25">
      <c r="A1730" s="50">
        <f t="shared" si="26"/>
        <v>1728</v>
      </c>
      <c r="B1730" s="50">
        <v>6939</v>
      </c>
      <c r="C1730" s="50" t="s">
        <v>1755</v>
      </c>
      <c r="D1730" s="51" t="s">
        <v>841</v>
      </c>
      <c r="F1730" s="52">
        <f>SUMIF(CPY!$B:$B,Summary!$B1730,CPY!$I:$I)</f>
        <v>0</v>
      </c>
    </row>
    <row r="1731" spans="1:6" x14ac:dyDescent="0.25">
      <c r="A1731" s="50">
        <f t="shared" si="26"/>
        <v>1729</v>
      </c>
      <c r="B1731" s="50">
        <v>6940</v>
      </c>
      <c r="C1731" s="50" t="s">
        <v>1756</v>
      </c>
      <c r="D1731" s="51" t="s">
        <v>841</v>
      </c>
      <c r="F1731" s="52">
        <f>SUMIF(CPY!$B:$B,Summary!$B1731,CPY!$I:$I)</f>
        <v>0</v>
      </c>
    </row>
    <row r="1732" spans="1:6" x14ac:dyDescent="0.25">
      <c r="A1732" s="50">
        <f t="shared" si="26"/>
        <v>1730</v>
      </c>
      <c r="B1732" s="50">
        <v>6941</v>
      </c>
      <c r="C1732" s="50" t="s">
        <v>1757</v>
      </c>
      <c r="D1732" s="51" t="s">
        <v>841</v>
      </c>
      <c r="F1732" s="52">
        <f>SUMIF(CPY!$B:$B,Summary!$B1732,CPY!$I:$I)</f>
        <v>0</v>
      </c>
    </row>
    <row r="1733" spans="1:6" x14ac:dyDescent="0.25">
      <c r="A1733" s="50">
        <f t="shared" ref="A1733:A1796" si="27">+A1732+1</f>
        <v>1731</v>
      </c>
      <c r="B1733" s="50">
        <v>6942</v>
      </c>
      <c r="C1733" s="50" t="s">
        <v>1758</v>
      </c>
      <c r="D1733" s="51" t="s">
        <v>841</v>
      </c>
      <c r="F1733" s="52">
        <f>SUMIF(CPY!$B:$B,Summary!$B1733,CPY!$I:$I)</f>
        <v>0</v>
      </c>
    </row>
    <row r="1734" spans="1:6" x14ac:dyDescent="0.25">
      <c r="A1734" s="50">
        <f t="shared" si="27"/>
        <v>1732</v>
      </c>
      <c r="B1734" s="50">
        <v>6944</v>
      </c>
      <c r="C1734" s="50" t="s">
        <v>1759</v>
      </c>
      <c r="D1734" s="51" t="s">
        <v>841</v>
      </c>
      <c r="F1734" s="52">
        <f>SUMIF(CPY!$B:$B,Summary!$B1734,CPY!$I:$I)</f>
        <v>0</v>
      </c>
    </row>
    <row r="1735" spans="1:6" x14ac:dyDescent="0.25">
      <c r="A1735" s="50">
        <f t="shared" si="27"/>
        <v>1733</v>
      </c>
      <c r="B1735" s="50">
        <v>6945</v>
      </c>
      <c r="C1735" s="50" t="s">
        <v>1760</v>
      </c>
      <c r="D1735" s="51" t="s">
        <v>841</v>
      </c>
      <c r="F1735" s="52">
        <f>SUMIF(CPY!$B:$B,Summary!$B1735,CPY!$I:$I)</f>
        <v>0</v>
      </c>
    </row>
    <row r="1736" spans="1:6" x14ac:dyDescent="0.25">
      <c r="A1736" s="50">
        <f t="shared" si="27"/>
        <v>1734</v>
      </c>
      <c r="B1736" s="50">
        <v>6947</v>
      </c>
      <c r="C1736" s="50" t="s">
        <v>1761</v>
      </c>
      <c r="D1736" s="51" t="s">
        <v>841</v>
      </c>
      <c r="F1736" s="52">
        <f>SUMIF(CPY!$B:$B,Summary!$B1736,CPY!$I:$I)</f>
        <v>0</v>
      </c>
    </row>
    <row r="1737" spans="1:6" x14ac:dyDescent="0.25">
      <c r="A1737" s="50">
        <f t="shared" si="27"/>
        <v>1735</v>
      </c>
      <c r="B1737" s="50">
        <v>6948</v>
      </c>
      <c r="C1737" s="50" t="s">
        <v>1762</v>
      </c>
      <c r="D1737" s="51" t="s">
        <v>841</v>
      </c>
      <c r="F1737" s="52">
        <f>SUMIF(CPY!$B:$B,Summary!$B1737,CPY!$I:$I)</f>
        <v>0</v>
      </c>
    </row>
    <row r="1738" spans="1:6" x14ac:dyDescent="0.25">
      <c r="A1738" s="50">
        <f t="shared" si="27"/>
        <v>1736</v>
      </c>
      <c r="B1738" s="50">
        <v>6950</v>
      </c>
      <c r="C1738" s="50" t="s">
        <v>1763</v>
      </c>
      <c r="D1738" s="51" t="s">
        <v>841</v>
      </c>
      <c r="F1738" s="52">
        <f>SUMIF(CPY!$B:$B,Summary!$B1738,CPY!$I:$I)</f>
        <v>0</v>
      </c>
    </row>
    <row r="1739" spans="1:6" x14ac:dyDescent="0.25">
      <c r="A1739" s="50">
        <f t="shared" si="27"/>
        <v>1737</v>
      </c>
      <c r="B1739" s="50">
        <v>6951</v>
      </c>
      <c r="C1739" s="50" t="s">
        <v>1764</v>
      </c>
      <c r="D1739" s="51" t="s">
        <v>841</v>
      </c>
      <c r="F1739" s="52">
        <f>SUMIF(CPY!$B:$B,Summary!$B1739,CPY!$I:$I)</f>
        <v>0</v>
      </c>
    </row>
    <row r="1740" spans="1:6" x14ac:dyDescent="0.25">
      <c r="A1740" s="50">
        <f t="shared" si="27"/>
        <v>1738</v>
      </c>
      <c r="B1740" s="50">
        <v>6952</v>
      </c>
      <c r="C1740" s="50" t="s">
        <v>748</v>
      </c>
      <c r="D1740" s="51" t="s">
        <v>841</v>
      </c>
      <c r="F1740" s="52">
        <f>SUMIF(CPY!$B:$B,Summary!$B1740,CPY!$I:$I)</f>
        <v>0</v>
      </c>
    </row>
    <row r="1741" spans="1:6" x14ac:dyDescent="0.25">
      <c r="A1741" s="50">
        <f t="shared" si="27"/>
        <v>1739</v>
      </c>
      <c r="B1741" s="50">
        <v>6953</v>
      </c>
      <c r="C1741" s="50" t="s">
        <v>1765</v>
      </c>
      <c r="D1741" s="51" t="s">
        <v>841</v>
      </c>
      <c r="F1741" s="52">
        <f>SUMIF(CPY!$B:$B,Summary!$B1741,CPY!$I:$I)</f>
        <v>0</v>
      </c>
    </row>
    <row r="1742" spans="1:6" x14ac:dyDescent="0.25">
      <c r="A1742" s="50">
        <f t="shared" si="27"/>
        <v>1740</v>
      </c>
      <c r="B1742" s="50">
        <v>6956</v>
      </c>
      <c r="C1742" s="50" t="s">
        <v>1766</v>
      </c>
      <c r="D1742" s="51" t="s">
        <v>841</v>
      </c>
      <c r="F1742" s="52">
        <f>SUMIF(CPY!$B:$B,Summary!$B1742,CPY!$I:$I)</f>
        <v>0</v>
      </c>
    </row>
    <row r="1743" spans="1:6" x14ac:dyDescent="0.25">
      <c r="A1743" s="50">
        <f t="shared" si="27"/>
        <v>1741</v>
      </c>
      <c r="B1743" s="50">
        <v>6957</v>
      </c>
      <c r="C1743" s="50" t="s">
        <v>1767</v>
      </c>
      <c r="D1743" s="51" t="s">
        <v>841</v>
      </c>
      <c r="F1743" s="52">
        <f>SUMIF(CPY!$B:$B,Summary!$B1743,CPY!$I:$I)</f>
        <v>0</v>
      </c>
    </row>
    <row r="1744" spans="1:6" x14ac:dyDescent="0.25">
      <c r="A1744" s="50">
        <f t="shared" si="27"/>
        <v>1742</v>
      </c>
      <c r="B1744" s="50">
        <v>6959</v>
      </c>
      <c r="C1744" s="50" t="s">
        <v>1768</v>
      </c>
      <c r="D1744" s="51" t="s">
        <v>841</v>
      </c>
      <c r="F1744" s="52">
        <f>SUMIF(CPY!$B:$B,Summary!$B1744,CPY!$I:$I)</f>
        <v>0</v>
      </c>
    </row>
    <row r="1745" spans="1:6" x14ac:dyDescent="0.25">
      <c r="A1745" s="50">
        <f t="shared" si="27"/>
        <v>1743</v>
      </c>
      <c r="B1745" s="50">
        <v>6960</v>
      </c>
      <c r="C1745" s="50" t="s">
        <v>1769</v>
      </c>
      <c r="D1745" s="51" t="s">
        <v>841</v>
      </c>
      <c r="F1745" s="52">
        <f>SUMIF(CPY!$B:$B,Summary!$B1745,CPY!$I:$I)</f>
        <v>0</v>
      </c>
    </row>
    <row r="1746" spans="1:6" x14ac:dyDescent="0.25">
      <c r="A1746" s="50">
        <f t="shared" si="27"/>
        <v>1744</v>
      </c>
      <c r="B1746" s="50">
        <v>6962</v>
      </c>
      <c r="C1746" s="50" t="s">
        <v>1770</v>
      </c>
      <c r="D1746" s="51" t="s">
        <v>841</v>
      </c>
      <c r="F1746" s="52">
        <f>SUMIF(CPY!$B:$B,Summary!$B1746,CPY!$I:$I)</f>
        <v>0</v>
      </c>
    </row>
    <row r="1747" spans="1:6" x14ac:dyDescent="0.25">
      <c r="A1747" s="50">
        <f t="shared" si="27"/>
        <v>1745</v>
      </c>
      <c r="B1747" s="50">
        <v>6963</v>
      </c>
      <c r="C1747" s="50" t="s">
        <v>1771</v>
      </c>
      <c r="D1747" s="51" t="s">
        <v>841</v>
      </c>
      <c r="F1747" s="52">
        <f>SUMIF(CPY!$B:$B,Summary!$B1747,CPY!$I:$I)</f>
        <v>0</v>
      </c>
    </row>
    <row r="1748" spans="1:6" x14ac:dyDescent="0.25">
      <c r="A1748" s="50">
        <f t="shared" si="27"/>
        <v>1746</v>
      </c>
      <c r="B1748" s="50">
        <v>6964</v>
      </c>
      <c r="C1748" s="50" t="s">
        <v>1772</v>
      </c>
      <c r="D1748" s="51" t="s">
        <v>841</v>
      </c>
      <c r="F1748" s="52">
        <f>SUMIF(CPY!$B:$B,Summary!$B1748,CPY!$I:$I)</f>
        <v>0</v>
      </c>
    </row>
    <row r="1749" spans="1:6" x14ac:dyDescent="0.25">
      <c r="A1749" s="50">
        <f t="shared" si="27"/>
        <v>1747</v>
      </c>
      <c r="B1749" s="50">
        <v>6965</v>
      </c>
      <c r="C1749" s="50" t="s">
        <v>1773</v>
      </c>
      <c r="D1749" s="51" t="s">
        <v>841</v>
      </c>
      <c r="F1749" s="52">
        <f>SUMIF(CPY!$B:$B,Summary!$B1749,CPY!$I:$I)</f>
        <v>0</v>
      </c>
    </row>
    <row r="1750" spans="1:6" x14ac:dyDescent="0.25">
      <c r="A1750" s="50">
        <f t="shared" si="27"/>
        <v>1748</v>
      </c>
      <c r="B1750" s="50">
        <v>6966</v>
      </c>
      <c r="C1750" s="50" t="s">
        <v>1774</v>
      </c>
      <c r="D1750" s="51" t="s">
        <v>841</v>
      </c>
      <c r="F1750" s="52">
        <f>SUMIF(CPY!$B:$B,Summary!$B1750,CPY!$I:$I)</f>
        <v>0</v>
      </c>
    </row>
    <row r="1751" spans="1:6" x14ac:dyDescent="0.25">
      <c r="A1751" s="50">
        <f t="shared" si="27"/>
        <v>1749</v>
      </c>
      <c r="B1751" s="50">
        <v>6967</v>
      </c>
      <c r="C1751" s="50" t="s">
        <v>1775</v>
      </c>
      <c r="D1751" s="51" t="s">
        <v>841</v>
      </c>
      <c r="F1751" s="52">
        <f>SUMIF(CPY!$B:$B,Summary!$B1751,CPY!$I:$I)</f>
        <v>0</v>
      </c>
    </row>
    <row r="1752" spans="1:6" x14ac:dyDescent="0.25">
      <c r="A1752" s="50">
        <f t="shared" si="27"/>
        <v>1750</v>
      </c>
      <c r="B1752" s="50">
        <v>6968</v>
      </c>
      <c r="C1752" s="50" t="s">
        <v>1776</v>
      </c>
      <c r="D1752" s="51" t="s">
        <v>841</v>
      </c>
      <c r="F1752" s="52">
        <f>SUMIF(CPY!$B:$B,Summary!$B1752,CPY!$I:$I)</f>
        <v>0</v>
      </c>
    </row>
    <row r="1753" spans="1:6" x14ac:dyDescent="0.25">
      <c r="A1753" s="50">
        <f t="shared" si="27"/>
        <v>1751</v>
      </c>
      <c r="B1753" s="50">
        <v>6969</v>
      </c>
      <c r="C1753" s="50" t="s">
        <v>1777</v>
      </c>
      <c r="D1753" s="51" t="s">
        <v>841</v>
      </c>
      <c r="F1753" s="52">
        <f>SUMIF(CPY!$B:$B,Summary!$B1753,CPY!$I:$I)</f>
        <v>0</v>
      </c>
    </row>
    <row r="1754" spans="1:6" x14ac:dyDescent="0.25">
      <c r="A1754" s="50">
        <f t="shared" si="27"/>
        <v>1752</v>
      </c>
      <c r="B1754" s="50">
        <v>6972</v>
      </c>
      <c r="C1754" s="50" t="s">
        <v>1778</v>
      </c>
      <c r="D1754" s="51" t="s">
        <v>841</v>
      </c>
      <c r="F1754" s="52">
        <f>SUMIF(CPY!$B:$B,Summary!$B1754,CPY!$I:$I)</f>
        <v>0</v>
      </c>
    </row>
    <row r="1755" spans="1:6" x14ac:dyDescent="0.25">
      <c r="A1755" s="50">
        <f t="shared" si="27"/>
        <v>1753</v>
      </c>
      <c r="B1755" s="50">
        <v>6973</v>
      </c>
      <c r="C1755" s="50" t="s">
        <v>1779</v>
      </c>
      <c r="D1755" s="51" t="s">
        <v>841</v>
      </c>
      <c r="F1755" s="52">
        <f>SUMIF(CPY!$B:$B,Summary!$B1755,CPY!$I:$I)</f>
        <v>0</v>
      </c>
    </row>
    <row r="1756" spans="1:6" x14ac:dyDescent="0.25">
      <c r="A1756" s="50">
        <f t="shared" si="27"/>
        <v>1754</v>
      </c>
      <c r="B1756" s="50">
        <v>6974</v>
      </c>
      <c r="C1756" s="50" t="s">
        <v>1780</v>
      </c>
      <c r="D1756" s="51" t="s">
        <v>841</v>
      </c>
      <c r="F1756" s="52">
        <f>SUMIF(CPY!$B:$B,Summary!$B1756,CPY!$I:$I)</f>
        <v>0</v>
      </c>
    </row>
    <row r="1757" spans="1:6" x14ac:dyDescent="0.25">
      <c r="A1757" s="50">
        <f t="shared" si="27"/>
        <v>1755</v>
      </c>
      <c r="B1757" s="50">
        <v>6975</v>
      </c>
      <c r="C1757" s="50" t="s">
        <v>1781</v>
      </c>
      <c r="D1757" s="51" t="s">
        <v>841</v>
      </c>
      <c r="F1757" s="52">
        <f>SUMIF(CPY!$B:$B,Summary!$B1757,CPY!$I:$I)</f>
        <v>0</v>
      </c>
    </row>
    <row r="1758" spans="1:6" x14ac:dyDescent="0.25">
      <c r="A1758" s="50">
        <f t="shared" si="27"/>
        <v>1756</v>
      </c>
      <c r="B1758" s="50">
        <v>6976</v>
      </c>
      <c r="C1758" s="50" t="s">
        <v>1782</v>
      </c>
      <c r="D1758" s="51" t="s">
        <v>841</v>
      </c>
      <c r="F1758" s="52">
        <f>SUMIF(CPY!$B:$B,Summary!$B1758,CPY!$I:$I)</f>
        <v>0</v>
      </c>
    </row>
    <row r="1759" spans="1:6" x14ac:dyDescent="0.25">
      <c r="A1759" s="50">
        <f t="shared" si="27"/>
        <v>1757</v>
      </c>
      <c r="B1759" s="50">
        <v>6977</v>
      </c>
      <c r="C1759" s="50" t="s">
        <v>1783</v>
      </c>
      <c r="D1759" s="51" t="s">
        <v>841</v>
      </c>
      <c r="F1759" s="52">
        <f>SUMIF(CPY!$B:$B,Summary!$B1759,CPY!$I:$I)</f>
        <v>0</v>
      </c>
    </row>
    <row r="1760" spans="1:6" x14ac:dyDescent="0.25">
      <c r="A1760" s="50">
        <f t="shared" si="27"/>
        <v>1758</v>
      </c>
      <c r="B1760" s="50">
        <v>6978</v>
      </c>
      <c r="C1760" s="50" t="s">
        <v>1784</v>
      </c>
      <c r="D1760" s="51" t="s">
        <v>841</v>
      </c>
      <c r="F1760" s="52">
        <f>SUMIF(CPY!$B:$B,Summary!$B1760,CPY!$I:$I)</f>
        <v>0</v>
      </c>
    </row>
    <row r="1761" spans="1:6" x14ac:dyDescent="0.25">
      <c r="A1761" s="50">
        <f t="shared" si="27"/>
        <v>1759</v>
      </c>
      <c r="B1761" s="50">
        <v>6979</v>
      </c>
      <c r="C1761" s="50" t="s">
        <v>1785</v>
      </c>
      <c r="D1761" s="51" t="s">
        <v>841</v>
      </c>
      <c r="F1761" s="52">
        <f>SUMIF(CPY!$B:$B,Summary!$B1761,CPY!$I:$I)</f>
        <v>0</v>
      </c>
    </row>
    <row r="1762" spans="1:6" x14ac:dyDescent="0.25">
      <c r="A1762" s="50">
        <f t="shared" si="27"/>
        <v>1760</v>
      </c>
      <c r="B1762" s="50">
        <v>6980</v>
      </c>
      <c r="C1762" s="50" t="s">
        <v>1786</v>
      </c>
      <c r="D1762" s="51" t="s">
        <v>841</v>
      </c>
      <c r="F1762" s="52">
        <f>SUMIF(CPY!$B:$B,Summary!$B1762,CPY!$I:$I)</f>
        <v>0</v>
      </c>
    </row>
    <row r="1763" spans="1:6" x14ac:dyDescent="0.25">
      <c r="A1763" s="50">
        <f t="shared" si="27"/>
        <v>1761</v>
      </c>
      <c r="B1763" s="50">
        <v>6981</v>
      </c>
      <c r="C1763" s="50" t="s">
        <v>1787</v>
      </c>
      <c r="D1763" s="51" t="s">
        <v>841</v>
      </c>
      <c r="F1763" s="52">
        <f>SUMIF(CPY!$B:$B,Summary!$B1763,CPY!$I:$I)</f>
        <v>0</v>
      </c>
    </row>
    <row r="1764" spans="1:6" x14ac:dyDescent="0.25">
      <c r="A1764" s="50">
        <f t="shared" si="27"/>
        <v>1762</v>
      </c>
      <c r="B1764" s="50">
        <v>6982</v>
      </c>
      <c r="C1764" s="50" t="s">
        <v>1788</v>
      </c>
      <c r="D1764" s="51" t="s">
        <v>841</v>
      </c>
      <c r="F1764" s="52">
        <f>SUMIF(CPY!$B:$B,Summary!$B1764,CPY!$I:$I)</f>
        <v>0</v>
      </c>
    </row>
    <row r="1765" spans="1:6" x14ac:dyDescent="0.25">
      <c r="A1765" s="50">
        <f t="shared" si="27"/>
        <v>1763</v>
      </c>
      <c r="B1765" s="50">
        <v>6983</v>
      </c>
      <c r="C1765" s="50" t="s">
        <v>1789</v>
      </c>
      <c r="D1765" s="51" t="s">
        <v>841</v>
      </c>
      <c r="F1765" s="52">
        <f>SUMIF(CPY!$B:$B,Summary!$B1765,CPY!$I:$I)</f>
        <v>0</v>
      </c>
    </row>
    <row r="1766" spans="1:6" x14ac:dyDescent="0.25">
      <c r="A1766" s="50">
        <f t="shared" si="27"/>
        <v>1764</v>
      </c>
      <c r="B1766" s="50">
        <v>6984</v>
      </c>
      <c r="C1766" s="50" t="s">
        <v>1790</v>
      </c>
      <c r="D1766" s="51" t="s">
        <v>841</v>
      </c>
      <c r="F1766" s="52">
        <f>SUMIF(CPY!$B:$B,Summary!$B1766,CPY!$I:$I)</f>
        <v>0</v>
      </c>
    </row>
    <row r="1767" spans="1:6" x14ac:dyDescent="0.25">
      <c r="A1767" s="50">
        <f t="shared" si="27"/>
        <v>1765</v>
      </c>
      <c r="B1767" s="50">
        <v>6985</v>
      </c>
      <c r="C1767" s="50" t="s">
        <v>1791</v>
      </c>
      <c r="D1767" s="51" t="s">
        <v>841</v>
      </c>
      <c r="F1767" s="52">
        <f>SUMIF(CPY!$B:$B,Summary!$B1767,CPY!$I:$I)</f>
        <v>0</v>
      </c>
    </row>
    <row r="1768" spans="1:6" x14ac:dyDescent="0.25">
      <c r="A1768" s="50">
        <f t="shared" si="27"/>
        <v>1766</v>
      </c>
      <c r="B1768" s="50">
        <v>6986</v>
      </c>
      <c r="C1768" s="50" t="s">
        <v>1792</v>
      </c>
      <c r="D1768" s="51" t="s">
        <v>841</v>
      </c>
      <c r="F1768" s="52">
        <f>SUMIF(CPY!$B:$B,Summary!$B1768,CPY!$I:$I)</f>
        <v>0</v>
      </c>
    </row>
    <row r="1769" spans="1:6" x14ac:dyDescent="0.25">
      <c r="A1769" s="50">
        <f t="shared" si="27"/>
        <v>1767</v>
      </c>
      <c r="B1769" s="50">
        <v>6987</v>
      </c>
      <c r="C1769" s="50" t="s">
        <v>1793</v>
      </c>
      <c r="D1769" s="51" t="s">
        <v>841</v>
      </c>
      <c r="F1769" s="52">
        <f>SUMIF(CPY!$B:$B,Summary!$B1769,CPY!$I:$I)</f>
        <v>0</v>
      </c>
    </row>
    <row r="1770" spans="1:6" x14ac:dyDescent="0.25">
      <c r="A1770" s="50">
        <f t="shared" si="27"/>
        <v>1768</v>
      </c>
      <c r="B1770" s="50">
        <v>6988</v>
      </c>
      <c r="C1770" s="50" t="s">
        <v>1794</v>
      </c>
      <c r="D1770" s="51" t="s">
        <v>841</v>
      </c>
      <c r="F1770" s="52">
        <f>SUMIF(CPY!$B:$B,Summary!$B1770,CPY!$I:$I)</f>
        <v>0</v>
      </c>
    </row>
    <row r="1771" spans="1:6" x14ac:dyDescent="0.25">
      <c r="A1771" s="50">
        <f t="shared" si="27"/>
        <v>1769</v>
      </c>
      <c r="B1771" s="50">
        <v>6989</v>
      </c>
      <c r="C1771" s="50" t="s">
        <v>1795</v>
      </c>
      <c r="D1771" s="51" t="s">
        <v>841</v>
      </c>
      <c r="F1771" s="52">
        <f>SUMIF(CPY!$B:$B,Summary!$B1771,CPY!$I:$I)</f>
        <v>0</v>
      </c>
    </row>
    <row r="1772" spans="1:6" x14ac:dyDescent="0.25">
      <c r="A1772" s="50">
        <f t="shared" si="27"/>
        <v>1770</v>
      </c>
      <c r="B1772" s="50">
        <v>6990</v>
      </c>
      <c r="C1772" s="50" t="s">
        <v>1796</v>
      </c>
      <c r="D1772" s="51" t="s">
        <v>841</v>
      </c>
      <c r="F1772" s="52">
        <f>SUMIF(CPY!$B:$B,Summary!$B1772,CPY!$I:$I)</f>
        <v>0</v>
      </c>
    </row>
    <row r="1773" spans="1:6" x14ac:dyDescent="0.25">
      <c r="A1773" s="50">
        <f t="shared" si="27"/>
        <v>1771</v>
      </c>
      <c r="B1773" s="50">
        <v>6991</v>
      </c>
      <c r="C1773" s="50" t="s">
        <v>1797</v>
      </c>
      <c r="D1773" s="51" t="s">
        <v>841</v>
      </c>
      <c r="F1773" s="52">
        <f>SUMIF(CPY!$B:$B,Summary!$B1773,CPY!$I:$I)</f>
        <v>0</v>
      </c>
    </row>
    <row r="1774" spans="1:6" x14ac:dyDescent="0.25">
      <c r="A1774" s="50">
        <f t="shared" si="27"/>
        <v>1772</v>
      </c>
      <c r="B1774" s="50">
        <v>6992</v>
      </c>
      <c r="C1774" s="50" t="s">
        <v>1798</v>
      </c>
      <c r="D1774" s="51" t="s">
        <v>841</v>
      </c>
      <c r="F1774" s="52">
        <f>SUMIF(CPY!$B:$B,Summary!$B1774,CPY!$I:$I)</f>
        <v>0</v>
      </c>
    </row>
    <row r="1775" spans="1:6" x14ac:dyDescent="0.25">
      <c r="A1775" s="50">
        <f t="shared" si="27"/>
        <v>1773</v>
      </c>
      <c r="B1775" s="50">
        <v>6993</v>
      </c>
      <c r="C1775" s="50" t="s">
        <v>1799</v>
      </c>
      <c r="D1775" s="51" t="s">
        <v>841</v>
      </c>
      <c r="F1775" s="52">
        <f>SUMIF(CPY!$B:$B,Summary!$B1775,CPY!$I:$I)</f>
        <v>0</v>
      </c>
    </row>
    <row r="1776" spans="1:6" x14ac:dyDescent="0.25">
      <c r="A1776" s="50">
        <f t="shared" si="27"/>
        <v>1774</v>
      </c>
      <c r="B1776" s="50">
        <v>6994</v>
      </c>
      <c r="C1776" s="50" t="s">
        <v>1800</v>
      </c>
      <c r="D1776" s="51" t="s">
        <v>841</v>
      </c>
      <c r="F1776" s="52">
        <f>SUMIF(CPY!$B:$B,Summary!$B1776,CPY!$I:$I)</f>
        <v>0</v>
      </c>
    </row>
    <row r="1777" spans="1:6" x14ac:dyDescent="0.25">
      <c r="A1777" s="50">
        <f t="shared" si="27"/>
        <v>1775</v>
      </c>
      <c r="B1777" s="50">
        <v>6995</v>
      </c>
      <c r="C1777" s="50" t="s">
        <v>1801</v>
      </c>
      <c r="D1777" s="51" t="s">
        <v>841</v>
      </c>
      <c r="F1777" s="52">
        <f>SUMIF(CPY!$B:$B,Summary!$B1777,CPY!$I:$I)</f>
        <v>0</v>
      </c>
    </row>
    <row r="1778" spans="1:6" x14ac:dyDescent="0.25">
      <c r="A1778" s="50">
        <f t="shared" si="27"/>
        <v>1776</v>
      </c>
      <c r="B1778" s="50">
        <v>6997</v>
      </c>
      <c r="C1778" s="50" t="s">
        <v>1802</v>
      </c>
      <c r="D1778" s="51" t="s">
        <v>841</v>
      </c>
      <c r="F1778" s="52">
        <f>SUMIF(CPY!$B:$B,Summary!$B1778,CPY!$I:$I)</f>
        <v>0</v>
      </c>
    </row>
    <row r="1779" spans="1:6" x14ac:dyDescent="0.25">
      <c r="A1779" s="50">
        <f t="shared" si="27"/>
        <v>1777</v>
      </c>
      <c r="B1779" s="50">
        <v>6998</v>
      </c>
      <c r="C1779" s="50" t="s">
        <v>1803</v>
      </c>
      <c r="D1779" s="51" t="s">
        <v>841</v>
      </c>
      <c r="F1779" s="52">
        <f>SUMIF(CPY!$B:$B,Summary!$B1779,CPY!$I:$I)</f>
        <v>0</v>
      </c>
    </row>
    <row r="1780" spans="1:6" x14ac:dyDescent="0.25">
      <c r="A1780" s="50">
        <f t="shared" si="27"/>
        <v>1778</v>
      </c>
      <c r="B1780" s="50">
        <v>6999</v>
      </c>
      <c r="C1780" s="50" t="s">
        <v>1804</v>
      </c>
      <c r="D1780" s="51" t="s">
        <v>841</v>
      </c>
      <c r="F1780" s="52">
        <f>SUMIF(CPY!$B:$B,Summary!$B1780,CPY!$I:$I)</f>
        <v>0</v>
      </c>
    </row>
    <row r="1781" spans="1:6" x14ac:dyDescent="0.25">
      <c r="A1781" s="50">
        <f t="shared" si="27"/>
        <v>1779</v>
      </c>
      <c r="B1781" s="50">
        <v>7002</v>
      </c>
      <c r="C1781" s="50" t="s">
        <v>1805</v>
      </c>
      <c r="D1781" s="51" t="s">
        <v>841</v>
      </c>
      <c r="F1781" s="52">
        <f>SUMIF(CPY!$B:$B,Summary!$B1781,CPY!$I:$I)</f>
        <v>0</v>
      </c>
    </row>
    <row r="1782" spans="1:6" x14ac:dyDescent="0.25">
      <c r="A1782" s="50">
        <f t="shared" si="27"/>
        <v>1780</v>
      </c>
      <c r="B1782" s="50">
        <v>7003</v>
      </c>
      <c r="C1782" s="50" t="s">
        <v>1806</v>
      </c>
      <c r="D1782" s="51" t="s">
        <v>841</v>
      </c>
      <c r="F1782" s="52">
        <f>SUMIF(CPY!$B:$B,Summary!$B1782,CPY!$I:$I)</f>
        <v>0</v>
      </c>
    </row>
    <row r="1783" spans="1:6" x14ac:dyDescent="0.25">
      <c r="A1783" s="50">
        <f t="shared" si="27"/>
        <v>1781</v>
      </c>
      <c r="B1783" s="50">
        <v>7004</v>
      </c>
      <c r="C1783" s="50" t="s">
        <v>1807</v>
      </c>
      <c r="D1783" s="51" t="s">
        <v>841</v>
      </c>
      <c r="F1783" s="52">
        <f>SUMIF(CPY!$B:$B,Summary!$B1783,CPY!$I:$I)</f>
        <v>0</v>
      </c>
    </row>
    <row r="1784" spans="1:6" x14ac:dyDescent="0.25">
      <c r="A1784" s="50">
        <f t="shared" si="27"/>
        <v>1782</v>
      </c>
      <c r="B1784" s="50">
        <v>7005</v>
      </c>
      <c r="C1784" s="50" t="s">
        <v>1808</v>
      </c>
      <c r="D1784" s="51" t="s">
        <v>841</v>
      </c>
      <c r="F1784" s="52">
        <f>SUMIF(CPY!$B:$B,Summary!$B1784,CPY!$I:$I)</f>
        <v>0</v>
      </c>
    </row>
    <row r="1785" spans="1:6" x14ac:dyDescent="0.25">
      <c r="A1785" s="50">
        <f t="shared" si="27"/>
        <v>1783</v>
      </c>
      <c r="B1785" s="50">
        <v>7007</v>
      </c>
      <c r="C1785" s="50" t="s">
        <v>1809</v>
      </c>
      <c r="D1785" s="51" t="s">
        <v>841</v>
      </c>
      <c r="F1785" s="52">
        <f>SUMIF(CPY!$B:$B,Summary!$B1785,CPY!$I:$I)</f>
        <v>0</v>
      </c>
    </row>
    <row r="1786" spans="1:6" x14ac:dyDescent="0.25">
      <c r="A1786" s="50">
        <f t="shared" si="27"/>
        <v>1784</v>
      </c>
      <c r="B1786" s="50">
        <v>7008</v>
      </c>
      <c r="C1786" s="50" t="s">
        <v>1810</v>
      </c>
      <c r="D1786" s="51" t="s">
        <v>841</v>
      </c>
      <c r="F1786" s="52">
        <f>SUMIF(CPY!$B:$B,Summary!$B1786,CPY!$I:$I)</f>
        <v>0</v>
      </c>
    </row>
    <row r="1787" spans="1:6" x14ac:dyDescent="0.25">
      <c r="A1787" s="50">
        <f t="shared" si="27"/>
        <v>1785</v>
      </c>
      <c r="B1787" s="50">
        <v>7009</v>
      </c>
      <c r="C1787" s="50" t="s">
        <v>1811</v>
      </c>
      <c r="D1787" s="51" t="s">
        <v>841</v>
      </c>
      <c r="F1787" s="52">
        <f>SUMIF(CPY!$B:$B,Summary!$B1787,CPY!$I:$I)</f>
        <v>0</v>
      </c>
    </row>
    <row r="1788" spans="1:6" x14ac:dyDescent="0.25">
      <c r="A1788" s="50">
        <f t="shared" si="27"/>
        <v>1786</v>
      </c>
      <c r="B1788" s="50">
        <v>7011</v>
      </c>
      <c r="C1788" s="50" t="s">
        <v>1812</v>
      </c>
      <c r="D1788" s="51" t="s">
        <v>841</v>
      </c>
      <c r="F1788" s="52">
        <f>SUMIF(CPY!$B:$B,Summary!$B1788,CPY!$I:$I)</f>
        <v>0</v>
      </c>
    </row>
    <row r="1789" spans="1:6" x14ac:dyDescent="0.25">
      <c r="A1789" s="50">
        <f t="shared" si="27"/>
        <v>1787</v>
      </c>
      <c r="B1789" s="50">
        <v>7012</v>
      </c>
      <c r="C1789" s="50" t="s">
        <v>1813</v>
      </c>
      <c r="D1789" s="51" t="s">
        <v>841</v>
      </c>
      <c r="F1789" s="52">
        <f>SUMIF(CPY!$B:$B,Summary!$B1789,CPY!$I:$I)</f>
        <v>0</v>
      </c>
    </row>
    <row r="1790" spans="1:6" x14ac:dyDescent="0.25">
      <c r="A1790" s="50">
        <f t="shared" si="27"/>
        <v>1788</v>
      </c>
      <c r="B1790" s="50">
        <v>7013</v>
      </c>
      <c r="C1790" s="50" t="s">
        <v>1814</v>
      </c>
      <c r="D1790" s="51" t="s">
        <v>841</v>
      </c>
      <c r="F1790" s="52">
        <f>SUMIF(CPY!$B:$B,Summary!$B1790,CPY!$I:$I)</f>
        <v>0</v>
      </c>
    </row>
    <row r="1791" spans="1:6" x14ac:dyDescent="0.25">
      <c r="A1791" s="50">
        <f t="shared" si="27"/>
        <v>1789</v>
      </c>
      <c r="B1791" s="50">
        <v>7015</v>
      </c>
      <c r="C1791" s="50" t="s">
        <v>1815</v>
      </c>
      <c r="D1791" s="51" t="s">
        <v>841</v>
      </c>
      <c r="F1791" s="52">
        <f>SUMIF(CPY!$B:$B,Summary!$B1791,CPY!$I:$I)</f>
        <v>0</v>
      </c>
    </row>
    <row r="1792" spans="1:6" x14ac:dyDescent="0.25">
      <c r="A1792" s="50">
        <f t="shared" si="27"/>
        <v>1790</v>
      </c>
      <c r="B1792" s="50">
        <v>7017</v>
      </c>
      <c r="C1792" s="50" t="s">
        <v>1816</v>
      </c>
      <c r="D1792" s="51" t="s">
        <v>841</v>
      </c>
      <c r="F1792" s="52">
        <f>SUMIF(CPY!$B:$B,Summary!$B1792,CPY!$I:$I)</f>
        <v>0</v>
      </c>
    </row>
    <row r="1793" spans="1:6" x14ac:dyDescent="0.25">
      <c r="A1793" s="50">
        <f t="shared" si="27"/>
        <v>1791</v>
      </c>
      <c r="B1793" s="50">
        <v>7018</v>
      </c>
      <c r="C1793" s="50" t="s">
        <v>1817</v>
      </c>
      <c r="D1793" s="51" t="s">
        <v>841</v>
      </c>
      <c r="F1793" s="52">
        <f>SUMIF(CPY!$B:$B,Summary!$B1793,CPY!$I:$I)</f>
        <v>0</v>
      </c>
    </row>
    <row r="1794" spans="1:6" x14ac:dyDescent="0.25">
      <c r="A1794" s="50">
        <f t="shared" si="27"/>
        <v>1792</v>
      </c>
      <c r="B1794" s="50">
        <v>7019</v>
      </c>
      <c r="C1794" s="50" t="s">
        <v>1818</v>
      </c>
      <c r="D1794" s="51" t="s">
        <v>841</v>
      </c>
      <c r="F1794" s="52">
        <f>SUMIF(CPY!$B:$B,Summary!$B1794,CPY!$I:$I)</f>
        <v>0</v>
      </c>
    </row>
    <row r="1795" spans="1:6" x14ac:dyDescent="0.25">
      <c r="A1795" s="50">
        <f t="shared" si="27"/>
        <v>1793</v>
      </c>
      <c r="B1795" s="50">
        <v>7022</v>
      </c>
      <c r="C1795" s="50" t="s">
        <v>1819</v>
      </c>
      <c r="D1795" s="51" t="s">
        <v>841</v>
      </c>
      <c r="F1795" s="52">
        <f>SUMIF(CPY!$B:$B,Summary!$B1795,CPY!$I:$I)</f>
        <v>0</v>
      </c>
    </row>
    <row r="1796" spans="1:6" x14ac:dyDescent="0.25">
      <c r="A1796" s="50">
        <f t="shared" si="27"/>
        <v>1794</v>
      </c>
      <c r="B1796" s="50">
        <v>7024</v>
      </c>
      <c r="C1796" s="50" t="s">
        <v>1820</v>
      </c>
      <c r="D1796" s="51" t="s">
        <v>841</v>
      </c>
      <c r="F1796" s="52">
        <f>SUMIF(CPY!$B:$B,Summary!$B1796,CPY!$I:$I)</f>
        <v>0</v>
      </c>
    </row>
    <row r="1797" spans="1:6" x14ac:dyDescent="0.25">
      <c r="A1797" s="50">
        <f t="shared" ref="A1797:A1860" si="28">+A1796+1</f>
        <v>1795</v>
      </c>
      <c r="B1797" s="50">
        <v>7025</v>
      </c>
      <c r="C1797" s="50" t="s">
        <v>1821</v>
      </c>
      <c r="D1797" s="51" t="s">
        <v>841</v>
      </c>
      <c r="F1797" s="52">
        <f>SUMIF(CPY!$B:$B,Summary!$B1797,CPY!$I:$I)</f>
        <v>0</v>
      </c>
    </row>
    <row r="1798" spans="1:6" x14ac:dyDescent="0.25">
      <c r="A1798" s="50">
        <f t="shared" si="28"/>
        <v>1796</v>
      </c>
      <c r="B1798" s="50">
        <v>7026</v>
      </c>
      <c r="C1798" s="50" t="s">
        <v>1822</v>
      </c>
      <c r="D1798" s="51" t="s">
        <v>841</v>
      </c>
      <c r="F1798" s="52">
        <f>SUMIF(CPY!$B:$B,Summary!$B1798,CPY!$I:$I)</f>
        <v>0</v>
      </c>
    </row>
    <row r="1799" spans="1:6" x14ac:dyDescent="0.25">
      <c r="A1799" s="50">
        <f t="shared" si="28"/>
        <v>1797</v>
      </c>
      <c r="B1799" s="50">
        <v>7027</v>
      </c>
      <c r="C1799" s="50" t="s">
        <v>1823</v>
      </c>
      <c r="D1799" s="51" t="s">
        <v>841</v>
      </c>
      <c r="F1799" s="52">
        <f>SUMIF(CPY!$B:$B,Summary!$B1799,CPY!$I:$I)</f>
        <v>0</v>
      </c>
    </row>
    <row r="1800" spans="1:6" x14ac:dyDescent="0.25">
      <c r="A1800" s="50">
        <f t="shared" si="28"/>
        <v>1798</v>
      </c>
      <c r="B1800" s="50">
        <v>7028</v>
      </c>
      <c r="C1800" s="50" t="s">
        <v>1824</v>
      </c>
      <c r="D1800" s="51" t="s">
        <v>841</v>
      </c>
      <c r="F1800" s="52">
        <f>SUMIF(CPY!$B:$B,Summary!$B1800,CPY!$I:$I)</f>
        <v>0</v>
      </c>
    </row>
    <row r="1801" spans="1:6" x14ac:dyDescent="0.25">
      <c r="A1801" s="50">
        <f t="shared" si="28"/>
        <v>1799</v>
      </c>
      <c r="B1801" s="50">
        <v>7029</v>
      </c>
      <c r="C1801" s="50" t="s">
        <v>1825</v>
      </c>
      <c r="D1801" s="51" t="s">
        <v>841</v>
      </c>
      <c r="F1801" s="52">
        <f>SUMIF(CPY!$B:$B,Summary!$B1801,CPY!$I:$I)</f>
        <v>0</v>
      </c>
    </row>
    <row r="1802" spans="1:6" x14ac:dyDescent="0.25">
      <c r="A1802" s="50">
        <f t="shared" si="28"/>
        <v>1800</v>
      </c>
      <c r="B1802" s="50">
        <v>7030</v>
      </c>
      <c r="C1802" s="50" t="s">
        <v>1826</v>
      </c>
      <c r="D1802" s="51" t="s">
        <v>841</v>
      </c>
      <c r="F1802" s="52">
        <f>SUMIF(CPY!$B:$B,Summary!$B1802,CPY!$I:$I)</f>
        <v>0</v>
      </c>
    </row>
    <row r="1803" spans="1:6" x14ac:dyDescent="0.25">
      <c r="A1803" s="50">
        <f t="shared" si="28"/>
        <v>1801</v>
      </c>
      <c r="B1803" s="50">
        <v>7031</v>
      </c>
      <c r="C1803" s="50" t="s">
        <v>1827</v>
      </c>
      <c r="D1803" s="51" t="s">
        <v>69</v>
      </c>
      <c r="F1803" s="52">
        <f>SUMIF(CPY!$B:$B,Summary!$B1803,CPY!$I:$I)</f>
        <v>0</v>
      </c>
    </row>
    <row r="1804" spans="1:6" x14ac:dyDescent="0.25">
      <c r="A1804" s="50">
        <f t="shared" si="28"/>
        <v>1802</v>
      </c>
      <c r="B1804" s="50">
        <v>7032</v>
      </c>
      <c r="C1804" s="50" t="s">
        <v>1828</v>
      </c>
      <c r="D1804" s="51" t="s">
        <v>85</v>
      </c>
      <c r="F1804" s="52">
        <f>SUMIF(CPY!$B:$B,Summary!$B1804,CPY!$I:$I)</f>
        <v>0</v>
      </c>
    </row>
    <row r="1805" spans="1:6" x14ac:dyDescent="0.25">
      <c r="A1805" s="50">
        <f t="shared" si="28"/>
        <v>1803</v>
      </c>
      <c r="B1805" s="50">
        <v>7033</v>
      </c>
      <c r="C1805" s="50" t="s">
        <v>1829</v>
      </c>
      <c r="D1805" s="51" t="s">
        <v>46</v>
      </c>
      <c r="F1805" s="52">
        <f>SUMIF(CPY!$B:$B,Summary!$B1805,CPY!$I:$I)</f>
        <v>0</v>
      </c>
    </row>
    <row r="1806" spans="1:6" x14ac:dyDescent="0.25">
      <c r="A1806" s="50">
        <f t="shared" si="28"/>
        <v>1804</v>
      </c>
      <c r="B1806" s="50">
        <v>7034</v>
      </c>
      <c r="C1806" s="50" t="s">
        <v>1830</v>
      </c>
      <c r="D1806" s="51" t="s">
        <v>46</v>
      </c>
      <c r="F1806" s="52">
        <f>SUMIF(CPY!$B:$B,Summary!$B1806,CPY!$I:$I)</f>
        <v>0</v>
      </c>
    </row>
    <row r="1807" spans="1:6" x14ac:dyDescent="0.25">
      <c r="A1807" s="50">
        <f t="shared" si="28"/>
        <v>1805</v>
      </c>
      <c r="B1807" s="50">
        <v>7035</v>
      </c>
      <c r="C1807" s="50" t="s">
        <v>1831</v>
      </c>
      <c r="D1807" s="51" t="s">
        <v>69</v>
      </c>
      <c r="F1807" s="52">
        <f>SUMIF(CPY!$B:$B,Summary!$B1807,CPY!$I:$I)</f>
        <v>0</v>
      </c>
    </row>
    <row r="1808" spans="1:6" x14ac:dyDescent="0.25">
      <c r="A1808" s="50">
        <f t="shared" si="28"/>
        <v>1806</v>
      </c>
      <c r="B1808" s="50">
        <v>7036</v>
      </c>
      <c r="C1808" s="50" t="s">
        <v>1832</v>
      </c>
      <c r="D1808" s="51" t="s">
        <v>78</v>
      </c>
      <c r="F1808" s="52">
        <f>SUMIF(CPY!$B:$B,Summary!$B1808,CPY!$I:$I)</f>
        <v>0</v>
      </c>
    </row>
    <row r="1809" spans="1:6" x14ac:dyDescent="0.25">
      <c r="A1809" s="50">
        <f t="shared" si="28"/>
        <v>1807</v>
      </c>
      <c r="B1809" s="50">
        <v>7037</v>
      </c>
      <c r="C1809" s="50" t="s">
        <v>1833</v>
      </c>
      <c r="D1809" s="51" t="s">
        <v>841</v>
      </c>
      <c r="F1809" s="52">
        <f>SUMIF(CPY!$B:$B,Summary!$B1809,CPY!$I:$I)</f>
        <v>0</v>
      </c>
    </row>
    <row r="1810" spans="1:6" x14ac:dyDescent="0.25">
      <c r="A1810" s="50">
        <f t="shared" si="28"/>
        <v>1808</v>
      </c>
      <c r="B1810" s="50">
        <v>7039</v>
      </c>
      <c r="C1810" s="50" t="s">
        <v>1834</v>
      </c>
      <c r="D1810" s="51" t="s">
        <v>69</v>
      </c>
      <c r="F1810" s="52">
        <f>SUMIF(CPY!$B:$B,Summary!$B1810,CPY!$I:$I)</f>
        <v>0</v>
      </c>
    </row>
    <row r="1811" spans="1:6" x14ac:dyDescent="0.25">
      <c r="A1811" s="50">
        <f t="shared" si="28"/>
        <v>1809</v>
      </c>
      <c r="B1811" s="50">
        <v>7040</v>
      </c>
      <c r="C1811" s="50" t="s">
        <v>1835</v>
      </c>
      <c r="D1811" s="51" t="s">
        <v>69</v>
      </c>
      <c r="F1811" s="52">
        <f>SUMIF(CPY!$B:$B,Summary!$B1811,CPY!$I:$I)</f>
        <v>0</v>
      </c>
    </row>
    <row r="1812" spans="1:6" x14ac:dyDescent="0.25">
      <c r="A1812" s="50">
        <f t="shared" si="28"/>
        <v>1810</v>
      </c>
      <c r="B1812" s="50">
        <v>7041</v>
      </c>
      <c r="C1812" s="50" t="s">
        <v>1836</v>
      </c>
      <c r="D1812" s="51" t="s">
        <v>85</v>
      </c>
      <c r="F1812" s="52">
        <f>SUMIF(CPY!$B:$B,Summary!$B1812,CPY!$I:$I)</f>
        <v>0</v>
      </c>
    </row>
    <row r="1813" spans="1:6" x14ac:dyDescent="0.25">
      <c r="A1813" s="50">
        <f t="shared" si="28"/>
        <v>1811</v>
      </c>
      <c r="B1813" s="50">
        <v>7042</v>
      </c>
      <c r="C1813" s="50" t="s">
        <v>1837</v>
      </c>
      <c r="D1813" s="51" t="s">
        <v>85</v>
      </c>
      <c r="F1813" s="52">
        <f>SUMIF(CPY!$B:$B,Summary!$B1813,CPY!$I:$I)</f>
        <v>0</v>
      </c>
    </row>
    <row r="1814" spans="1:6" x14ac:dyDescent="0.25">
      <c r="A1814" s="50">
        <f t="shared" si="28"/>
        <v>1812</v>
      </c>
      <c r="B1814" s="50">
        <v>7043</v>
      </c>
      <c r="C1814" s="50" t="s">
        <v>1838</v>
      </c>
      <c r="D1814" s="51" t="s">
        <v>85</v>
      </c>
      <c r="F1814" s="52">
        <f>SUMIF(CPY!$B:$B,Summary!$B1814,CPY!$I:$I)</f>
        <v>0</v>
      </c>
    </row>
    <row r="1815" spans="1:6" x14ac:dyDescent="0.25">
      <c r="A1815" s="50">
        <f t="shared" si="28"/>
        <v>1813</v>
      </c>
      <c r="B1815" s="50">
        <v>7044</v>
      </c>
      <c r="C1815" s="50" t="s">
        <v>1839</v>
      </c>
      <c r="D1815" s="51" t="s">
        <v>78</v>
      </c>
      <c r="F1815" s="52">
        <f>SUMIF(CPY!$B:$B,Summary!$B1815,CPY!$I:$I)</f>
        <v>0</v>
      </c>
    </row>
    <row r="1816" spans="1:6" x14ac:dyDescent="0.25">
      <c r="A1816" s="50">
        <f t="shared" si="28"/>
        <v>1814</v>
      </c>
      <c r="B1816" s="50">
        <v>7045</v>
      </c>
      <c r="C1816" s="50" t="s">
        <v>1840</v>
      </c>
      <c r="D1816" s="51" t="s">
        <v>78</v>
      </c>
      <c r="F1816" s="52">
        <f>SUMIF(CPY!$B:$B,Summary!$B1816,CPY!$I:$I)</f>
        <v>0</v>
      </c>
    </row>
    <row r="1817" spans="1:6" x14ac:dyDescent="0.25">
      <c r="A1817" s="50">
        <f t="shared" si="28"/>
        <v>1815</v>
      </c>
      <c r="B1817" s="50">
        <v>7046</v>
      </c>
      <c r="C1817" s="50" t="s">
        <v>1841</v>
      </c>
      <c r="D1817" s="51" t="s">
        <v>69</v>
      </c>
      <c r="F1817" s="52">
        <f>SUMIF(CPY!$B:$B,Summary!$B1817,CPY!$I:$I)</f>
        <v>0</v>
      </c>
    </row>
    <row r="1818" spans="1:6" x14ac:dyDescent="0.25">
      <c r="A1818" s="50">
        <f t="shared" si="28"/>
        <v>1816</v>
      </c>
      <c r="B1818" s="50">
        <v>7047</v>
      </c>
      <c r="C1818" s="50" t="s">
        <v>1842</v>
      </c>
      <c r="D1818" s="51" t="s">
        <v>69</v>
      </c>
      <c r="F1818" s="52">
        <f>SUMIF(CPY!$B:$B,Summary!$B1818,CPY!$I:$I)</f>
        <v>0</v>
      </c>
    </row>
    <row r="1819" spans="1:6" x14ac:dyDescent="0.25">
      <c r="A1819" s="50">
        <f t="shared" si="28"/>
        <v>1817</v>
      </c>
      <c r="B1819" s="50">
        <v>7048</v>
      </c>
      <c r="C1819" s="50" t="s">
        <v>1843</v>
      </c>
      <c r="D1819" s="51" t="s">
        <v>69</v>
      </c>
      <c r="F1819" s="52">
        <f>SUMIF(CPY!$B:$B,Summary!$B1819,CPY!$I:$I)</f>
        <v>0</v>
      </c>
    </row>
    <row r="1820" spans="1:6" x14ac:dyDescent="0.25">
      <c r="A1820" s="50">
        <f t="shared" si="28"/>
        <v>1818</v>
      </c>
      <c r="B1820" s="50">
        <v>7049</v>
      </c>
      <c r="C1820" s="50" t="s">
        <v>1844</v>
      </c>
      <c r="D1820" s="51" t="s">
        <v>69</v>
      </c>
      <c r="F1820" s="52">
        <f>SUMIF(CPY!$B:$B,Summary!$B1820,CPY!$I:$I)</f>
        <v>0</v>
      </c>
    </row>
    <row r="1821" spans="1:6" x14ac:dyDescent="0.25">
      <c r="A1821" s="50">
        <f t="shared" si="28"/>
        <v>1819</v>
      </c>
      <c r="B1821" s="50">
        <v>7051</v>
      </c>
      <c r="C1821" s="50" t="s">
        <v>1845</v>
      </c>
      <c r="D1821" s="51" t="s">
        <v>841</v>
      </c>
      <c r="F1821" s="52">
        <f>SUMIF(CPY!$B:$B,Summary!$B1821,CPY!$I:$I)</f>
        <v>0</v>
      </c>
    </row>
    <row r="1822" spans="1:6" x14ac:dyDescent="0.25">
      <c r="A1822" s="50">
        <f t="shared" si="28"/>
        <v>1820</v>
      </c>
      <c r="B1822" s="50">
        <v>7053</v>
      </c>
      <c r="C1822" s="50" t="s">
        <v>1846</v>
      </c>
      <c r="D1822" s="51" t="s">
        <v>841</v>
      </c>
      <c r="F1822" s="52">
        <f>SUMIF(CPY!$B:$B,Summary!$B1822,CPY!$I:$I)</f>
        <v>0</v>
      </c>
    </row>
    <row r="1823" spans="1:6" x14ac:dyDescent="0.25">
      <c r="A1823" s="50">
        <f t="shared" si="28"/>
        <v>1821</v>
      </c>
      <c r="B1823" s="50">
        <v>7054</v>
      </c>
      <c r="C1823" s="50" t="s">
        <v>557</v>
      </c>
      <c r="D1823" s="51" t="s">
        <v>841</v>
      </c>
      <c r="F1823" s="52">
        <f>SUMIF(CPY!$B:$B,Summary!$B1823,CPY!$I:$I)</f>
        <v>0</v>
      </c>
    </row>
    <row r="1824" spans="1:6" x14ac:dyDescent="0.25">
      <c r="A1824" s="50">
        <f t="shared" si="28"/>
        <v>1822</v>
      </c>
      <c r="B1824" s="50">
        <v>7055</v>
      </c>
      <c r="C1824" s="50" t="s">
        <v>1847</v>
      </c>
      <c r="D1824" s="51" t="s">
        <v>841</v>
      </c>
      <c r="F1824" s="52">
        <f>SUMIF(CPY!$B:$B,Summary!$B1824,CPY!$I:$I)</f>
        <v>0</v>
      </c>
    </row>
    <row r="1825" spans="1:6" x14ac:dyDescent="0.25">
      <c r="A1825" s="50">
        <f t="shared" si="28"/>
        <v>1823</v>
      </c>
      <c r="B1825" s="50">
        <v>7056</v>
      </c>
      <c r="C1825" s="50" t="s">
        <v>1848</v>
      </c>
      <c r="D1825" s="51" t="s">
        <v>841</v>
      </c>
      <c r="F1825" s="52">
        <f>SUMIF(CPY!$B:$B,Summary!$B1825,CPY!$I:$I)</f>
        <v>0</v>
      </c>
    </row>
    <row r="1826" spans="1:6" x14ac:dyDescent="0.25">
      <c r="A1826" s="50">
        <f t="shared" si="28"/>
        <v>1824</v>
      </c>
      <c r="B1826" s="50">
        <v>7057</v>
      </c>
      <c r="C1826" s="50" t="s">
        <v>1849</v>
      </c>
      <c r="D1826" s="51" t="s">
        <v>841</v>
      </c>
      <c r="F1826" s="52">
        <f>SUMIF(CPY!$B:$B,Summary!$B1826,CPY!$I:$I)</f>
        <v>0</v>
      </c>
    </row>
    <row r="1827" spans="1:6" x14ac:dyDescent="0.25">
      <c r="A1827" s="50">
        <f t="shared" si="28"/>
        <v>1825</v>
      </c>
      <c r="B1827" s="50">
        <v>7058</v>
      </c>
      <c r="C1827" s="50" t="s">
        <v>1850</v>
      </c>
      <c r="D1827" s="51" t="s">
        <v>841</v>
      </c>
      <c r="F1827" s="52">
        <f>SUMIF(CPY!$B:$B,Summary!$B1827,CPY!$I:$I)</f>
        <v>0</v>
      </c>
    </row>
    <row r="1828" spans="1:6" x14ac:dyDescent="0.25">
      <c r="A1828" s="50">
        <f t="shared" si="28"/>
        <v>1826</v>
      </c>
      <c r="B1828" s="50">
        <v>7059</v>
      </c>
      <c r="C1828" s="50" t="s">
        <v>1851</v>
      </c>
      <c r="D1828" s="51" t="s">
        <v>841</v>
      </c>
      <c r="F1828" s="52">
        <f>SUMIF(CPY!$B:$B,Summary!$B1828,CPY!$I:$I)</f>
        <v>0</v>
      </c>
    </row>
    <row r="1829" spans="1:6" x14ac:dyDescent="0.25">
      <c r="A1829" s="50">
        <f t="shared" si="28"/>
        <v>1827</v>
      </c>
      <c r="B1829" s="50">
        <v>7060</v>
      </c>
      <c r="C1829" s="50" t="s">
        <v>1852</v>
      </c>
      <c r="D1829" s="51" t="s">
        <v>841</v>
      </c>
      <c r="F1829" s="52">
        <f>SUMIF(CPY!$B:$B,Summary!$B1829,CPY!$I:$I)</f>
        <v>0</v>
      </c>
    </row>
    <row r="1830" spans="1:6" x14ac:dyDescent="0.25">
      <c r="A1830" s="50">
        <f t="shared" si="28"/>
        <v>1828</v>
      </c>
      <c r="B1830" s="50">
        <v>7061</v>
      </c>
      <c r="C1830" s="50" t="s">
        <v>1853</v>
      </c>
      <c r="D1830" s="51" t="s">
        <v>841</v>
      </c>
      <c r="F1830" s="52">
        <f>SUMIF(CPY!$B:$B,Summary!$B1830,CPY!$I:$I)</f>
        <v>0</v>
      </c>
    </row>
    <row r="1831" spans="1:6" x14ac:dyDescent="0.25">
      <c r="A1831" s="50">
        <f t="shared" si="28"/>
        <v>1829</v>
      </c>
      <c r="B1831" s="50">
        <v>7062</v>
      </c>
      <c r="C1831" s="50" t="s">
        <v>1854</v>
      </c>
      <c r="D1831" s="51" t="s">
        <v>841</v>
      </c>
      <c r="F1831" s="52">
        <f>SUMIF(CPY!$B:$B,Summary!$B1831,CPY!$I:$I)</f>
        <v>0</v>
      </c>
    </row>
    <row r="1832" spans="1:6" x14ac:dyDescent="0.25">
      <c r="A1832" s="50">
        <f t="shared" si="28"/>
        <v>1830</v>
      </c>
      <c r="B1832" s="50">
        <v>7063</v>
      </c>
      <c r="C1832" s="50" t="s">
        <v>1855</v>
      </c>
      <c r="D1832" s="51" t="s">
        <v>841</v>
      </c>
      <c r="F1832" s="52">
        <f>SUMIF(CPY!$B:$B,Summary!$B1832,CPY!$I:$I)</f>
        <v>0</v>
      </c>
    </row>
    <row r="1833" spans="1:6" x14ac:dyDescent="0.25">
      <c r="A1833" s="50">
        <f t="shared" si="28"/>
        <v>1831</v>
      </c>
      <c r="B1833" s="50">
        <v>7064</v>
      </c>
      <c r="C1833" s="50" t="s">
        <v>1856</v>
      </c>
      <c r="D1833" s="51" t="s">
        <v>841</v>
      </c>
      <c r="F1833" s="52">
        <f>SUMIF(CPY!$B:$B,Summary!$B1833,CPY!$I:$I)</f>
        <v>0</v>
      </c>
    </row>
    <row r="1834" spans="1:6" x14ac:dyDescent="0.25">
      <c r="A1834" s="50">
        <f t="shared" si="28"/>
        <v>1832</v>
      </c>
      <c r="B1834" s="50">
        <v>7065</v>
      </c>
      <c r="C1834" s="50" t="s">
        <v>1857</v>
      </c>
      <c r="D1834" s="51" t="s">
        <v>841</v>
      </c>
      <c r="F1834" s="52">
        <f>SUMIF(CPY!$B:$B,Summary!$B1834,CPY!$I:$I)</f>
        <v>0</v>
      </c>
    </row>
    <row r="1835" spans="1:6" x14ac:dyDescent="0.25">
      <c r="A1835" s="50">
        <f t="shared" si="28"/>
        <v>1833</v>
      </c>
      <c r="B1835" s="50">
        <v>7066</v>
      </c>
      <c r="C1835" s="50" t="s">
        <v>1858</v>
      </c>
      <c r="D1835" s="51" t="s">
        <v>841</v>
      </c>
      <c r="F1835" s="52">
        <f>SUMIF(CPY!$B:$B,Summary!$B1835,CPY!$I:$I)</f>
        <v>0</v>
      </c>
    </row>
    <row r="1836" spans="1:6" x14ac:dyDescent="0.25">
      <c r="A1836" s="50">
        <f t="shared" si="28"/>
        <v>1834</v>
      </c>
      <c r="B1836" s="50">
        <v>7068</v>
      </c>
      <c r="C1836" s="50" t="s">
        <v>1859</v>
      </c>
      <c r="D1836" s="51" t="s">
        <v>841</v>
      </c>
      <c r="F1836" s="52">
        <f>SUMIF(CPY!$B:$B,Summary!$B1836,CPY!$I:$I)</f>
        <v>0</v>
      </c>
    </row>
    <row r="1837" spans="1:6" x14ac:dyDescent="0.25">
      <c r="A1837" s="50">
        <f t="shared" si="28"/>
        <v>1835</v>
      </c>
      <c r="B1837" s="50">
        <v>7069</v>
      </c>
      <c r="C1837" s="50" t="s">
        <v>1860</v>
      </c>
      <c r="D1837" s="51" t="s">
        <v>841</v>
      </c>
      <c r="F1837" s="52">
        <f>SUMIF(CPY!$B:$B,Summary!$B1837,CPY!$I:$I)</f>
        <v>0</v>
      </c>
    </row>
    <row r="1838" spans="1:6" x14ac:dyDescent="0.25">
      <c r="A1838" s="50">
        <f t="shared" si="28"/>
        <v>1836</v>
      </c>
      <c r="B1838" s="50">
        <v>7070</v>
      </c>
      <c r="C1838" s="50" t="s">
        <v>1861</v>
      </c>
      <c r="D1838" s="51" t="s">
        <v>841</v>
      </c>
      <c r="F1838" s="52">
        <f>SUMIF(CPY!$B:$B,Summary!$B1838,CPY!$I:$I)</f>
        <v>0</v>
      </c>
    </row>
    <row r="1839" spans="1:6" x14ac:dyDescent="0.25">
      <c r="A1839" s="50">
        <f t="shared" si="28"/>
        <v>1837</v>
      </c>
      <c r="B1839" s="50">
        <v>7071</v>
      </c>
      <c r="C1839" s="50" t="s">
        <v>1862</v>
      </c>
      <c r="D1839" s="51" t="s">
        <v>841</v>
      </c>
      <c r="F1839" s="52">
        <f>SUMIF(CPY!$B:$B,Summary!$B1839,CPY!$I:$I)</f>
        <v>0</v>
      </c>
    </row>
    <row r="1840" spans="1:6" x14ac:dyDescent="0.25">
      <c r="A1840" s="50">
        <f t="shared" si="28"/>
        <v>1838</v>
      </c>
      <c r="B1840" s="50">
        <v>7072</v>
      </c>
      <c r="C1840" s="50" t="s">
        <v>1863</v>
      </c>
      <c r="D1840" s="51" t="s">
        <v>841</v>
      </c>
      <c r="F1840" s="52">
        <f>SUMIF(CPY!$B:$B,Summary!$B1840,CPY!$I:$I)</f>
        <v>0</v>
      </c>
    </row>
    <row r="1841" spans="1:6" x14ac:dyDescent="0.25">
      <c r="A1841" s="50">
        <f t="shared" si="28"/>
        <v>1839</v>
      </c>
      <c r="B1841" s="50">
        <v>7074</v>
      </c>
      <c r="C1841" s="50" t="s">
        <v>1864</v>
      </c>
      <c r="D1841" s="51" t="s">
        <v>841</v>
      </c>
      <c r="F1841" s="52">
        <f>SUMIF(CPY!$B:$B,Summary!$B1841,CPY!$I:$I)</f>
        <v>0</v>
      </c>
    </row>
    <row r="1842" spans="1:6" x14ac:dyDescent="0.25">
      <c r="A1842" s="50">
        <f t="shared" si="28"/>
        <v>1840</v>
      </c>
      <c r="B1842" s="50">
        <v>7075</v>
      </c>
      <c r="C1842" s="50" t="s">
        <v>1865</v>
      </c>
      <c r="D1842" s="51" t="s">
        <v>841</v>
      </c>
      <c r="F1842" s="52">
        <f>SUMIF(CPY!$B:$B,Summary!$B1842,CPY!$I:$I)</f>
        <v>0</v>
      </c>
    </row>
    <row r="1843" spans="1:6" x14ac:dyDescent="0.25">
      <c r="A1843" s="50">
        <f t="shared" si="28"/>
        <v>1841</v>
      </c>
      <c r="B1843" s="50">
        <v>7076</v>
      </c>
      <c r="C1843" s="50" t="s">
        <v>1866</v>
      </c>
      <c r="D1843" s="51" t="s">
        <v>841</v>
      </c>
      <c r="F1843" s="52">
        <f>SUMIF(CPY!$B:$B,Summary!$B1843,CPY!$I:$I)</f>
        <v>0</v>
      </c>
    </row>
    <row r="1844" spans="1:6" x14ac:dyDescent="0.25">
      <c r="A1844" s="50">
        <f t="shared" si="28"/>
        <v>1842</v>
      </c>
      <c r="B1844" s="50">
        <v>7077</v>
      </c>
      <c r="C1844" s="50" t="s">
        <v>1867</v>
      </c>
      <c r="D1844" s="51" t="s">
        <v>841</v>
      </c>
      <c r="F1844" s="52">
        <f>SUMIF(CPY!$B:$B,Summary!$B1844,CPY!$I:$I)</f>
        <v>0</v>
      </c>
    </row>
    <row r="1845" spans="1:6" x14ac:dyDescent="0.25">
      <c r="A1845" s="50">
        <f t="shared" si="28"/>
        <v>1843</v>
      </c>
      <c r="B1845" s="50">
        <v>7078</v>
      </c>
      <c r="C1845" s="50" t="s">
        <v>1868</v>
      </c>
      <c r="D1845" s="51" t="s">
        <v>841</v>
      </c>
      <c r="F1845" s="52">
        <f>SUMIF(CPY!$B:$B,Summary!$B1845,CPY!$I:$I)</f>
        <v>0</v>
      </c>
    </row>
    <row r="1846" spans="1:6" x14ac:dyDescent="0.25">
      <c r="A1846" s="50">
        <f t="shared" si="28"/>
        <v>1844</v>
      </c>
      <c r="B1846" s="50">
        <v>7079</v>
      </c>
      <c r="C1846" s="50" t="s">
        <v>1869</v>
      </c>
      <c r="D1846" s="51" t="s">
        <v>841</v>
      </c>
      <c r="F1846" s="52">
        <f>SUMIF(CPY!$B:$B,Summary!$B1846,CPY!$I:$I)</f>
        <v>0</v>
      </c>
    </row>
    <row r="1847" spans="1:6" x14ac:dyDescent="0.25">
      <c r="A1847" s="50">
        <f t="shared" si="28"/>
        <v>1845</v>
      </c>
      <c r="B1847" s="50">
        <v>7080</v>
      </c>
      <c r="C1847" s="50" t="s">
        <v>1870</v>
      </c>
      <c r="D1847" s="51" t="s">
        <v>841</v>
      </c>
      <c r="F1847" s="52">
        <f>SUMIF(CPY!$B:$B,Summary!$B1847,CPY!$I:$I)</f>
        <v>0</v>
      </c>
    </row>
    <row r="1848" spans="1:6" x14ac:dyDescent="0.25">
      <c r="A1848" s="50">
        <f t="shared" si="28"/>
        <v>1846</v>
      </c>
      <c r="B1848" s="50">
        <v>7081</v>
      </c>
      <c r="C1848" s="50" t="s">
        <v>1871</v>
      </c>
      <c r="D1848" s="51" t="s">
        <v>841</v>
      </c>
      <c r="F1848" s="52">
        <f>SUMIF(CPY!$B:$B,Summary!$B1848,CPY!$I:$I)</f>
        <v>0</v>
      </c>
    </row>
    <row r="1849" spans="1:6" x14ac:dyDescent="0.25">
      <c r="A1849" s="50">
        <f t="shared" si="28"/>
        <v>1847</v>
      </c>
      <c r="B1849" s="50">
        <v>7082</v>
      </c>
      <c r="C1849" s="50" t="s">
        <v>1872</v>
      </c>
      <c r="D1849" s="51" t="s">
        <v>841</v>
      </c>
      <c r="F1849" s="52">
        <f>SUMIF(CPY!$B:$B,Summary!$B1849,CPY!$I:$I)</f>
        <v>0</v>
      </c>
    </row>
    <row r="1850" spans="1:6" x14ac:dyDescent="0.25">
      <c r="A1850" s="50">
        <f t="shared" si="28"/>
        <v>1848</v>
      </c>
      <c r="B1850" s="50">
        <v>7083</v>
      </c>
      <c r="C1850" s="50" t="s">
        <v>1873</v>
      </c>
      <c r="D1850" s="51" t="s">
        <v>841</v>
      </c>
      <c r="F1850" s="52">
        <f>SUMIF(CPY!$B:$B,Summary!$B1850,CPY!$I:$I)</f>
        <v>0</v>
      </c>
    </row>
    <row r="1851" spans="1:6" x14ac:dyDescent="0.25">
      <c r="A1851" s="50">
        <f t="shared" si="28"/>
        <v>1849</v>
      </c>
      <c r="B1851" s="50">
        <v>7084</v>
      </c>
      <c r="C1851" s="50" t="s">
        <v>1874</v>
      </c>
      <c r="D1851" s="51" t="s">
        <v>841</v>
      </c>
      <c r="F1851" s="52">
        <f>SUMIF(CPY!$B:$B,Summary!$B1851,CPY!$I:$I)</f>
        <v>0</v>
      </c>
    </row>
    <row r="1852" spans="1:6" x14ac:dyDescent="0.25">
      <c r="A1852" s="50">
        <f t="shared" si="28"/>
        <v>1850</v>
      </c>
      <c r="B1852" s="50">
        <v>7085</v>
      </c>
      <c r="C1852" s="50" t="s">
        <v>1875</v>
      </c>
      <c r="D1852" s="51" t="s">
        <v>841</v>
      </c>
      <c r="F1852" s="52">
        <f>SUMIF(CPY!$B:$B,Summary!$B1852,CPY!$I:$I)</f>
        <v>0</v>
      </c>
    </row>
    <row r="1853" spans="1:6" x14ac:dyDescent="0.25">
      <c r="A1853" s="50">
        <f t="shared" si="28"/>
        <v>1851</v>
      </c>
      <c r="B1853" s="50">
        <v>7086</v>
      </c>
      <c r="C1853" s="50" t="s">
        <v>1876</v>
      </c>
      <c r="D1853" s="51" t="s">
        <v>841</v>
      </c>
      <c r="F1853" s="52">
        <f>SUMIF(CPY!$B:$B,Summary!$B1853,CPY!$I:$I)</f>
        <v>0</v>
      </c>
    </row>
    <row r="1854" spans="1:6" x14ac:dyDescent="0.25">
      <c r="A1854" s="50">
        <f t="shared" si="28"/>
        <v>1852</v>
      </c>
      <c r="B1854" s="50">
        <v>7087</v>
      </c>
      <c r="C1854" s="50" t="s">
        <v>1877</v>
      </c>
      <c r="D1854" s="51" t="s">
        <v>841</v>
      </c>
      <c r="F1854" s="52">
        <f>SUMIF(CPY!$B:$B,Summary!$B1854,CPY!$I:$I)</f>
        <v>0</v>
      </c>
    </row>
    <row r="1855" spans="1:6" x14ac:dyDescent="0.25">
      <c r="A1855" s="50">
        <f t="shared" si="28"/>
        <v>1853</v>
      </c>
      <c r="B1855" s="50">
        <v>7088</v>
      </c>
      <c r="C1855" s="50" t="s">
        <v>1878</v>
      </c>
      <c r="D1855" s="51" t="s">
        <v>841</v>
      </c>
      <c r="F1855" s="52">
        <f>SUMIF(CPY!$B:$B,Summary!$B1855,CPY!$I:$I)</f>
        <v>0</v>
      </c>
    </row>
    <row r="1856" spans="1:6" x14ac:dyDescent="0.25">
      <c r="A1856" s="50">
        <f t="shared" si="28"/>
        <v>1854</v>
      </c>
      <c r="B1856" s="50">
        <v>7089</v>
      </c>
      <c r="C1856" s="50" t="s">
        <v>1879</v>
      </c>
      <c r="D1856" s="51" t="s">
        <v>841</v>
      </c>
      <c r="F1856" s="52">
        <f>SUMIF(CPY!$B:$B,Summary!$B1856,CPY!$I:$I)</f>
        <v>0</v>
      </c>
    </row>
    <row r="1857" spans="1:6" x14ac:dyDescent="0.25">
      <c r="A1857" s="50">
        <f t="shared" si="28"/>
        <v>1855</v>
      </c>
      <c r="B1857" s="50">
        <v>7090</v>
      </c>
      <c r="C1857" s="50" t="s">
        <v>1880</v>
      </c>
      <c r="D1857" s="51" t="s">
        <v>841</v>
      </c>
      <c r="F1857" s="52">
        <f>SUMIF(CPY!$B:$B,Summary!$B1857,CPY!$I:$I)</f>
        <v>0</v>
      </c>
    </row>
    <row r="1858" spans="1:6" x14ac:dyDescent="0.25">
      <c r="A1858" s="50">
        <f t="shared" si="28"/>
        <v>1856</v>
      </c>
      <c r="B1858" s="50">
        <v>7092</v>
      </c>
      <c r="C1858" s="50" t="s">
        <v>1881</v>
      </c>
      <c r="D1858" s="51" t="s">
        <v>841</v>
      </c>
      <c r="F1858" s="52">
        <f>SUMIF(CPY!$B:$B,Summary!$B1858,CPY!$I:$I)</f>
        <v>0</v>
      </c>
    </row>
    <row r="1859" spans="1:6" x14ac:dyDescent="0.25">
      <c r="A1859" s="50">
        <f t="shared" si="28"/>
        <v>1857</v>
      </c>
      <c r="B1859" s="50">
        <v>7093</v>
      </c>
      <c r="C1859" s="50" t="s">
        <v>1882</v>
      </c>
      <c r="D1859" s="51" t="s">
        <v>841</v>
      </c>
      <c r="F1859" s="52">
        <f>SUMIF(CPY!$B:$B,Summary!$B1859,CPY!$I:$I)</f>
        <v>0</v>
      </c>
    </row>
    <row r="1860" spans="1:6" x14ac:dyDescent="0.25">
      <c r="A1860" s="50">
        <f t="shared" si="28"/>
        <v>1858</v>
      </c>
      <c r="B1860" s="50">
        <v>7095</v>
      </c>
      <c r="C1860" s="50" t="s">
        <v>1883</v>
      </c>
      <c r="D1860" s="51" t="s">
        <v>841</v>
      </c>
      <c r="F1860" s="52">
        <f>SUMIF(CPY!$B:$B,Summary!$B1860,CPY!$I:$I)</f>
        <v>0</v>
      </c>
    </row>
    <row r="1861" spans="1:6" x14ac:dyDescent="0.25">
      <c r="A1861" s="50">
        <f t="shared" ref="A1861:A1924" si="29">+A1860+1</f>
        <v>1859</v>
      </c>
      <c r="B1861" s="50">
        <v>7096</v>
      </c>
      <c r="C1861" s="50" t="s">
        <v>1884</v>
      </c>
      <c r="D1861" s="51" t="s">
        <v>841</v>
      </c>
      <c r="F1861" s="52">
        <f>SUMIF(CPY!$B:$B,Summary!$B1861,CPY!$I:$I)</f>
        <v>0</v>
      </c>
    </row>
    <row r="1862" spans="1:6" x14ac:dyDescent="0.25">
      <c r="A1862" s="50">
        <f t="shared" si="29"/>
        <v>1860</v>
      </c>
      <c r="B1862" s="50">
        <v>7097</v>
      </c>
      <c r="C1862" s="50" t="s">
        <v>1885</v>
      </c>
      <c r="D1862" s="51" t="s">
        <v>841</v>
      </c>
      <c r="F1862" s="52">
        <f>SUMIF(CPY!$B:$B,Summary!$B1862,CPY!$I:$I)</f>
        <v>0</v>
      </c>
    </row>
    <row r="1863" spans="1:6" x14ac:dyDescent="0.25">
      <c r="A1863" s="50">
        <f t="shared" si="29"/>
        <v>1861</v>
      </c>
      <c r="B1863" s="50">
        <v>7098</v>
      </c>
      <c r="C1863" s="50" t="s">
        <v>1886</v>
      </c>
      <c r="D1863" s="51" t="s">
        <v>841</v>
      </c>
      <c r="F1863" s="52">
        <f>SUMIF(CPY!$B:$B,Summary!$B1863,CPY!$I:$I)</f>
        <v>0</v>
      </c>
    </row>
    <row r="1864" spans="1:6" x14ac:dyDescent="0.25">
      <c r="A1864" s="50">
        <f t="shared" si="29"/>
        <v>1862</v>
      </c>
      <c r="B1864" s="50">
        <v>7099</v>
      </c>
      <c r="C1864" s="50" t="s">
        <v>1887</v>
      </c>
      <c r="D1864" s="51" t="s">
        <v>841</v>
      </c>
      <c r="F1864" s="52">
        <f>SUMIF(CPY!$B:$B,Summary!$B1864,CPY!$I:$I)</f>
        <v>0</v>
      </c>
    </row>
    <row r="1865" spans="1:6" x14ac:dyDescent="0.25">
      <c r="A1865" s="50">
        <f t="shared" si="29"/>
        <v>1863</v>
      </c>
      <c r="B1865" s="50">
        <v>7100</v>
      </c>
      <c r="C1865" s="50" t="s">
        <v>1888</v>
      </c>
      <c r="D1865" s="51" t="s">
        <v>841</v>
      </c>
      <c r="F1865" s="52">
        <f>SUMIF(CPY!$B:$B,Summary!$B1865,CPY!$I:$I)</f>
        <v>0</v>
      </c>
    </row>
    <row r="1866" spans="1:6" x14ac:dyDescent="0.25">
      <c r="A1866" s="50">
        <f t="shared" si="29"/>
        <v>1864</v>
      </c>
      <c r="B1866" s="50">
        <v>7102</v>
      </c>
      <c r="C1866" s="50" t="s">
        <v>1889</v>
      </c>
      <c r="D1866" s="51" t="s">
        <v>841</v>
      </c>
      <c r="F1866" s="52">
        <f>SUMIF(CPY!$B:$B,Summary!$B1866,CPY!$I:$I)</f>
        <v>0</v>
      </c>
    </row>
    <row r="1867" spans="1:6" x14ac:dyDescent="0.25">
      <c r="A1867" s="50">
        <f t="shared" si="29"/>
        <v>1865</v>
      </c>
      <c r="B1867" s="50">
        <v>7103</v>
      </c>
      <c r="C1867" s="50" t="s">
        <v>1890</v>
      </c>
      <c r="D1867" s="51" t="s">
        <v>841</v>
      </c>
      <c r="F1867" s="52">
        <f>SUMIF(CPY!$B:$B,Summary!$B1867,CPY!$I:$I)</f>
        <v>0</v>
      </c>
    </row>
    <row r="1868" spans="1:6" x14ac:dyDescent="0.25">
      <c r="A1868" s="50">
        <f t="shared" si="29"/>
        <v>1866</v>
      </c>
      <c r="B1868" s="50">
        <v>7104</v>
      </c>
      <c r="C1868" s="50" t="s">
        <v>1891</v>
      </c>
      <c r="D1868" s="51" t="s">
        <v>841</v>
      </c>
      <c r="F1868" s="52">
        <f>SUMIF(CPY!$B:$B,Summary!$B1868,CPY!$I:$I)</f>
        <v>0</v>
      </c>
    </row>
    <row r="1869" spans="1:6" x14ac:dyDescent="0.25">
      <c r="A1869" s="50">
        <f t="shared" si="29"/>
        <v>1867</v>
      </c>
      <c r="B1869" s="50">
        <v>7105</v>
      </c>
      <c r="C1869" s="50" t="s">
        <v>1892</v>
      </c>
      <c r="D1869" s="51" t="s">
        <v>841</v>
      </c>
      <c r="F1869" s="52">
        <f>SUMIF(CPY!$B:$B,Summary!$B1869,CPY!$I:$I)</f>
        <v>0</v>
      </c>
    </row>
    <row r="1870" spans="1:6" x14ac:dyDescent="0.25">
      <c r="A1870" s="50">
        <f t="shared" si="29"/>
        <v>1868</v>
      </c>
      <c r="B1870" s="50">
        <v>7106</v>
      </c>
      <c r="C1870" s="50" t="s">
        <v>1893</v>
      </c>
      <c r="D1870" s="51" t="s">
        <v>841</v>
      </c>
      <c r="F1870" s="52">
        <f>SUMIF(CPY!$B:$B,Summary!$B1870,CPY!$I:$I)</f>
        <v>0</v>
      </c>
    </row>
    <row r="1871" spans="1:6" x14ac:dyDescent="0.25">
      <c r="A1871" s="50">
        <f t="shared" si="29"/>
        <v>1869</v>
      </c>
      <c r="B1871" s="50">
        <v>7107</v>
      </c>
      <c r="C1871" s="50" t="s">
        <v>1894</v>
      </c>
      <c r="D1871" s="51" t="s">
        <v>841</v>
      </c>
      <c r="F1871" s="52">
        <f>SUMIF(CPY!$B:$B,Summary!$B1871,CPY!$I:$I)</f>
        <v>0</v>
      </c>
    </row>
    <row r="1872" spans="1:6" x14ac:dyDescent="0.25">
      <c r="A1872" s="50">
        <f t="shared" si="29"/>
        <v>1870</v>
      </c>
      <c r="B1872" s="50">
        <v>7108</v>
      </c>
      <c r="C1872" s="50" t="s">
        <v>1895</v>
      </c>
      <c r="D1872" s="51" t="s">
        <v>841</v>
      </c>
      <c r="F1872" s="52">
        <f>SUMIF(CPY!$B:$B,Summary!$B1872,CPY!$I:$I)</f>
        <v>0</v>
      </c>
    </row>
    <row r="1873" spans="1:6" x14ac:dyDescent="0.25">
      <c r="A1873" s="50">
        <f t="shared" si="29"/>
        <v>1871</v>
      </c>
      <c r="B1873" s="50">
        <v>7109</v>
      </c>
      <c r="C1873" s="50" t="s">
        <v>1896</v>
      </c>
      <c r="D1873" s="51" t="s">
        <v>841</v>
      </c>
      <c r="F1873" s="52">
        <f>SUMIF(CPY!$B:$B,Summary!$B1873,CPY!$I:$I)</f>
        <v>0</v>
      </c>
    </row>
    <row r="1874" spans="1:6" x14ac:dyDescent="0.25">
      <c r="A1874" s="50">
        <f t="shared" si="29"/>
        <v>1872</v>
      </c>
      <c r="B1874" s="50">
        <v>7110</v>
      </c>
      <c r="C1874" s="50" t="s">
        <v>1897</v>
      </c>
      <c r="D1874" s="51" t="s">
        <v>841</v>
      </c>
      <c r="F1874" s="52">
        <f>SUMIF(CPY!$B:$B,Summary!$B1874,CPY!$I:$I)</f>
        <v>0</v>
      </c>
    </row>
    <row r="1875" spans="1:6" x14ac:dyDescent="0.25">
      <c r="A1875" s="50">
        <f t="shared" si="29"/>
        <v>1873</v>
      </c>
      <c r="B1875" s="50">
        <v>7111</v>
      </c>
      <c r="C1875" s="50" t="s">
        <v>1898</v>
      </c>
      <c r="D1875" s="51" t="s">
        <v>841</v>
      </c>
      <c r="F1875" s="52">
        <f>SUMIF(CPY!$B:$B,Summary!$B1875,CPY!$I:$I)</f>
        <v>0</v>
      </c>
    </row>
    <row r="1876" spans="1:6" x14ac:dyDescent="0.25">
      <c r="A1876" s="50">
        <f t="shared" si="29"/>
        <v>1874</v>
      </c>
      <c r="B1876" s="50">
        <v>7112</v>
      </c>
      <c r="C1876" s="50" t="s">
        <v>1899</v>
      </c>
      <c r="D1876" s="51" t="s">
        <v>841</v>
      </c>
      <c r="F1876" s="52">
        <f>SUMIF(CPY!$B:$B,Summary!$B1876,CPY!$I:$I)</f>
        <v>0</v>
      </c>
    </row>
    <row r="1877" spans="1:6" x14ac:dyDescent="0.25">
      <c r="A1877" s="50">
        <f t="shared" si="29"/>
        <v>1875</v>
      </c>
      <c r="B1877" s="50">
        <v>7113</v>
      </c>
      <c r="C1877" s="50" t="s">
        <v>1900</v>
      </c>
      <c r="D1877" s="51" t="s">
        <v>841</v>
      </c>
      <c r="F1877" s="52">
        <f>SUMIF(CPY!$B:$B,Summary!$B1877,CPY!$I:$I)</f>
        <v>0</v>
      </c>
    </row>
    <row r="1878" spans="1:6" x14ac:dyDescent="0.25">
      <c r="A1878" s="50">
        <f t="shared" si="29"/>
        <v>1876</v>
      </c>
      <c r="B1878" s="50">
        <v>7117</v>
      </c>
      <c r="C1878" s="50" t="s">
        <v>1901</v>
      </c>
      <c r="D1878" s="51" t="s">
        <v>841</v>
      </c>
      <c r="F1878" s="52">
        <f>SUMIF(CPY!$B:$B,Summary!$B1878,CPY!$I:$I)</f>
        <v>0</v>
      </c>
    </row>
    <row r="1879" spans="1:6" x14ac:dyDescent="0.25">
      <c r="A1879" s="50">
        <f t="shared" si="29"/>
        <v>1877</v>
      </c>
      <c r="B1879" s="50">
        <v>7118</v>
      </c>
      <c r="C1879" s="50" t="s">
        <v>1902</v>
      </c>
      <c r="D1879" s="51" t="s">
        <v>841</v>
      </c>
      <c r="F1879" s="52">
        <f>SUMIF(CPY!$B:$B,Summary!$B1879,CPY!$I:$I)</f>
        <v>0</v>
      </c>
    </row>
    <row r="1880" spans="1:6" x14ac:dyDescent="0.25">
      <c r="A1880" s="50">
        <f t="shared" si="29"/>
        <v>1878</v>
      </c>
      <c r="B1880" s="50">
        <v>7119</v>
      </c>
      <c r="C1880" s="50" t="s">
        <v>1903</v>
      </c>
      <c r="D1880" s="51" t="s">
        <v>841</v>
      </c>
      <c r="F1880" s="52">
        <f>SUMIF(CPY!$B:$B,Summary!$B1880,CPY!$I:$I)</f>
        <v>0</v>
      </c>
    </row>
    <row r="1881" spans="1:6" x14ac:dyDescent="0.25">
      <c r="A1881" s="50">
        <f t="shared" si="29"/>
        <v>1879</v>
      </c>
      <c r="B1881" s="50">
        <v>7120</v>
      </c>
      <c r="C1881" s="50" t="s">
        <v>1904</v>
      </c>
      <c r="D1881" s="51" t="s">
        <v>841</v>
      </c>
      <c r="F1881" s="52">
        <f>SUMIF(CPY!$B:$B,Summary!$B1881,CPY!$I:$I)</f>
        <v>0</v>
      </c>
    </row>
    <row r="1882" spans="1:6" x14ac:dyDescent="0.25">
      <c r="A1882" s="50">
        <f t="shared" si="29"/>
        <v>1880</v>
      </c>
      <c r="B1882" s="50">
        <v>7121</v>
      </c>
      <c r="C1882" s="50" t="s">
        <v>1905</v>
      </c>
      <c r="D1882" s="51" t="s">
        <v>841</v>
      </c>
      <c r="F1882" s="52">
        <f>SUMIF(CPY!$B:$B,Summary!$B1882,CPY!$I:$I)</f>
        <v>0</v>
      </c>
    </row>
    <row r="1883" spans="1:6" x14ac:dyDescent="0.25">
      <c r="A1883" s="50">
        <f t="shared" si="29"/>
        <v>1881</v>
      </c>
      <c r="B1883" s="50">
        <v>7122</v>
      </c>
      <c r="C1883" s="50" t="s">
        <v>1906</v>
      </c>
      <c r="D1883" s="51" t="s">
        <v>841</v>
      </c>
      <c r="F1883" s="52">
        <f>SUMIF(CPY!$B:$B,Summary!$B1883,CPY!$I:$I)</f>
        <v>0</v>
      </c>
    </row>
    <row r="1884" spans="1:6" x14ac:dyDescent="0.25">
      <c r="A1884" s="50">
        <f t="shared" si="29"/>
        <v>1882</v>
      </c>
      <c r="B1884" s="50">
        <v>7123</v>
      </c>
      <c r="C1884" s="50" t="s">
        <v>1907</v>
      </c>
      <c r="D1884" s="51" t="s">
        <v>841</v>
      </c>
      <c r="F1884" s="52">
        <f>SUMIF(CPY!$B:$B,Summary!$B1884,CPY!$I:$I)</f>
        <v>0</v>
      </c>
    </row>
    <row r="1885" spans="1:6" x14ac:dyDescent="0.25">
      <c r="A1885" s="50">
        <f t="shared" si="29"/>
        <v>1883</v>
      </c>
      <c r="B1885" s="50">
        <v>7124</v>
      </c>
      <c r="C1885" s="50" t="s">
        <v>1908</v>
      </c>
      <c r="D1885" s="51" t="s">
        <v>841</v>
      </c>
      <c r="F1885" s="52">
        <f>SUMIF(CPY!$B:$B,Summary!$B1885,CPY!$I:$I)</f>
        <v>0</v>
      </c>
    </row>
    <row r="1886" spans="1:6" x14ac:dyDescent="0.25">
      <c r="A1886" s="50">
        <f t="shared" si="29"/>
        <v>1884</v>
      </c>
      <c r="B1886" s="50">
        <v>7125</v>
      </c>
      <c r="C1886" s="50" t="s">
        <v>1909</v>
      </c>
      <c r="D1886" s="51" t="s">
        <v>841</v>
      </c>
      <c r="F1886" s="52">
        <f>SUMIF(CPY!$B:$B,Summary!$B1886,CPY!$I:$I)</f>
        <v>0</v>
      </c>
    </row>
    <row r="1887" spans="1:6" x14ac:dyDescent="0.25">
      <c r="A1887" s="50">
        <f t="shared" si="29"/>
        <v>1885</v>
      </c>
      <c r="B1887" s="50">
        <v>7126</v>
      </c>
      <c r="C1887" s="50" t="s">
        <v>1910</v>
      </c>
      <c r="D1887" s="51" t="s">
        <v>841</v>
      </c>
      <c r="F1887" s="52">
        <f>SUMIF(CPY!$B:$B,Summary!$B1887,CPY!$I:$I)</f>
        <v>0</v>
      </c>
    </row>
    <row r="1888" spans="1:6" x14ac:dyDescent="0.25">
      <c r="A1888" s="50">
        <f t="shared" si="29"/>
        <v>1886</v>
      </c>
      <c r="B1888" s="50">
        <v>7128</v>
      </c>
      <c r="C1888" s="50" t="s">
        <v>1911</v>
      </c>
      <c r="D1888" s="51" t="s">
        <v>841</v>
      </c>
      <c r="F1888" s="52">
        <f>SUMIF(CPY!$B:$B,Summary!$B1888,CPY!$I:$I)</f>
        <v>0</v>
      </c>
    </row>
    <row r="1889" spans="1:6" x14ac:dyDescent="0.25">
      <c r="A1889" s="50">
        <f t="shared" si="29"/>
        <v>1887</v>
      </c>
      <c r="B1889" s="50">
        <v>7129</v>
      </c>
      <c r="C1889" s="50" t="s">
        <v>1912</v>
      </c>
      <c r="D1889" s="51" t="s">
        <v>841</v>
      </c>
      <c r="F1889" s="52">
        <f>SUMIF(CPY!$B:$B,Summary!$B1889,CPY!$I:$I)</f>
        <v>0</v>
      </c>
    </row>
    <row r="1890" spans="1:6" x14ac:dyDescent="0.25">
      <c r="A1890" s="50">
        <f t="shared" si="29"/>
        <v>1888</v>
      </c>
      <c r="B1890" s="50">
        <v>7130</v>
      </c>
      <c r="C1890" s="50" t="s">
        <v>1913</v>
      </c>
      <c r="D1890" s="51" t="s">
        <v>841</v>
      </c>
      <c r="F1890" s="52">
        <f>SUMIF(CPY!$B:$B,Summary!$B1890,CPY!$I:$I)</f>
        <v>0</v>
      </c>
    </row>
    <row r="1891" spans="1:6" x14ac:dyDescent="0.25">
      <c r="A1891" s="50">
        <f t="shared" si="29"/>
        <v>1889</v>
      </c>
      <c r="B1891" s="50">
        <v>7131</v>
      </c>
      <c r="C1891" s="50" t="s">
        <v>1914</v>
      </c>
      <c r="D1891" s="51" t="s">
        <v>841</v>
      </c>
      <c r="F1891" s="52">
        <f>SUMIF(CPY!$B:$B,Summary!$B1891,CPY!$I:$I)</f>
        <v>0</v>
      </c>
    </row>
    <row r="1892" spans="1:6" x14ac:dyDescent="0.25">
      <c r="A1892" s="50">
        <f t="shared" si="29"/>
        <v>1890</v>
      </c>
      <c r="B1892" s="50">
        <v>7132</v>
      </c>
      <c r="C1892" s="50" t="s">
        <v>1915</v>
      </c>
      <c r="D1892" s="51" t="s">
        <v>841</v>
      </c>
      <c r="F1892" s="52">
        <f>SUMIF(CPY!$B:$B,Summary!$B1892,CPY!$I:$I)</f>
        <v>0</v>
      </c>
    </row>
    <row r="1893" spans="1:6" x14ac:dyDescent="0.25">
      <c r="A1893" s="50">
        <f t="shared" si="29"/>
        <v>1891</v>
      </c>
      <c r="B1893" s="50">
        <v>7133</v>
      </c>
      <c r="C1893" s="50" t="s">
        <v>1916</v>
      </c>
      <c r="D1893" s="51" t="s">
        <v>841</v>
      </c>
      <c r="F1893" s="52">
        <f>SUMIF(CPY!$B:$B,Summary!$B1893,CPY!$I:$I)</f>
        <v>0</v>
      </c>
    </row>
    <row r="1894" spans="1:6" x14ac:dyDescent="0.25">
      <c r="A1894" s="50">
        <f t="shared" si="29"/>
        <v>1892</v>
      </c>
      <c r="B1894" s="50">
        <v>7135</v>
      </c>
      <c r="C1894" s="50" t="s">
        <v>1917</v>
      </c>
      <c r="D1894" s="51" t="s">
        <v>841</v>
      </c>
      <c r="F1894" s="52">
        <f>SUMIF(CPY!$B:$B,Summary!$B1894,CPY!$I:$I)</f>
        <v>0</v>
      </c>
    </row>
    <row r="1895" spans="1:6" x14ac:dyDescent="0.25">
      <c r="A1895" s="50">
        <f t="shared" si="29"/>
        <v>1893</v>
      </c>
      <c r="B1895" s="50">
        <v>7136</v>
      </c>
      <c r="C1895" s="50" t="s">
        <v>1918</v>
      </c>
      <c r="D1895" s="51" t="s">
        <v>85</v>
      </c>
      <c r="F1895" s="52">
        <f>SUMIF(CPY!$B:$B,Summary!$B1895,CPY!$I:$I)</f>
        <v>0</v>
      </c>
    </row>
    <row r="1896" spans="1:6" x14ac:dyDescent="0.25">
      <c r="A1896" s="50">
        <f t="shared" si="29"/>
        <v>1894</v>
      </c>
      <c r="B1896" s="50">
        <v>7137</v>
      </c>
      <c r="C1896" s="50" t="s">
        <v>1919</v>
      </c>
      <c r="D1896" s="51" t="s">
        <v>85</v>
      </c>
      <c r="F1896" s="52">
        <f>SUMIF(CPY!$B:$B,Summary!$B1896,CPY!$I:$I)</f>
        <v>0</v>
      </c>
    </row>
    <row r="1897" spans="1:6" x14ac:dyDescent="0.25">
      <c r="A1897" s="50">
        <f t="shared" si="29"/>
        <v>1895</v>
      </c>
      <c r="B1897" s="50">
        <v>7138</v>
      </c>
      <c r="C1897" s="50" t="s">
        <v>1920</v>
      </c>
      <c r="D1897" s="51" t="s">
        <v>69</v>
      </c>
      <c r="F1897" s="52">
        <f>SUMIF(CPY!$B:$B,Summary!$B1897,CPY!$I:$I)</f>
        <v>0</v>
      </c>
    </row>
    <row r="1898" spans="1:6" x14ac:dyDescent="0.25">
      <c r="A1898" s="50">
        <f t="shared" si="29"/>
        <v>1896</v>
      </c>
      <c r="B1898" s="50">
        <v>7139</v>
      </c>
      <c r="C1898" s="50" t="s">
        <v>1921</v>
      </c>
      <c r="D1898" s="51" t="s">
        <v>85</v>
      </c>
      <c r="F1898" s="52">
        <f>SUMIF(CPY!$B:$B,Summary!$B1898,CPY!$I:$I)</f>
        <v>0</v>
      </c>
    </row>
    <row r="1899" spans="1:6" x14ac:dyDescent="0.25">
      <c r="A1899" s="50">
        <f t="shared" si="29"/>
        <v>1897</v>
      </c>
      <c r="B1899" s="50">
        <v>7140</v>
      </c>
      <c r="C1899" s="50" t="s">
        <v>1922</v>
      </c>
      <c r="D1899" s="51" t="s">
        <v>69</v>
      </c>
      <c r="F1899" s="52">
        <f>SUMIF(CPY!$B:$B,Summary!$B1899,CPY!$I:$I)</f>
        <v>0</v>
      </c>
    </row>
    <row r="1900" spans="1:6" x14ac:dyDescent="0.25">
      <c r="A1900" s="50">
        <f t="shared" si="29"/>
        <v>1898</v>
      </c>
      <c r="B1900" s="50">
        <v>7141</v>
      </c>
      <c r="C1900" s="50" t="s">
        <v>1923</v>
      </c>
      <c r="D1900" s="51" t="s">
        <v>69</v>
      </c>
      <c r="F1900" s="52">
        <f>SUMIF(CPY!$B:$B,Summary!$B1900,CPY!$I:$I)</f>
        <v>0</v>
      </c>
    </row>
    <row r="1901" spans="1:6" x14ac:dyDescent="0.25">
      <c r="A1901" s="50">
        <f t="shared" si="29"/>
        <v>1899</v>
      </c>
      <c r="B1901" s="50">
        <v>7142</v>
      </c>
      <c r="C1901" s="50" t="s">
        <v>1924</v>
      </c>
      <c r="D1901" s="51" t="s">
        <v>841</v>
      </c>
      <c r="F1901" s="52">
        <f>SUMIF(CPY!$B:$B,Summary!$B1901,CPY!$I:$I)</f>
        <v>0</v>
      </c>
    </row>
    <row r="1902" spans="1:6" x14ac:dyDescent="0.25">
      <c r="A1902" s="50">
        <f t="shared" si="29"/>
        <v>1900</v>
      </c>
      <c r="B1902" s="50">
        <v>7143</v>
      </c>
      <c r="C1902" s="50" t="s">
        <v>1925</v>
      </c>
      <c r="D1902" s="51" t="s">
        <v>69</v>
      </c>
      <c r="F1902" s="52">
        <f>SUMIF(CPY!$B:$B,Summary!$B1902,CPY!$I:$I)</f>
        <v>0</v>
      </c>
    </row>
    <row r="1903" spans="1:6" x14ac:dyDescent="0.25">
      <c r="A1903" s="50">
        <f t="shared" si="29"/>
        <v>1901</v>
      </c>
      <c r="B1903" s="50">
        <v>7144</v>
      </c>
      <c r="C1903" s="50" t="s">
        <v>1926</v>
      </c>
      <c r="D1903" s="51" t="s">
        <v>85</v>
      </c>
      <c r="F1903" s="52">
        <f>SUMIF(CPY!$B:$B,Summary!$B1903,CPY!$I:$I)</f>
        <v>0</v>
      </c>
    </row>
    <row r="1904" spans="1:6" x14ac:dyDescent="0.25">
      <c r="A1904" s="50">
        <f t="shared" si="29"/>
        <v>1902</v>
      </c>
      <c r="B1904" s="50">
        <v>7145</v>
      </c>
      <c r="C1904" s="50" t="s">
        <v>1927</v>
      </c>
      <c r="D1904" s="51" t="s">
        <v>85</v>
      </c>
      <c r="F1904" s="52">
        <f>SUMIF(CPY!$B:$B,Summary!$B1904,CPY!$I:$I)</f>
        <v>0</v>
      </c>
    </row>
    <row r="1905" spans="1:6" x14ac:dyDescent="0.25">
      <c r="A1905" s="50">
        <f t="shared" si="29"/>
        <v>1903</v>
      </c>
      <c r="B1905" s="50">
        <v>7147</v>
      </c>
      <c r="C1905" s="50" t="s">
        <v>1928</v>
      </c>
      <c r="D1905" s="51" t="s">
        <v>841</v>
      </c>
      <c r="F1905" s="52">
        <f>SUMIF(CPY!$B:$B,Summary!$B1905,CPY!$I:$I)</f>
        <v>0</v>
      </c>
    </row>
    <row r="1906" spans="1:6" x14ac:dyDescent="0.25">
      <c r="A1906" s="50">
        <f t="shared" si="29"/>
        <v>1904</v>
      </c>
      <c r="B1906" s="50">
        <v>7148</v>
      </c>
      <c r="C1906" s="50" t="s">
        <v>1929</v>
      </c>
      <c r="D1906" s="51" t="s">
        <v>51</v>
      </c>
      <c r="F1906" s="52">
        <f>SUMIF(CPY!$B:$B,Summary!$B1906,CPY!$I:$I)</f>
        <v>0</v>
      </c>
    </row>
    <row r="1907" spans="1:6" x14ac:dyDescent="0.25">
      <c r="A1907" s="50">
        <f t="shared" si="29"/>
        <v>1905</v>
      </c>
      <c r="B1907" s="50">
        <v>7149</v>
      </c>
      <c r="C1907" s="50" t="s">
        <v>1930</v>
      </c>
      <c r="D1907" s="51" t="s">
        <v>69</v>
      </c>
      <c r="F1907" s="52">
        <f>SUMIF(CPY!$B:$B,Summary!$B1907,CPY!$I:$I)</f>
        <v>0</v>
      </c>
    </row>
    <row r="1908" spans="1:6" x14ac:dyDescent="0.25">
      <c r="A1908" s="50">
        <f t="shared" si="29"/>
        <v>1906</v>
      </c>
      <c r="B1908" s="50">
        <v>7150</v>
      </c>
      <c r="C1908" s="50" t="s">
        <v>1931</v>
      </c>
      <c r="D1908" s="51" t="s">
        <v>85</v>
      </c>
      <c r="F1908" s="52">
        <f>SUMIF(CPY!$B:$B,Summary!$B1908,CPY!$I:$I)</f>
        <v>0</v>
      </c>
    </row>
    <row r="1909" spans="1:6" x14ac:dyDescent="0.25">
      <c r="A1909" s="50">
        <f t="shared" si="29"/>
        <v>1907</v>
      </c>
      <c r="B1909" s="50">
        <v>7151</v>
      </c>
      <c r="C1909" s="50" t="s">
        <v>1932</v>
      </c>
      <c r="D1909" s="51" t="s">
        <v>841</v>
      </c>
      <c r="F1909" s="52">
        <f>SUMIF(CPY!$B:$B,Summary!$B1909,CPY!$I:$I)</f>
        <v>0</v>
      </c>
    </row>
    <row r="1910" spans="1:6" x14ac:dyDescent="0.25">
      <c r="A1910" s="50">
        <f t="shared" si="29"/>
        <v>1908</v>
      </c>
      <c r="B1910" s="50">
        <v>7152</v>
      </c>
      <c r="C1910" s="50" t="s">
        <v>1933</v>
      </c>
      <c r="D1910" s="51" t="s">
        <v>841</v>
      </c>
      <c r="F1910" s="52">
        <f>SUMIF(CPY!$B:$B,Summary!$B1910,CPY!$I:$I)</f>
        <v>0</v>
      </c>
    </row>
    <row r="1911" spans="1:6" x14ac:dyDescent="0.25">
      <c r="A1911" s="50">
        <f t="shared" si="29"/>
        <v>1909</v>
      </c>
      <c r="B1911" s="50">
        <v>7153</v>
      </c>
      <c r="C1911" s="50" t="s">
        <v>1934</v>
      </c>
      <c r="D1911" s="51" t="s">
        <v>841</v>
      </c>
      <c r="F1911" s="52">
        <f>SUMIF(CPY!$B:$B,Summary!$B1911,CPY!$I:$I)</f>
        <v>0</v>
      </c>
    </row>
    <row r="1912" spans="1:6" x14ac:dyDescent="0.25">
      <c r="A1912" s="50">
        <f t="shared" si="29"/>
        <v>1910</v>
      </c>
      <c r="B1912" s="50">
        <v>7154</v>
      </c>
      <c r="C1912" s="50" t="s">
        <v>1935</v>
      </c>
      <c r="D1912" s="51" t="s">
        <v>841</v>
      </c>
      <c r="F1912" s="52">
        <f>SUMIF(CPY!$B:$B,Summary!$B1912,CPY!$I:$I)</f>
        <v>0</v>
      </c>
    </row>
    <row r="1913" spans="1:6" x14ac:dyDescent="0.25">
      <c r="A1913" s="50">
        <f t="shared" si="29"/>
        <v>1911</v>
      </c>
      <c r="B1913" s="50">
        <v>7155</v>
      </c>
      <c r="C1913" s="50" t="s">
        <v>1936</v>
      </c>
      <c r="D1913" s="51" t="s">
        <v>841</v>
      </c>
      <c r="F1913" s="52">
        <f>SUMIF(CPY!$B:$B,Summary!$B1913,CPY!$I:$I)</f>
        <v>0</v>
      </c>
    </row>
    <row r="1914" spans="1:6" x14ac:dyDescent="0.25">
      <c r="A1914" s="50">
        <f t="shared" si="29"/>
        <v>1912</v>
      </c>
      <c r="B1914" s="50">
        <v>7156</v>
      </c>
      <c r="C1914" s="50" t="s">
        <v>1937</v>
      </c>
      <c r="D1914" s="51" t="s">
        <v>841</v>
      </c>
      <c r="F1914" s="52">
        <f>SUMIF(CPY!$B:$B,Summary!$B1914,CPY!$I:$I)</f>
        <v>0</v>
      </c>
    </row>
    <row r="1915" spans="1:6" x14ac:dyDescent="0.25">
      <c r="A1915" s="50">
        <f t="shared" si="29"/>
        <v>1913</v>
      </c>
      <c r="B1915" s="50">
        <v>7157</v>
      </c>
      <c r="C1915" s="50" t="s">
        <v>1938</v>
      </c>
      <c r="D1915" s="51" t="s">
        <v>841</v>
      </c>
      <c r="F1915" s="52">
        <f>SUMIF(CPY!$B:$B,Summary!$B1915,CPY!$I:$I)</f>
        <v>0</v>
      </c>
    </row>
    <row r="1916" spans="1:6" x14ac:dyDescent="0.25">
      <c r="A1916" s="50">
        <f t="shared" si="29"/>
        <v>1914</v>
      </c>
      <c r="B1916" s="50">
        <v>7158</v>
      </c>
      <c r="C1916" s="50" t="s">
        <v>1939</v>
      </c>
      <c r="D1916" s="51" t="s">
        <v>841</v>
      </c>
      <c r="F1916" s="52">
        <f>SUMIF(CPY!$B:$B,Summary!$B1916,CPY!$I:$I)</f>
        <v>0</v>
      </c>
    </row>
    <row r="1917" spans="1:6" x14ac:dyDescent="0.25">
      <c r="A1917" s="50">
        <f t="shared" si="29"/>
        <v>1915</v>
      </c>
      <c r="B1917" s="50">
        <v>7159</v>
      </c>
      <c r="C1917" s="50" t="s">
        <v>1940</v>
      </c>
      <c r="D1917" s="51" t="s">
        <v>841</v>
      </c>
      <c r="F1917" s="52">
        <f>SUMIF(CPY!$B:$B,Summary!$B1917,CPY!$I:$I)</f>
        <v>0</v>
      </c>
    </row>
    <row r="1918" spans="1:6" x14ac:dyDescent="0.25">
      <c r="A1918" s="50">
        <f t="shared" si="29"/>
        <v>1916</v>
      </c>
      <c r="B1918" s="50">
        <v>7160</v>
      </c>
      <c r="C1918" s="50" t="s">
        <v>1941</v>
      </c>
      <c r="D1918" s="51" t="s">
        <v>841</v>
      </c>
      <c r="F1918" s="52">
        <f>SUMIF(CPY!$B:$B,Summary!$B1918,CPY!$I:$I)</f>
        <v>0</v>
      </c>
    </row>
    <row r="1919" spans="1:6" x14ac:dyDescent="0.25">
      <c r="A1919" s="50">
        <f t="shared" si="29"/>
        <v>1917</v>
      </c>
      <c r="B1919" s="50">
        <v>7161</v>
      </c>
      <c r="C1919" s="50" t="s">
        <v>1942</v>
      </c>
      <c r="D1919" s="51" t="s">
        <v>841</v>
      </c>
      <c r="F1919" s="52">
        <f>SUMIF(CPY!$B:$B,Summary!$B1919,CPY!$I:$I)</f>
        <v>0</v>
      </c>
    </row>
    <row r="1920" spans="1:6" x14ac:dyDescent="0.25">
      <c r="A1920" s="50">
        <f t="shared" si="29"/>
        <v>1918</v>
      </c>
      <c r="B1920" s="50">
        <v>7162</v>
      </c>
      <c r="C1920" s="50" t="s">
        <v>1943</v>
      </c>
      <c r="D1920" s="51" t="s">
        <v>841</v>
      </c>
      <c r="F1920" s="52">
        <f>SUMIF(CPY!$B:$B,Summary!$B1920,CPY!$I:$I)</f>
        <v>0</v>
      </c>
    </row>
    <row r="1921" spans="1:6" x14ac:dyDescent="0.25">
      <c r="A1921" s="50">
        <f t="shared" si="29"/>
        <v>1919</v>
      </c>
      <c r="B1921" s="50">
        <v>7163</v>
      </c>
      <c r="C1921" s="50" t="s">
        <v>1944</v>
      </c>
      <c r="D1921" s="51" t="s">
        <v>841</v>
      </c>
      <c r="F1921" s="52">
        <f>SUMIF(CPY!$B:$B,Summary!$B1921,CPY!$I:$I)</f>
        <v>0</v>
      </c>
    </row>
    <row r="1922" spans="1:6" x14ac:dyDescent="0.25">
      <c r="A1922" s="50">
        <f t="shared" si="29"/>
        <v>1920</v>
      </c>
      <c r="B1922" s="50">
        <v>7164</v>
      </c>
      <c r="C1922" s="50" t="s">
        <v>1945</v>
      </c>
      <c r="D1922" s="51" t="s">
        <v>841</v>
      </c>
      <c r="F1922" s="52">
        <f>SUMIF(CPY!$B:$B,Summary!$B1922,CPY!$I:$I)</f>
        <v>0</v>
      </c>
    </row>
    <row r="1923" spans="1:6" x14ac:dyDescent="0.25">
      <c r="A1923" s="50">
        <f t="shared" si="29"/>
        <v>1921</v>
      </c>
      <c r="B1923" s="50">
        <v>7165</v>
      </c>
      <c r="C1923" s="50" t="s">
        <v>1946</v>
      </c>
      <c r="D1923" s="51" t="s">
        <v>841</v>
      </c>
      <c r="F1923" s="52">
        <f>SUMIF(CPY!$B:$B,Summary!$B1923,CPY!$I:$I)</f>
        <v>0</v>
      </c>
    </row>
    <row r="1924" spans="1:6" x14ac:dyDescent="0.25">
      <c r="A1924" s="50">
        <f t="shared" si="29"/>
        <v>1922</v>
      </c>
      <c r="B1924" s="50">
        <v>7166</v>
      </c>
      <c r="C1924" s="50" t="s">
        <v>1947</v>
      </c>
      <c r="D1924" s="51" t="s">
        <v>841</v>
      </c>
      <c r="F1924" s="52">
        <f>SUMIF(CPY!$B:$B,Summary!$B1924,CPY!$I:$I)</f>
        <v>0</v>
      </c>
    </row>
    <row r="1925" spans="1:6" x14ac:dyDescent="0.25">
      <c r="A1925" s="50">
        <f t="shared" ref="A1925:A1988" si="30">+A1924+1</f>
        <v>1923</v>
      </c>
      <c r="B1925" s="50">
        <v>7167</v>
      </c>
      <c r="C1925" s="50" t="s">
        <v>1948</v>
      </c>
      <c r="D1925" s="51" t="s">
        <v>841</v>
      </c>
      <c r="F1925" s="52">
        <f>SUMIF(CPY!$B:$B,Summary!$B1925,CPY!$I:$I)</f>
        <v>0</v>
      </c>
    </row>
    <row r="1926" spans="1:6" x14ac:dyDescent="0.25">
      <c r="A1926" s="50">
        <f t="shared" si="30"/>
        <v>1924</v>
      </c>
      <c r="B1926" s="50">
        <v>7168</v>
      </c>
      <c r="C1926" s="50" t="s">
        <v>1949</v>
      </c>
      <c r="D1926" s="51" t="s">
        <v>841</v>
      </c>
      <c r="F1926" s="52">
        <f>SUMIF(CPY!$B:$B,Summary!$B1926,CPY!$I:$I)</f>
        <v>0</v>
      </c>
    </row>
    <row r="1927" spans="1:6" x14ac:dyDescent="0.25">
      <c r="A1927" s="50">
        <f t="shared" si="30"/>
        <v>1925</v>
      </c>
      <c r="B1927" s="50">
        <v>7169</v>
      </c>
      <c r="C1927" s="50" t="s">
        <v>1950</v>
      </c>
      <c r="D1927" s="51" t="s">
        <v>841</v>
      </c>
      <c r="F1927" s="52">
        <f>SUMIF(CPY!$B:$B,Summary!$B1927,CPY!$I:$I)</f>
        <v>0</v>
      </c>
    </row>
    <row r="1928" spans="1:6" x14ac:dyDescent="0.25">
      <c r="A1928" s="50">
        <f t="shared" si="30"/>
        <v>1926</v>
      </c>
      <c r="B1928" s="50">
        <v>7170</v>
      </c>
      <c r="C1928" s="50" t="s">
        <v>1951</v>
      </c>
      <c r="D1928" s="51" t="s">
        <v>841</v>
      </c>
      <c r="F1928" s="52">
        <f>SUMIF(CPY!$B:$B,Summary!$B1928,CPY!$I:$I)</f>
        <v>0</v>
      </c>
    </row>
    <row r="1929" spans="1:6" x14ac:dyDescent="0.25">
      <c r="A1929" s="50">
        <f t="shared" si="30"/>
        <v>1927</v>
      </c>
      <c r="B1929" s="50">
        <v>7171</v>
      </c>
      <c r="C1929" s="50" t="s">
        <v>1952</v>
      </c>
      <c r="D1929" s="51" t="s">
        <v>841</v>
      </c>
      <c r="F1929" s="52">
        <f>SUMIF(CPY!$B:$B,Summary!$B1929,CPY!$I:$I)</f>
        <v>0</v>
      </c>
    </row>
    <row r="1930" spans="1:6" x14ac:dyDescent="0.25">
      <c r="A1930" s="50">
        <f t="shared" si="30"/>
        <v>1928</v>
      </c>
      <c r="B1930" s="50">
        <v>7172</v>
      </c>
      <c r="C1930" s="50" t="s">
        <v>1953</v>
      </c>
      <c r="D1930" s="51" t="s">
        <v>841</v>
      </c>
      <c r="F1930" s="52">
        <f>SUMIF(CPY!$B:$B,Summary!$B1930,CPY!$I:$I)</f>
        <v>0</v>
      </c>
    </row>
    <row r="1931" spans="1:6" x14ac:dyDescent="0.25">
      <c r="A1931" s="50">
        <f t="shared" si="30"/>
        <v>1929</v>
      </c>
      <c r="B1931" s="50">
        <v>7173</v>
      </c>
      <c r="C1931" s="50" t="s">
        <v>1954</v>
      </c>
      <c r="D1931" s="51" t="s">
        <v>841</v>
      </c>
      <c r="F1931" s="52">
        <f>SUMIF(CPY!$B:$B,Summary!$B1931,CPY!$I:$I)</f>
        <v>0</v>
      </c>
    </row>
    <row r="1932" spans="1:6" x14ac:dyDescent="0.25">
      <c r="A1932" s="50">
        <f t="shared" si="30"/>
        <v>1930</v>
      </c>
      <c r="B1932" s="50">
        <v>7174</v>
      </c>
      <c r="C1932" s="50" t="s">
        <v>1955</v>
      </c>
      <c r="D1932" s="51" t="s">
        <v>841</v>
      </c>
      <c r="F1932" s="52">
        <f>SUMIF(CPY!$B:$B,Summary!$B1932,CPY!$I:$I)</f>
        <v>0</v>
      </c>
    </row>
    <row r="1933" spans="1:6" x14ac:dyDescent="0.25">
      <c r="A1933" s="50">
        <f t="shared" si="30"/>
        <v>1931</v>
      </c>
      <c r="B1933" s="50">
        <v>7175</v>
      </c>
      <c r="C1933" s="50" t="s">
        <v>1956</v>
      </c>
      <c r="D1933" s="51" t="s">
        <v>841</v>
      </c>
      <c r="F1933" s="52">
        <f>SUMIF(CPY!$B:$B,Summary!$B1933,CPY!$I:$I)</f>
        <v>0</v>
      </c>
    </row>
    <row r="1934" spans="1:6" x14ac:dyDescent="0.25">
      <c r="A1934" s="50">
        <f t="shared" si="30"/>
        <v>1932</v>
      </c>
      <c r="B1934" s="50">
        <v>7176</v>
      </c>
      <c r="C1934" s="50" t="s">
        <v>1957</v>
      </c>
      <c r="D1934" s="51" t="s">
        <v>841</v>
      </c>
      <c r="F1934" s="52">
        <f>SUMIF(CPY!$B:$B,Summary!$B1934,CPY!$I:$I)</f>
        <v>0</v>
      </c>
    </row>
    <row r="1935" spans="1:6" x14ac:dyDescent="0.25">
      <c r="A1935" s="50">
        <f t="shared" si="30"/>
        <v>1933</v>
      </c>
      <c r="B1935" s="50">
        <v>7177</v>
      </c>
      <c r="C1935" s="50" t="s">
        <v>1958</v>
      </c>
      <c r="D1935" s="51" t="s">
        <v>841</v>
      </c>
      <c r="F1935" s="52">
        <f>SUMIF(CPY!$B:$B,Summary!$B1935,CPY!$I:$I)</f>
        <v>0</v>
      </c>
    </row>
    <row r="1936" spans="1:6" x14ac:dyDescent="0.25">
      <c r="A1936" s="50">
        <f t="shared" si="30"/>
        <v>1934</v>
      </c>
      <c r="B1936" s="50">
        <v>7178</v>
      </c>
      <c r="C1936" s="50" t="s">
        <v>1959</v>
      </c>
      <c r="D1936" s="51" t="s">
        <v>841</v>
      </c>
      <c r="F1936" s="52">
        <f>SUMIF(CPY!$B:$B,Summary!$B1936,CPY!$I:$I)</f>
        <v>0</v>
      </c>
    </row>
    <row r="1937" spans="1:6" x14ac:dyDescent="0.25">
      <c r="A1937" s="50">
        <f t="shared" si="30"/>
        <v>1935</v>
      </c>
      <c r="B1937" s="50">
        <v>7179</v>
      </c>
      <c r="C1937" s="50" t="s">
        <v>1960</v>
      </c>
      <c r="D1937" s="51" t="s">
        <v>841</v>
      </c>
      <c r="F1937" s="52">
        <f>SUMIF(CPY!$B:$B,Summary!$B1937,CPY!$I:$I)</f>
        <v>0</v>
      </c>
    </row>
    <row r="1938" spans="1:6" x14ac:dyDescent="0.25">
      <c r="A1938" s="50">
        <f t="shared" si="30"/>
        <v>1936</v>
      </c>
      <c r="B1938" s="50">
        <v>7180</v>
      </c>
      <c r="C1938" s="50" t="s">
        <v>1961</v>
      </c>
      <c r="D1938" s="51" t="s">
        <v>841</v>
      </c>
      <c r="F1938" s="52">
        <f>SUMIF(CPY!$B:$B,Summary!$B1938,CPY!$I:$I)</f>
        <v>0</v>
      </c>
    </row>
    <row r="1939" spans="1:6" x14ac:dyDescent="0.25">
      <c r="A1939" s="50">
        <f t="shared" si="30"/>
        <v>1937</v>
      </c>
      <c r="B1939" s="50">
        <v>7181</v>
      </c>
      <c r="C1939" s="50" t="s">
        <v>1962</v>
      </c>
      <c r="D1939" s="51" t="s">
        <v>841</v>
      </c>
      <c r="F1939" s="52">
        <f>SUMIF(CPY!$B:$B,Summary!$B1939,CPY!$I:$I)</f>
        <v>0</v>
      </c>
    </row>
    <row r="1940" spans="1:6" x14ac:dyDescent="0.25">
      <c r="A1940" s="50">
        <f t="shared" si="30"/>
        <v>1938</v>
      </c>
      <c r="B1940" s="50">
        <v>7182</v>
      </c>
      <c r="C1940" s="50" t="s">
        <v>1963</v>
      </c>
      <c r="D1940" s="51" t="s">
        <v>841</v>
      </c>
      <c r="F1940" s="52">
        <f>SUMIF(CPY!$B:$B,Summary!$B1940,CPY!$I:$I)</f>
        <v>0</v>
      </c>
    </row>
    <row r="1941" spans="1:6" x14ac:dyDescent="0.25">
      <c r="A1941" s="50">
        <f t="shared" si="30"/>
        <v>1939</v>
      </c>
      <c r="B1941" s="50">
        <v>7183</v>
      </c>
      <c r="C1941" s="50" t="s">
        <v>1964</v>
      </c>
      <c r="D1941" s="51" t="s">
        <v>841</v>
      </c>
      <c r="F1941" s="52">
        <f>SUMIF(CPY!$B:$B,Summary!$B1941,CPY!$I:$I)</f>
        <v>0</v>
      </c>
    </row>
    <row r="1942" spans="1:6" x14ac:dyDescent="0.25">
      <c r="A1942" s="50">
        <f t="shared" si="30"/>
        <v>1940</v>
      </c>
      <c r="B1942" s="50">
        <v>7184</v>
      </c>
      <c r="C1942" s="50" t="s">
        <v>1965</v>
      </c>
      <c r="D1942" s="51" t="s">
        <v>841</v>
      </c>
      <c r="F1942" s="52">
        <f>SUMIF(CPY!$B:$B,Summary!$B1942,CPY!$I:$I)</f>
        <v>0</v>
      </c>
    </row>
    <row r="1943" spans="1:6" x14ac:dyDescent="0.25">
      <c r="A1943" s="50">
        <f t="shared" si="30"/>
        <v>1941</v>
      </c>
      <c r="B1943" s="50">
        <v>7185</v>
      </c>
      <c r="C1943" s="50" t="s">
        <v>1966</v>
      </c>
      <c r="D1943" s="51" t="s">
        <v>841</v>
      </c>
      <c r="F1943" s="52">
        <f>SUMIF(CPY!$B:$B,Summary!$B1943,CPY!$I:$I)</f>
        <v>0</v>
      </c>
    </row>
    <row r="1944" spans="1:6" x14ac:dyDescent="0.25">
      <c r="A1944" s="50">
        <f t="shared" si="30"/>
        <v>1942</v>
      </c>
      <c r="B1944" s="50">
        <v>7186</v>
      </c>
      <c r="C1944" s="50" t="s">
        <v>1967</v>
      </c>
      <c r="D1944" s="51" t="s">
        <v>841</v>
      </c>
      <c r="F1944" s="52">
        <f>SUMIF(CPY!$B:$B,Summary!$B1944,CPY!$I:$I)</f>
        <v>0</v>
      </c>
    </row>
    <row r="1945" spans="1:6" x14ac:dyDescent="0.25">
      <c r="A1945" s="50">
        <f t="shared" si="30"/>
        <v>1943</v>
      </c>
      <c r="B1945" s="50">
        <v>7187</v>
      </c>
      <c r="C1945" s="50" t="s">
        <v>1968</v>
      </c>
      <c r="D1945" s="51" t="s">
        <v>841</v>
      </c>
      <c r="F1945" s="52">
        <f>SUMIF(CPY!$B:$B,Summary!$B1945,CPY!$I:$I)</f>
        <v>0</v>
      </c>
    </row>
    <row r="1946" spans="1:6" x14ac:dyDescent="0.25">
      <c r="A1946" s="50">
        <f t="shared" si="30"/>
        <v>1944</v>
      </c>
      <c r="B1946" s="50">
        <v>7188</v>
      </c>
      <c r="C1946" s="50" t="s">
        <v>1969</v>
      </c>
      <c r="D1946" s="51" t="s">
        <v>841</v>
      </c>
      <c r="F1946" s="52">
        <f>SUMIF(CPY!$B:$B,Summary!$B1946,CPY!$I:$I)</f>
        <v>0</v>
      </c>
    </row>
    <row r="1947" spans="1:6" x14ac:dyDescent="0.25">
      <c r="A1947" s="50">
        <f t="shared" si="30"/>
        <v>1945</v>
      </c>
      <c r="B1947" s="50">
        <v>7189</v>
      </c>
      <c r="C1947" s="50" t="s">
        <v>1970</v>
      </c>
      <c r="D1947" s="51" t="s">
        <v>841</v>
      </c>
      <c r="F1947" s="52">
        <f>SUMIF(CPY!$B:$B,Summary!$B1947,CPY!$I:$I)</f>
        <v>0</v>
      </c>
    </row>
    <row r="1948" spans="1:6" x14ac:dyDescent="0.25">
      <c r="A1948" s="50">
        <f t="shared" si="30"/>
        <v>1946</v>
      </c>
      <c r="B1948" s="50">
        <v>7190</v>
      </c>
      <c r="C1948" s="50" t="s">
        <v>1971</v>
      </c>
      <c r="D1948" s="51" t="s">
        <v>841</v>
      </c>
      <c r="F1948" s="52">
        <f>SUMIF(CPY!$B:$B,Summary!$B1948,CPY!$I:$I)</f>
        <v>0</v>
      </c>
    </row>
    <row r="1949" spans="1:6" x14ac:dyDescent="0.25">
      <c r="A1949" s="50">
        <f t="shared" si="30"/>
        <v>1947</v>
      </c>
      <c r="B1949" s="50">
        <v>7191</v>
      </c>
      <c r="C1949" s="50" t="s">
        <v>1972</v>
      </c>
      <c r="D1949" s="51" t="s">
        <v>841</v>
      </c>
      <c r="F1949" s="52">
        <f>SUMIF(CPY!$B:$B,Summary!$B1949,CPY!$I:$I)</f>
        <v>0</v>
      </c>
    </row>
    <row r="1950" spans="1:6" x14ac:dyDescent="0.25">
      <c r="A1950" s="50">
        <f t="shared" si="30"/>
        <v>1948</v>
      </c>
      <c r="B1950" s="50">
        <v>7192</v>
      </c>
      <c r="C1950" s="50" t="s">
        <v>1973</v>
      </c>
      <c r="D1950" s="51" t="s">
        <v>841</v>
      </c>
      <c r="F1950" s="52">
        <f>SUMIF(CPY!$B:$B,Summary!$B1950,CPY!$I:$I)</f>
        <v>0</v>
      </c>
    </row>
    <row r="1951" spans="1:6" x14ac:dyDescent="0.25">
      <c r="A1951" s="50">
        <f t="shared" si="30"/>
        <v>1949</v>
      </c>
      <c r="B1951" s="50">
        <v>7193</v>
      </c>
      <c r="C1951" s="50" t="s">
        <v>1974</v>
      </c>
      <c r="D1951" s="51" t="s">
        <v>841</v>
      </c>
      <c r="F1951" s="52">
        <f>SUMIF(CPY!$B:$B,Summary!$B1951,CPY!$I:$I)</f>
        <v>0</v>
      </c>
    </row>
    <row r="1952" spans="1:6" x14ac:dyDescent="0.25">
      <c r="A1952" s="50">
        <f t="shared" si="30"/>
        <v>1950</v>
      </c>
      <c r="B1952" s="50">
        <v>7194</v>
      </c>
      <c r="C1952" s="50" t="s">
        <v>1975</v>
      </c>
      <c r="D1952" s="51" t="s">
        <v>841</v>
      </c>
      <c r="F1952" s="52">
        <f>SUMIF(CPY!$B:$B,Summary!$B1952,CPY!$I:$I)</f>
        <v>0</v>
      </c>
    </row>
    <row r="1953" spans="1:6" x14ac:dyDescent="0.25">
      <c r="A1953" s="50">
        <f t="shared" si="30"/>
        <v>1951</v>
      </c>
      <c r="B1953" s="50">
        <v>7195</v>
      </c>
      <c r="C1953" s="50" t="s">
        <v>1976</v>
      </c>
      <c r="D1953" s="51" t="s">
        <v>841</v>
      </c>
      <c r="F1953" s="52">
        <f>SUMIF(CPY!$B:$B,Summary!$B1953,CPY!$I:$I)</f>
        <v>0</v>
      </c>
    </row>
    <row r="1954" spans="1:6" x14ac:dyDescent="0.25">
      <c r="A1954" s="50">
        <f t="shared" si="30"/>
        <v>1952</v>
      </c>
      <c r="B1954" s="50">
        <v>7196</v>
      </c>
      <c r="C1954" s="50" t="s">
        <v>1977</v>
      </c>
      <c r="D1954" s="51" t="s">
        <v>841</v>
      </c>
      <c r="F1954" s="52">
        <f>SUMIF(CPY!$B:$B,Summary!$B1954,CPY!$I:$I)</f>
        <v>0</v>
      </c>
    </row>
    <row r="1955" spans="1:6" x14ac:dyDescent="0.25">
      <c r="A1955" s="50">
        <f t="shared" si="30"/>
        <v>1953</v>
      </c>
      <c r="B1955" s="50">
        <v>7197</v>
      </c>
      <c r="C1955" s="50" t="s">
        <v>1978</v>
      </c>
      <c r="D1955" s="51" t="s">
        <v>841</v>
      </c>
      <c r="F1955" s="52">
        <f>SUMIF(CPY!$B:$B,Summary!$B1955,CPY!$I:$I)</f>
        <v>0</v>
      </c>
    </row>
    <row r="1956" spans="1:6" x14ac:dyDescent="0.25">
      <c r="A1956" s="50">
        <f t="shared" si="30"/>
        <v>1954</v>
      </c>
      <c r="B1956" s="50">
        <v>7198</v>
      </c>
      <c r="C1956" s="50" t="s">
        <v>1979</v>
      </c>
      <c r="D1956" s="51" t="s">
        <v>841</v>
      </c>
      <c r="F1956" s="52">
        <f>SUMIF(CPY!$B:$B,Summary!$B1956,CPY!$I:$I)</f>
        <v>0</v>
      </c>
    </row>
    <row r="1957" spans="1:6" x14ac:dyDescent="0.25">
      <c r="A1957" s="50">
        <f t="shared" si="30"/>
        <v>1955</v>
      </c>
      <c r="B1957" s="50">
        <v>7199</v>
      </c>
      <c r="C1957" s="50" t="s">
        <v>1980</v>
      </c>
      <c r="D1957" s="51" t="s">
        <v>841</v>
      </c>
      <c r="F1957" s="52">
        <f>SUMIF(CPY!$B:$B,Summary!$B1957,CPY!$I:$I)</f>
        <v>0</v>
      </c>
    </row>
    <row r="1958" spans="1:6" x14ac:dyDescent="0.25">
      <c r="A1958" s="50">
        <f t="shared" si="30"/>
        <v>1956</v>
      </c>
      <c r="B1958" s="50">
        <v>7200</v>
      </c>
      <c r="C1958" s="50" t="s">
        <v>1981</v>
      </c>
      <c r="D1958" s="51" t="s">
        <v>841</v>
      </c>
      <c r="F1958" s="52">
        <f>SUMIF(CPY!$B:$B,Summary!$B1958,CPY!$I:$I)</f>
        <v>0</v>
      </c>
    </row>
    <row r="1959" spans="1:6" x14ac:dyDescent="0.25">
      <c r="A1959" s="50">
        <f t="shared" si="30"/>
        <v>1957</v>
      </c>
      <c r="B1959" s="50">
        <v>7201</v>
      </c>
      <c r="C1959" s="50" t="s">
        <v>1982</v>
      </c>
      <c r="D1959" s="51" t="s">
        <v>841</v>
      </c>
      <c r="F1959" s="52">
        <f>SUMIF(CPY!$B:$B,Summary!$B1959,CPY!$I:$I)</f>
        <v>0</v>
      </c>
    </row>
    <row r="1960" spans="1:6" x14ac:dyDescent="0.25">
      <c r="A1960" s="50">
        <f t="shared" si="30"/>
        <v>1958</v>
      </c>
      <c r="B1960" s="50">
        <v>7202</v>
      </c>
      <c r="C1960" s="50" t="s">
        <v>1983</v>
      </c>
      <c r="D1960" s="51" t="s">
        <v>841</v>
      </c>
      <c r="F1960" s="52">
        <f>SUMIF(CPY!$B:$B,Summary!$B1960,CPY!$I:$I)</f>
        <v>0</v>
      </c>
    </row>
    <row r="1961" spans="1:6" x14ac:dyDescent="0.25">
      <c r="A1961" s="50">
        <f t="shared" si="30"/>
        <v>1959</v>
      </c>
      <c r="B1961" s="50">
        <v>7203</v>
      </c>
      <c r="C1961" s="50" t="s">
        <v>1984</v>
      </c>
      <c r="D1961" s="51" t="s">
        <v>841</v>
      </c>
      <c r="F1961" s="52">
        <f>SUMIF(CPY!$B:$B,Summary!$B1961,CPY!$I:$I)</f>
        <v>0</v>
      </c>
    </row>
    <row r="1962" spans="1:6" x14ac:dyDescent="0.25">
      <c r="A1962" s="50">
        <f t="shared" si="30"/>
        <v>1960</v>
      </c>
      <c r="B1962" s="50">
        <v>7204</v>
      </c>
      <c r="C1962" s="50" t="s">
        <v>1985</v>
      </c>
      <c r="D1962" s="51" t="s">
        <v>841</v>
      </c>
      <c r="F1962" s="52">
        <f>SUMIF(CPY!$B:$B,Summary!$B1962,CPY!$I:$I)</f>
        <v>0</v>
      </c>
    </row>
    <row r="1963" spans="1:6" x14ac:dyDescent="0.25">
      <c r="A1963" s="50">
        <f t="shared" si="30"/>
        <v>1961</v>
      </c>
      <c r="B1963" s="50">
        <v>7205</v>
      </c>
      <c r="C1963" s="50" t="s">
        <v>1986</v>
      </c>
      <c r="D1963" s="51" t="s">
        <v>841</v>
      </c>
      <c r="F1963" s="52">
        <f>SUMIF(CPY!$B:$B,Summary!$B1963,CPY!$I:$I)</f>
        <v>0</v>
      </c>
    </row>
    <row r="1964" spans="1:6" x14ac:dyDescent="0.25">
      <c r="A1964" s="50">
        <f t="shared" si="30"/>
        <v>1962</v>
      </c>
      <c r="B1964" s="50">
        <v>7206</v>
      </c>
      <c r="C1964" s="50" t="s">
        <v>1987</v>
      </c>
      <c r="D1964" s="51" t="s">
        <v>841</v>
      </c>
      <c r="F1964" s="52">
        <f>SUMIF(CPY!$B:$B,Summary!$B1964,CPY!$I:$I)</f>
        <v>0</v>
      </c>
    </row>
    <row r="1965" spans="1:6" x14ac:dyDescent="0.25">
      <c r="A1965" s="50">
        <f t="shared" si="30"/>
        <v>1963</v>
      </c>
      <c r="B1965" s="50">
        <v>7207</v>
      </c>
      <c r="C1965" s="50" t="s">
        <v>1988</v>
      </c>
      <c r="D1965" s="51" t="s">
        <v>841</v>
      </c>
      <c r="F1965" s="52">
        <f>SUMIF(CPY!$B:$B,Summary!$B1965,CPY!$I:$I)</f>
        <v>0</v>
      </c>
    </row>
    <row r="1966" spans="1:6" x14ac:dyDescent="0.25">
      <c r="A1966" s="50">
        <f t="shared" si="30"/>
        <v>1964</v>
      </c>
      <c r="B1966" s="50">
        <v>7208</v>
      </c>
      <c r="C1966" s="50" t="s">
        <v>1989</v>
      </c>
      <c r="D1966" s="51" t="s">
        <v>841</v>
      </c>
      <c r="F1966" s="52">
        <f>SUMIF(CPY!$B:$B,Summary!$B1966,CPY!$I:$I)</f>
        <v>0</v>
      </c>
    </row>
    <row r="1967" spans="1:6" x14ac:dyDescent="0.25">
      <c r="A1967" s="50">
        <f t="shared" si="30"/>
        <v>1965</v>
      </c>
      <c r="B1967" s="50">
        <v>7209</v>
      </c>
      <c r="C1967" s="50" t="s">
        <v>1990</v>
      </c>
      <c r="D1967" s="51" t="s">
        <v>69</v>
      </c>
      <c r="F1967" s="52">
        <f>SUMIF(CPY!$B:$B,Summary!$B1967,CPY!$I:$I)</f>
        <v>0</v>
      </c>
    </row>
    <row r="1968" spans="1:6" x14ac:dyDescent="0.25">
      <c r="A1968" s="50">
        <f t="shared" si="30"/>
        <v>1966</v>
      </c>
      <c r="B1968" s="50">
        <v>7210</v>
      </c>
      <c r="C1968" s="50" t="s">
        <v>1991</v>
      </c>
      <c r="D1968" s="51" t="s">
        <v>78</v>
      </c>
      <c r="F1968" s="52">
        <f>SUMIF(CPY!$B:$B,Summary!$B1968,CPY!$I:$I)</f>
        <v>0</v>
      </c>
    </row>
    <row r="1969" spans="1:6" x14ac:dyDescent="0.25">
      <c r="A1969" s="50">
        <f t="shared" si="30"/>
        <v>1967</v>
      </c>
      <c r="B1969" s="50">
        <v>7211</v>
      </c>
      <c r="C1969" s="50" t="s">
        <v>1992</v>
      </c>
      <c r="D1969" s="51" t="s">
        <v>85</v>
      </c>
      <c r="F1969" s="52">
        <f>SUMIF(CPY!$B:$B,Summary!$B1969,CPY!$I:$I)</f>
        <v>0</v>
      </c>
    </row>
    <row r="1970" spans="1:6" x14ac:dyDescent="0.25">
      <c r="A1970" s="50">
        <f t="shared" si="30"/>
        <v>1968</v>
      </c>
      <c r="B1970" s="50">
        <v>7212</v>
      </c>
      <c r="C1970" s="50" t="s">
        <v>1993</v>
      </c>
      <c r="D1970" s="51" t="s">
        <v>69</v>
      </c>
      <c r="F1970" s="52">
        <f>SUMIF(CPY!$B:$B,Summary!$B1970,CPY!$I:$I)</f>
        <v>0</v>
      </c>
    </row>
    <row r="1971" spans="1:6" x14ac:dyDescent="0.25">
      <c r="A1971" s="50">
        <f t="shared" si="30"/>
        <v>1969</v>
      </c>
      <c r="B1971" s="50">
        <v>7213</v>
      </c>
      <c r="C1971" s="50" t="s">
        <v>1994</v>
      </c>
      <c r="D1971" s="51" t="s">
        <v>69</v>
      </c>
      <c r="F1971" s="52">
        <f>SUMIF(CPY!$B:$B,Summary!$B1971,CPY!$I:$I)</f>
        <v>0</v>
      </c>
    </row>
    <row r="1972" spans="1:6" x14ac:dyDescent="0.25">
      <c r="A1972" s="50">
        <f t="shared" si="30"/>
        <v>1970</v>
      </c>
      <c r="B1972" s="50">
        <v>7214</v>
      </c>
      <c r="C1972" s="50" t="s">
        <v>1995</v>
      </c>
      <c r="D1972" s="51" t="s">
        <v>69</v>
      </c>
      <c r="F1972" s="52">
        <f>SUMIF(CPY!$B:$B,Summary!$B1972,CPY!$I:$I)</f>
        <v>0</v>
      </c>
    </row>
    <row r="1973" spans="1:6" x14ac:dyDescent="0.25">
      <c r="A1973" s="50">
        <f t="shared" si="30"/>
        <v>1971</v>
      </c>
      <c r="B1973" s="50">
        <v>7215</v>
      </c>
      <c r="C1973" s="50" t="s">
        <v>1996</v>
      </c>
      <c r="D1973" s="51" t="s">
        <v>78</v>
      </c>
      <c r="F1973" s="52">
        <f>SUMIF(CPY!$B:$B,Summary!$B1973,CPY!$I:$I)</f>
        <v>0</v>
      </c>
    </row>
    <row r="1974" spans="1:6" x14ac:dyDescent="0.25">
      <c r="A1974" s="50">
        <f t="shared" si="30"/>
        <v>1972</v>
      </c>
      <c r="B1974" s="50">
        <v>7216</v>
      </c>
      <c r="C1974" s="50" t="s">
        <v>1997</v>
      </c>
      <c r="D1974" s="51" t="s">
        <v>69</v>
      </c>
      <c r="F1974" s="52">
        <f>SUMIF(CPY!$B:$B,Summary!$B1974,CPY!$I:$I)</f>
        <v>0</v>
      </c>
    </row>
    <row r="1975" spans="1:6" x14ac:dyDescent="0.25">
      <c r="A1975" s="50">
        <f t="shared" si="30"/>
        <v>1973</v>
      </c>
      <c r="B1975" s="50">
        <v>7217</v>
      </c>
      <c r="C1975" s="50" t="s">
        <v>1998</v>
      </c>
      <c r="D1975" s="51" t="s">
        <v>85</v>
      </c>
      <c r="F1975" s="52">
        <f>SUMIF(CPY!$B:$B,Summary!$B1975,CPY!$I:$I)</f>
        <v>0</v>
      </c>
    </row>
    <row r="1976" spans="1:6" x14ac:dyDescent="0.25">
      <c r="A1976" s="50">
        <f t="shared" si="30"/>
        <v>1974</v>
      </c>
      <c r="B1976" s="50">
        <v>7218</v>
      </c>
      <c r="C1976" s="50" t="s">
        <v>1999</v>
      </c>
      <c r="D1976" s="51" t="s">
        <v>78</v>
      </c>
      <c r="F1976" s="52">
        <f>SUMIF(CPY!$B:$B,Summary!$B1976,CPY!$I:$I)</f>
        <v>0</v>
      </c>
    </row>
    <row r="1977" spans="1:6" x14ac:dyDescent="0.25">
      <c r="A1977" s="50">
        <f t="shared" si="30"/>
        <v>1975</v>
      </c>
      <c r="B1977" s="50">
        <v>7219</v>
      </c>
      <c r="C1977" s="50" t="s">
        <v>2000</v>
      </c>
      <c r="D1977" s="51" t="s">
        <v>69</v>
      </c>
      <c r="F1977" s="52">
        <f>SUMIF(CPY!$B:$B,Summary!$B1977,CPY!$I:$I)</f>
        <v>0</v>
      </c>
    </row>
    <row r="1978" spans="1:6" x14ac:dyDescent="0.25">
      <c r="A1978" s="50">
        <f t="shared" si="30"/>
        <v>1976</v>
      </c>
      <c r="B1978" s="50">
        <v>7221</v>
      </c>
      <c r="C1978" s="50" t="s">
        <v>2001</v>
      </c>
      <c r="D1978" s="51" t="s">
        <v>46</v>
      </c>
      <c r="F1978" s="52">
        <f>SUMIF(CPY!$B:$B,Summary!$B1978,CPY!$I:$I)</f>
        <v>0</v>
      </c>
    </row>
    <row r="1979" spans="1:6" x14ac:dyDescent="0.25">
      <c r="A1979" s="50">
        <f t="shared" si="30"/>
        <v>1977</v>
      </c>
      <c r="B1979" s="50">
        <v>7222</v>
      </c>
      <c r="C1979" s="50" t="s">
        <v>2002</v>
      </c>
      <c r="D1979" s="51" t="s">
        <v>46</v>
      </c>
      <c r="F1979" s="52">
        <f>SUMIF(CPY!$B:$B,Summary!$B1979,CPY!$I:$I)</f>
        <v>0</v>
      </c>
    </row>
    <row r="1980" spans="1:6" x14ac:dyDescent="0.25">
      <c r="A1980" s="50">
        <f t="shared" si="30"/>
        <v>1978</v>
      </c>
      <c r="B1980" s="50">
        <v>7223</v>
      </c>
      <c r="C1980" s="50" t="s">
        <v>2003</v>
      </c>
      <c r="D1980" s="51" t="s">
        <v>78</v>
      </c>
      <c r="F1980" s="52">
        <f>SUMIF(CPY!$B:$B,Summary!$B1980,CPY!$I:$I)</f>
        <v>0</v>
      </c>
    </row>
    <row r="1981" spans="1:6" x14ac:dyDescent="0.25">
      <c r="A1981" s="50">
        <f t="shared" si="30"/>
        <v>1979</v>
      </c>
      <c r="B1981" s="50">
        <v>7224</v>
      </c>
      <c r="C1981" s="50" t="s">
        <v>2004</v>
      </c>
      <c r="D1981" s="51" t="s">
        <v>69</v>
      </c>
      <c r="F1981" s="52">
        <f>SUMIF(CPY!$B:$B,Summary!$B1981,CPY!$I:$I)</f>
        <v>0</v>
      </c>
    </row>
    <row r="1982" spans="1:6" x14ac:dyDescent="0.25">
      <c r="A1982" s="50">
        <f t="shared" si="30"/>
        <v>1980</v>
      </c>
      <c r="B1982" s="50">
        <v>7225</v>
      </c>
      <c r="C1982" s="50" t="s">
        <v>2005</v>
      </c>
      <c r="D1982" s="51" t="s">
        <v>78</v>
      </c>
      <c r="F1982" s="52">
        <f>SUMIF(CPY!$B:$B,Summary!$B1982,CPY!$I:$I)</f>
        <v>0</v>
      </c>
    </row>
    <row r="1983" spans="1:6" x14ac:dyDescent="0.25">
      <c r="A1983" s="50">
        <f t="shared" si="30"/>
        <v>1981</v>
      </c>
      <c r="B1983" s="50">
        <v>7226</v>
      </c>
      <c r="C1983" s="50" t="s">
        <v>2006</v>
      </c>
      <c r="D1983" s="51" t="s">
        <v>85</v>
      </c>
      <c r="F1983" s="52">
        <f>SUMIF(CPY!$B:$B,Summary!$B1983,CPY!$I:$I)</f>
        <v>0</v>
      </c>
    </row>
    <row r="1984" spans="1:6" x14ac:dyDescent="0.25">
      <c r="A1984" s="50">
        <f t="shared" si="30"/>
        <v>1982</v>
      </c>
      <c r="B1984" s="50">
        <v>7227</v>
      </c>
      <c r="C1984" s="50" t="s">
        <v>2007</v>
      </c>
      <c r="D1984" s="51" t="s">
        <v>69</v>
      </c>
      <c r="F1984" s="52">
        <f>SUMIF(CPY!$B:$B,Summary!$B1984,CPY!$I:$I)</f>
        <v>0</v>
      </c>
    </row>
    <row r="1985" spans="1:6" x14ac:dyDescent="0.25">
      <c r="A1985" s="50">
        <f t="shared" si="30"/>
        <v>1983</v>
      </c>
      <c r="B1985" s="50">
        <v>7228</v>
      </c>
      <c r="C1985" s="50" t="s">
        <v>2008</v>
      </c>
      <c r="D1985" s="51" t="s">
        <v>69</v>
      </c>
      <c r="F1985" s="52">
        <f>SUMIF(CPY!$B:$B,Summary!$B1985,CPY!$I:$I)</f>
        <v>0</v>
      </c>
    </row>
    <row r="1986" spans="1:6" x14ac:dyDescent="0.25">
      <c r="A1986" s="50">
        <f t="shared" si="30"/>
        <v>1984</v>
      </c>
      <c r="B1986" s="50">
        <v>7229</v>
      </c>
      <c r="C1986" s="50" t="s">
        <v>2009</v>
      </c>
      <c r="D1986" s="51" t="s">
        <v>69</v>
      </c>
      <c r="F1986" s="52">
        <f>SUMIF(CPY!$B:$B,Summary!$B1986,CPY!$I:$I)</f>
        <v>0</v>
      </c>
    </row>
    <row r="1987" spans="1:6" x14ac:dyDescent="0.25">
      <c r="A1987" s="50">
        <f t="shared" si="30"/>
        <v>1985</v>
      </c>
      <c r="B1987" s="50">
        <v>7234</v>
      </c>
      <c r="C1987" s="50" t="s">
        <v>2010</v>
      </c>
      <c r="D1987" s="51" t="s">
        <v>69</v>
      </c>
      <c r="F1987" s="52">
        <f>SUMIF(CPY!$B:$B,Summary!$B1987,CPY!$I:$I)</f>
        <v>0</v>
      </c>
    </row>
    <row r="1988" spans="1:6" x14ac:dyDescent="0.25">
      <c r="A1988" s="50">
        <f t="shared" si="30"/>
        <v>1986</v>
      </c>
      <c r="B1988" s="50">
        <v>7235</v>
      </c>
      <c r="C1988" s="50" t="s">
        <v>2011</v>
      </c>
      <c r="D1988" s="51" t="s">
        <v>69</v>
      </c>
      <c r="F1988" s="52">
        <f>SUMIF(CPY!$B:$B,Summary!$B1988,CPY!$I:$I)</f>
        <v>0</v>
      </c>
    </row>
    <row r="1989" spans="1:6" x14ac:dyDescent="0.25">
      <c r="A1989" s="50">
        <f t="shared" ref="A1989" si="31">+A1988+1</f>
        <v>1987</v>
      </c>
      <c r="B1989" s="50">
        <v>7236</v>
      </c>
      <c r="C1989" s="50" t="s">
        <v>2012</v>
      </c>
      <c r="D1989" s="51" t="s">
        <v>69</v>
      </c>
      <c r="F1989" s="52">
        <f>SUMIF(CPY!$B:$B,Summary!$B1989,CPY!$I:$I)</f>
        <v>0</v>
      </c>
    </row>
  </sheetData>
  <sheetProtection sheet="1" autoFilter="0" algorithmName="SHA-512" hashValue="l6qhBgbMyM/4xuUAP1IKfa1ayL9Apl0iwSpz4fn/JQTpdc3lqU74B7JZMGAE3ObheMjrXjzpce/YDYy6qN5AiA==" saltValue="VmQmhy3uFvbVdqhM/+2ySQ==" spinCount="100000"/>
  <mergeCells count="5">
    <mergeCell ref="A1:A2"/>
    <mergeCell ref="B1:B2"/>
    <mergeCell ref="C1:C2"/>
    <mergeCell ref="D1:D2"/>
    <mergeCell ref="F1:F2"/>
  </mergeCells>
  <conditionalFormatting sqref="C3:C500">
    <cfRule type="expression" dxfId="0" priority="13">
      <formula>AND(#REF!="DnD",$X3&gt;0)</formula>
    </cfRule>
    <cfRule type="expression" dxfId="1" priority="14">
      <formula>AND(#REF!="DnD",$U3&gt;0)</formula>
    </cfRule>
    <cfRule type="expression" dxfId="2" priority="15">
      <formula>AND(#REF!="Support",$O3&gt;0)</formula>
    </cfRule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"/>
  <sheetViews>
    <sheetView workbookViewId="0" showGridLines="0" zoomScale="85" zoomScaleNormal="85">
      <selection activeCell="A2" sqref="A2"/>
    </sheetView>
  </sheetViews>
  <sheetFormatPr defaultRowHeight="14.5" outlineLevelRow="0" outlineLevelCol="0" x14ac:dyDescent="0.35" defaultColWidth="9.1796875" customHeight="1"/>
  <cols>
    <col min="1" max="1" width="5.54296875" style="1" customWidth="1"/>
    <col min="2" max="2" width="6.54296875" style="1" customWidth="1"/>
    <col min="3" max="3" width="31.81640625" style="53" customWidth="1"/>
    <col min="4" max="4" width="8.26953125" style="1" customWidth="1"/>
    <col min="5" max="5" width="52.453125" style="1" customWidth="1"/>
    <col min="6" max="6" width="22.7265625" style="1" customWidth="1"/>
    <col min="7" max="7" width="15" style="1" customWidth="1"/>
    <col min="8" max="8" width="48" style="1" customWidth="1"/>
    <col min="9" max="16384" width="9.1796875" style="1" customWidth="1"/>
  </cols>
  <sheetData>
    <row r="1" spans="1:8" x14ac:dyDescent="0.25">
      <c r="A1" s="67" t="s">
        <v>28</v>
      </c>
      <c r="B1" s="67" t="s">
        <v>29</v>
      </c>
      <c r="C1" s="56" t="s">
        <v>30</v>
      </c>
      <c r="D1" s="67" t="s">
        <v>31</v>
      </c>
      <c r="E1" s="67" t="s">
        <v>2014</v>
      </c>
      <c r="F1" s="67" t="s">
        <v>2036</v>
      </c>
      <c r="G1" s="67" t="s">
        <v>2037</v>
      </c>
      <c r="H1" s="67" t="s">
        <v>2038</v>
      </c>
    </row>
    <row r="2" spans="1:8" x14ac:dyDescent="0.25">
      <c r="A2" s="62">
        <v>1</v>
      </c>
      <c r="B2" s="62">
        <v>5713</v>
      </c>
      <c r="C2" s="68" t="str">
        <f>IF(ISNA(VLOOKUP($B2,CPY!$B:$G,2,FALSE))=TRUE," ",VLOOKUP($B2,CPY!$B:$G,2,FALSE))</f>
        <v> </v>
      </c>
      <c r="D2" s="50" t="str">
        <f>IF(ISNA(VLOOKUP($B2,CPY!$B:$G,3,FALSE))=TRUE," ",VLOOKUP($B2,CPY!$B:$G,3,FALSE))</f>
        <v> </v>
      </c>
      <c r="E2" s="65" t="str">
        <f>IF(ISNA(VLOOKUP($B2,CPY!$B:$G,4,FALSE))=TRUE," ",VLOOKUP($B2,CPY!$B:$G,4,FALSE))</f>
        <v> </v>
      </c>
      <c r="F2" s="62" t="s">
        <v>2039</v>
      </c>
      <c r="G2" s="69">
        <v>2</v>
      </c>
      <c r="H2" s="62" t="s">
        <v>2040</v>
      </c>
    </row>
    <row r="3" spans="1:8" x14ac:dyDescent="0.25">
      <c r="A3" s="62">
        <v>2</v>
      </c>
      <c r="B3" s="62">
        <v>5713</v>
      </c>
      <c r="C3" s="68" t="str">
        <f>IF(ISNA(VLOOKUP($B3,CPY!$B:$G,2,FALSE))=TRUE," ",VLOOKUP($B3,CPY!$B:$G,2,FALSE))</f>
        <v> </v>
      </c>
      <c r="D3" s="50" t="str">
        <f>IF(ISNA(VLOOKUP($B3,CPY!$B:$G,3,FALSE))=TRUE," ",VLOOKUP($B3,CPY!$B:$G,3,FALSE))</f>
        <v> </v>
      </c>
      <c r="E3" s="65" t="str">
        <f>IF(ISNA(VLOOKUP($B3,CPY!$B:$G,4,FALSE))=TRUE," ",VLOOKUP($B3,CPY!$B:$G,4,FALSE))</f>
        <v> </v>
      </c>
      <c r="F3" s="62" t="s">
        <v>2041</v>
      </c>
      <c r="G3" s="69">
        <v>0.5</v>
      </c>
      <c r="H3" s="62" t="s">
        <v>2042</v>
      </c>
    </row>
    <row r="4" spans="1:8" x14ac:dyDescent="0.25">
      <c r="A4" s="62">
        <v>3</v>
      </c>
      <c r="B4" s="62">
        <v>5713</v>
      </c>
      <c r="C4" s="68" t="str">
        <f>IF(ISNA(VLOOKUP($B4,CPY!$B:$G,2,FALSE))=TRUE," ",VLOOKUP($B4,CPY!$B:$G,2,FALSE))</f>
        <v> </v>
      </c>
      <c r="D4" s="50" t="str">
        <f>IF(ISNA(VLOOKUP($B4,CPY!$B:$G,3,FALSE))=TRUE," ",VLOOKUP($B4,CPY!$B:$G,3,FALSE))</f>
        <v> </v>
      </c>
      <c r="E4" s="65" t="str">
        <f>IF(ISNA(VLOOKUP($B4,CPY!$B:$G,4,FALSE))=TRUE," ",VLOOKUP($B4,CPY!$B:$G,4,FALSE))</f>
        <v> </v>
      </c>
      <c r="F4" s="62" t="s">
        <v>2041</v>
      </c>
      <c r="G4" s="69">
        <v>1</v>
      </c>
      <c r="H4" s="62" t="s">
        <v>2043</v>
      </c>
    </row>
    <row r="5" spans="1:10" x14ac:dyDescent="0.25">
      <c r="A5" s="62">
        <v>4</v>
      </c>
      <c r="B5" s="62">
        <v>5053</v>
      </c>
      <c r="C5" s="68" t="str">
        <f>IF(ISNA(VLOOKUP($B5,CPY!$B:$G,2,FALSE))=TRUE," ",VLOOKUP($B5,CPY!$B:$G,2,FALSE))</f>
        <v> </v>
      </c>
      <c r="D5" s="50" t="str">
        <f>IF(ISNA(VLOOKUP($B5,CPY!$B:$G,3,FALSE))=TRUE," ",VLOOKUP($B5,CPY!$B:$G,3,FALSE))</f>
        <v> </v>
      </c>
      <c r="E5" s="65" t="str">
        <f>IF(ISNA(VLOOKUP($B5,CPY!$B:$G,4,FALSE))=TRUE," ",VLOOKUP($B5,CPY!$B:$G,4,FALSE))</f>
        <v> </v>
      </c>
      <c r="F5" s="62" t="s">
        <v>2039</v>
      </c>
      <c r="G5" s="70">
        <v>1</v>
      </c>
      <c r="H5" s="62" t="s">
        <v>2044</v>
      </c>
      <c r="I5" s="71"/>
      <c r="J5" s="72"/>
    </row>
    <row r="6" spans="1:8" x14ac:dyDescent="0.25">
      <c r="A6" s="62">
        <v>5</v>
      </c>
      <c r="B6" s="62">
        <v>5053</v>
      </c>
      <c r="C6" s="68" t="str">
        <f>IF(ISNA(VLOOKUP($B6,CPY!$B:$G,2,FALSE))=TRUE," ",VLOOKUP($B6,CPY!$B:$G,2,FALSE))</f>
        <v> </v>
      </c>
      <c r="D6" s="50" t="str">
        <f>IF(ISNA(VLOOKUP($B6,CPY!$B:$G,3,FALSE))=TRUE," ",VLOOKUP($B6,CPY!$B:$G,3,FALSE))</f>
        <v> </v>
      </c>
      <c r="E6" s="65" t="str">
        <f>IF(ISNA(VLOOKUP($B6,CPY!$B:$G,4,FALSE))=TRUE," ",VLOOKUP($B6,CPY!$B:$G,4,FALSE))</f>
        <v> </v>
      </c>
      <c r="F6" s="62" t="s">
        <v>2041</v>
      </c>
      <c r="G6" s="70">
        <v>2</v>
      </c>
      <c r="H6" s="62" t="s">
        <v>2045</v>
      </c>
    </row>
    <row r="7" spans="1:8" x14ac:dyDescent="0.25">
      <c r="A7" s="62">
        <v>6</v>
      </c>
      <c r="B7" s="62">
        <v>6015</v>
      </c>
      <c r="C7" s="68" t="str">
        <f>IF(ISNA(VLOOKUP($B7,CPY!$B:$G,2,FALSE))=TRUE," ",VLOOKUP($B7,CPY!$B:$G,2,FALSE))</f>
        <v> </v>
      </c>
      <c r="D7" s="50" t="str">
        <f>IF(ISNA(VLOOKUP($B7,CPY!$B:$G,3,FALSE))=TRUE," ",VLOOKUP($B7,CPY!$B:$G,3,FALSE))</f>
        <v> </v>
      </c>
      <c r="E7" s="65" t="str">
        <f>IF(ISNA(VLOOKUP($B7,CPY!$B:$G,4,FALSE))=TRUE," ",VLOOKUP($B7,CPY!$B:$G,4,FALSE))</f>
        <v> </v>
      </c>
      <c r="F7" s="62" t="s">
        <v>2039</v>
      </c>
      <c r="G7" s="70">
        <v>1</v>
      </c>
      <c r="H7" s="62" t="s">
        <v>2046</v>
      </c>
    </row>
    <row r="8" spans="1:8" x14ac:dyDescent="0.25">
      <c r="A8" s="62">
        <v>7</v>
      </c>
      <c r="B8" s="62">
        <v>6015</v>
      </c>
      <c r="C8" s="68" t="str">
        <f>IF(ISNA(VLOOKUP($B8,CPY!$B:$G,2,FALSE))=TRUE," ",VLOOKUP($B8,CPY!$B:$G,2,FALSE))</f>
        <v> </v>
      </c>
      <c r="D8" s="50" t="str">
        <f>IF(ISNA(VLOOKUP($B8,CPY!$B:$G,3,FALSE))=TRUE," ",VLOOKUP($B8,CPY!$B:$G,3,FALSE))</f>
        <v> </v>
      </c>
      <c r="E8" s="65" t="str">
        <f>IF(ISNA(VLOOKUP($B8,CPY!$B:$G,4,FALSE))=TRUE," ",VLOOKUP($B8,CPY!$B:$G,4,FALSE))</f>
        <v> </v>
      </c>
      <c r="F8" s="62" t="s">
        <v>2041</v>
      </c>
      <c r="G8" s="70">
        <v>0.5</v>
      </c>
      <c r="H8" s="62" t="s">
        <v>2047</v>
      </c>
    </row>
    <row r="9" spans="1:8" x14ac:dyDescent="0.25">
      <c r="A9" s="62">
        <v>8</v>
      </c>
      <c r="B9" s="62"/>
      <c r="C9" s="68" t="str">
        <f>IF(ISNA(VLOOKUP($B9,CPY!$B:$G,2,FALSE))=TRUE," ",VLOOKUP($B9,CPY!$B:$G,2,FALSE))</f>
        <v> </v>
      </c>
      <c r="D9" s="50" t="str">
        <f>IF(ISNA(VLOOKUP($B9,CPY!$B:$G,3,FALSE))=TRUE," ",VLOOKUP($B9,CPY!$B:$G,3,FALSE))</f>
        <v> </v>
      </c>
      <c r="E9" s="65" t="str">
        <f>IF(ISNA(VLOOKUP($B9,CPY!$B:$G,4,FALSE))=TRUE," ",VLOOKUP($B9,CPY!$B:$G,4,FALSE))</f>
        <v> </v>
      </c>
      <c r="F9" s="62"/>
      <c r="G9" s="70"/>
      <c r="H9" s="62"/>
    </row>
    <row r="10" spans="1:8" x14ac:dyDescent="0.25">
      <c r="A10" s="62">
        <v>9</v>
      </c>
      <c r="B10" s="62"/>
      <c r="C10" s="68" t="str">
        <f>IF(ISNA(VLOOKUP($B10,CPY!$B:$G,2,FALSE))=TRUE," ",VLOOKUP($B10,CPY!$B:$G,2,FALSE))</f>
        <v> </v>
      </c>
      <c r="D10" s="50" t="str">
        <f>IF(ISNA(VLOOKUP($B10,CPY!$B:$G,3,FALSE))=TRUE," ",VLOOKUP($B10,CPY!$B:$G,3,FALSE))</f>
        <v> </v>
      </c>
      <c r="E10" s="65" t="str">
        <f>IF(ISNA(VLOOKUP($B10,CPY!$B:$G,4,FALSE))=TRUE," ",VLOOKUP($B10,CPY!$B:$G,4,FALSE))</f>
        <v> </v>
      </c>
      <c r="F10" s="62"/>
      <c r="G10" s="70"/>
      <c r="H10" s="62"/>
    </row>
    <row r="11" spans="1:8" x14ac:dyDescent="0.25">
      <c r="A11" s="62">
        <v>10</v>
      </c>
      <c r="B11" s="62"/>
      <c r="C11" s="68" t="str">
        <f>IF(ISNA(VLOOKUP($B11,CPY!$B:$G,2,FALSE))=TRUE," ",VLOOKUP($B11,CPY!$B:$G,2,FALSE))</f>
        <v> </v>
      </c>
      <c r="D11" s="50" t="str">
        <f>IF(ISNA(VLOOKUP($B11,CPY!$B:$G,3,FALSE))=TRUE," ",VLOOKUP($B11,CPY!$B:$G,3,FALSE))</f>
        <v> </v>
      </c>
      <c r="E11" s="65" t="str">
        <f>IF(ISNA(VLOOKUP($B11,CPY!$B:$G,4,FALSE))=TRUE," ",VLOOKUP($B11,CPY!$B:$G,4,FALSE))</f>
        <v> </v>
      </c>
      <c r="F11" s="62"/>
      <c r="G11" s="70"/>
      <c r="H11" s="62"/>
    </row>
    <row r="12" spans="1:8" x14ac:dyDescent="0.25">
      <c r="A12" s="62">
        <v>11</v>
      </c>
      <c r="B12" s="62"/>
      <c r="C12" s="68" t="str">
        <f>IF(ISNA(VLOOKUP($B12,CPY!$B:$G,2,FALSE))=TRUE," ",VLOOKUP($B12,CPY!$B:$G,2,FALSE))</f>
        <v> </v>
      </c>
      <c r="D12" s="50" t="str">
        <f>IF(ISNA(VLOOKUP($B12,CPY!$B:$G,3,FALSE))=TRUE," ",VLOOKUP($B12,CPY!$B:$G,3,FALSE))</f>
        <v> </v>
      </c>
      <c r="E12" s="65" t="str">
        <f>IF(ISNA(VLOOKUP($B12,CPY!$B:$G,4,FALSE))=TRUE," ",VLOOKUP($B12,CPY!$B:$G,4,FALSE))</f>
        <v> </v>
      </c>
      <c r="F12" s="62"/>
      <c r="G12" s="70"/>
      <c r="H12" s="62"/>
    </row>
    <row r="13" spans="1:8" x14ac:dyDescent="0.25">
      <c r="A13" s="62">
        <v>12</v>
      </c>
      <c r="B13" s="62"/>
      <c r="C13" s="68" t="str">
        <f>IF(ISNA(VLOOKUP($B13,CPY!$B:$G,2,FALSE))=TRUE," ",VLOOKUP($B13,CPY!$B:$G,2,FALSE))</f>
        <v> </v>
      </c>
      <c r="D13" s="50" t="str">
        <f>IF(ISNA(VLOOKUP($B13,CPY!$B:$G,3,FALSE))=TRUE," ",VLOOKUP($B13,CPY!$B:$G,3,FALSE))</f>
        <v> </v>
      </c>
      <c r="E13" s="65" t="str">
        <f>IF(ISNA(VLOOKUP($B13,CPY!$B:$G,4,FALSE))=TRUE," ",VLOOKUP($B13,CPY!$B:$G,4,FALSE))</f>
        <v> </v>
      </c>
      <c r="F13" s="62"/>
      <c r="G13" s="70"/>
      <c r="H13" s="62"/>
    </row>
    <row r="14" spans="1:8" x14ac:dyDescent="0.25">
      <c r="A14" s="62">
        <v>13</v>
      </c>
      <c r="B14" s="62"/>
      <c r="C14" s="68" t="str">
        <f>IF(ISNA(VLOOKUP($B14,CPY!$B:$G,2,FALSE))=TRUE," ",VLOOKUP($B14,CPY!$B:$G,2,FALSE))</f>
        <v> </v>
      </c>
      <c r="D14" s="50" t="str">
        <f>IF(ISNA(VLOOKUP($B14,CPY!$B:$G,3,FALSE))=TRUE," ",VLOOKUP($B14,CPY!$B:$G,3,FALSE))</f>
        <v> </v>
      </c>
      <c r="E14" s="65" t="str">
        <f>IF(ISNA(VLOOKUP($B14,CPY!$B:$G,4,FALSE))=TRUE," ",VLOOKUP($B14,CPY!$B:$G,4,FALSE))</f>
        <v> </v>
      </c>
      <c r="F14" s="62"/>
      <c r="G14" s="70"/>
      <c r="H14" s="62"/>
    </row>
    <row r="15" spans="1:8" x14ac:dyDescent="0.25">
      <c r="A15" s="62">
        <v>14</v>
      </c>
      <c r="B15" s="62"/>
      <c r="C15" s="68" t="str">
        <f>IF(ISNA(VLOOKUP($B15,CPY!$B:$G,2,FALSE))=TRUE," ",VLOOKUP($B15,CPY!$B:$G,2,FALSE))</f>
        <v> </v>
      </c>
      <c r="D15" s="50" t="str">
        <f>IF(ISNA(VLOOKUP($B15,CPY!$B:$G,3,FALSE))=TRUE," ",VLOOKUP($B15,CPY!$B:$G,3,FALSE))</f>
        <v> </v>
      </c>
      <c r="E15" s="65" t="str">
        <f>IF(ISNA(VLOOKUP($B15,CPY!$B:$G,4,FALSE))=TRUE," ",VLOOKUP($B15,CPY!$B:$G,4,FALSE))</f>
        <v> </v>
      </c>
      <c r="F15" s="62"/>
      <c r="G15" s="70"/>
      <c r="H15" s="62"/>
    </row>
    <row r="16" spans="1:8" x14ac:dyDescent="0.25">
      <c r="A16" s="62">
        <v>15</v>
      </c>
      <c r="B16" s="62"/>
      <c r="C16" s="68" t="str">
        <f>IF(ISNA(VLOOKUP($B16,CPY!$B:$G,2,FALSE))=TRUE," ",VLOOKUP($B16,CPY!$B:$G,2,FALSE))</f>
        <v> </v>
      </c>
      <c r="D16" s="50" t="str">
        <f>IF(ISNA(VLOOKUP($B16,CPY!$B:$G,3,FALSE))=TRUE," ",VLOOKUP($B16,CPY!$B:$G,3,FALSE))</f>
        <v> </v>
      </c>
      <c r="E16" s="65" t="str">
        <f>IF(ISNA(VLOOKUP($B16,CPY!$B:$G,4,FALSE))=TRUE," ",VLOOKUP($B16,CPY!$B:$G,4,FALSE))</f>
        <v> </v>
      </c>
      <c r="F16" s="62"/>
      <c r="G16" s="70"/>
      <c r="H16" s="62"/>
    </row>
    <row r="17" spans="1:8" x14ac:dyDescent="0.25">
      <c r="A17" s="62">
        <v>16</v>
      </c>
      <c r="B17" s="62"/>
      <c r="C17" s="68" t="str">
        <f>IF(ISNA(VLOOKUP($B17,CPY!$B:$G,2,FALSE))=TRUE," ",VLOOKUP($B17,CPY!$B:$G,2,FALSE))</f>
        <v> </v>
      </c>
      <c r="D17" s="50" t="str">
        <f>IF(ISNA(VLOOKUP($B17,CPY!$B:$G,3,FALSE))=TRUE," ",VLOOKUP($B17,CPY!$B:$G,3,FALSE))</f>
        <v> </v>
      </c>
      <c r="E17" s="65" t="str">
        <f>IF(ISNA(VLOOKUP($B17,CPY!$B:$G,4,FALSE))=TRUE," ",VLOOKUP($B17,CPY!$B:$G,4,FALSE))</f>
        <v> </v>
      </c>
      <c r="F17" s="62"/>
      <c r="G17" s="70"/>
      <c r="H17" s="62"/>
    </row>
    <row r="18" spans="1:8" x14ac:dyDescent="0.25">
      <c r="A18" s="62">
        <v>17</v>
      </c>
      <c r="B18" s="62"/>
      <c r="C18" s="68" t="str">
        <f>IF(ISNA(VLOOKUP($B18,CPY!$B:$G,2,FALSE))=TRUE," ",VLOOKUP($B18,CPY!$B:$G,2,FALSE))</f>
        <v> </v>
      </c>
      <c r="D18" s="50" t="str">
        <f>IF(ISNA(VLOOKUP($B18,CPY!$B:$G,3,FALSE))=TRUE," ",VLOOKUP($B18,CPY!$B:$G,3,FALSE))</f>
        <v> </v>
      </c>
      <c r="E18" s="65" t="str">
        <f>IF(ISNA(VLOOKUP($B18,CPY!$B:$G,4,FALSE))=TRUE," ",VLOOKUP($B18,CPY!$B:$G,4,FALSE))</f>
        <v> </v>
      </c>
      <c r="F18" s="62"/>
      <c r="G18" s="70"/>
      <c r="H18" s="62"/>
    </row>
    <row r="19" spans="1:8" x14ac:dyDescent="0.25">
      <c r="A19" s="62">
        <v>18</v>
      </c>
      <c r="B19" s="62"/>
      <c r="C19" s="68" t="str">
        <f>IF(ISNA(VLOOKUP($B19,CPY!$B:$G,2,FALSE))=TRUE," ",VLOOKUP($B19,CPY!$B:$G,2,FALSE))</f>
        <v> </v>
      </c>
      <c r="D19" s="50" t="str">
        <f>IF(ISNA(VLOOKUP($B19,CPY!$B:$G,3,FALSE))=TRUE," ",VLOOKUP($B19,CPY!$B:$G,3,FALSE))</f>
        <v> </v>
      </c>
      <c r="E19" s="65" t="str">
        <f>IF(ISNA(VLOOKUP($B19,CPY!$B:$G,4,FALSE))=TRUE," ",VLOOKUP($B19,CPY!$B:$G,4,FALSE))</f>
        <v> </v>
      </c>
      <c r="F19" s="62"/>
      <c r="G19" s="70"/>
      <c r="H19" s="62"/>
    </row>
    <row r="20" spans="1:8" x14ac:dyDescent="0.25">
      <c r="A20" s="62">
        <v>19</v>
      </c>
      <c r="B20" s="62"/>
      <c r="C20" s="68" t="str">
        <f>IF(ISNA(VLOOKUP($B20,CPY!$B:$G,2,FALSE))=TRUE," ",VLOOKUP($B20,CPY!$B:$G,2,FALSE))</f>
        <v> </v>
      </c>
      <c r="D20" s="50" t="str">
        <f>IF(ISNA(VLOOKUP($B20,CPY!$B:$G,3,FALSE))=TRUE," ",VLOOKUP($B20,CPY!$B:$G,3,FALSE))</f>
        <v> </v>
      </c>
      <c r="E20" s="65" t="str">
        <f>IF(ISNA(VLOOKUP($B20,CPY!$B:$G,4,FALSE))=TRUE," ",VLOOKUP($B20,CPY!$B:$G,4,FALSE))</f>
        <v> </v>
      </c>
      <c r="F20" s="62"/>
      <c r="G20" s="70"/>
      <c r="H20" s="62"/>
    </row>
    <row r="21" spans="1:8" x14ac:dyDescent="0.25">
      <c r="A21" s="62">
        <v>20</v>
      </c>
      <c r="B21" s="62"/>
      <c r="C21" s="68" t="str">
        <f>IF(ISNA(VLOOKUP($B21,CPY!$B:$G,2,FALSE))=TRUE," ",VLOOKUP($B21,CPY!$B:$G,2,FALSE))</f>
        <v> </v>
      </c>
      <c r="D21" s="50" t="str">
        <f>IF(ISNA(VLOOKUP($B21,CPY!$B:$G,3,FALSE))=TRUE," ",VLOOKUP($B21,CPY!$B:$G,3,FALSE))</f>
        <v> </v>
      </c>
      <c r="E21" s="65" t="str">
        <f>IF(ISNA(VLOOKUP($B21,CPY!$B:$G,4,FALSE))=TRUE," ",VLOOKUP($B21,CPY!$B:$G,4,FALSE))</f>
        <v> </v>
      </c>
      <c r="F21" s="62"/>
      <c r="G21" s="70"/>
      <c r="H21" s="62"/>
    </row>
    <row r="22" spans="1:8" x14ac:dyDescent="0.25">
      <c r="A22" s="62">
        <v>21</v>
      </c>
      <c r="B22" s="62"/>
      <c r="C22" s="68" t="str">
        <f>IF(ISNA(VLOOKUP($B22,CPY!$B:$G,2,FALSE))=TRUE," ",VLOOKUP($B22,CPY!$B:$G,2,FALSE))</f>
        <v> </v>
      </c>
      <c r="D22" s="50" t="str">
        <f>IF(ISNA(VLOOKUP($B22,CPY!$B:$G,3,FALSE))=TRUE," ",VLOOKUP($B22,CPY!$B:$G,3,FALSE))</f>
        <v> </v>
      </c>
      <c r="E22" s="65" t="str">
        <f>IF(ISNA(VLOOKUP($B22,CPY!$B:$G,4,FALSE))=TRUE," ",VLOOKUP($B22,CPY!$B:$G,4,FALSE))</f>
        <v> </v>
      </c>
      <c r="F22" s="62"/>
      <c r="G22" s="70"/>
      <c r="H22" s="62"/>
    </row>
    <row r="23" spans="1:8" x14ac:dyDescent="0.25">
      <c r="A23" s="62">
        <v>22</v>
      </c>
      <c r="B23" s="62"/>
      <c r="C23" s="68" t="str">
        <f>IF(ISNA(VLOOKUP($B23,CPY!$B:$G,2,FALSE))=TRUE," ",VLOOKUP($B23,CPY!$B:$G,2,FALSE))</f>
        <v> </v>
      </c>
      <c r="D23" s="50" t="str">
        <f>IF(ISNA(VLOOKUP($B23,CPY!$B:$G,3,FALSE))=TRUE," ",VLOOKUP($B23,CPY!$B:$G,3,FALSE))</f>
        <v> </v>
      </c>
      <c r="E23" s="65" t="str">
        <f>IF(ISNA(VLOOKUP($B23,CPY!$B:$G,4,FALSE))=TRUE," ",VLOOKUP($B23,CPY!$B:$G,4,FALSE))</f>
        <v> </v>
      </c>
      <c r="F23" s="62"/>
      <c r="G23" s="70"/>
      <c r="H23" s="62"/>
    </row>
    <row r="24" spans="1:8" x14ac:dyDescent="0.25">
      <c r="A24" s="62">
        <v>23</v>
      </c>
      <c r="B24" s="62"/>
      <c r="C24" s="68" t="str">
        <f>IF(ISNA(VLOOKUP($B24,CPY!$B:$G,2,FALSE))=TRUE," ",VLOOKUP($B24,CPY!$B:$G,2,FALSE))</f>
        <v> </v>
      </c>
      <c r="D24" s="50" t="str">
        <f>IF(ISNA(VLOOKUP($B24,CPY!$B:$G,3,FALSE))=TRUE," ",VLOOKUP($B24,CPY!$B:$G,3,FALSE))</f>
        <v> </v>
      </c>
      <c r="E24" s="65" t="str">
        <f>IF(ISNA(VLOOKUP($B24,CPY!$B:$G,4,FALSE))=TRUE," ",VLOOKUP($B24,CPY!$B:$G,4,FALSE))</f>
        <v> </v>
      </c>
      <c r="F24" s="62"/>
      <c r="G24" s="70"/>
      <c r="H24" s="62"/>
    </row>
    <row r="25" spans="1:8" x14ac:dyDescent="0.25">
      <c r="A25" s="62">
        <v>24</v>
      </c>
      <c r="B25" s="62"/>
      <c r="C25" s="68" t="str">
        <f>IF(ISNA(VLOOKUP($B25,CPY!$B:$G,2,FALSE))=TRUE," ",VLOOKUP($B25,CPY!$B:$G,2,FALSE))</f>
        <v> </v>
      </c>
      <c r="D25" s="50" t="str">
        <f>IF(ISNA(VLOOKUP($B25,CPY!$B:$G,3,FALSE))=TRUE," ",VLOOKUP($B25,CPY!$B:$G,3,FALSE))</f>
        <v> </v>
      </c>
      <c r="E25" s="65" t="str">
        <f>IF(ISNA(VLOOKUP($B25,CPY!$B:$G,4,FALSE))=TRUE," ",VLOOKUP($B25,CPY!$B:$G,4,FALSE))</f>
        <v> </v>
      </c>
      <c r="F25" s="62"/>
      <c r="G25" s="70"/>
      <c r="H25" s="62"/>
    </row>
    <row r="26" spans="1:8" x14ac:dyDescent="0.25">
      <c r="A26" s="62">
        <v>25</v>
      </c>
      <c r="B26" s="62"/>
      <c r="C26" s="68" t="str">
        <f>IF(ISNA(VLOOKUP($B26,CPY!$B:$G,2,FALSE))=TRUE," ",VLOOKUP($B26,CPY!$B:$G,2,FALSE))</f>
        <v> </v>
      </c>
      <c r="D26" s="50" t="str">
        <f>IF(ISNA(VLOOKUP($B26,CPY!$B:$G,3,FALSE))=TRUE," ",VLOOKUP($B26,CPY!$B:$G,3,FALSE))</f>
        <v> </v>
      </c>
      <c r="E26" s="65" t="str">
        <f>IF(ISNA(VLOOKUP($B26,CPY!$B:$G,4,FALSE))=TRUE," ",VLOOKUP($B26,CPY!$B:$G,4,FALSE))</f>
        <v> </v>
      </c>
      <c r="F26" s="62"/>
      <c r="G26" s="70"/>
      <c r="H26" s="62"/>
    </row>
    <row r="27" spans="1:8" x14ac:dyDescent="0.25">
      <c r="A27" s="62">
        <v>26</v>
      </c>
      <c r="B27" s="62"/>
      <c r="C27" s="68" t="str">
        <f>IF(ISNA(VLOOKUP($B27,CPY!$B:$G,2,FALSE))=TRUE," ",VLOOKUP($B27,CPY!$B:$G,2,FALSE))</f>
        <v> </v>
      </c>
      <c r="D27" s="50" t="str">
        <f>IF(ISNA(VLOOKUP($B27,CPY!$B:$G,3,FALSE))=TRUE," ",VLOOKUP($B27,CPY!$B:$G,3,FALSE))</f>
        <v> </v>
      </c>
      <c r="E27" s="65" t="str">
        <f>IF(ISNA(VLOOKUP($B27,CPY!$B:$G,4,FALSE))=TRUE," ",VLOOKUP($B27,CPY!$B:$G,4,FALSE))</f>
        <v> </v>
      </c>
      <c r="F27" s="62"/>
      <c r="G27" s="70"/>
      <c r="H27" s="62"/>
    </row>
    <row r="28" spans="1:8" x14ac:dyDescent="0.25">
      <c r="A28" s="62">
        <v>27</v>
      </c>
      <c r="B28" s="62"/>
      <c r="C28" s="68" t="str">
        <f>IF(ISNA(VLOOKUP($B28,CPY!$B:$G,2,FALSE))=TRUE," ",VLOOKUP($B28,CPY!$B:$G,2,FALSE))</f>
        <v> </v>
      </c>
      <c r="D28" s="50" t="str">
        <f>IF(ISNA(VLOOKUP($B28,CPY!$B:$G,3,FALSE))=TRUE," ",VLOOKUP($B28,CPY!$B:$G,3,FALSE))</f>
        <v> </v>
      </c>
      <c r="E28" s="65" t="str">
        <f>IF(ISNA(VLOOKUP($B28,CPY!$B:$G,4,FALSE))=TRUE," ",VLOOKUP($B28,CPY!$B:$G,4,FALSE))</f>
        <v> </v>
      </c>
      <c r="F28" s="62"/>
      <c r="G28" s="70"/>
      <c r="H28" s="62"/>
    </row>
    <row r="29" spans="1:8" x14ac:dyDescent="0.25">
      <c r="A29" s="62">
        <v>28</v>
      </c>
      <c r="B29" s="62"/>
      <c r="C29" s="68" t="str">
        <f>IF(ISNA(VLOOKUP($B29,CPY!$B:$G,2,FALSE))=TRUE," ",VLOOKUP($B29,CPY!$B:$G,2,FALSE))</f>
        <v> </v>
      </c>
      <c r="D29" s="50" t="str">
        <f>IF(ISNA(VLOOKUP($B29,CPY!$B:$G,3,FALSE))=TRUE," ",VLOOKUP($B29,CPY!$B:$G,3,FALSE))</f>
        <v> </v>
      </c>
      <c r="E29" s="65" t="str">
        <f>IF(ISNA(VLOOKUP($B29,CPY!$B:$G,4,FALSE))=TRUE," ",VLOOKUP($B29,CPY!$B:$G,4,FALSE))</f>
        <v> </v>
      </c>
      <c r="F29" s="62"/>
      <c r="G29" s="70"/>
      <c r="H29" s="62"/>
    </row>
    <row r="30" spans="1:8" x14ac:dyDescent="0.25">
      <c r="A30" s="62">
        <v>29</v>
      </c>
      <c r="B30" s="62"/>
      <c r="C30" s="68" t="str">
        <f>IF(ISNA(VLOOKUP($B30,CPY!$B:$G,2,FALSE))=TRUE," ",VLOOKUP($B30,CPY!$B:$G,2,FALSE))</f>
        <v> </v>
      </c>
      <c r="D30" s="50" t="str">
        <f>IF(ISNA(VLOOKUP($B30,CPY!$B:$G,3,FALSE))=TRUE," ",VLOOKUP($B30,CPY!$B:$G,3,FALSE))</f>
        <v> </v>
      </c>
      <c r="E30" s="65" t="str">
        <f>IF(ISNA(VLOOKUP($B30,CPY!$B:$G,4,FALSE))=TRUE," ",VLOOKUP($B30,CPY!$B:$G,4,FALSE))</f>
        <v> </v>
      </c>
      <c r="F30" s="62"/>
      <c r="G30" s="70"/>
      <c r="H30" s="62"/>
    </row>
    <row r="31" spans="1:8" x14ac:dyDescent="0.25">
      <c r="A31" s="62">
        <v>30</v>
      </c>
      <c r="B31" s="62"/>
      <c r="C31" s="68" t="str">
        <f>IF(ISNA(VLOOKUP($B31,CPY!$B:$G,2,FALSE))=TRUE," ",VLOOKUP($B31,CPY!$B:$G,2,FALSE))</f>
        <v> </v>
      </c>
      <c r="D31" s="50" t="str">
        <f>IF(ISNA(VLOOKUP($B31,CPY!$B:$G,3,FALSE))=TRUE," ",VLOOKUP($B31,CPY!$B:$G,3,FALSE))</f>
        <v> </v>
      </c>
      <c r="E31" s="65" t="str">
        <f>IF(ISNA(VLOOKUP($B31,CPY!$B:$G,4,FALSE))=TRUE," ",VLOOKUP($B31,CPY!$B:$G,4,FALSE))</f>
        <v> </v>
      </c>
      <c r="F31" s="62"/>
      <c r="G31" s="70"/>
      <c r="H31" s="62"/>
    </row>
    <row r="32" spans="1:8" x14ac:dyDescent="0.25">
      <c r="A32" s="62">
        <v>31</v>
      </c>
      <c r="B32" s="62"/>
      <c r="C32" s="68" t="str">
        <f>IF(ISNA(VLOOKUP($B32,CPY!$B:$G,2,FALSE))=TRUE," ",VLOOKUP($B32,CPY!$B:$G,2,FALSE))</f>
        <v> </v>
      </c>
      <c r="D32" s="50" t="str">
        <f>IF(ISNA(VLOOKUP($B32,CPY!$B:$G,3,FALSE))=TRUE," ",VLOOKUP($B32,CPY!$B:$G,3,FALSE))</f>
        <v> </v>
      </c>
      <c r="E32" s="65" t="str">
        <f>IF(ISNA(VLOOKUP($B32,CPY!$B:$G,4,FALSE))=TRUE," ",VLOOKUP($B32,CPY!$B:$G,4,FALSE))</f>
        <v> </v>
      </c>
      <c r="F32" s="62"/>
      <c r="G32" s="70"/>
      <c r="H32" s="62"/>
    </row>
    <row r="33" spans="1:8" x14ac:dyDescent="0.25">
      <c r="A33" s="62">
        <v>32</v>
      </c>
      <c r="B33" s="62"/>
      <c r="C33" s="68" t="str">
        <f>IF(ISNA(VLOOKUP($B33,CPY!$B:$G,2,FALSE))=TRUE," ",VLOOKUP($B33,CPY!$B:$G,2,FALSE))</f>
        <v> </v>
      </c>
      <c r="D33" s="50" t="str">
        <f>IF(ISNA(VLOOKUP($B33,CPY!$B:$G,3,FALSE))=TRUE," ",VLOOKUP($B33,CPY!$B:$G,3,FALSE))</f>
        <v> </v>
      </c>
      <c r="E33" s="65" t="str">
        <f>IF(ISNA(VLOOKUP($B33,CPY!$B:$G,4,FALSE))=TRUE," ",VLOOKUP($B33,CPY!$B:$G,4,FALSE))</f>
        <v> </v>
      </c>
      <c r="F33" s="62"/>
      <c r="G33" s="70"/>
      <c r="H33" s="62"/>
    </row>
    <row r="34" spans="1:8" x14ac:dyDescent="0.25">
      <c r="A34" s="62">
        <v>33</v>
      </c>
      <c r="B34" s="62"/>
      <c r="C34" s="68" t="str">
        <f>IF(ISNA(VLOOKUP($B34,CPY!$B:$G,2,FALSE))=TRUE," ",VLOOKUP($B34,CPY!$B:$G,2,FALSE))</f>
        <v> </v>
      </c>
      <c r="D34" s="50" t="str">
        <f>IF(ISNA(VLOOKUP($B34,CPY!$B:$G,3,FALSE))=TRUE," ",VLOOKUP($B34,CPY!$B:$G,3,FALSE))</f>
        <v> </v>
      </c>
      <c r="E34" s="65" t="str">
        <f>IF(ISNA(VLOOKUP($B34,CPY!$B:$G,4,FALSE))=TRUE," ",VLOOKUP($B34,CPY!$B:$G,4,FALSE))</f>
        <v> </v>
      </c>
      <c r="F34" s="62"/>
      <c r="G34" s="70"/>
      <c r="H34" s="62"/>
    </row>
    <row r="35" spans="1:8" x14ac:dyDescent="0.25">
      <c r="A35" s="62">
        <v>34</v>
      </c>
      <c r="B35" s="62"/>
      <c r="C35" s="68" t="str">
        <f>IF(ISNA(VLOOKUP($B35,CPY!$B:$G,2,FALSE))=TRUE," ",VLOOKUP($B35,CPY!$B:$G,2,FALSE))</f>
        <v> </v>
      </c>
      <c r="D35" s="50" t="str">
        <f>IF(ISNA(VLOOKUP($B35,CPY!$B:$G,3,FALSE))=TRUE," ",VLOOKUP($B35,CPY!$B:$G,3,FALSE))</f>
        <v> </v>
      </c>
      <c r="E35" s="65" t="str">
        <f>IF(ISNA(VLOOKUP($B35,CPY!$B:$G,4,FALSE))=TRUE," ",VLOOKUP($B35,CPY!$B:$G,4,FALSE))</f>
        <v> </v>
      </c>
      <c r="F35" s="62"/>
      <c r="G35" s="70"/>
      <c r="H35" s="62"/>
    </row>
    <row r="36" spans="1:8" x14ac:dyDescent="0.25">
      <c r="A36" s="62">
        <v>35</v>
      </c>
      <c r="B36" s="62"/>
      <c r="C36" s="68" t="str">
        <f>IF(ISNA(VLOOKUP($B36,CPY!$B:$G,2,FALSE))=TRUE," ",VLOOKUP($B36,CPY!$B:$G,2,FALSE))</f>
        <v> </v>
      </c>
      <c r="D36" s="50" t="str">
        <f>IF(ISNA(VLOOKUP($B36,CPY!$B:$G,3,FALSE))=TRUE," ",VLOOKUP($B36,CPY!$B:$G,3,FALSE))</f>
        <v> </v>
      </c>
      <c r="E36" s="65" t="str">
        <f>IF(ISNA(VLOOKUP($B36,CPY!$B:$G,4,FALSE))=TRUE," ",VLOOKUP($B36,CPY!$B:$G,4,FALSE))</f>
        <v> </v>
      </c>
      <c r="F36" s="62"/>
      <c r="G36" s="70"/>
      <c r="H36" s="62"/>
    </row>
    <row r="37" spans="1:8" x14ac:dyDescent="0.25">
      <c r="A37" s="62">
        <v>36</v>
      </c>
      <c r="B37" s="62"/>
      <c r="C37" s="68" t="str">
        <f>IF(ISNA(VLOOKUP($B37,CPY!$B:$G,2,FALSE))=TRUE," ",VLOOKUP($B37,CPY!$B:$G,2,FALSE))</f>
        <v> </v>
      </c>
      <c r="D37" s="50" t="str">
        <f>IF(ISNA(VLOOKUP($B37,CPY!$B:$G,3,FALSE))=TRUE," ",VLOOKUP($B37,CPY!$B:$G,3,FALSE))</f>
        <v> </v>
      </c>
      <c r="E37" s="65" t="str">
        <f>IF(ISNA(VLOOKUP($B37,CPY!$B:$G,4,FALSE))=TRUE," ",VLOOKUP($B37,CPY!$B:$G,4,FALSE))</f>
        <v> </v>
      </c>
      <c r="F37" s="62"/>
      <c r="G37" s="70"/>
      <c r="H37" s="62"/>
    </row>
    <row r="38" spans="1:8" x14ac:dyDescent="0.25">
      <c r="A38" s="62">
        <v>37</v>
      </c>
      <c r="B38" s="62"/>
      <c r="C38" s="68" t="str">
        <f>IF(ISNA(VLOOKUP($B38,CPY!$B:$G,2,FALSE))=TRUE," ",VLOOKUP($B38,CPY!$B:$G,2,FALSE))</f>
        <v> </v>
      </c>
      <c r="D38" s="50" t="str">
        <f>IF(ISNA(VLOOKUP($B38,CPY!$B:$G,3,FALSE))=TRUE," ",VLOOKUP($B38,CPY!$B:$G,3,FALSE))</f>
        <v> </v>
      </c>
      <c r="E38" s="65" t="str">
        <f>IF(ISNA(VLOOKUP($B38,CPY!$B:$G,4,FALSE))=TRUE," ",VLOOKUP($B38,CPY!$B:$G,4,FALSE))</f>
        <v> </v>
      </c>
      <c r="F38" s="62"/>
      <c r="G38" s="70"/>
      <c r="H38" s="62"/>
    </row>
    <row r="39" spans="1:8" x14ac:dyDescent="0.25">
      <c r="A39" s="62">
        <v>38</v>
      </c>
      <c r="B39" s="62"/>
      <c r="C39" s="68" t="str">
        <f>IF(ISNA(VLOOKUP($B39,CPY!$B:$G,2,FALSE))=TRUE," ",VLOOKUP($B39,CPY!$B:$G,2,FALSE))</f>
        <v> </v>
      </c>
      <c r="D39" s="50" t="str">
        <f>IF(ISNA(VLOOKUP($B39,CPY!$B:$G,3,FALSE))=TRUE," ",VLOOKUP($B39,CPY!$B:$G,3,FALSE))</f>
        <v> </v>
      </c>
      <c r="E39" s="65" t="str">
        <f>IF(ISNA(VLOOKUP($B39,CPY!$B:$G,4,FALSE))=TRUE," ",VLOOKUP($B39,CPY!$B:$G,4,FALSE))</f>
        <v> </v>
      </c>
      <c r="F39" s="62"/>
      <c r="G39" s="70"/>
      <c r="H39" s="62"/>
    </row>
    <row r="40" spans="1:8" x14ac:dyDescent="0.25">
      <c r="A40" s="62">
        <v>39</v>
      </c>
      <c r="B40" s="62"/>
      <c r="C40" s="68" t="str">
        <f>IF(ISNA(VLOOKUP($B40,CPY!$B:$G,2,FALSE))=TRUE," ",VLOOKUP($B40,CPY!$B:$G,2,FALSE))</f>
        <v> </v>
      </c>
      <c r="D40" s="50" t="str">
        <f>IF(ISNA(VLOOKUP($B40,CPY!$B:$G,3,FALSE))=TRUE," ",VLOOKUP($B40,CPY!$B:$G,3,FALSE))</f>
        <v> </v>
      </c>
      <c r="E40" s="65" t="str">
        <f>IF(ISNA(VLOOKUP($B40,CPY!$B:$G,4,FALSE))=TRUE," ",VLOOKUP($B40,CPY!$B:$G,4,FALSE))</f>
        <v> </v>
      </c>
      <c r="F40" s="62"/>
      <c r="G40" s="70"/>
      <c r="H40" s="62"/>
    </row>
    <row r="41" spans="1:8" x14ac:dyDescent="0.25">
      <c r="A41" s="62">
        <v>40</v>
      </c>
      <c r="B41" s="62"/>
      <c r="C41" s="68" t="str">
        <f>IF(ISNA(VLOOKUP($B41,CPY!$B:$G,2,FALSE))=TRUE," ",VLOOKUP($B41,CPY!$B:$G,2,FALSE))</f>
        <v> </v>
      </c>
      <c r="D41" s="50" t="str">
        <f>IF(ISNA(VLOOKUP($B41,CPY!$B:$G,3,FALSE))=TRUE," ",VLOOKUP($B41,CPY!$B:$G,3,FALSE))</f>
        <v> </v>
      </c>
      <c r="E41" s="65" t="str">
        <f>IF(ISNA(VLOOKUP($B41,CPY!$B:$G,4,FALSE))=TRUE," ",VLOOKUP($B41,CPY!$B:$G,4,FALSE))</f>
        <v> </v>
      </c>
      <c r="F41" s="62"/>
      <c r="G41" s="70"/>
      <c r="H41" s="62"/>
    </row>
    <row r="42" spans="1:8" x14ac:dyDescent="0.25">
      <c r="A42" s="62">
        <v>41</v>
      </c>
      <c r="B42" s="62"/>
      <c r="C42" s="68" t="str">
        <f>IF(ISNA(VLOOKUP($B42,CPY!$B:$G,2,FALSE))=TRUE," ",VLOOKUP($B42,CPY!$B:$G,2,FALSE))</f>
        <v> </v>
      </c>
      <c r="D42" s="50" t="str">
        <f>IF(ISNA(VLOOKUP($B42,CPY!$B:$G,3,FALSE))=TRUE," ",VLOOKUP($B42,CPY!$B:$G,3,FALSE))</f>
        <v> </v>
      </c>
      <c r="E42" s="65" t="str">
        <f>IF(ISNA(VLOOKUP($B42,CPY!$B:$G,4,FALSE))=TRUE," ",VLOOKUP($B42,CPY!$B:$G,4,FALSE))</f>
        <v> </v>
      </c>
      <c r="F42" s="62"/>
      <c r="G42" s="70"/>
      <c r="H42" s="62"/>
    </row>
    <row r="43" spans="1:8" x14ac:dyDescent="0.25">
      <c r="A43" s="62">
        <v>42</v>
      </c>
      <c r="B43" s="62"/>
      <c r="C43" s="68" t="str">
        <f>IF(ISNA(VLOOKUP($B43,CPY!$B:$G,2,FALSE))=TRUE," ",VLOOKUP($B43,CPY!$B:$G,2,FALSE))</f>
        <v> </v>
      </c>
      <c r="D43" s="50" t="str">
        <f>IF(ISNA(VLOOKUP($B43,CPY!$B:$G,3,FALSE))=TRUE," ",VLOOKUP($B43,CPY!$B:$G,3,FALSE))</f>
        <v> </v>
      </c>
      <c r="E43" s="65" t="str">
        <f>IF(ISNA(VLOOKUP($B43,CPY!$B:$G,4,FALSE))=TRUE," ",VLOOKUP($B43,CPY!$B:$G,4,FALSE))</f>
        <v> </v>
      </c>
      <c r="F43" s="62"/>
      <c r="G43" s="70"/>
      <c r="H43" s="62"/>
    </row>
    <row r="44" spans="1:8" x14ac:dyDescent="0.25">
      <c r="A44" s="62">
        <v>43</v>
      </c>
      <c r="B44" s="62"/>
      <c r="C44" s="68" t="str">
        <f>IF(ISNA(VLOOKUP($B44,CPY!$B:$G,2,FALSE))=TRUE," ",VLOOKUP($B44,CPY!$B:$G,2,FALSE))</f>
        <v> </v>
      </c>
      <c r="D44" s="50" t="str">
        <f>IF(ISNA(VLOOKUP($B44,CPY!$B:$G,3,FALSE))=TRUE," ",VLOOKUP($B44,CPY!$B:$G,3,FALSE))</f>
        <v> </v>
      </c>
      <c r="E44" s="65" t="str">
        <f>IF(ISNA(VLOOKUP($B44,CPY!$B:$G,4,FALSE))=TRUE," ",VLOOKUP($B44,CPY!$B:$G,4,FALSE))</f>
        <v> </v>
      </c>
      <c r="F44" s="62"/>
      <c r="G44" s="70"/>
      <c r="H44" s="62"/>
    </row>
    <row r="45" spans="1:8" x14ac:dyDescent="0.25">
      <c r="A45" s="62">
        <v>44</v>
      </c>
      <c r="B45" s="62"/>
      <c r="C45" s="68" t="str">
        <f>IF(ISNA(VLOOKUP($B45,CPY!$B:$G,2,FALSE))=TRUE," ",VLOOKUP($B45,CPY!$B:$G,2,FALSE))</f>
        <v> </v>
      </c>
      <c r="D45" s="50" t="str">
        <f>IF(ISNA(VLOOKUP($B45,CPY!$B:$G,3,FALSE))=TRUE," ",VLOOKUP($B45,CPY!$B:$G,3,FALSE))</f>
        <v> </v>
      </c>
      <c r="E45" s="65" t="str">
        <f>IF(ISNA(VLOOKUP($B45,CPY!$B:$G,4,FALSE))=TRUE," ",VLOOKUP($B45,CPY!$B:$G,4,FALSE))</f>
        <v> </v>
      </c>
      <c r="F45" s="62"/>
      <c r="G45" s="70"/>
      <c r="H45" s="62"/>
    </row>
    <row r="46" spans="1:8" x14ac:dyDescent="0.25">
      <c r="A46" s="62">
        <v>45</v>
      </c>
      <c r="B46" s="62"/>
      <c r="C46" s="68" t="str">
        <f>IF(ISNA(VLOOKUP($B46,CPY!$B:$G,2,FALSE))=TRUE," ",VLOOKUP($B46,CPY!$B:$G,2,FALSE))</f>
        <v> </v>
      </c>
      <c r="D46" s="50" t="str">
        <f>IF(ISNA(VLOOKUP($B46,CPY!$B:$G,3,FALSE))=TRUE," ",VLOOKUP($B46,CPY!$B:$G,3,FALSE))</f>
        <v> </v>
      </c>
      <c r="E46" s="65" t="str">
        <f>IF(ISNA(VLOOKUP($B46,CPY!$B:$G,4,FALSE))=TRUE," ",VLOOKUP($B46,CPY!$B:$G,4,FALSE))</f>
        <v> </v>
      </c>
      <c r="F46" s="62"/>
      <c r="G46" s="70"/>
      <c r="H46" s="62"/>
    </row>
    <row r="47" spans="1:8" x14ac:dyDescent="0.25">
      <c r="A47" s="62">
        <v>46</v>
      </c>
      <c r="B47" s="62"/>
      <c r="C47" s="68" t="str">
        <f>IF(ISNA(VLOOKUP($B47,CPY!$B:$G,2,FALSE))=TRUE," ",VLOOKUP($B47,CPY!$B:$G,2,FALSE))</f>
        <v> </v>
      </c>
      <c r="D47" s="50" t="str">
        <f>IF(ISNA(VLOOKUP($B47,CPY!$B:$G,3,FALSE))=TRUE," ",VLOOKUP($B47,CPY!$B:$G,3,FALSE))</f>
        <v> </v>
      </c>
      <c r="E47" s="65" t="str">
        <f>IF(ISNA(VLOOKUP($B47,CPY!$B:$G,4,FALSE))=TRUE," ",VLOOKUP($B47,CPY!$B:$G,4,FALSE))</f>
        <v> </v>
      </c>
      <c r="F47" s="62"/>
      <c r="G47" s="70"/>
      <c r="H47" s="62"/>
    </row>
    <row r="48" spans="1:8" x14ac:dyDescent="0.25">
      <c r="A48" s="62">
        <v>47</v>
      </c>
      <c r="B48" s="62"/>
      <c r="C48" s="68" t="str">
        <f>IF(ISNA(VLOOKUP($B48,CPY!$B:$G,2,FALSE))=TRUE," ",VLOOKUP($B48,CPY!$B:$G,2,FALSE))</f>
        <v> </v>
      </c>
      <c r="D48" s="50" t="str">
        <f>IF(ISNA(VLOOKUP($B48,CPY!$B:$G,3,FALSE))=TRUE," ",VLOOKUP($B48,CPY!$B:$G,3,FALSE))</f>
        <v> </v>
      </c>
      <c r="E48" s="65" t="str">
        <f>IF(ISNA(VLOOKUP($B48,CPY!$B:$G,4,FALSE))=TRUE," ",VLOOKUP($B48,CPY!$B:$G,4,FALSE))</f>
        <v> </v>
      </c>
      <c r="F48" s="62"/>
      <c r="G48" s="70"/>
      <c r="H48" s="62"/>
    </row>
    <row r="49" spans="1:8" x14ac:dyDescent="0.25">
      <c r="A49" s="62">
        <v>48</v>
      </c>
      <c r="B49" s="62"/>
      <c r="C49" s="68" t="str">
        <f>IF(ISNA(VLOOKUP($B49,CPY!$B:$G,2,FALSE))=TRUE," ",VLOOKUP($B49,CPY!$B:$G,2,FALSE))</f>
        <v> </v>
      </c>
      <c r="D49" s="50" t="str">
        <f>IF(ISNA(VLOOKUP($B49,CPY!$B:$G,3,FALSE))=TRUE," ",VLOOKUP($B49,CPY!$B:$G,3,FALSE))</f>
        <v> </v>
      </c>
      <c r="E49" s="65" t="str">
        <f>IF(ISNA(VLOOKUP($B49,CPY!$B:$G,4,FALSE))=TRUE," ",VLOOKUP($B49,CPY!$B:$G,4,FALSE))</f>
        <v> </v>
      </c>
      <c r="F49" s="62"/>
      <c r="G49" s="70"/>
      <c r="H49" s="62"/>
    </row>
    <row r="50" spans="1:8" x14ac:dyDescent="0.25">
      <c r="A50" s="62">
        <v>49</v>
      </c>
      <c r="B50" s="62"/>
      <c r="C50" s="68" t="str">
        <f>IF(ISNA(VLOOKUP($B50,CPY!$B:$G,2,FALSE))=TRUE," ",VLOOKUP($B50,CPY!$B:$G,2,FALSE))</f>
        <v> </v>
      </c>
      <c r="D50" s="50" t="str">
        <f>IF(ISNA(VLOOKUP($B50,CPY!$B:$G,3,FALSE))=TRUE," ",VLOOKUP($B50,CPY!$B:$G,3,FALSE))</f>
        <v> </v>
      </c>
      <c r="E50" s="65" t="str">
        <f>IF(ISNA(VLOOKUP($B50,CPY!$B:$G,4,FALSE))=TRUE," ",VLOOKUP($B50,CPY!$B:$G,4,FALSE))</f>
        <v> </v>
      </c>
      <c r="F50" s="62"/>
      <c r="G50" s="70"/>
      <c r="H50" s="62"/>
    </row>
    <row r="51" spans="1:8" x14ac:dyDescent="0.25">
      <c r="A51" s="62">
        <v>50</v>
      </c>
      <c r="B51" s="62"/>
      <c r="C51" s="68" t="str">
        <f>IF(ISNA(VLOOKUP($B51,CPY!$B:$G,2,FALSE))=TRUE," ",VLOOKUP($B51,CPY!$B:$G,2,FALSE))</f>
        <v> </v>
      </c>
      <c r="D51" s="50" t="str">
        <f>IF(ISNA(VLOOKUP($B51,CPY!$B:$G,3,FALSE))=TRUE," ",VLOOKUP($B51,CPY!$B:$G,3,FALSE))</f>
        <v> </v>
      </c>
      <c r="E51" s="65" t="str">
        <f>IF(ISNA(VLOOKUP($B51,CPY!$B:$G,4,FALSE))=TRUE," ",VLOOKUP($B51,CPY!$B:$G,4,FALSE))</f>
        <v> </v>
      </c>
      <c r="F51" s="62"/>
      <c r="G51" s="70"/>
      <c r="H51" s="62"/>
    </row>
    <row r="52" spans="1:8" x14ac:dyDescent="0.25">
      <c r="A52" s="62">
        <v>51</v>
      </c>
      <c r="B52" s="62"/>
      <c r="C52" s="68" t="str">
        <f>IF(ISNA(VLOOKUP($B52,CPY!$B:$G,2,FALSE))=TRUE," ",VLOOKUP($B52,CPY!$B:$G,2,FALSE))</f>
        <v> </v>
      </c>
      <c r="D52" s="50" t="str">
        <f>IF(ISNA(VLOOKUP($B52,CPY!$B:$G,3,FALSE))=TRUE," ",VLOOKUP($B52,CPY!$B:$G,3,FALSE))</f>
        <v> </v>
      </c>
      <c r="E52" s="65" t="str">
        <f>IF(ISNA(VLOOKUP($B52,CPY!$B:$G,4,FALSE))=TRUE," ",VLOOKUP($B52,CPY!$B:$G,4,FALSE))</f>
        <v> </v>
      </c>
      <c r="F52" s="62"/>
      <c r="G52" s="70"/>
      <c r="H52" s="62"/>
    </row>
    <row r="53" spans="1:8" x14ac:dyDescent="0.25">
      <c r="A53" s="62">
        <v>52</v>
      </c>
      <c r="B53" s="62"/>
      <c r="C53" s="68" t="str">
        <f>IF(ISNA(VLOOKUP($B53,CPY!$B:$G,2,FALSE))=TRUE," ",VLOOKUP($B53,CPY!$B:$G,2,FALSE))</f>
        <v> </v>
      </c>
      <c r="D53" s="50" t="str">
        <f>IF(ISNA(VLOOKUP($B53,CPY!$B:$G,3,FALSE))=TRUE," ",VLOOKUP($B53,CPY!$B:$G,3,FALSE))</f>
        <v> </v>
      </c>
      <c r="E53" s="65" t="str">
        <f>IF(ISNA(VLOOKUP($B53,CPY!$B:$G,4,FALSE))=TRUE," ",VLOOKUP($B53,CPY!$B:$G,4,FALSE))</f>
        <v> </v>
      </c>
      <c r="F53" s="62"/>
      <c r="G53" s="70"/>
      <c r="H53" s="62"/>
    </row>
    <row r="54" spans="1:8" x14ac:dyDescent="0.25">
      <c r="A54" s="62">
        <v>53</v>
      </c>
      <c r="B54" s="62"/>
      <c r="C54" s="68" t="str">
        <f>IF(ISNA(VLOOKUP($B54,CPY!$B:$G,2,FALSE))=TRUE," ",VLOOKUP($B54,CPY!$B:$G,2,FALSE))</f>
        <v> </v>
      </c>
      <c r="D54" s="50" t="str">
        <f>IF(ISNA(VLOOKUP($B54,CPY!$B:$G,3,FALSE))=TRUE," ",VLOOKUP($B54,CPY!$B:$G,3,FALSE))</f>
        <v> </v>
      </c>
      <c r="E54" s="65" t="str">
        <f>IF(ISNA(VLOOKUP($B54,CPY!$B:$G,4,FALSE))=TRUE," ",VLOOKUP($B54,CPY!$B:$G,4,FALSE))</f>
        <v> </v>
      </c>
      <c r="F54" s="62"/>
      <c r="G54" s="70"/>
      <c r="H54" s="62"/>
    </row>
    <row r="55" spans="1:8" x14ac:dyDescent="0.25">
      <c r="A55" s="62">
        <v>54</v>
      </c>
      <c r="B55" s="62"/>
      <c r="C55" s="68" t="str">
        <f>IF(ISNA(VLOOKUP($B55,CPY!$B:$G,2,FALSE))=TRUE," ",VLOOKUP($B55,CPY!$B:$G,2,FALSE))</f>
        <v> </v>
      </c>
      <c r="D55" s="50" t="str">
        <f>IF(ISNA(VLOOKUP($B55,CPY!$B:$G,3,FALSE))=TRUE," ",VLOOKUP($B55,CPY!$B:$G,3,FALSE))</f>
        <v> </v>
      </c>
      <c r="E55" s="65" t="str">
        <f>IF(ISNA(VLOOKUP($B55,CPY!$B:$G,4,FALSE))=TRUE," ",VLOOKUP($B55,CPY!$B:$G,4,FALSE))</f>
        <v> </v>
      </c>
      <c r="F55" s="62"/>
      <c r="G55" s="70"/>
      <c r="H55" s="62"/>
    </row>
    <row r="56" spans="1:8" x14ac:dyDescent="0.25">
      <c r="A56" s="62">
        <v>55</v>
      </c>
      <c r="B56" s="62"/>
      <c r="C56" s="68" t="str">
        <f>IF(ISNA(VLOOKUP($B56,CPY!$B:$G,2,FALSE))=TRUE," ",VLOOKUP($B56,CPY!$B:$G,2,FALSE))</f>
        <v> </v>
      </c>
      <c r="D56" s="50" t="str">
        <f>IF(ISNA(VLOOKUP($B56,CPY!$B:$G,3,FALSE))=TRUE," ",VLOOKUP($B56,CPY!$B:$G,3,FALSE))</f>
        <v> </v>
      </c>
      <c r="E56" s="65" t="str">
        <f>IF(ISNA(VLOOKUP($B56,CPY!$B:$G,4,FALSE))=TRUE," ",VLOOKUP($B56,CPY!$B:$G,4,FALSE))</f>
        <v> </v>
      </c>
      <c r="F56" s="62"/>
      <c r="G56" s="70"/>
      <c r="H56" s="62"/>
    </row>
    <row r="57" spans="1:8" x14ac:dyDescent="0.25">
      <c r="A57" s="62">
        <v>56</v>
      </c>
      <c r="B57" s="62"/>
      <c r="C57" s="68" t="str">
        <f>IF(ISNA(VLOOKUP($B57,CPY!$B:$G,2,FALSE))=TRUE," ",VLOOKUP($B57,CPY!$B:$G,2,FALSE))</f>
        <v> </v>
      </c>
      <c r="D57" s="50" t="str">
        <f>IF(ISNA(VLOOKUP($B57,CPY!$B:$G,3,FALSE))=TRUE," ",VLOOKUP($B57,CPY!$B:$G,3,FALSE))</f>
        <v> </v>
      </c>
      <c r="E57" s="65" t="str">
        <f>IF(ISNA(VLOOKUP($B57,CPY!$B:$G,4,FALSE))=TRUE," ",VLOOKUP($B57,CPY!$B:$G,4,FALSE))</f>
        <v> </v>
      </c>
      <c r="F57" s="62"/>
      <c r="G57" s="70"/>
      <c r="H57" s="62"/>
    </row>
    <row r="58" spans="1:8" x14ac:dyDescent="0.25">
      <c r="A58" s="62">
        <v>57</v>
      </c>
      <c r="B58" s="62"/>
      <c r="C58" s="68" t="str">
        <f>IF(ISNA(VLOOKUP($B58,CPY!$B:$G,2,FALSE))=TRUE," ",VLOOKUP($B58,CPY!$B:$G,2,FALSE))</f>
        <v> </v>
      </c>
      <c r="D58" s="50" t="str">
        <f>IF(ISNA(VLOOKUP($B58,CPY!$B:$G,3,FALSE))=TRUE," ",VLOOKUP($B58,CPY!$B:$G,3,FALSE))</f>
        <v> </v>
      </c>
      <c r="E58" s="65" t="str">
        <f>IF(ISNA(VLOOKUP($B58,CPY!$B:$G,4,FALSE))=TRUE," ",VLOOKUP($B58,CPY!$B:$G,4,FALSE))</f>
        <v> </v>
      </c>
      <c r="F58" s="62"/>
      <c r="G58" s="70"/>
      <c r="H58" s="62"/>
    </row>
    <row r="59" spans="1:8" x14ac:dyDescent="0.25">
      <c r="A59" s="62">
        <v>58</v>
      </c>
      <c r="B59" s="62"/>
      <c r="C59" s="68" t="str">
        <f>IF(ISNA(VLOOKUP($B59,CPY!$B:$G,2,FALSE))=TRUE," ",VLOOKUP($B59,CPY!$B:$G,2,FALSE))</f>
        <v> </v>
      </c>
      <c r="D59" s="50" t="str">
        <f>IF(ISNA(VLOOKUP($B59,CPY!$B:$G,3,FALSE))=TRUE," ",VLOOKUP($B59,CPY!$B:$G,3,FALSE))</f>
        <v> </v>
      </c>
      <c r="E59" s="65" t="str">
        <f>IF(ISNA(VLOOKUP($B59,CPY!$B:$G,4,FALSE))=TRUE," ",VLOOKUP($B59,CPY!$B:$G,4,FALSE))</f>
        <v> </v>
      </c>
      <c r="F59" s="62"/>
      <c r="G59" s="70"/>
      <c r="H59" s="62"/>
    </row>
    <row r="60" spans="1:8" x14ac:dyDescent="0.25">
      <c r="A60" s="62">
        <v>59</v>
      </c>
      <c r="B60" s="62"/>
      <c r="C60" s="68" t="str">
        <f>IF(ISNA(VLOOKUP($B60,CPY!$B:$G,2,FALSE))=TRUE," ",VLOOKUP($B60,CPY!$B:$G,2,FALSE))</f>
        <v> </v>
      </c>
      <c r="D60" s="50" t="str">
        <f>IF(ISNA(VLOOKUP($B60,CPY!$B:$G,3,FALSE))=TRUE," ",VLOOKUP($B60,CPY!$B:$G,3,FALSE))</f>
        <v> </v>
      </c>
      <c r="E60" s="65" t="str">
        <f>IF(ISNA(VLOOKUP($B60,CPY!$B:$G,4,FALSE))=TRUE," ",VLOOKUP($B60,CPY!$B:$G,4,FALSE))</f>
        <v> </v>
      </c>
      <c r="F60" s="62"/>
      <c r="G60" s="70"/>
      <c r="H60" s="62"/>
    </row>
    <row r="61" spans="1:8" x14ac:dyDescent="0.25">
      <c r="A61" s="62">
        <v>60</v>
      </c>
      <c r="B61" s="62"/>
      <c r="C61" s="68" t="str">
        <f>IF(ISNA(VLOOKUP($B61,CPY!$B:$G,2,FALSE))=TRUE," ",VLOOKUP($B61,CPY!$B:$G,2,FALSE))</f>
        <v> </v>
      </c>
      <c r="D61" s="50" t="str">
        <f>IF(ISNA(VLOOKUP($B61,CPY!$B:$G,3,FALSE))=TRUE," ",VLOOKUP($B61,CPY!$B:$G,3,FALSE))</f>
        <v> </v>
      </c>
      <c r="E61" s="65" t="str">
        <f>IF(ISNA(VLOOKUP($B61,CPY!$B:$G,4,FALSE))=TRUE," ",VLOOKUP($B61,CPY!$B:$G,4,FALSE))</f>
        <v> </v>
      </c>
      <c r="F61" s="62"/>
      <c r="G61" s="70"/>
      <c r="H61" s="62"/>
    </row>
    <row r="62" spans="1:8" x14ac:dyDescent="0.25">
      <c r="A62" s="62">
        <v>61</v>
      </c>
      <c r="B62" s="62"/>
      <c r="C62" s="68" t="str">
        <f>IF(ISNA(VLOOKUP($B62,CPY!$B:$G,2,FALSE))=TRUE," ",VLOOKUP($B62,CPY!$B:$G,2,FALSE))</f>
        <v> </v>
      </c>
      <c r="D62" s="50" t="str">
        <f>IF(ISNA(VLOOKUP($B62,CPY!$B:$G,3,FALSE))=TRUE," ",VLOOKUP($B62,CPY!$B:$G,3,FALSE))</f>
        <v> </v>
      </c>
      <c r="E62" s="65" t="str">
        <f>IF(ISNA(VLOOKUP($B62,CPY!$B:$G,4,FALSE))=TRUE," ",VLOOKUP($B62,CPY!$B:$G,4,FALSE))</f>
        <v> </v>
      </c>
      <c r="F62" s="62"/>
      <c r="G62" s="70"/>
      <c r="H62" s="62"/>
    </row>
    <row r="63" spans="1:8" x14ac:dyDescent="0.25">
      <c r="A63" s="62">
        <v>62</v>
      </c>
      <c r="B63" s="62"/>
      <c r="C63" s="68" t="str">
        <f>IF(ISNA(VLOOKUP($B63,CPY!$B:$G,2,FALSE))=TRUE," ",VLOOKUP($B63,CPY!$B:$G,2,FALSE))</f>
        <v> </v>
      </c>
      <c r="D63" s="50" t="str">
        <f>IF(ISNA(VLOOKUP($B63,CPY!$B:$G,3,FALSE))=TRUE," ",VLOOKUP($B63,CPY!$B:$G,3,FALSE))</f>
        <v> </v>
      </c>
      <c r="E63" s="65" t="str">
        <f>IF(ISNA(VLOOKUP($B63,CPY!$B:$G,4,FALSE))=TRUE," ",VLOOKUP($B63,CPY!$B:$G,4,FALSE))</f>
        <v> </v>
      </c>
      <c r="F63" s="62"/>
      <c r="G63" s="70"/>
      <c r="H63" s="62"/>
    </row>
    <row r="64" spans="1:8" x14ac:dyDescent="0.25">
      <c r="A64" s="62">
        <v>63</v>
      </c>
      <c r="B64" s="62"/>
      <c r="C64" s="68" t="str">
        <f>IF(ISNA(VLOOKUP($B64,CPY!$B:$G,2,FALSE))=TRUE," ",VLOOKUP($B64,CPY!$B:$G,2,FALSE))</f>
        <v> </v>
      </c>
      <c r="D64" s="50" t="str">
        <f>IF(ISNA(VLOOKUP($B64,CPY!$B:$G,3,FALSE))=TRUE," ",VLOOKUP($B64,CPY!$B:$G,3,FALSE))</f>
        <v> </v>
      </c>
      <c r="E64" s="65" t="str">
        <f>IF(ISNA(VLOOKUP($B64,CPY!$B:$G,4,FALSE))=TRUE," ",VLOOKUP($B64,CPY!$B:$G,4,FALSE))</f>
        <v> </v>
      </c>
      <c r="F64" s="62"/>
      <c r="G64" s="70"/>
      <c r="H64" s="62"/>
    </row>
    <row r="65" spans="1:8" x14ac:dyDescent="0.25">
      <c r="A65" s="62">
        <v>64</v>
      </c>
      <c r="B65" s="62"/>
      <c r="C65" s="68" t="str">
        <f>IF(ISNA(VLOOKUP($B65,CPY!$B:$G,2,FALSE))=TRUE," ",VLOOKUP($B65,CPY!$B:$G,2,FALSE))</f>
        <v> </v>
      </c>
      <c r="D65" s="50" t="str">
        <f>IF(ISNA(VLOOKUP($B65,CPY!$B:$G,3,FALSE))=TRUE," ",VLOOKUP($B65,CPY!$B:$G,3,FALSE))</f>
        <v> </v>
      </c>
      <c r="E65" s="65" t="str">
        <f>IF(ISNA(VLOOKUP($B65,CPY!$B:$G,4,FALSE))=TRUE," ",VLOOKUP($B65,CPY!$B:$G,4,FALSE))</f>
        <v> </v>
      </c>
      <c r="F65" s="62"/>
      <c r="G65" s="70"/>
      <c r="H65" s="62"/>
    </row>
    <row r="66" spans="1:8" x14ac:dyDescent="0.25">
      <c r="A66" s="62">
        <v>65</v>
      </c>
      <c r="B66" s="62"/>
      <c r="C66" s="68" t="str">
        <f>IF(ISNA(VLOOKUP($B66,CPY!$B:$G,2,FALSE))=TRUE," ",VLOOKUP($B66,CPY!$B:$G,2,FALSE))</f>
        <v> </v>
      </c>
      <c r="D66" s="50" t="str">
        <f>IF(ISNA(VLOOKUP($B66,CPY!$B:$G,3,FALSE))=TRUE," ",VLOOKUP($B66,CPY!$B:$G,3,FALSE))</f>
        <v> </v>
      </c>
      <c r="E66" s="65" t="str">
        <f>IF(ISNA(VLOOKUP($B66,CPY!$B:$G,4,FALSE))=TRUE," ",VLOOKUP($B66,CPY!$B:$G,4,FALSE))</f>
        <v> </v>
      </c>
      <c r="F66" s="62"/>
      <c r="G66" s="70"/>
      <c r="H66" s="62"/>
    </row>
    <row r="67" spans="1:8" x14ac:dyDescent="0.25">
      <c r="A67" s="62">
        <v>66</v>
      </c>
      <c r="B67" s="62"/>
      <c r="C67" s="68" t="str">
        <f>IF(ISNA(VLOOKUP($B67,CPY!$B:$G,2,FALSE))=TRUE," ",VLOOKUP($B67,CPY!$B:$G,2,FALSE))</f>
        <v> </v>
      </c>
      <c r="D67" s="50" t="str">
        <f>IF(ISNA(VLOOKUP($B67,CPY!$B:$G,3,FALSE))=TRUE," ",VLOOKUP($B67,CPY!$B:$G,3,FALSE))</f>
        <v> </v>
      </c>
      <c r="E67" s="65" t="str">
        <f>IF(ISNA(VLOOKUP($B67,CPY!$B:$G,4,FALSE))=TRUE," ",VLOOKUP($B67,CPY!$B:$G,4,FALSE))</f>
        <v> </v>
      </c>
      <c r="F67" s="62"/>
      <c r="G67" s="70"/>
      <c r="H67" s="62"/>
    </row>
    <row r="68" spans="1:8" x14ac:dyDescent="0.25">
      <c r="A68" s="62">
        <v>67</v>
      </c>
      <c r="B68" s="62"/>
      <c r="C68" s="68" t="str">
        <f>IF(ISNA(VLOOKUP($B68,CPY!$B:$G,2,FALSE))=TRUE," ",VLOOKUP($B68,CPY!$B:$G,2,FALSE))</f>
        <v> </v>
      </c>
      <c r="D68" s="50" t="str">
        <f>IF(ISNA(VLOOKUP($B68,CPY!$B:$G,3,FALSE))=TRUE," ",VLOOKUP($B68,CPY!$B:$G,3,FALSE))</f>
        <v> </v>
      </c>
      <c r="E68" s="65" t="str">
        <f>IF(ISNA(VLOOKUP($B68,CPY!$B:$G,4,FALSE))=TRUE," ",VLOOKUP($B68,CPY!$B:$G,4,FALSE))</f>
        <v> </v>
      </c>
      <c r="F68" s="62"/>
      <c r="G68" s="70"/>
      <c r="H68" s="62"/>
    </row>
    <row r="69" spans="1:8" x14ac:dyDescent="0.25">
      <c r="A69" s="62">
        <v>68</v>
      </c>
      <c r="B69" s="62"/>
      <c r="C69" s="68" t="str">
        <f>IF(ISNA(VLOOKUP($B69,CPY!$B:$G,2,FALSE))=TRUE," ",VLOOKUP($B69,CPY!$B:$G,2,FALSE))</f>
        <v> </v>
      </c>
      <c r="D69" s="50" t="str">
        <f>IF(ISNA(VLOOKUP($B69,CPY!$B:$G,3,FALSE))=TRUE," ",VLOOKUP($B69,CPY!$B:$G,3,FALSE))</f>
        <v> </v>
      </c>
      <c r="E69" s="65" t="str">
        <f>IF(ISNA(VLOOKUP($B69,CPY!$B:$G,4,FALSE))=TRUE," ",VLOOKUP($B69,CPY!$B:$G,4,FALSE))</f>
        <v> </v>
      </c>
      <c r="F69" s="62"/>
      <c r="G69" s="70"/>
      <c r="H69" s="62"/>
    </row>
    <row r="70" spans="1:8" x14ac:dyDescent="0.25">
      <c r="A70" s="62">
        <v>69</v>
      </c>
      <c r="B70" s="62"/>
      <c r="C70" s="68" t="str">
        <f>IF(ISNA(VLOOKUP($B70,CPY!$B:$G,2,FALSE))=TRUE," ",VLOOKUP($B70,CPY!$B:$G,2,FALSE))</f>
        <v> </v>
      </c>
      <c r="D70" s="50" t="str">
        <f>IF(ISNA(VLOOKUP($B70,CPY!$B:$G,3,FALSE))=TRUE," ",VLOOKUP($B70,CPY!$B:$G,3,FALSE))</f>
        <v> </v>
      </c>
      <c r="E70" s="65" t="str">
        <f>IF(ISNA(VLOOKUP($B70,CPY!$B:$G,4,FALSE))=TRUE," ",VLOOKUP($B70,CPY!$B:$G,4,FALSE))</f>
        <v> </v>
      </c>
      <c r="F70" s="62"/>
      <c r="G70" s="70"/>
      <c r="H70" s="62"/>
    </row>
    <row r="71" spans="1:8" x14ac:dyDescent="0.25">
      <c r="A71" s="62">
        <v>70</v>
      </c>
      <c r="B71" s="62"/>
      <c r="C71" s="68" t="str">
        <f>IF(ISNA(VLOOKUP($B71,CPY!$B:$G,2,FALSE))=TRUE," ",VLOOKUP($B71,CPY!$B:$G,2,FALSE))</f>
        <v> </v>
      </c>
      <c r="D71" s="50" t="str">
        <f>IF(ISNA(VLOOKUP($B71,CPY!$B:$G,3,FALSE))=TRUE," ",VLOOKUP($B71,CPY!$B:$G,3,FALSE))</f>
        <v> </v>
      </c>
      <c r="E71" s="65" t="str">
        <f>IF(ISNA(VLOOKUP($B71,CPY!$B:$G,4,FALSE))=TRUE," ",VLOOKUP($B71,CPY!$B:$G,4,FALSE))</f>
        <v> </v>
      </c>
      <c r="F71" s="62"/>
      <c r="G71" s="70"/>
      <c r="H71" s="62"/>
    </row>
    <row r="72" spans="1:8" x14ac:dyDescent="0.25">
      <c r="A72" s="62">
        <v>71</v>
      </c>
      <c r="B72" s="62"/>
      <c r="C72" s="68" t="str">
        <f>IF(ISNA(VLOOKUP($B72,CPY!$B:$G,2,FALSE))=TRUE," ",VLOOKUP($B72,CPY!$B:$G,2,FALSE))</f>
        <v> </v>
      </c>
      <c r="D72" s="50" t="str">
        <f>IF(ISNA(VLOOKUP($B72,CPY!$B:$G,3,FALSE))=TRUE," ",VLOOKUP($B72,CPY!$B:$G,3,FALSE))</f>
        <v> </v>
      </c>
      <c r="E72" s="65" t="str">
        <f>IF(ISNA(VLOOKUP($B72,CPY!$B:$G,4,FALSE))=TRUE," ",VLOOKUP($B72,CPY!$B:$G,4,FALSE))</f>
        <v> </v>
      </c>
      <c r="F72" s="62"/>
      <c r="G72" s="70"/>
      <c r="H72" s="62"/>
    </row>
    <row r="73" spans="1:8" x14ac:dyDescent="0.25">
      <c r="A73" s="62">
        <v>72</v>
      </c>
      <c r="B73" s="62"/>
      <c r="C73" s="68" t="str">
        <f>IF(ISNA(VLOOKUP($B73,CPY!$B:$G,2,FALSE))=TRUE," ",VLOOKUP($B73,CPY!$B:$G,2,FALSE))</f>
        <v> </v>
      </c>
      <c r="D73" s="50" t="str">
        <f>IF(ISNA(VLOOKUP($B73,CPY!$B:$G,3,FALSE))=TRUE," ",VLOOKUP($B73,CPY!$B:$G,3,FALSE))</f>
        <v> </v>
      </c>
      <c r="E73" s="65" t="str">
        <f>IF(ISNA(VLOOKUP($B73,CPY!$B:$G,4,FALSE))=TRUE," ",VLOOKUP($B73,CPY!$B:$G,4,FALSE))</f>
        <v> </v>
      </c>
      <c r="F73" s="62"/>
      <c r="G73" s="70"/>
      <c r="H73" s="62"/>
    </row>
    <row r="74" spans="1:8" x14ac:dyDescent="0.25">
      <c r="A74" s="62">
        <v>73</v>
      </c>
      <c r="B74" s="62"/>
      <c r="C74" s="68" t="str">
        <f>IF(ISNA(VLOOKUP($B74,CPY!$B:$G,2,FALSE))=TRUE," ",VLOOKUP($B74,CPY!$B:$G,2,FALSE))</f>
        <v> </v>
      </c>
      <c r="D74" s="50" t="str">
        <f>IF(ISNA(VLOOKUP($B74,CPY!$B:$G,3,FALSE))=TRUE," ",VLOOKUP($B74,CPY!$B:$G,3,FALSE))</f>
        <v> </v>
      </c>
      <c r="E74" s="65" t="str">
        <f>IF(ISNA(VLOOKUP($B74,CPY!$B:$G,4,FALSE))=TRUE," ",VLOOKUP($B74,CPY!$B:$G,4,FALSE))</f>
        <v> </v>
      </c>
      <c r="F74" s="62"/>
      <c r="G74" s="70"/>
      <c r="H74" s="62"/>
    </row>
    <row r="75" spans="1:8" x14ac:dyDescent="0.25">
      <c r="A75" s="62">
        <v>74</v>
      </c>
      <c r="B75" s="62"/>
      <c r="C75" s="68" t="str">
        <f>IF(ISNA(VLOOKUP($B75,CPY!$B:$G,2,FALSE))=TRUE," ",VLOOKUP($B75,CPY!$B:$G,2,FALSE))</f>
        <v> </v>
      </c>
      <c r="D75" s="50" t="str">
        <f>IF(ISNA(VLOOKUP($B75,CPY!$B:$G,3,FALSE))=TRUE," ",VLOOKUP($B75,CPY!$B:$G,3,FALSE))</f>
        <v> </v>
      </c>
      <c r="E75" s="65" t="str">
        <f>IF(ISNA(VLOOKUP($B75,CPY!$B:$G,4,FALSE))=TRUE," ",VLOOKUP($B75,CPY!$B:$G,4,FALSE))</f>
        <v> </v>
      </c>
      <c r="F75" s="62"/>
      <c r="G75" s="70"/>
      <c r="H75" s="62"/>
    </row>
    <row r="76" spans="1:8" x14ac:dyDescent="0.25">
      <c r="A76" s="62">
        <v>75</v>
      </c>
      <c r="B76" s="62"/>
      <c r="C76" s="68" t="str">
        <f>IF(ISNA(VLOOKUP($B76,CPY!$B:$G,2,FALSE))=TRUE," ",VLOOKUP($B76,CPY!$B:$G,2,FALSE))</f>
        <v> </v>
      </c>
      <c r="D76" s="50" t="str">
        <f>IF(ISNA(VLOOKUP($B76,CPY!$B:$G,3,FALSE))=TRUE," ",VLOOKUP($B76,CPY!$B:$G,3,FALSE))</f>
        <v> </v>
      </c>
      <c r="E76" s="65" t="str">
        <f>IF(ISNA(VLOOKUP($B76,CPY!$B:$G,4,FALSE))=TRUE," ",VLOOKUP($B76,CPY!$B:$G,4,FALSE))</f>
        <v> </v>
      </c>
      <c r="F76" s="62"/>
      <c r="G76" s="70"/>
      <c r="H76" s="62"/>
    </row>
    <row r="77" spans="1:8" x14ac:dyDescent="0.25">
      <c r="A77" s="62">
        <v>76</v>
      </c>
      <c r="B77" s="62"/>
      <c r="C77" s="68" t="str">
        <f>IF(ISNA(VLOOKUP($B77,CPY!$B:$G,2,FALSE))=TRUE," ",VLOOKUP($B77,CPY!$B:$G,2,FALSE))</f>
        <v> </v>
      </c>
      <c r="D77" s="50" t="str">
        <f>IF(ISNA(VLOOKUP($B77,CPY!$B:$G,3,FALSE))=TRUE," ",VLOOKUP($B77,CPY!$B:$G,3,FALSE))</f>
        <v> </v>
      </c>
      <c r="E77" s="65" t="str">
        <f>IF(ISNA(VLOOKUP($B77,CPY!$B:$G,4,FALSE))=TRUE," ",VLOOKUP($B77,CPY!$B:$G,4,FALSE))</f>
        <v> </v>
      </c>
      <c r="F77" s="62"/>
      <c r="G77" s="70"/>
      <c r="H77" s="62"/>
    </row>
    <row r="78" spans="1:8" x14ac:dyDescent="0.25">
      <c r="A78" s="62">
        <v>77</v>
      </c>
      <c r="B78" s="62"/>
      <c r="C78" s="68" t="str">
        <f>IF(ISNA(VLOOKUP($B78,CPY!$B:$G,2,FALSE))=TRUE," ",VLOOKUP($B78,CPY!$B:$G,2,FALSE))</f>
        <v> </v>
      </c>
      <c r="D78" s="50" t="str">
        <f>IF(ISNA(VLOOKUP($B78,CPY!$B:$G,3,FALSE))=TRUE," ",VLOOKUP($B78,CPY!$B:$G,3,FALSE))</f>
        <v> </v>
      </c>
      <c r="E78" s="65" t="str">
        <f>IF(ISNA(VLOOKUP($B78,CPY!$B:$G,4,FALSE))=TRUE," ",VLOOKUP($B78,CPY!$B:$G,4,FALSE))</f>
        <v> </v>
      </c>
      <c r="F78" s="62"/>
      <c r="G78" s="70"/>
      <c r="H78" s="62"/>
    </row>
    <row r="79" spans="1:8" x14ac:dyDescent="0.25">
      <c r="A79" s="62">
        <v>78</v>
      </c>
      <c r="B79" s="62"/>
      <c r="C79" s="68" t="str">
        <f>IF(ISNA(VLOOKUP($B79,CPY!$B:$G,2,FALSE))=TRUE," ",VLOOKUP($B79,CPY!$B:$G,2,FALSE))</f>
        <v> </v>
      </c>
      <c r="D79" s="50" t="str">
        <f>IF(ISNA(VLOOKUP($B79,CPY!$B:$G,3,FALSE))=TRUE," ",VLOOKUP($B79,CPY!$B:$G,3,FALSE))</f>
        <v> </v>
      </c>
      <c r="E79" s="65" t="str">
        <f>IF(ISNA(VLOOKUP($B79,CPY!$B:$G,4,FALSE))=TRUE," ",VLOOKUP($B79,CPY!$B:$G,4,FALSE))</f>
        <v> </v>
      </c>
      <c r="F79" s="62"/>
      <c r="G79" s="70"/>
      <c r="H79" s="62"/>
    </row>
    <row r="80" spans="1:8" x14ac:dyDescent="0.25">
      <c r="A80" s="62">
        <v>79</v>
      </c>
      <c r="B80" s="62"/>
      <c r="C80" s="68" t="str">
        <f>IF(ISNA(VLOOKUP($B80,CPY!$B:$G,2,FALSE))=TRUE," ",VLOOKUP($B80,CPY!$B:$G,2,FALSE))</f>
        <v> </v>
      </c>
      <c r="D80" s="50" t="str">
        <f>IF(ISNA(VLOOKUP($B80,CPY!$B:$G,3,FALSE))=TRUE," ",VLOOKUP($B80,CPY!$B:$G,3,FALSE))</f>
        <v> </v>
      </c>
      <c r="E80" s="65" t="str">
        <f>IF(ISNA(VLOOKUP($B80,CPY!$B:$G,4,FALSE))=TRUE," ",VLOOKUP($B80,CPY!$B:$G,4,FALSE))</f>
        <v> </v>
      </c>
      <c r="F80" s="62"/>
      <c r="G80" s="70"/>
      <c r="H80" s="62"/>
    </row>
    <row r="81" spans="1:8" x14ac:dyDescent="0.25">
      <c r="A81" s="62">
        <v>80</v>
      </c>
      <c r="B81" s="62"/>
      <c r="C81" s="68" t="str">
        <f>IF(ISNA(VLOOKUP($B81,CPY!$B:$G,2,FALSE))=TRUE," ",VLOOKUP($B81,CPY!$B:$G,2,FALSE))</f>
        <v> </v>
      </c>
      <c r="D81" s="50" t="str">
        <f>IF(ISNA(VLOOKUP($B81,CPY!$B:$G,3,FALSE))=TRUE," ",VLOOKUP($B81,CPY!$B:$G,3,FALSE))</f>
        <v> </v>
      </c>
      <c r="E81" s="65" t="str">
        <f>IF(ISNA(VLOOKUP($B81,CPY!$B:$G,4,FALSE))=TRUE," ",VLOOKUP($B81,CPY!$B:$G,4,FALSE))</f>
        <v> </v>
      </c>
      <c r="F81" s="62"/>
      <c r="G81" s="70"/>
      <c r="H81" s="62"/>
    </row>
    <row r="82" spans="1:8" x14ac:dyDescent="0.25">
      <c r="A82" s="62">
        <v>81</v>
      </c>
      <c r="B82" s="62"/>
      <c r="C82" s="68" t="str">
        <f>IF(ISNA(VLOOKUP($B82,CPY!$B:$G,2,FALSE))=TRUE," ",VLOOKUP($B82,CPY!$B:$G,2,FALSE))</f>
        <v> </v>
      </c>
      <c r="D82" s="50" t="str">
        <f>IF(ISNA(VLOOKUP($B82,CPY!$B:$G,3,FALSE))=TRUE," ",VLOOKUP($B82,CPY!$B:$G,3,FALSE))</f>
        <v> </v>
      </c>
      <c r="E82" s="65" t="str">
        <f>IF(ISNA(VLOOKUP($B82,CPY!$B:$G,4,FALSE))=TRUE," ",VLOOKUP($B82,CPY!$B:$G,4,FALSE))</f>
        <v> </v>
      </c>
      <c r="F82" s="62"/>
      <c r="G82" s="70"/>
      <c r="H82" s="62"/>
    </row>
    <row r="83" spans="1:8" x14ac:dyDescent="0.25">
      <c r="A83" s="62">
        <v>82</v>
      </c>
      <c r="B83" s="62"/>
      <c r="C83" s="68" t="str">
        <f>IF(ISNA(VLOOKUP($B83,CPY!$B:$G,2,FALSE))=TRUE," ",VLOOKUP($B83,CPY!$B:$G,2,FALSE))</f>
        <v> </v>
      </c>
      <c r="D83" s="50" t="str">
        <f>IF(ISNA(VLOOKUP($B83,CPY!$B:$G,3,FALSE))=TRUE," ",VLOOKUP($B83,CPY!$B:$G,3,FALSE))</f>
        <v> </v>
      </c>
      <c r="E83" s="65" t="str">
        <f>IF(ISNA(VLOOKUP($B83,CPY!$B:$G,4,FALSE))=TRUE," ",VLOOKUP($B83,CPY!$B:$G,4,FALSE))</f>
        <v> </v>
      </c>
      <c r="F83" s="62"/>
      <c r="G83" s="70"/>
      <c r="H83" s="62"/>
    </row>
    <row r="84" spans="1:8" x14ac:dyDescent="0.25">
      <c r="A84" s="62">
        <v>83</v>
      </c>
      <c r="B84" s="62"/>
      <c r="C84" s="68" t="str">
        <f>IF(ISNA(VLOOKUP($B84,CPY!$B:$G,2,FALSE))=TRUE," ",VLOOKUP($B84,CPY!$B:$G,2,FALSE))</f>
        <v> </v>
      </c>
      <c r="D84" s="50" t="str">
        <f>IF(ISNA(VLOOKUP($B84,CPY!$B:$G,3,FALSE))=TRUE," ",VLOOKUP($B84,CPY!$B:$G,3,FALSE))</f>
        <v> </v>
      </c>
      <c r="E84" s="65" t="str">
        <f>IF(ISNA(VLOOKUP($B84,CPY!$B:$G,4,FALSE))=TRUE," ",VLOOKUP($B84,CPY!$B:$G,4,FALSE))</f>
        <v> </v>
      </c>
      <c r="F84" s="62"/>
      <c r="G84" s="70"/>
      <c r="H84" s="62"/>
    </row>
    <row r="85" spans="1:8" x14ac:dyDescent="0.25">
      <c r="A85" s="62">
        <v>84</v>
      </c>
      <c r="B85" s="62"/>
      <c r="C85" s="68" t="str">
        <f>IF(ISNA(VLOOKUP($B85,CPY!$B:$G,2,FALSE))=TRUE," ",VLOOKUP($B85,CPY!$B:$G,2,FALSE))</f>
        <v> </v>
      </c>
      <c r="D85" s="50" t="str">
        <f>IF(ISNA(VLOOKUP($B85,CPY!$B:$G,3,FALSE))=TRUE," ",VLOOKUP($B85,CPY!$B:$G,3,FALSE))</f>
        <v> </v>
      </c>
      <c r="E85" s="65" t="str">
        <f>IF(ISNA(VLOOKUP($B85,CPY!$B:$G,4,FALSE))=TRUE," ",VLOOKUP($B85,CPY!$B:$G,4,FALSE))</f>
        <v> </v>
      </c>
      <c r="F85" s="62"/>
      <c r="G85" s="70"/>
      <c r="H85" s="62"/>
    </row>
    <row r="86" spans="1:8" x14ac:dyDescent="0.25">
      <c r="A86" s="62">
        <v>85</v>
      </c>
      <c r="B86" s="62"/>
      <c r="C86" s="68" t="str">
        <f>IF(ISNA(VLOOKUP($B86,CPY!$B:$G,2,FALSE))=TRUE," ",VLOOKUP($B86,CPY!$B:$G,2,FALSE))</f>
        <v> </v>
      </c>
      <c r="D86" s="50" t="str">
        <f>IF(ISNA(VLOOKUP($B86,CPY!$B:$G,3,FALSE))=TRUE," ",VLOOKUP($B86,CPY!$B:$G,3,FALSE))</f>
        <v> </v>
      </c>
      <c r="E86" s="65" t="str">
        <f>IF(ISNA(VLOOKUP($B86,CPY!$B:$G,4,FALSE))=TRUE," ",VLOOKUP($B86,CPY!$B:$G,4,FALSE))</f>
        <v> </v>
      </c>
      <c r="F86" s="62"/>
      <c r="G86" s="70"/>
      <c r="H86" s="62"/>
    </row>
    <row r="87" spans="1:8" x14ac:dyDescent="0.25">
      <c r="A87" s="62">
        <v>86</v>
      </c>
      <c r="B87" s="62"/>
      <c r="C87" s="68" t="str">
        <f>IF(ISNA(VLOOKUP($B87,CPY!$B:$G,2,FALSE))=TRUE," ",VLOOKUP($B87,CPY!$B:$G,2,FALSE))</f>
        <v> </v>
      </c>
      <c r="D87" s="50" t="str">
        <f>IF(ISNA(VLOOKUP($B87,CPY!$B:$G,3,FALSE))=TRUE," ",VLOOKUP($B87,CPY!$B:$G,3,FALSE))</f>
        <v> </v>
      </c>
      <c r="E87" s="65" t="str">
        <f>IF(ISNA(VLOOKUP($B87,CPY!$B:$G,4,FALSE))=TRUE," ",VLOOKUP($B87,CPY!$B:$G,4,FALSE))</f>
        <v> </v>
      </c>
      <c r="F87" s="62"/>
      <c r="G87" s="70"/>
      <c r="H87" s="62"/>
    </row>
    <row r="88" spans="1:8" x14ac:dyDescent="0.25">
      <c r="A88" s="62">
        <v>87</v>
      </c>
      <c r="B88" s="62"/>
      <c r="C88" s="68" t="str">
        <f>IF(ISNA(VLOOKUP($B88,CPY!$B:$G,2,FALSE))=TRUE," ",VLOOKUP($B88,CPY!$B:$G,2,FALSE))</f>
        <v> </v>
      </c>
      <c r="D88" s="50" t="str">
        <f>IF(ISNA(VLOOKUP($B88,CPY!$B:$G,3,FALSE))=TRUE," ",VLOOKUP($B88,CPY!$B:$G,3,FALSE))</f>
        <v> </v>
      </c>
      <c r="E88" s="65" t="str">
        <f>IF(ISNA(VLOOKUP($B88,CPY!$B:$G,4,FALSE))=TRUE," ",VLOOKUP($B88,CPY!$B:$G,4,FALSE))</f>
        <v> </v>
      </c>
      <c r="F88" s="62"/>
      <c r="G88" s="70"/>
      <c r="H88" s="62"/>
    </row>
    <row r="89" spans="1:8" x14ac:dyDescent="0.25">
      <c r="A89" s="62">
        <v>88</v>
      </c>
      <c r="B89" s="62"/>
      <c r="C89" s="68" t="str">
        <f>IF(ISNA(VLOOKUP($B89,CPY!$B:$G,2,FALSE))=TRUE," ",VLOOKUP($B89,CPY!$B:$G,2,FALSE))</f>
        <v> </v>
      </c>
      <c r="D89" s="50" t="str">
        <f>IF(ISNA(VLOOKUP($B89,CPY!$B:$G,3,FALSE))=TRUE," ",VLOOKUP($B89,CPY!$B:$G,3,FALSE))</f>
        <v> </v>
      </c>
      <c r="E89" s="65" t="str">
        <f>IF(ISNA(VLOOKUP($B89,CPY!$B:$G,4,FALSE))=TRUE," ",VLOOKUP($B89,CPY!$B:$G,4,FALSE))</f>
        <v> </v>
      </c>
      <c r="F89" s="62"/>
      <c r="G89" s="70"/>
      <c r="H89" s="62"/>
    </row>
    <row r="90" spans="1:8" x14ac:dyDescent="0.25">
      <c r="A90" s="62">
        <v>89</v>
      </c>
      <c r="B90" s="62"/>
      <c r="C90" s="68" t="str">
        <f>IF(ISNA(VLOOKUP($B90,CPY!$B:$G,2,FALSE))=TRUE," ",VLOOKUP($B90,CPY!$B:$G,2,FALSE))</f>
        <v> </v>
      </c>
      <c r="D90" s="50" t="str">
        <f>IF(ISNA(VLOOKUP($B90,CPY!$B:$G,3,FALSE))=TRUE," ",VLOOKUP($B90,CPY!$B:$G,3,FALSE))</f>
        <v> </v>
      </c>
      <c r="E90" s="65" t="str">
        <f>IF(ISNA(VLOOKUP($B90,CPY!$B:$G,4,FALSE))=TRUE," ",VLOOKUP($B90,CPY!$B:$G,4,FALSE))</f>
        <v> </v>
      </c>
      <c r="F90" s="62"/>
      <c r="G90" s="70"/>
      <c r="H90" s="62"/>
    </row>
    <row r="91" spans="1:8" x14ac:dyDescent="0.25">
      <c r="A91" s="62">
        <v>90</v>
      </c>
      <c r="B91" s="62"/>
      <c r="C91" s="68" t="str">
        <f>IF(ISNA(VLOOKUP($B91,CPY!$B:$G,2,FALSE))=TRUE," ",VLOOKUP($B91,CPY!$B:$G,2,FALSE))</f>
        <v> </v>
      </c>
      <c r="D91" s="50" t="str">
        <f>IF(ISNA(VLOOKUP($B91,CPY!$B:$G,3,FALSE))=TRUE," ",VLOOKUP($B91,CPY!$B:$G,3,FALSE))</f>
        <v> </v>
      </c>
      <c r="E91" s="65" t="str">
        <f>IF(ISNA(VLOOKUP($B91,CPY!$B:$G,4,FALSE))=TRUE," ",VLOOKUP($B91,CPY!$B:$G,4,FALSE))</f>
        <v> </v>
      </c>
      <c r="F91" s="62"/>
      <c r="G91" s="70"/>
      <c r="H91" s="62"/>
    </row>
    <row r="92" spans="1:8" x14ac:dyDescent="0.25">
      <c r="A92" s="62">
        <v>91</v>
      </c>
      <c r="B92" s="62"/>
      <c r="C92" s="68" t="str">
        <f>IF(ISNA(VLOOKUP($B92,CPY!$B:$G,2,FALSE))=TRUE," ",VLOOKUP($B92,CPY!$B:$G,2,FALSE))</f>
        <v> </v>
      </c>
      <c r="D92" s="50" t="str">
        <f>IF(ISNA(VLOOKUP($B92,CPY!$B:$G,3,FALSE))=TRUE," ",VLOOKUP($B92,CPY!$B:$G,3,FALSE))</f>
        <v> </v>
      </c>
      <c r="E92" s="65" t="str">
        <f>IF(ISNA(VLOOKUP($B92,CPY!$B:$G,4,FALSE))=TRUE," ",VLOOKUP($B92,CPY!$B:$G,4,FALSE))</f>
        <v> </v>
      </c>
      <c r="F92" s="62"/>
      <c r="G92" s="70"/>
      <c r="H92" s="62"/>
    </row>
    <row r="93" spans="1:8" x14ac:dyDescent="0.25">
      <c r="A93" s="62">
        <v>92</v>
      </c>
      <c r="B93" s="62"/>
      <c r="C93" s="68" t="str">
        <f>IF(ISNA(VLOOKUP($B93,CPY!$B:$G,2,FALSE))=TRUE," ",VLOOKUP($B93,CPY!$B:$G,2,FALSE))</f>
        <v> </v>
      </c>
      <c r="D93" s="50" t="str">
        <f>IF(ISNA(VLOOKUP($B93,CPY!$B:$G,3,FALSE))=TRUE," ",VLOOKUP($B93,CPY!$B:$G,3,FALSE))</f>
        <v> </v>
      </c>
      <c r="E93" s="65" t="str">
        <f>IF(ISNA(VLOOKUP($B93,CPY!$B:$G,4,FALSE))=TRUE," ",VLOOKUP($B93,CPY!$B:$G,4,FALSE))</f>
        <v> </v>
      </c>
      <c r="F93" s="62"/>
      <c r="G93" s="70"/>
      <c r="H93" s="62"/>
    </row>
    <row r="94" spans="1:8" x14ac:dyDescent="0.25">
      <c r="A94" s="62">
        <v>93</v>
      </c>
      <c r="B94" s="62"/>
      <c r="C94" s="68" t="str">
        <f>IF(ISNA(VLOOKUP($B94,CPY!$B:$G,2,FALSE))=TRUE," ",VLOOKUP($B94,CPY!$B:$G,2,FALSE))</f>
        <v> </v>
      </c>
      <c r="D94" s="50" t="str">
        <f>IF(ISNA(VLOOKUP($B94,CPY!$B:$G,3,FALSE))=TRUE," ",VLOOKUP($B94,CPY!$B:$G,3,FALSE))</f>
        <v> </v>
      </c>
      <c r="E94" s="65" t="str">
        <f>IF(ISNA(VLOOKUP($B94,CPY!$B:$G,4,FALSE))=TRUE," ",VLOOKUP($B94,CPY!$B:$G,4,FALSE))</f>
        <v> </v>
      </c>
      <c r="F94" s="62"/>
      <c r="G94" s="70"/>
      <c r="H94" s="62"/>
    </row>
    <row r="95" spans="1:8" x14ac:dyDescent="0.25">
      <c r="A95" s="62">
        <v>94</v>
      </c>
      <c r="B95" s="62"/>
      <c r="C95" s="68" t="str">
        <f>IF(ISNA(VLOOKUP($B95,CPY!$B:$G,2,FALSE))=TRUE," ",VLOOKUP($B95,CPY!$B:$G,2,FALSE))</f>
        <v> </v>
      </c>
      <c r="D95" s="50" t="str">
        <f>IF(ISNA(VLOOKUP($B95,CPY!$B:$G,3,FALSE))=TRUE," ",VLOOKUP($B95,CPY!$B:$G,3,FALSE))</f>
        <v> </v>
      </c>
      <c r="E95" s="65" t="str">
        <f>IF(ISNA(VLOOKUP($B95,CPY!$B:$G,4,FALSE))=TRUE," ",VLOOKUP($B95,CPY!$B:$G,4,FALSE))</f>
        <v> </v>
      </c>
      <c r="F95" s="62"/>
      <c r="G95" s="70"/>
      <c r="H95" s="62"/>
    </row>
    <row r="96" spans="1:8" x14ac:dyDescent="0.25">
      <c r="A96" s="62">
        <v>95</v>
      </c>
      <c r="B96" s="62"/>
      <c r="C96" s="68" t="str">
        <f>IF(ISNA(VLOOKUP($B96,CPY!$B:$G,2,FALSE))=TRUE," ",VLOOKUP($B96,CPY!$B:$G,2,FALSE))</f>
        <v> </v>
      </c>
      <c r="D96" s="50" t="str">
        <f>IF(ISNA(VLOOKUP($B96,CPY!$B:$G,3,FALSE))=TRUE," ",VLOOKUP($B96,CPY!$B:$G,3,FALSE))</f>
        <v> </v>
      </c>
      <c r="E96" s="65" t="str">
        <f>IF(ISNA(VLOOKUP($B96,CPY!$B:$G,4,FALSE))=TRUE," ",VLOOKUP($B96,CPY!$B:$G,4,FALSE))</f>
        <v> </v>
      </c>
      <c r="F96" s="62"/>
      <c r="G96" s="70"/>
      <c r="H96" s="62"/>
    </row>
    <row r="97" spans="1:8" x14ac:dyDescent="0.25">
      <c r="A97" s="62">
        <v>96</v>
      </c>
      <c r="B97" s="62"/>
      <c r="C97" s="68" t="str">
        <f>IF(ISNA(VLOOKUP($B97,CPY!$B:$G,2,FALSE))=TRUE," ",VLOOKUP($B97,CPY!$B:$G,2,FALSE))</f>
        <v> </v>
      </c>
      <c r="D97" s="50" t="str">
        <f>IF(ISNA(VLOOKUP($B97,CPY!$B:$G,3,FALSE))=TRUE," ",VLOOKUP($B97,CPY!$B:$G,3,FALSE))</f>
        <v> </v>
      </c>
      <c r="E97" s="65" t="str">
        <f>IF(ISNA(VLOOKUP($B97,CPY!$B:$G,4,FALSE))=TRUE," ",VLOOKUP($B97,CPY!$B:$G,4,FALSE))</f>
        <v> </v>
      </c>
      <c r="F97" s="62"/>
      <c r="G97" s="70"/>
      <c r="H97" s="62"/>
    </row>
    <row r="98" spans="1:8" x14ac:dyDescent="0.25">
      <c r="A98" s="62">
        <v>97</v>
      </c>
      <c r="B98" s="62"/>
      <c r="C98" s="68" t="str">
        <f>IF(ISNA(VLOOKUP($B98,CPY!$B:$G,2,FALSE))=TRUE," ",VLOOKUP($B98,CPY!$B:$G,2,FALSE))</f>
        <v> </v>
      </c>
      <c r="D98" s="50" t="str">
        <f>IF(ISNA(VLOOKUP($B98,CPY!$B:$G,3,FALSE))=TRUE," ",VLOOKUP($B98,CPY!$B:$G,3,FALSE))</f>
        <v> </v>
      </c>
      <c r="E98" s="65" t="str">
        <f>IF(ISNA(VLOOKUP($B98,CPY!$B:$G,4,FALSE))=TRUE," ",VLOOKUP($B98,CPY!$B:$G,4,FALSE))</f>
        <v> </v>
      </c>
      <c r="F98" s="62"/>
      <c r="G98" s="70"/>
      <c r="H98" s="62"/>
    </row>
    <row r="99" spans="1:8" x14ac:dyDescent="0.25">
      <c r="A99" s="62">
        <v>98</v>
      </c>
      <c r="B99" s="62"/>
      <c r="C99" s="68" t="str">
        <f>IF(ISNA(VLOOKUP($B99,CPY!$B:$G,2,FALSE))=TRUE," ",VLOOKUP($B99,CPY!$B:$G,2,FALSE))</f>
        <v> </v>
      </c>
      <c r="D99" s="50" t="str">
        <f>IF(ISNA(VLOOKUP($B99,CPY!$B:$G,3,FALSE))=TRUE," ",VLOOKUP($B99,CPY!$B:$G,3,FALSE))</f>
        <v> </v>
      </c>
      <c r="E99" s="65" t="str">
        <f>IF(ISNA(VLOOKUP($B99,CPY!$B:$G,4,FALSE))=TRUE," ",VLOOKUP($B99,CPY!$B:$G,4,FALSE))</f>
        <v> </v>
      </c>
      <c r="F99" s="62"/>
      <c r="G99" s="70"/>
      <c r="H99" s="62"/>
    </row>
    <row r="100" spans="1:8" x14ac:dyDescent="0.25">
      <c r="A100" s="62">
        <v>99</v>
      </c>
      <c r="B100" s="62"/>
      <c r="C100" s="68" t="str">
        <f>IF(ISNA(VLOOKUP($B100,CPY!$B:$G,2,FALSE))=TRUE," ",VLOOKUP($B100,CPY!$B:$G,2,FALSE))</f>
        <v> </v>
      </c>
      <c r="D100" s="50" t="str">
        <f>IF(ISNA(VLOOKUP($B100,CPY!$B:$G,3,FALSE))=TRUE," ",VLOOKUP($B100,CPY!$B:$G,3,FALSE))</f>
        <v> </v>
      </c>
      <c r="E100" s="65" t="str">
        <f>IF(ISNA(VLOOKUP($B100,CPY!$B:$G,4,FALSE))=TRUE," ",VLOOKUP($B100,CPY!$B:$G,4,FALSE))</f>
        <v> </v>
      </c>
      <c r="F100" s="62"/>
      <c r="G100" s="70"/>
      <c r="H100" s="62"/>
    </row>
    <row r="101" spans="1:8" x14ac:dyDescent="0.25">
      <c r="A101" s="62">
        <v>100</v>
      </c>
      <c r="B101" s="62"/>
      <c r="C101" s="68" t="str">
        <f>IF(ISNA(VLOOKUP($B101,CPY!$B:$G,2,FALSE))=TRUE," ",VLOOKUP($B101,CPY!$B:$G,2,FALSE))</f>
        <v> </v>
      </c>
      <c r="D101" s="50" t="str">
        <f>IF(ISNA(VLOOKUP($B101,CPY!$B:$G,3,FALSE))=TRUE," ",VLOOKUP($B101,CPY!$B:$G,3,FALSE))</f>
        <v> </v>
      </c>
      <c r="E101" s="65" t="str">
        <f>IF(ISNA(VLOOKUP($B101,CPY!$B:$G,4,FALSE))=TRUE," ",VLOOKUP($B101,CPY!$B:$G,4,FALSE))</f>
        <v> </v>
      </c>
      <c r="F101" s="62"/>
      <c r="G101" s="70"/>
      <c r="H101" s="62"/>
    </row>
    <row r="102" spans="1:8" x14ac:dyDescent="0.25">
      <c r="A102" s="62">
        <v>101</v>
      </c>
      <c r="B102" s="62"/>
      <c r="C102" s="68" t="str">
        <f>IF(ISNA(VLOOKUP($B102,CPY!$B:$G,2,FALSE))=TRUE," ",VLOOKUP($B102,CPY!$B:$G,2,FALSE))</f>
        <v> </v>
      </c>
      <c r="D102" s="50" t="str">
        <f>IF(ISNA(VLOOKUP($B102,CPY!$B:$G,3,FALSE))=TRUE," ",VLOOKUP($B102,CPY!$B:$G,3,FALSE))</f>
        <v> </v>
      </c>
      <c r="E102" s="65" t="str">
        <f>IF(ISNA(VLOOKUP($B102,CPY!$B:$G,4,FALSE))=TRUE," ",VLOOKUP($B102,CPY!$B:$G,4,FALSE))</f>
        <v> </v>
      </c>
      <c r="F102" s="62"/>
      <c r="G102" s="70"/>
      <c r="H102" s="62"/>
    </row>
    <row r="103" spans="1:8" x14ac:dyDescent="0.25">
      <c r="A103" s="62">
        <v>102</v>
      </c>
      <c r="B103" s="62"/>
      <c r="C103" s="68" t="str">
        <f>IF(ISNA(VLOOKUP($B103,CPY!$B:$G,2,FALSE))=TRUE," ",VLOOKUP($B103,CPY!$B:$G,2,FALSE))</f>
        <v> </v>
      </c>
      <c r="D103" s="50" t="str">
        <f>IF(ISNA(VLOOKUP($B103,CPY!$B:$G,3,FALSE))=TRUE," ",VLOOKUP($B103,CPY!$B:$G,3,FALSE))</f>
        <v> </v>
      </c>
      <c r="E103" s="65" t="str">
        <f>IF(ISNA(VLOOKUP($B103,CPY!$B:$G,4,FALSE))=TRUE," ",VLOOKUP($B103,CPY!$B:$G,4,FALSE))</f>
        <v> </v>
      </c>
      <c r="F103" s="62"/>
      <c r="G103" s="70"/>
      <c r="H103" s="62"/>
    </row>
    <row r="104" spans="1:8" x14ac:dyDescent="0.25">
      <c r="A104" s="62">
        <v>103</v>
      </c>
      <c r="B104" s="62"/>
      <c r="C104" s="68" t="str">
        <f>IF(ISNA(VLOOKUP($B104,CPY!$B:$G,2,FALSE))=TRUE," ",VLOOKUP($B104,CPY!$B:$G,2,FALSE))</f>
        <v> </v>
      </c>
      <c r="D104" s="50" t="str">
        <f>IF(ISNA(VLOOKUP($B104,CPY!$B:$G,3,FALSE))=TRUE," ",VLOOKUP($B104,CPY!$B:$G,3,FALSE))</f>
        <v> </v>
      </c>
      <c r="E104" s="65" t="str">
        <f>IF(ISNA(VLOOKUP($B104,CPY!$B:$G,4,FALSE))=TRUE," ",VLOOKUP($B104,CPY!$B:$G,4,FALSE))</f>
        <v> </v>
      </c>
      <c r="F104" s="62"/>
      <c r="G104" s="70"/>
      <c r="H104" s="62"/>
    </row>
    <row r="105" spans="1:8" x14ac:dyDescent="0.25">
      <c r="A105" s="62">
        <v>104</v>
      </c>
      <c r="B105" s="62"/>
      <c r="C105" s="68" t="str">
        <f>IF(ISNA(VLOOKUP($B105,CPY!$B:$G,2,FALSE))=TRUE," ",VLOOKUP($B105,CPY!$B:$G,2,FALSE))</f>
        <v> </v>
      </c>
      <c r="D105" s="50" t="str">
        <f>IF(ISNA(VLOOKUP($B105,CPY!$B:$G,3,FALSE))=TRUE," ",VLOOKUP($B105,CPY!$B:$G,3,FALSE))</f>
        <v> </v>
      </c>
      <c r="E105" s="65" t="str">
        <f>IF(ISNA(VLOOKUP($B105,CPY!$B:$G,4,FALSE))=TRUE," ",VLOOKUP($B105,CPY!$B:$G,4,FALSE))</f>
        <v> </v>
      </c>
      <c r="F105" s="62"/>
      <c r="G105" s="70"/>
      <c r="H105" s="62"/>
    </row>
    <row r="106" spans="1:8" x14ac:dyDescent="0.25">
      <c r="A106" s="62">
        <v>105</v>
      </c>
      <c r="B106" s="62"/>
      <c r="C106" s="68" t="str">
        <f>IF(ISNA(VLOOKUP($B106,CPY!$B:$G,2,FALSE))=TRUE," ",VLOOKUP($B106,CPY!$B:$G,2,FALSE))</f>
        <v> </v>
      </c>
      <c r="D106" s="50" t="str">
        <f>IF(ISNA(VLOOKUP($B106,CPY!$B:$G,3,FALSE))=TRUE," ",VLOOKUP($B106,CPY!$B:$G,3,FALSE))</f>
        <v> </v>
      </c>
      <c r="E106" s="65" t="str">
        <f>IF(ISNA(VLOOKUP($B106,CPY!$B:$G,4,FALSE))=TRUE," ",VLOOKUP($B106,CPY!$B:$G,4,FALSE))</f>
        <v> </v>
      </c>
      <c r="F106" s="62"/>
      <c r="G106" s="70"/>
      <c r="H106" s="62"/>
    </row>
    <row r="107" spans="1:8" x14ac:dyDescent="0.25">
      <c r="A107" s="62">
        <v>106</v>
      </c>
      <c r="B107" s="62"/>
      <c r="C107" s="68" t="str">
        <f>IF(ISNA(VLOOKUP($B107,CPY!$B:$G,2,FALSE))=TRUE," ",VLOOKUP($B107,CPY!$B:$G,2,FALSE))</f>
        <v> </v>
      </c>
      <c r="D107" s="50" t="str">
        <f>IF(ISNA(VLOOKUP($B107,CPY!$B:$G,3,FALSE))=TRUE," ",VLOOKUP($B107,CPY!$B:$G,3,FALSE))</f>
        <v> </v>
      </c>
      <c r="E107" s="65" t="str">
        <f>IF(ISNA(VLOOKUP($B107,CPY!$B:$G,4,FALSE))=TRUE," ",VLOOKUP($B107,CPY!$B:$G,4,FALSE))</f>
        <v> </v>
      </c>
      <c r="F107" s="62"/>
      <c r="G107" s="70"/>
      <c r="H107" s="62"/>
    </row>
    <row r="108" spans="1:8" x14ac:dyDescent="0.25">
      <c r="A108" s="62">
        <v>107</v>
      </c>
      <c r="B108" s="62"/>
      <c r="C108" s="68" t="str">
        <f>IF(ISNA(VLOOKUP($B108,CPY!$B:$G,2,FALSE))=TRUE," ",VLOOKUP($B108,CPY!$B:$G,2,FALSE))</f>
        <v> </v>
      </c>
      <c r="D108" s="50" t="str">
        <f>IF(ISNA(VLOOKUP($B108,CPY!$B:$G,3,FALSE))=TRUE," ",VLOOKUP($B108,CPY!$B:$G,3,FALSE))</f>
        <v> </v>
      </c>
      <c r="E108" s="65" t="str">
        <f>IF(ISNA(VLOOKUP($B108,CPY!$B:$G,4,FALSE))=TRUE," ",VLOOKUP($B108,CPY!$B:$G,4,FALSE))</f>
        <v> </v>
      </c>
      <c r="F108" s="62"/>
      <c r="G108" s="70"/>
      <c r="H108" s="62"/>
    </row>
    <row r="109" spans="1:8" x14ac:dyDescent="0.25">
      <c r="A109" s="62">
        <v>108</v>
      </c>
      <c r="B109" s="62"/>
      <c r="C109" s="68" t="str">
        <f>IF(ISNA(VLOOKUP($B109,CPY!$B:$G,2,FALSE))=TRUE," ",VLOOKUP($B109,CPY!$B:$G,2,FALSE))</f>
        <v> </v>
      </c>
      <c r="D109" s="50" t="str">
        <f>IF(ISNA(VLOOKUP($B109,CPY!$B:$G,3,FALSE))=TRUE," ",VLOOKUP($B109,CPY!$B:$G,3,FALSE))</f>
        <v> </v>
      </c>
      <c r="E109" s="65" t="str">
        <f>IF(ISNA(VLOOKUP($B109,CPY!$B:$G,4,FALSE))=TRUE," ",VLOOKUP($B109,CPY!$B:$G,4,FALSE))</f>
        <v> </v>
      </c>
      <c r="F109" s="62"/>
      <c r="G109" s="70"/>
      <c r="H109" s="62"/>
    </row>
    <row r="110" spans="1:8" x14ac:dyDescent="0.25">
      <c r="A110" s="62">
        <v>109</v>
      </c>
      <c r="B110" s="62"/>
      <c r="C110" s="68" t="str">
        <f>IF(ISNA(VLOOKUP($B110,CPY!$B:$G,2,FALSE))=TRUE," ",VLOOKUP($B110,CPY!$B:$G,2,FALSE))</f>
        <v> </v>
      </c>
      <c r="D110" s="50" t="str">
        <f>IF(ISNA(VLOOKUP($B110,CPY!$B:$G,3,FALSE))=TRUE," ",VLOOKUP($B110,CPY!$B:$G,3,FALSE))</f>
        <v> </v>
      </c>
      <c r="E110" s="65" t="str">
        <f>IF(ISNA(VLOOKUP($B110,CPY!$B:$G,4,FALSE))=TRUE," ",VLOOKUP($B110,CPY!$B:$G,4,FALSE))</f>
        <v> </v>
      </c>
      <c r="F110" s="62"/>
      <c r="G110" s="70"/>
      <c r="H110" s="62"/>
    </row>
    <row r="111" spans="1:8" x14ac:dyDescent="0.25">
      <c r="A111" s="62">
        <v>110</v>
      </c>
      <c r="B111" s="62"/>
      <c r="C111" s="68" t="str">
        <f>IF(ISNA(VLOOKUP($B111,CPY!$B:$G,2,FALSE))=TRUE," ",VLOOKUP($B111,CPY!$B:$G,2,FALSE))</f>
        <v> </v>
      </c>
      <c r="D111" s="50" t="str">
        <f>IF(ISNA(VLOOKUP($B111,CPY!$B:$G,3,FALSE))=TRUE," ",VLOOKUP($B111,CPY!$B:$G,3,FALSE))</f>
        <v> </v>
      </c>
      <c r="E111" s="65" t="str">
        <f>IF(ISNA(VLOOKUP($B111,CPY!$B:$G,4,FALSE))=TRUE," ",VLOOKUP($B111,CPY!$B:$G,4,FALSE))</f>
        <v> </v>
      </c>
      <c r="F111" s="62"/>
      <c r="G111" s="70"/>
      <c r="H111" s="62"/>
    </row>
    <row r="112" spans="1:8" x14ac:dyDescent="0.25">
      <c r="A112" s="62">
        <v>111</v>
      </c>
      <c r="B112" s="62"/>
      <c r="C112" s="68" t="str">
        <f>IF(ISNA(VLOOKUP($B112,CPY!$B:$G,2,FALSE))=TRUE," ",VLOOKUP($B112,CPY!$B:$G,2,FALSE))</f>
        <v> </v>
      </c>
      <c r="D112" s="50" t="str">
        <f>IF(ISNA(VLOOKUP($B112,CPY!$B:$G,3,FALSE))=TRUE," ",VLOOKUP($B112,CPY!$B:$G,3,FALSE))</f>
        <v> </v>
      </c>
      <c r="E112" s="65" t="str">
        <f>IF(ISNA(VLOOKUP($B112,CPY!$B:$G,4,FALSE))=TRUE," ",VLOOKUP($B112,CPY!$B:$G,4,FALSE))</f>
        <v> </v>
      </c>
      <c r="F112" s="62"/>
      <c r="G112" s="70"/>
      <c r="H112" s="62"/>
    </row>
    <row r="113" spans="1:8" x14ac:dyDescent="0.25">
      <c r="A113" s="62">
        <v>112</v>
      </c>
      <c r="B113" s="62"/>
      <c r="C113" s="68" t="str">
        <f>IF(ISNA(VLOOKUP($B113,CPY!$B:$G,2,FALSE))=TRUE," ",VLOOKUP($B113,CPY!$B:$G,2,FALSE))</f>
        <v> </v>
      </c>
      <c r="D113" s="50" t="str">
        <f>IF(ISNA(VLOOKUP($B113,CPY!$B:$G,3,FALSE))=TRUE," ",VLOOKUP($B113,CPY!$B:$G,3,FALSE))</f>
        <v> </v>
      </c>
      <c r="E113" s="65" t="str">
        <f>IF(ISNA(VLOOKUP($B113,CPY!$B:$G,4,FALSE))=TRUE," ",VLOOKUP($B113,CPY!$B:$G,4,FALSE))</f>
        <v> </v>
      </c>
      <c r="F113" s="62"/>
      <c r="G113" s="70"/>
      <c r="H113" s="62"/>
    </row>
    <row r="114" spans="1:8" x14ac:dyDescent="0.25">
      <c r="A114" s="62">
        <v>113</v>
      </c>
      <c r="B114" s="62"/>
      <c r="C114" s="68" t="str">
        <f>IF(ISNA(VLOOKUP($B114,CPY!$B:$G,2,FALSE))=TRUE," ",VLOOKUP($B114,CPY!$B:$G,2,FALSE))</f>
        <v> </v>
      </c>
      <c r="D114" s="50" t="str">
        <f>IF(ISNA(VLOOKUP($B114,CPY!$B:$G,3,FALSE))=TRUE," ",VLOOKUP($B114,CPY!$B:$G,3,FALSE))</f>
        <v> </v>
      </c>
      <c r="E114" s="65" t="str">
        <f>IF(ISNA(VLOOKUP($B114,CPY!$B:$G,4,FALSE))=TRUE," ",VLOOKUP($B114,CPY!$B:$G,4,FALSE))</f>
        <v> </v>
      </c>
      <c r="F114" s="62"/>
      <c r="G114" s="70"/>
      <c r="H114" s="62"/>
    </row>
    <row r="115" spans="1:8" x14ac:dyDescent="0.25">
      <c r="A115" s="62">
        <v>114</v>
      </c>
      <c r="B115" s="62"/>
      <c r="C115" s="68" t="str">
        <f>IF(ISNA(VLOOKUP($B115,CPY!$B:$G,2,FALSE))=TRUE," ",VLOOKUP($B115,CPY!$B:$G,2,FALSE))</f>
        <v> </v>
      </c>
      <c r="D115" s="50" t="str">
        <f>IF(ISNA(VLOOKUP($B115,CPY!$B:$G,3,FALSE))=TRUE," ",VLOOKUP($B115,CPY!$B:$G,3,FALSE))</f>
        <v> </v>
      </c>
      <c r="E115" s="65" t="str">
        <f>IF(ISNA(VLOOKUP($B115,CPY!$B:$G,4,FALSE))=TRUE," ",VLOOKUP($B115,CPY!$B:$G,4,FALSE))</f>
        <v> </v>
      </c>
      <c r="F115" s="62"/>
      <c r="G115" s="70"/>
      <c r="H115" s="62"/>
    </row>
    <row r="116" spans="1:8" x14ac:dyDescent="0.25">
      <c r="A116" s="62">
        <v>115</v>
      </c>
      <c r="B116" s="62"/>
      <c r="C116" s="68" t="str">
        <f>IF(ISNA(VLOOKUP($B116,CPY!$B:$G,2,FALSE))=TRUE," ",VLOOKUP($B116,CPY!$B:$G,2,FALSE))</f>
        <v> </v>
      </c>
      <c r="D116" s="50" t="str">
        <f>IF(ISNA(VLOOKUP($B116,CPY!$B:$G,3,FALSE))=TRUE," ",VLOOKUP($B116,CPY!$B:$G,3,FALSE))</f>
        <v> </v>
      </c>
      <c r="E116" s="65" t="str">
        <f>IF(ISNA(VLOOKUP($B116,CPY!$B:$G,4,FALSE))=TRUE," ",VLOOKUP($B116,CPY!$B:$G,4,FALSE))</f>
        <v> </v>
      </c>
      <c r="F116" s="62"/>
      <c r="G116" s="70"/>
      <c r="H116" s="62"/>
    </row>
    <row r="117" spans="1:8" x14ac:dyDescent="0.25">
      <c r="A117" s="62">
        <v>116</v>
      </c>
      <c r="B117" s="62"/>
      <c r="C117" s="68" t="str">
        <f>IF(ISNA(VLOOKUP($B117,CPY!$B:$G,2,FALSE))=TRUE," ",VLOOKUP($B117,CPY!$B:$G,2,FALSE))</f>
        <v> </v>
      </c>
      <c r="D117" s="50" t="str">
        <f>IF(ISNA(VLOOKUP($B117,CPY!$B:$G,3,FALSE))=TRUE," ",VLOOKUP($B117,CPY!$B:$G,3,FALSE))</f>
        <v> </v>
      </c>
      <c r="E117" s="65" t="str">
        <f>IF(ISNA(VLOOKUP($B117,CPY!$B:$G,4,FALSE))=TRUE," ",VLOOKUP($B117,CPY!$B:$G,4,FALSE))</f>
        <v> </v>
      </c>
      <c r="F117" s="62"/>
      <c r="G117" s="70"/>
      <c r="H117" s="62"/>
    </row>
    <row r="118" spans="1:8" x14ac:dyDescent="0.25">
      <c r="A118" s="62">
        <v>117</v>
      </c>
      <c r="B118" s="62"/>
      <c r="C118" s="68" t="str">
        <f>IF(ISNA(VLOOKUP($B118,CPY!$B:$G,2,FALSE))=TRUE," ",VLOOKUP($B118,CPY!$B:$G,2,FALSE))</f>
        <v> </v>
      </c>
      <c r="D118" s="50" t="str">
        <f>IF(ISNA(VLOOKUP($B118,CPY!$B:$G,3,FALSE))=TRUE," ",VLOOKUP($B118,CPY!$B:$G,3,FALSE))</f>
        <v> </v>
      </c>
      <c r="E118" s="65" t="str">
        <f>IF(ISNA(VLOOKUP($B118,CPY!$B:$G,4,FALSE))=TRUE," ",VLOOKUP($B118,CPY!$B:$G,4,FALSE))</f>
        <v> </v>
      </c>
      <c r="F118" s="62"/>
      <c r="G118" s="70"/>
      <c r="H118" s="62"/>
    </row>
    <row r="119" spans="1:8" x14ac:dyDescent="0.25">
      <c r="A119" s="62">
        <v>118</v>
      </c>
      <c r="B119" s="62"/>
      <c r="C119" s="68" t="str">
        <f>IF(ISNA(VLOOKUP($B119,CPY!$B:$G,2,FALSE))=TRUE," ",VLOOKUP($B119,CPY!$B:$G,2,FALSE))</f>
        <v> </v>
      </c>
      <c r="D119" s="50" t="str">
        <f>IF(ISNA(VLOOKUP($B119,CPY!$B:$G,3,FALSE))=TRUE," ",VLOOKUP($B119,CPY!$B:$G,3,FALSE))</f>
        <v> </v>
      </c>
      <c r="E119" s="65" t="str">
        <f>IF(ISNA(VLOOKUP($B119,CPY!$B:$G,4,FALSE))=TRUE," ",VLOOKUP($B119,CPY!$B:$G,4,FALSE))</f>
        <v> </v>
      </c>
      <c r="F119" s="62"/>
      <c r="G119" s="70"/>
      <c r="H119" s="62"/>
    </row>
    <row r="120" spans="1:8" x14ac:dyDescent="0.25">
      <c r="A120" s="62">
        <v>119</v>
      </c>
      <c r="B120" s="62"/>
      <c r="C120" s="68" t="str">
        <f>IF(ISNA(VLOOKUP($B120,CPY!$B:$G,2,FALSE))=TRUE," ",VLOOKUP($B120,CPY!$B:$G,2,FALSE))</f>
        <v> </v>
      </c>
      <c r="D120" s="50" t="str">
        <f>IF(ISNA(VLOOKUP($B120,CPY!$B:$G,3,FALSE))=TRUE," ",VLOOKUP($B120,CPY!$B:$G,3,FALSE))</f>
        <v> </v>
      </c>
      <c r="E120" s="65" t="str">
        <f>IF(ISNA(VLOOKUP($B120,CPY!$B:$G,4,FALSE))=TRUE," ",VLOOKUP($B120,CPY!$B:$G,4,FALSE))</f>
        <v> </v>
      </c>
      <c r="F120" s="62"/>
      <c r="G120" s="70"/>
      <c r="H120" s="62"/>
    </row>
    <row r="121" spans="1:8" x14ac:dyDescent="0.25">
      <c r="A121" s="62">
        <v>120</v>
      </c>
      <c r="B121" s="62"/>
      <c r="C121" s="68" t="str">
        <f>IF(ISNA(VLOOKUP($B121,CPY!$B:$G,2,FALSE))=TRUE," ",VLOOKUP($B121,CPY!$B:$G,2,FALSE))</f>
        <v> </v>
      </c>
      <c r="D121" s="50" t="str">
        <f>IF(ISNA(VLOOKUP($B121,CPY!$B:$G,3,FALSE))=TRUE," ",VLOOKUP($B121,CPY!$B:$G,3,FALSE))</f>
        <v> </v>
      </c>
      <c r="E121" s="65" t="str">
        <f>IF(ISNA(VLOOKUP($B121,CPY!$B:$G,4,FALSE))=TRUE," ",VLOOKUP($B121,CPY!$B:$G,4,FALSE))</f>
        <v> </v>
      </c>
      <c r="F121" s="62"/>
      <c r="G121" s="70"/>
      <c r="H121" s="62"/>
    </row>
    <row r="122" spans="1:8" x14ac:dyDescent="0.25">
      <c r="A122" s="62">
        <v>121</v>
      </c>
      <c r="B122" s="62"/>
      <c r="C122" s="68" t="str">
        <f>IF(ISNA(VLOOKUP($B122,CPY!$B:$G,2,FALSE))=TRUE," ",VLOOKUP($B122,CPY!$B:$G,2,FALSE))</f>
        <v> </v>
      </c>
      <c r="D122" s="50" t="str">
        <f>IF(ISNA(VLOOKUP($B122,CPY!$B:$G,3,FALSE))=TRUE," ",VLOOKUP($B122,CPY!$B:$G,3,FALSE))</f>
        <v> </v>
      </c>
      <c r="E122" s="65" t="str">
        <f>IF(ISNA(VLOOKUP($B122,CPY!$B:$G,4,FALSE))=TRUE," ",VLOOKUP($B122,CPY!$B:$G,4,FALSE))</f>
        <v> </v>
      </c>
      <c r="F122" s="62"/>
      <c r="G122" s="70"/>
      <c r="H122" s="62"/>
    </row>
    <row r="123" spans="1:8" x14ac:dyDescent="0.25">
      <c r="A123" s="62">
        <v>122</v>
      </c>
      <c r="B123" s="62"/>
      <c r="C123" s="68" t="str">
        <f>IF(ISNA(VLOOKUP($B123,CPY!$B:$G,2,FALSE))=TRUE," ",VLOOKUP($B123,CPY!$B:$G,2,FALSE))</f>
        <v> </v>
      </c>
      <c r="D123" s="50" t="str">
        <f>IF(ISNA(VLOOKUP($B123,CPY!$B:$G,3,FALSE))=TRUE," ",VLOOKUP($B123,CPY!$B:$G,3,FALSE))</f>
        <v> </v>
      </c>
      <c r="E123" s="65" t="str">
        <f>IF(ISNA(VLOOKUP($B123,CPY!$B:$G,4,FALSE))=TRUE," ",VLOOKUP($B123,CPY!$B:$G,4,FALSE))</f>
        <v> </v>
      </c>
      <c r="F123" s="62"/>
      <c r="G123" s="70"/>
      <c r="H123" s="62"/>
    </row>
    <row r="124" spans="1:8" x14ac:dyDescent="0.25">
      <c r="A124" s="62">
        <v>123</v>
      </c>
      <c r="B124" s="62"/>
      <c r="C124" s="68" t="str">
        <f>IF(ISNA(VLOOKUP($B124,CPY!$B:$G,2,FALSE))=TRUE," ",VLOOKUP($B124,CPY!$B:$G,2,FALSE))</f>
        <v> </v>
      </c>
      <c r="D124" s="50" t="str">
        <f>IF(ISNA(VLOOKUP($B124,CPY!$B:$G,3,FALSE))=TRUE," ",VLOOKUP($B124,CPY!$B:$G,3,FALSE))</f>
        <v> </v>
      </c>
      <c r="E124" s="65" t="str">
        <f>IF(ISNA(VLOOKUP($B124,CPY!$B:$G,4,FALSE))=TRUE," ",VLOOKUP($B124,CPY!$B:$G,4,FALSE))</f>
        <v> </v>
      </c>
      <c r="F124" s="62"/>
      <c r="G124" s="70"/>
      <c r="H124" s="62"/>
    </row>
    <row r="125" spans="1:8" x14ac:dyDescent="0.25">
      <c r="A125" s="62">
        <v>124</v>
      </c>
      <c r="B125" s="62"/>
      <c r="C125" s="68" t="str">
        <f>IF(ISNA(VLOOKUP($B125,CPY!$B:$G,2,FALSE))=TRUE," ",VLOOKUP($B125,CPY!$B:$G,2,FALSE))</f>
        <v> </v>
      </c>
      <c r="D125" s="50" t="str">
        <f>IF(ISNA(VLOOKUP($B125,CPY!$B:$G,3,FALSE))=TRUE," ",VLOOKUP($B125,CPY!$B:$G,3,FALSE))</f>
        <v> </v>
      </c>
      <c r="E125" s="65" t="str">
        <f>IF(ISNA(VLOOKUP($B125,CPY!$B:$G,4,FALSE))=TRUE," ",VLOOKUP($B125,CPY!$B:$G,4,FALSE))</f>
        <v> </v>
      </c>
      <c r="F125" s="62"/>
      <c r="G125" s="70"/>
      <c r="H125" s="62"/>
    </row>
    <row r="126" spans="1:8" x14ac:dyDescent="0.25">
      <c r="A126" s="62">
        <v>125</v>
      </c>
      <c r="B126" s="62"/>
      <c r="C126" s="68" t="str">
        <f>IF(ISNA(VLOOKUP($B126,CPY!$B:$G,2,FALSE))=TRUE," ",VLOOKUP($B126,CPY!$B:$G,2,FALSE))</f>
        <v> </v>
      </c>
      <c r="D126" s="50" t="str">
        <f>IF(ISNA(VLOOKUP($B126,CPY!$B:$G,3,FALSE))=TRUE," ",VLOOKUP($B126,CPY!$B:$G,3,FALSE))</f>
        <v> </v>
      </c>
      <c r="E126" s="65" t="str">
        <f>IF(ISNA(VLOOKUP($B126,CPY!$B:$G,4,FALSE))=TRUE," ",VLOOKUP($B126,CPY!$B:$G,4,FALSE))</f>
        <v> </v>
      </c>
      <c r="F126" s="62"/>
      <c r="G126" s="70"/>
      <c r="H126" s="62"/>
    </row>
    <row r="127" spans="1:8" x14ac:dyDescent="0.25">
      <c r="A127" s="62">
        <v>126</v>
      </c>
      <c r="B127" s="62"/>
      <c r="C127" s="68" t="str">
        <f>IF(ISNA(VLOOKUP($B127,CPY!$B:$G,2,FALSE))=TRUE," ",VLOOKUP($B127,CPY!$B:$G,2,FALSE))</f>
        <v> </v>
      </c>
      <c r="D127" s="50" t="str">
        <f>IF(ISNA(VLOOKUP($B127,CPY!$B:$G,3,FALSE))=TRUE," ",VLOOKUP($B127,CPY!$B:$G,3,FALSE))</f>
        <v> </v>
      </c>
      <c r="E127" s="65" t="str">
        <f>IF(ISNA(VLOOKUP($B127,CPY!$B:$G,4,FALSE))=TRUE," ",VLOOKUP($B127,CPY!$B:$G,4,FALSE))</f>
        <v> </v>
      </c>
      <c r="F127" s="62"/>
      <c r="G127" s="70"/>
      <c r="H127" s="62"/>
    </row>
    <row r="128" spans="1:8" x14ac:dyDescent="0.25">
      <c r="A128" s="62">
        <v>127</v>
      </c>
      <c r="B128" s="62"/>
      <c r="C128" s="68" t="str">
        <f>IF(ISNA(VLOOKUP($B128,CPY!$B:$G,2,FALSE))=TRUE," ",VLOOKUP($B128,CPY!$B:$G,2,FALSE))</f>
        <v> </v>
      </c>
      <c r="D128" s="50" t="str">
        <f>IF(ISNA(VLOOKUP($B128,CPY!$B:$G,3,FALSE))=TRUE," ",VLOOKUP($B128,CPY!$B:$G,3,FALSE))</f>
        <v> </v>
      </c>
      <c r="E128" s="65" t="str">
        <f>IF(ISNA(VLOOKUP($B128,CPY!$B:$G,4,FALSE))=TRUE," ",VLOOKUP($B128,CPY!$B:$G,4,FALSE))</f>
        <v> </v>
      </c>
      <c r="F128" s="62"/>
      <c r="G128" s="70"/>
      <c r="H128" s="62"/>
    </row>
    <row r="129" spans="1:8" x14ac:dyDescent="0.25">
      <c r="A129" s="62">
        <v>128</v>
      </c>
      <c r="B129" s="62"/>
      <c r="C129" s="68" t="str">
        <f>IF(ISNA(VLOOKUP($B129,CPY!$B:$G,2,FALSE))=TRUE," ",VLOOKUP($B129,CPY!$B:$G,2,FALSE))</f>
        <v> </v>
      </c>
      <c r="D129" s="50" t="str">
        <f>IF(ISNA(VLOOKUP($B129,CPY!$B:$G,3,FALSE))=TRUE," ",VLOOKUP($B129,CPY!$B:$G,3,FALSE))</f>
        <v> </v>
      </c>
      <c r="E129" s="65" t="str">
        <f>IF(ISNA(VLOOKUP($B129,CPY!$B:$G,4,FALSE))=TRUE," ",VLOOKUP($B129,CPY!$B:$G,4,FALSE))</f>
        <v> </v>
      </c>
      <c r="F129" s="62"/>
      <c r="G129" s="70"/>
      <c r="H129" s="62"/>
    </row>
    <row r="130" spans="1:8" x14ac:dyDescent="0.25">
      <c r="A130" s="62">
        <v>129</v>
      </c>
      <c r="B130" s="62"/>
      <c r="C130" s="68" t="str">
        <f>IF(ISNA(VLOOKUP($B130,CPY!$B:$G,2,FALSE))=TRUE," ",VLOOKUP($B130,CPY!$B:$G,2,FALSE))</f>
        <v> </v>
      </c>
      <c r="D130" s="50" t="str">
        <f>IF(ISNA(VLOOKUP($B130,CPY!$B:$G,3,FALSE))=TRUE," ",VLOOKUP($B130,CPY!$B:$G,3,FALSE))</f>
        <v> </v>
      </c>
      <c r="E130" s="65" t="str">
        <f>IF(ISNA(VLOOKUP($B130,CPY!$B:$G,4,FALSE))=TRUE," ",VLOOKUP($B130,CPY!$B:$G,4,FALSE))</f>
        <v> </v>
      </c>
      <c r="F130" s="62"/>
      <c r="G130" s="70"/>
      <c r="H130" s="62"/>
    </row>
    <row r="131" spans="1:8" x14ac:dyDescent="0.25">
      <c r="A131" s="62">
        <v>130</v>
      </c>
      <c r="B131" s="62"/>
      <c r="C131" s="68" t="str">
        <f>IF(ISNA(VLOOKUP($B131,CPY!$B:$G,2,FALSE))=TRUE," ",VLOOKUP($B131,CPY!$B:$G,2,FALSE))</f>
        <v> </v>
      </c>
      <c r="D131" s="50" t="str">
        <f>IF(ISNA(VLOOKUP($B131,CPY!$B:$G,3,FALSE))=TRUE," ",VLOOKUP($B131,CPY!$B:$G,3,FALSE))</f>
        <v> </v>
      </c>
      <c r="E131" s="65" t="str">
        <f>IF(ISNA(VLOOKUP($B131,CPY!$B:$G,4,FALSE))=TRUE," ",VLOOKUP($B131,CPY!$B:$G,4,FALSE))</f>
        <v> </v>
      </c>
      <c r="F131" s="62"/>
      <c r="G131" s="70"/>
      <c r="H131" s="62"/>
    </row>
    <row r="132" spans="1:8" x14ac:dyDescent="0.25">
      <c r="A132" s="62">
        <v>131</v>
      </c>
      <c r="B132" s="62"/>
      <c r="C132" s="68" t="str">
        <f>IF(ISNA(VLOOKUP($B132,CPY!$B:$G,2,FALSE))=TRUE," ",VLOOKUP($B132,CPY!$B:$G,2,FALSE))</f>
        <v> </v>
      </c>
      <c r="D132" s="50" t="str">
        <f>IF(ISNA(VLOOKUP($B132,CPY!$B:$G,3,FALSE))=TRUE," ",VLOOKUP($B132,CPY!$B:$G,3,FALSE))</f>
        <v> </v>
      </c>
      <c r="E132" s="65" t="str">
        <f>IF(ISNA(VLOOKUP($B132,CPY!$B:$G,4,FALSE))=TRUE," ",VLOOKUP($B132,CPY!$B:$G,4,FALSE))</f>
        <v> </v>
      </c>
      <c r="F132" s="62"/>
      <c r="G132" s="70"/>
      <c r="H132" s="62"/>
    </row>
    <row r="133" spans="1:8" x14ac:dyDescent="0.25">
      <c r="A133" s="62">
        <v>132</v>
      </c>
      <c r="B133" s="62"/>
      <c r="C133" s="68" t="str">
        <f>IF(ISNA(VLOOKUP($B133,CPY!$B:$G,2,FALSE))=TRUE," ",VLOOKUP($B133,CPY!$B:$G,2,FALSE))</f>
        <v> </v>
      </c>
      <c r="D133" s="50" t="str">
        <f>IF(ISNA(VLOOKUP($B133,CPY!$B:$G,3,FALSE))=TRUE," ",VLOOKUP($B133,CPY!$B:$G,3,FALSE))</f>
        <v> </v>
      </c>
      <c r="E133" s="65" t="str">
        <f>IF(ISNA(VLOOKUP($B133,CPY!$B:$G,4,FALSE))=TRUE," ",VLOOKUP($B133,CPY!$B:$G,4,FALSE))</f>
        <v> </v>
      </c>
      <c r="F133" s="62"/>
      <c r="G133" s="70"/>
      <c r="H133" s="62"/>
    </row>
    <row r="134" spans="1:8" x14ac:dyDescent="0.25">
      <c r="A134" s="62">
        <v>133</v>
      </c>
      <c r="B134" s="62"/>
      <c r="C134" s="68" t="str">
        <f>IF(ISNA(VLOOKUP($B134,CPY!$B:$G,2,FALSE))=TRUE," ",VLOOKUP($B134,CPY!$B:$G,2,FALSE))</f>
        <v> </v>
      </c>
      <c r="D134" s="50" t="str">
        <f>IF(ISNA(VLOOKUP($B134,CPY!$B:$G,3,FALSE))=TRUE," ",VLOOKUP($B134,CPY!$B:$G,3,FALSE))</f>
        <v> </v>
      </c>
      <c r="E134" s="65" t="str">
        <f>IF(ISNA(VLOOKUP($B134,CPY!$B:$G,4,FALSE))=TRUE," ",VLOOKUP($B134,CPY!$B:$G,4,FALSE))</f>
        <v> </v>
      </c>
      <c r="F134" s="62"/>
      <c r="G134" s="70"/>
      <c r="H134" s="62"/>
    </row>
    <row r="135" spans="1:8" x14ac:dyDescent="0.25">
      <c r="A135" s="62">
        <v>134</v>
      </c>
      <c r="B135" s="62"/>
      <c r="C135" s="68" t="str">
        <f>IF(ISNA(VLOOKUP($B135,CPY!$B:$G,2,FALSE))=TRUE," ",VLOOKUP($B135,CPY!$B:$G,2,FALSE))</f>
        <v> </v>
      </c>
      <c r="D135" s="50" t="str">
        <f>IF(ISNA(VLOOKUP($B135,CPY!$B:$G,3,FALSE))=TRUE," ",VLOOKUP($B135,CPY!$B:$G,3,FALSE))</f>
        <v> </v>
      </c>
      <c r="E135" s="65" t="str">
        <f>IF(ISNA(VLOOKUP($B135,CPY!$B:$G,4,FALSE))=TRUE," ",VLOOKUP($B135,CPY!$B:$G,4,FALSE))</f>
        <v> </v>
      </c>
      <c r="F135" s="62"/>
      <c r="G135" s="70"/>
      <c r="H135" s="62"/>
    </row>
    <row r="136" spans="1:8" x14ac:dyDescent="0.25">
      <c r="A136" s="62">
        <v>135</v>
      </c>
      <c r="B136" s="62"/>
      <c r="C136" s="68" t="str">
        <f>IF(ISNA(VLOOKUP($B136,CPY!$B:$G,2,FALSE))=TRUE," ",VLOOKUP($B136,CPY!$B:$G,2,FALSE))</f>
        <v> </v>
      </c>
      <c r="D136" s="50" t="str">
        <f>IF(ISNA(VLOOKUP($B136,CPY!$B:$G,3,FALSE))=TRUE," ",VLOOKUP($B136,CPY!$B:$G,3,FALSE))</f>
        <v> </v>
      </c>
      <c r="E136" s="65" t="str">
        <f>IF(ISNA(VLOOKUP($B136,CPY!$B:$G,4,FALSE))=TRUE," ",VLOOKUP($B136,CPY!$B:$G,4,FALSE))</f>
        <v> </v>
      </c>
      <c r="F136" s="62"/>
      <c r="G136" s="70"/>
      <c r="H136" s="62"/>
    </row>
    <row r="137" spans="1:8" x14ac:dyDescent="0.25">
      <c r="A137" s="62">
        <v>136</v>
      </c>
      <c r="B137" s="62"/>
      <c r="C137" s="68" t="str">
        <f>IF(ISNA(VLOOKUP($B137,CPY!$B:$G,2,FALSE))=TRUE," ",VLOOKUP($B137,CPY!$B:$G,2,FALSE))</f>
        <v> </v>
      </c>
      <c r="D137" s="50" t="str">
        <f>IF(ISNA(VLOOKUP($B137,CPY!$B:$G,3,FALSE))=TRUE," ",VLOOKUP($B137,CPY!$B:$G,3,FALSE))</f>
        <v> </v>
      </c>
      <c r="E137" s="65" t="str">
        <f>IF(ISNA(VLOOKUP($B137,CPY!$B:$G,4,FALSE))=TRUE," ",VLOOKUP($B137,CPY!$B:$G,4,FALSE))</f>
        <v> </v>
      </c>
      <c r="F137" s="62"/>
      <c r="G137" s="70"/>
      <c r="H137" s="62"/>
    </row>
    <row r="138" spans="1:8" x14ac:dyDescent="0.25">
      <c r="A138" s="62">
        <v>137</v>
      </c>
      <c r="B138" s="62"/>
      <c r="C138" s="68" t="str">
        <f>IF(ISNA(VLOOKUP($B138,CPY!$B:$G,2,FALSE))=TRUE," ",VLOOKUP($B138,CPY!$B:$G,2,FALSE))</f>
        <v> </v>
      </c>
      <c r="D138" s="50" t="str">
        <f>IF(ISNA(VLOOKUP($B138,CPY!$B:$G,3,FALSE))=TRUE," ",VLOOKUP($B138,CPY!$B:$G,3,FALSE))</f>
        <v> </v>
      </c>
      <c r="E138" s="65" t="str">
        <f>IF(ISNA(VLOOKUP($B138,CPY!$B:$G,4,FALSE))=TRUE," ",VLOOKUP($B138,CPY!$B:$G,4,FALSE))</f>
        <v> </v>
      </c>
      <c r="F138" s="62"/>
      <c r="G138" s="70"/>
      <c r="H138" s="62"/>
    </row>
    <row r="139" spans="1:8" x14ac:dyDescent="0.25">
      <c r="A139" s="62">
        <v>138</v>
      </c>
      <c r="B139" s="62"/>
      <c r="C139" s="68" t="str">
        <f>IF(ISNA(VLOOKUP($B139,CPY!$B:$G,2,FALSE))=TRUE," ",VLOOKUP($B139,CPY!$B:$G,2,FALSE))</f>
        <v> </v>
      </c>
      <c r="D139" s="50" t="str">
        <f>IF(ISNA(VLOOKUP($B139,CPY!$B:$G,3,FALSE))=TRUE," ",VLOOKUP($B139,CPY!$B:$G,3,FALSE))</f>
        <v> </v>
      </c>
      <c r="E139" s="65" t="str">
        <f>IF(ISNA(VLOOKUP($B139,CPY!$B:$G,4,FALSE))=TRUE," ",VLOOKUP($B139,CPY!$B:$G,4,FALSE))</f>
        <v> </v>
      </c>
      <c r="F139" s="62"/>
      <c r="G139" s="70"/>
      <c r="H139" s="62"/>
    </row>
    <row r="140" spans="1:8" x14ac:dyDescent="0.25">
      <c r="A140" s="62">
        <v>139</v>
      </c>
      <c r="B140" s="62"/>
      <c r="C140" s="68" t="str">
        <f>IF(ISNA(VLOOKUP($B140,CPY!$B:$G,2,FALSE))=TRUE," ",VLOOKUP($B140,CPY!$B:$G,2,FALSE))</f>
        <v> </v>
      </c>
      <c r="D140" s="50" t="str">
        <f>IF(ISNA(VLOOKUP($B140,CPY!$B:$G,3,FALSE))=TRUE," ",VLOOKUP($B140,CPY!$B:$G,3,FALSE))</f>
        <v> </v>
      </c>
      <c r="E140" s="65" t="str">
        <f>IF(ISNA(VLOOKUP($B140,CPY!$B:$G,4,FALSE))=TRUE," ",VLOOKUP($B140,CPY!$B:$G,4,FALSE))</f>
        <v> </v>
      </c>
      <c r="F140" s="62"/>
      <c r="G140" s="70"/>
      <c r="H140" s="62"/>
    </row>
    <row r="141" spans="1:8" x14ac:dyDescent="0.25">
      <c r="A141" s="62">
        <v>140</v>
      </c>
      <c r="B141" s="62"/>
      <c r="C141" s="68" t="str">
        <f>IF(ISNA(VLOOKUP($B141,CPY!$B:$G,2,FALSE))=TRUE," ",VLOOKUP($B141,CPY!$B:$G,2,FALSE))</f>
        <v> </v>
      </c>
      <c r="D141" s="50" t="str">
        <f>IF(ISNA(VLOOKUP($B141,CPY!$B:$G,3,FALSE))=TRUE," ",VLOOKUP($B141,CPY!$B:$G,3,FALSE))</f>
        <v> </v>
      </c>
      <c r="E141" s="65" t="str">
        <f>IF(ISNA(VLOOKUP($B141,CPY!$B:$G,4,FALSE))=TRUE," ",VLOOKUP($B141,CPY!$B:$G,4,FALSE))</f>
        <v> </v>
      </c>
      <c r="F141" s="62"/>
      <c r="G141" s="70"/>
      <c r="H141" s="62"/>
    </row>
    <row r="142" spans="1:8" x14ac:dyDescent="0.25">
      <c r="A142" s="62">
        <v>141</v>
      </c>
      <c r="B142" s="62"/>
      <c r="C142" s="68" t="str">
        <f>IF(ISNA(VLOOKUP($B142,CPY!$B:$G,2,FALSE))=TRUE," ",VLOOKUP($B142,CPY!$B:$G,2,FALSE))</f>
        <v> </v>
      </c>
      <c r="D142" s="50" t="str">
        <f>IF(ISNA(VLOOKUP($B142,CPY!$B:$G,3,FALSE))=TRUE," ",VLOOKUP($B142,CPY!$B:$G,3,FALSE))</f>
        <v> </v>
      </c>
      <c r="E142" s="65" t="str">
        <f>IF(ISNA(VLOOKUP($B142,CPY!$B:$G,4,FALSE))=TRUE," ",VLOOKUP($B142,CPY!$B:$G,4,FALSE))</f>
        <v> </v>
      </c>
      <c r="F142" s="62"/>
      <c r="G142" s="70"/>
      <c r="H142" s="62"/>
    </row>
    <row r="143" spans="1:8" x14ac:dyDescent="0.25">
      <c r="A143" s="62">
        <v>142</v>
      </c>
      <c r="B143" s="62"/>
      <c r="C143" s="68" t="str">
        <f>IF(ISNA(VLOOKUP($B143,CPY!$B:$G,2,FALSE))=TRUE," ",VLOOKUP($B143,CPY!$B:$G,2,FALSE))</f>
        <v> </v>
      </c>
      <c r="D143" s="50" t="str">
        <f>IF(ISNA(VLOOKUP($B143,CPY!$B:$G,3,FALSE))=TRUE," ",VLOOKUP($B143,CPY!$B:$G,3,FALSE))</f>
        <v> </v>
      </c>
      <c r="E143" s="65" t="str">
        <f>IF(ISNA(VLOOKUP($B143,CPY!$B:$G,4,FALSE))=TRUE," ",VLOOKUP($B143,CPY!$B:$G,4,FALSE))</f>
        <v> </v>
      </c>
      <c r="F143" s="62"/>
      <c r="G143" s="70"/>
      <c r="H143" s="62"/>
    </row>
    <row r="144" spans="1:8" x14ac:dyDescent="0.25">
      <c r="A144" s="62">
        <v>143</v>
      </c>
      <c r="B144" s="62"/>
      <c r="C144" s="68" t="str">
        <f>IF(ISNA(VLOOKUP($B144,CPY!$B:$G,2,FALSE))=TRUE," ",VLOOKUP($B144,CPY!$B:$G,2,FALSE))</f>
        <v> </v>
      </c>
      <c r="D144" s="50" t="str">
        <f>IF(ISNA(VLOOKUP($B144,CPY!$B:$G,3,FALSE))=TRUE," ",VLOOKUP($B144,CPY!$B:$G,3,FALSE))</f>
        <v> </v>
      </c>
      <c r="E144" s="65" t="str">
        <f>IF(ISNA(VLOOKUP($B144,CPY!$B:$G,4,FALSE))=TRUE," ",VLOOKUP($B144,CPY!$B:$G,4,FALSE))</f>
        <v> </v>
      </c>
      <c r="F144" s="62"/>
      <c r="G144" s="70"/>
      <c r="H144" s="62"/>
    </row>
    <row r="145" spans="1:8" x14ac:dyDescent="0.25">
      <c r="A145" s="62">
        <v>144</v>
      </c>
      <c r="B145" s="62"/>
      <c r="C145" s="68" t="str">
        <f>IF(ISNA(VLOOKUP($B145,CPY!$B:$G,2,FALSE))=TRUE," ",VLOOKUP($B145,CPY!$B:$G,2,FALSE))</f>
        <v> </v>
      </c>
      <c r="D145" s="50" t="str">
        <f>IF(ISNA(VLOOKUP($B145,CPY!$B:$G,3,FALSE))=TRUE," ",VLOOKUP($B145,CPY!$B:$G,3,FALSE))</f>
        <v> </v>
      </c>
      <c r="E145" s="65" t="str">
        <f>IF(ISNA(VLOOKUP($B145,CPY!$B:$G,4,FALSE))=TRUE," ",VLOOKUP($B145,CPY!$B:$G,4,FALSE))</f>
        <v> </v>
      </c>
      <c r="F145" s="62"/>
      <c r="G145" s="70"/>
      <c r="H145" s="62"/>
    </row>
    <row r="146" spans="1:8" x14ac:dyDescent="0.25">
      <c r="A146" s="62">
        <v>145</v>
      </c>
      <c r="B146" s="62"/>
      <c r="C146" s="68" t="str">
        <f>IF(ISNA(VLOOKUP($B146,CPY!$B:$G,2,FALSE))=TRUE," ",VLOOKUP($B146,CPY!$B:$G,2,FALSE))</f>
        <v> </v>
      </c>
      <c r="D146" s="50" t="str">
        <f>IF(ISNA(VLOOKUP($B146,CPY!$B:$G,3,FALSE))=TRUE," ",VLOOKUP($B146,CPY!$B:$G,3,FALSE))</f>
        <v> </v>
      </c>
      <c r="E146" s="65" t="str">
        <f>IF(ISNA(VLOOKUP($B146,CPY!$B:$G,4,FALSE))=TRUE," ",VLOOKUP($B146,CPY!$B:$G,4,FALSE))</f>
        <v> </v>
      </c>
      <c r="F146" s="62"/>
      <c r="G146" s="70"/>
      <c r="H146" s="62"/>
    </row>
    <row r="147" spans="1:8" x14ac:dyDescent="0.25">
      <c r="A147" s="62">
        <v>146</v>
      </c>
      <c r="B147" s="62"/>
      <c r="C147" s="68" t="str">
        <f>IF(ISNA(VLOOKUP($B147,CPY!$B:$G,2,FALSE))=TRUE," ",VLOOKUP($B147,CPY!$B:$G,2,FALSE))</f>
        <v> </v>
      </c>
      <c r="D147" s="50" t="str">
        <f>IF(ISNA(VLOOKUP($B147,CPY!$B:$G,3,FALSE))=TRUE," ",VLOOKUP($B147,CPY!$B:$G,3,FALSE))</f>
        <v> </v>
      </c>
      <c r="E147" s="65" t="str">
        <f>IF(ISNA(VLOOKUP($B147,CPY!$B:$G,4,FALSE))=TRUE," ",VLOOKUP($B147,CPY!$B:$G,4,FALSE))</f>
        <v> </v>
      </c>
      <c r="F147" s="62"/>
      <c r="G147" s="70"/>
      <c r="H147" s="62"/>
    </row>
    <row r="148" spans="1:8" x14ac:dyDescent="0.25">
      <c r="A148" s="62">
        <v>147</v>
      </c>
      <c r="B148" s="62"/>
      <c r="C148" s="68" t="str">
        <f>IF(ISNA(VLOOKUP($B148,CPY!$B:$G,2,FALSE))=TRUE," ",VLOOKUP($B148,CPY!$B:$G,2,FALSE))</f>
        <v> </v>
      </c>
      <c r="D148" s="50" t="str">
        <f>IF(ISNA(VLOOKUP($B148,CPY!$B:$G,3,FALSE))=TRUE," ",VLOOKUP($B148,CPY!$B:$G,3,FALSE))</f>
        <v> </v>
      </c>
      <c r="E148" s="65" t="str">
        <f>IF(ISNA(VLOOKUP($B148,CPY!$B:$G,4,FALSE))=TRUE," ",VLOOKUP($B148,CPY!$B:$G,4,FALSE))</f>
        <v> </v>
      </c>
      <c r="F148" s="62"/>
      <c r="G148" s="70"/>
      <c r="H148" s="62"/>
    </row>
    <row r="149" spans="1:8" x14ac:dyDescent="0.25">
      <c r="A149" s="62">
        <v>148</v>
      </c>
      <c r="B149" s="62"/>
      <c r="C149" s="68" t="str">
        <f>IF(ISNA(VLOOKUP($B149,CPY!$B:$G,2,FALSE))=TRUE," ",VLOOKUP($B149,CPY!$B:$G,2,FALSE))</f>
        <v> </v>
      </c>
      <c r="D149" s="50" t="str">
        <f>IF(ISNA(VLOOKUP($B149,CPY!$B:$G,3,FALSE))=TRUE," ",VLOOKUP($B149,CPY!$B:$G,3,FALSE))</f>
        <v> </v>
      </c>
      <c r="E149" s="65" t="str">
        <f>IF(ISNA(VLOOKUP($B149,CPY!$B:$G,4,FALSE))=TRUE," ",VLOOKUP($B149,CPY!$B:$G,4,FALSE))</f>
        <v> </v>
      </c>
      <c r="F149" s="62"/>
      <c r="G149" s="70"/>
      <c r="H149" s="62"/>
    </row>
    <row r="150" spans="1:8" x14ac:dyDescent="0.25">
      <c r="A150" s="62">
        <v>149</v>
      </c>
      <c r="B150" s="62"/>
      <c r="C150" s="68" t="str">
        <f>IF(ISNA(VLOOKUP($B150,CPY!$B:$G,2,FALSE))=TRUE," ",VLOOKUP($B150,CPY!$B:$G,2,FALSE))</f>
        <v> </v>
      </c>
      <c r="D150" s="50" t="str">
        <f>IF(ISNA(VLOOKUP($B150,CPY!$B:$G,3,FALSE))=TRUE," ",VLOOKUP($B150,CPY!$B:$G,3,FALSE))</f>
        <v> </v>
      </c>
      <c r="E150" s="65" t="str">
        <f>IF(ISNA(VLOOKUP($B150,CPY!$B:$G,4,FALSE))=TRUE," ",VLOOKUP($B150,CPY!$B:$G,4,FALSE))</f>
        <v> </v>
      </c>
      <c r="F150" s="62"/>
      <c r="G150" s="70"/>
      <c r="H150" s="62"/>
    </row>
    <row r="151" spans="1:8" x14ac:dyDescent="0.25">
      <c r="A151" s="62">
        <v>150</v>
      </c>
      <c r="B151" s="62"/>
      <c r="C151" s="68" t="str">
        <f>IF(ISNA(VLOOKUP($B151,CPY!$B:$G,2,FALSE))=TRUE," ",VLOOKUP($B151,CPY!$B:$G,2,FALSE))</f>
        <v> </v>
      </c>
      <c r="D151" s="50" t="str">
        <f>IF(ISNA(VLOOKUP($B151,CPY!$B:$G,3,FALSE))=TRUE," ",VLOOKUP($B151,CPY!$B:$G,3,FALSE))</f>
        <v> </v>
      </c>
      <c r="E151" s="65" t="str">
        <f>IF(ISNA(VLOOKUP($B151,CPY!$B:$G,4,FALSE))=TRUE," ",VLOOKUP($B151,CPY!$B:$G,4,FALSE))</f>
        <v> </v>
      </c>
      <c r="F151" s="62"/>
      <c r="G151" s="70"/>
      <c r="H151" s="62"/>
    </row>
    <row r="152" spans="1:8" x14ac:dyDescent="0.25">
      <c r="A152" s="62">
        <v>151</v>
      </c>
      <c r="B152" s="62"/>
      <c r="C152" s="68" t="str">
        <f>IF(ISNA(VLOOKUP($B152,CPY!$B:$G,2,FALSE))=TRUE," ",VLOOKUP($B152,CPY!$B:$G,2,FALSE))</f>
        <v> </v>
      </c>
      <c r="D152" s="50" t="str">
        <f>IF(ISNA(VLOOKUP($B152,CPY!$B:$G,3,FALSE))=TRUE," ",VLOOKUP($B152,CPY!$B:$G,3,FALSE))</f>
        <v> </v>
      </c>
      <c r="E152" s="65" t="str">
        <f>IF(ISNA(VLOOKUP($B152,CPY!$B:$G,4,FALSE))=TRUE," ",VLOOKUP($B152,CPY!$B:$G,4,FALSE))</f>
        <v> </v>
      </c>
      <c r="F152" s="62"/>
      <c r="G152" s="70"/>
      <c r="H152" s="62"/>
    </row>
    <row r="153" spans="1:8" x14ac:dyDescent="0.25">
      <c r="A153" s="62">
        <v>152</v>
      </c>
      <c r="B153" s="62"/>
      <c r="C153" s="68" t="str">
        <f>IF(ISNA(VLOOKUP($B153,CPY!$B:$G,2,FALSE))=TRUE," ",VLOOKUP($B153,CPY!$B:$G,2,FALSE))</f>
        <v> </v>
      </c>
      <c r="D153" s="50" t="str">
        <f>IF(ISNA(VLOOKUP($B153,CPY!$B:$G,3,FALSE))=TRUE," ",VLOOKUP($B153,CPY!$B:$G,3,FALSE))</f>
        <v> </v>
      </c>
      <c r="E153" s="65" t="str">
        <f>IF(ISNA(VLOOKUP($B153,CPY!$B:$G,4,FALSE))=TRUE," ",VLOOKUP($B153,CPY!$B:$G,4,FALSE))</f>
        <v> </v>
      </c>
      <c r="F153" s="62"/>
      <c r="G153" s="70"/>
      <c r="H153" s="62"/>
    </row>
    <row r="154" spans="1:8" x14ac:dyDescent="0.25">
      <c r="A154" s="62">
        <v>153</v>
      </c>
      <c r="B154" s="62"/>
      <c r="C154" s="68" t="str">
        <f>IF(ISNA(VLOOKUP($B154,CPY!$B:$G,2,FALSE))=TRUE," ",VLOOKUP($B154,CPY!$B:$G,2,FALSE))</f>
        <v> </v>
      </c>
      <c r="D154" s="50" t="str">
        <f>IF(ISNA(VLOOKUP($B154,CPY!$B:$G,3,FALSE))=TRUE," ",VLOOKUP($B154,CPY!$B:$G,3,FALSE))</f>
        <v> </v>
      </c>
      <c r="E154" s="65" t="str">
        <f>IF(ISNA(VLOOKUP($B154,CPY!$B:$G,4,FALSE))=TRUE," ",VLOOKUP($B154,CPY!$B:$G,4,FALSE))</f>
        <v> </v>
      </c>
      <c r="F154" s="62"/>
      <c r="G154" s="70"/>
      <c r="H154" s="62"/>
    </row>
    <row r="155" spans="1:8" x14ac:dyDescent="0.25">
      <c r="A155" s="62">
        <v>154</v>
      </c>
      <c r="B155" s="62"/>
      <c r="C155" s="68" t="str">
        <f>IF(ISNA(VLOOKUP($B155,CPY!$B:$G,2,FALSE))=TRUE," ",VLOOKUP($B155,CPY!$B:$G,2,FALSE))</f>
        <v> </v>
      </c>
      <c r="D155" s="50" t="str">
        <f>IF(ISNA(VLOOKUP($B155,CPY!$B:$G,3,FALSE))=TRUE," ",VLOOKUP($B155,CPY!$B:$G,3,FALSE))</f>
        <v> </v>
      </c>
      <c r="E155" s="65" t="str">
        <f>IF(ISNA(VLOOKUP($B155,CPY!$B:$G,4,FALSE))=TRUE," ",VLOOKUP($B155,CPY!$B:$G,4,FALSE))</f>
        <v> </v>
      </c>
      <c r="F155" s="62"/>
      <c r="G155" s="70"/>
      <c r="H155" s="62"/>
    </row>
    <row r="156" spans="1:8" x14ac:dyDescent="0.25">
      <c r="A156" s="62">
        <v>155</v>
      </c>
      <c r="B156" s="62"/>
      <c r="C156" s="68" t="str">
        <f>IF(ISNA(VLOOKUP($B156,CPY!$B:$G,2,FALSE))=TRUE," ",VLOOKUP($B156,CPY!$B:$G,2,FALSE))</f>
        <v> </v>
      </c>
      <c r="D156" s="50" t="str">
        <f>IF(ISNA(VLOOKUP($B156,CPY!$B:$G,3,FALSE))=TRUE," ",VLOOKUP($B156,CPY!$B:$G,3,FALSE))</f>
        <v> </v>
      </c>
      <c r="E156" s="65" t="str">
        <f>IF(ISNA(VLOOKUP($B156,CPY!$B:$G,4,FALSE))=TRUE," ",VLOOKUP($B156,CPY!$B:$G,4,FALSE))</f>
        <v> </v>
      </c>
      <c r="F156" s="62"/>
      <c r="G156" s="70"/>
      <c r="H156" s="62"/>
    </row>
    <row r="157" spans="1:8" x14ac:dyDescent="0.25">
      <c r="A157" s="62">
        <v>156</v>
      </c>
      <c r="B157" s="62"/>
      <c r="C157" s="68" t="str">
        <f>IF(ISNA(VLOOKUP($B157,CPY!$B:$G,2,FALSE))=TRUE," ",VLOOKUP($B157,CPY!$B:$G,2,FALSE))</f>
        <v> </v>
      </c>
      <c r="D157" s="50" t="str">
        <f>IF(ISNA(VLOOKUP($B157,CPY!$B:$G,3,FALSE))=TRUE," ",VLOOKUP($B157,CPY!$B:$G,3,FALSE))</f>
        <v> </v>
      </c>
      <c r="E157" s="65" t="str">
        <f>IF(ISNA(VLOOKUP($B157,CPY!$B:$G,4,FALSE))=TRUE," ",VLOOKUP($B157,CPY!$B:$G,4,FALSE))</f>
        <v> </v>
      </c>
      <c r="F157" s="62"/>
      <c r="G157" s="70"/>
      <c r="H157" s="62"/>
    </row>
    <row r="158" spans="1:8" x14ac:dyDescent="0.25">
      <c r="A158" s="62">
        <v>157</v>
      </c>
      <c r="B158" s="62"/>
      <c r="C158" s="68" t="str">
        <f>IF(ISNA(VLOOKUP($B158,CPY!$B:$G,2,FALSE))=TRUE," ",VLOOKUP($B158,CPY!$B:$G,2,FALSE))</f>
        <v> </v>
      </c>
      <c r="D158" s="50" t="str">
        <f>IF(ISNA(VLOOKUP($B158,CPY!$B:$G,3,FALSE))=TRUE," ",VLOOKUP($B158,CPY!$B:$G,3,FALSE))</f>
        <v> </v>
      </c>
      <c r="E158" s="65" t="str">
        <f>IF(ISNA(VLOOKUP($B158,CPY!$B:$G,4,FALSE))=TRUE," ",VLOOKUP($B158,CPY!$B:$G,4,FALSE))</f>
        <v> </v>
      </c>
      <c r="F158" s="62"/>
      <c r="G158" s="70"/>
      <c r="H158" s="62"/>
    </row>
    <row r="159" spans="1:8" x14ac:dyDescent="0.25">
      <c r="A159" s="62">
        <v>158</v>
      </c>
      <c r="B159" s="62"/>
      <c r="C159" s="68" t="str">
        <f>IF(ISNA(VLOOKUP($B159,CPY!$B:$G,2,FALSE))=TRUE," ",VLOOKUP($B159,CPY!$B:$G,2,FALSE))</f>
        <v> </v>
      </c>
      <c r="D159" s="50" t="str">
        <f>IF(ISNA(VLOOKUP($B159,CPY!$B:$G,3,FALSE))=TRUE," ",VLOOKUP($B159,CPY!$B:$G,3,FALSE))</f>
        <v> </v>
      </c>
      <c r="E159" s="65" t="str">
        <f>IF(ISNA(VLOOKUP($B159,CPY!$B:$G,4,FALSE))=TRUE," ",VLOOKUP($B159,CPY!$B:$G,4,FALSE))</f>
        <v> </v>
      </c>
      <c r="F159" s="62"/>
      <c r="G159" s="70"/>
      <c r="H159" s="62"/>
    </row>
    <row r="160" spans="1:8" x14ac:dyDescent="0.25">
      <c r="A160" s="62">
        <v>159</v>
      </c>
      <c r="B160" s="62"/>
      <c r="C160" s="68" t="str">
        <f>IF(ISNA(VLOOKUP($B160,CPY!$B:$G,2,FALSE))=TRUE," ",VLOOKUP($B160,CPY!$B:$G,2,FALSE))</f>
        <v> </v>
      </c>
      <c r="D160" s="50" t="str">
        <f>IF(ISNA(VLOOKUP($B160,CPY!$B:$G,3,FALSE))=TRUE," ",VLOOKUP($B160,CPY!$B:$G,3,FALSE))</f>
        <v> </v>
      </c>
      <c r="E160" s="65" t="str">
        <f>IF(ISNA(VLOOKUP($B160,CPY!$B:$G,4,FALSE))=TRUE," ",VLOOKUP($B160,CPY!$B:$G,4,FALSE))</f>
        <v> </v>
      </c>
      <c r="F160" s="62"/>
      <c r="G160" s="70"/>
      <c r="H160" s="62"/>
    </row>
    <row r="161" spans="1:8" x14ac:dyDescent="0.25">
      <c r="A161" s="62">
        <v>160</v>
      </c>
      <c r="B161" s="62"/>
      <c r="C161" s="68" t="str">
        <f>IF(ISNA(VLOOKUP($B161,CPY!$B:$G,2,FALSE))=TRUE," ",VLOOKUP($B161,CPY!$B:$G,2,FALSE))</f>
        <v> </v>
      </c>
      <c r="D161" s="50" t="str">
        <f>IF(ISNA(VLOOKUP($B161,CPY!$B:$G,3,FALSE))=TRUE," ",VLOOKUP($B161,CPY!$B:$G,3,FALSE))</f>
        <v> </v>
      </c>
      <c r="E161" s="65" t="str">
        <f>IF(ISNA(VLOOKUP($B161,CPY!$B:$G,4,FALSE))=TRUE," ",VLOOKUP($B161,CPY!$B:$G,4,FALSE))</f>
        <v> </v>
      </c>
      <c r="F161" s="62"/>
      <c r="G161" s="70"/>
      <c r="H161" s="62"/>
    </row>
    <row r="162" spans="1:8" x14ac:dyDescent="0.25">
      <c r="A162" s="62">
        <v>161</v>
      </c>
      <c r="B162" s="62"/>
      <c r="C162" s="68" t="str">
        <f>IF(ISNA(VLOOKUP($B162,CPY!$B:$G,2,FALSE))=TRUE," ",VLOOKUP($B162,CPY!$B:$G,2,FALSE))</f>
        <v> </v>
      </c>
      <c r="D162" s="50" t="str">
        <f>IF(ISNA(VLOOKUP($B162,CPY!$B:$G,3,FALSE))=TRUE," ",VLOOKUP($B162,CPY!$B:$G,3,FALSE))</f>
        <v> </v>
      </c>
      <c r="E162" s="65" t="str">
        <f>IF(ISNA(VLOOKUP($B162,CPY!$B:$G,4,FALSE))=TRUE," ",VLOOKUP($B162,CPY!$B:$G,4,FALSE))</f>
        <v> </v>
      </c>
      <c r="F162" s="62"/>
      <c r="G162" s="70"/>
      <c r="H162" s="62"/>
    </row>
    <row r="163" spans="1:8" x14ac:dyDescent="0.25">
      <c r="A163" s="62">
        <v>162</v>
      </c>
      <c r="B163" s="62"/>
      <c r="C163" s="68" t="str">
        <f>IF(ISNA(VLOOKUP($B163,CPY!$B:$G,2,FALSE))=TRUE," ",VLOOKUP($B163,CPY!$B:$G,2,FALSE))</f>
        <v> </v>
      </c>
      <c r="D163" s="50" t="str">
        <f>IF(ISNA(VLOOKUP($B163,CPY!$B:$G,3,FALSE))=TRUE," ",VLOOKUP($B163,CPY!$B:$G,3,FALSE))</f>
        <v> </v>
      </c>
      <c r="E163" s="65" t="str">
        <f>IF(ISNA(VLOOKUP($B163,CPY!$B:$G,4,FALSE))=TRUE," ",VLOOKUP($B163,CPY!$B:$G,4,FALSE))</f>
        <v> </v>
      </c>
      <c r="F163" s="62"/>
      <c r="G163" s="70"/>
      <c r="H163" s="62"/>
    </row>
    <row r="164" spans="1:8" x14ac:dyDescent="0.25">
      <c r="A164" s="62">
        <v>163</v>
      </c>
      <c r="B164" s="62"/>
      <c r="C164" s="68" t="str">
        <f>IF(ISNA(VLOOKUP($B164,CPY!$B:$G,2,FALSE))=TRUE," ",VLOOKUP($B164,CPY!$B:$G,2,FALSE))</f>
        <v> </v>
      </c>
      <c r="D164" s="50" t="str">
        <f>IF(ISNA(VLOOKUP($B164,CPY!$B:$G,3,FALSE))=TRUE," ",VLOOKUP($B164,CPY!$B:$G,3,FALSE))</f>
        <v> </v>
      </c>
      <c r="E164" s="65" t="str">
        <f>IF(ISNA(VLOOKUP($B164,CPY!$B:$G,4,FALSE))=TRUE," ",VLOOKUP($B164,CPY!$B:$G,4,FALSE))</f>
        <v> </v>
      </c>
      <c r="F164" s="62"/>
      <c r="G164" s="70"/>
      <c r="H164" s="62"/>
    </row>
    <row r="165" spans="1:8" x14ac:dyDescent="0.25">
      <c r="A165" s="62">
        <v>164</v>
      </c>
      <c r="B165" s="62"/>
      <c r="C165" s="68" t="str">
        <f>IF(ISNA(VLOOKUP($B165,CPY!$B:$G,2,FALSE))=TRUE," ",VLOOKUP($B165,CPY!$B:$G,2,FALSE))</f>
        <v> </v>
      </c>
      <c r="D165" s="50" t="str">
        <f>IF(ISNA(VLOOKUP($B165,CPY!$B:$G,3,FALSE))=TRUE," ",VLOOKUP($B165,CPY!$B:$G,3,FALSE))</f>
        <v> </v>
      </c>
      <c r="E165" s="65" t="str">
        <f>IF(ISNA(VLOOKUP($B165,CPY!$B:$G,4,FALSE))=TRUE," ",VLOOKUP($B165,CPY!$B:$G,4,FALSE))</f>
        <v> </v>
      </c>
      <c r="F165" s="62"/>
      <c r="G165" s="70"/>
      <c r="H165" s="62"/>
    </row>
    <row r="166" spans="1:8" x14ac:dyDescent="0.25">
      <c r="A166" s="62">
        <v>165</v>
      </c>
      <c r="B166" s="62"/>
      <c r="C166" s="68" t="str">
        <f>IF(ISNA(VLOOKUP($B166,CPY!$B:$G,2,FALSE))=TRUE," ",VLOOKUP($B166,CPY!$B:$G,2,FALSE))</f>
        <v> </v>
      </c>
      <c r="D166" s="50" t="str">
        <f>IF(ISNA(VLOOKUP($B166,CPY!$B:$G,3,FALSE))=TRUE," ",VLOOKUP($B166,CPY!$B:$G,3,FALSE))</f>
        <v> </v>
      </c>
      <c r="E166" s="65" t="str">
        <f>IF(ISNA(VLOOKUP($B166,CPY!$B:$G,4,FALSE))=TRUE," ",VLOOKUP($B166,CPY!$B:$G,4,FALSE))</f>
        <v> </v>
      </c>
      <c r="F166" s="62"/>
      <c r="G166" s="70"/>
      <c r="H166" s="62"/>
    </row>
    <row r="167" spans="1:8" x14ac:dyDescent="0.25">
      <c r="A167" s="62">
        <v>166</v>
      </c>
      <c r="B167" s="62"/>
      <c r="C167" s="68" t="str">
        <f>IF(ISNA(VLOOKUP($B167,CPY!$B:$G,2,FALSE))=TRUE," ",VLOOKUP($B167,CPY!$B:$G,2,FALSE))</f>
        <v> </v>
      </c>
      <c r="D167" s="50" t="str">
        <f>IF(ISNA(VLOOKUP($B167,CPY!$B:$G,3,FALSE))=TRUE," ",VLOOKUP($B167,CPY!$B:$G,3,FALSE))</f>
        <v> </v>
      </c>
      <c r="E167" s="65" t="str">
        <f>IF(ISNA(VLOOKUP($B167,CPY!$B:$G,4,FALSE))=TRUE," ",VLOOKUP($B167,CPY!$B:$G,4,FALSE))</f>
        <v> </v>
      </c>
      <c r="F167" s="62"/>
      <c r="G167" s="70"/>
      <c r="H167" s="62"/>
    </row>
    <row r="168" spans="1:8" x14ac:dyDescent="0.25">
      <c r="A168" s="62">
        <v>167</v>
      </c>
      <c r="B168" s="62"/>
      <c r="C168" s="68" t="str">
        <f>IF(ISNA(VLOOKUP($B168,CPY!$B:$G,2,FALSE))=TRUE," ",VLOOKUP($B168,CPY!$B:$G,2,FALSE))</f>
        <v> </v>
      </c>
      <c r="D168" s="50" t="str">
        <f>IF(ISNA(VLOOKUP($B168,CPY!$B:$G,3,FALSE))=TRUE," ",VLOOKUP($B168,CPY!$B:$G,3,FALSE))</f>
        <v> </v>
      </c>
      <c r="E168" s="65" t="str">
        <f>IF(ISNA(VLOOKUP($B168,CPY!$B:$G,4,FALSE))=TRUE," ",VLOOKUP($B168,CPY!$B:$G,4,FALSE))</f>
        <v> </v>
      </c>
      <c r="F168" s="62"/>
      <c r="G168" s="70"/>
      <c r="H168" s="62"/>
    </row>
    <row r="169" spans="1:8" x14ac:dyDescent="0.25">
      <c r="A169" s="62">
        <v>168</v>
      </c>
      <c r="B169" s="62"/>
      <c r="C169" s="68" t="str">
        <f>IF(ISNA(VLOOKUP($B169,CPY!$B:$G,2,FALSE))=TRUE," ",VLOOKUP($B169,CPY!$B:$G,2,FALSE))</f>
        <v> </v>
      </c>
      <c r="D169" s="50" t="str">
        <f>IF(ISNA(VLOOKUP($B169,CPY!$B:$G,3,FALSE))=TRUE," ",VLOOKUP($B169,CPY!$B:$G,3,FALSE))</f>
        <v> </v>
      </c>
      <c r="E169" s="65" t="str">
        <f>IF(ISNA(VLOOKUP($B169,CPY!$B:$G,4,FALSE))=TRUE," ",VLOOKUP($B169,CPY!$B:$G,4,FALSE))</f>
        <v> </v>
      </c>
      <c r="F169" s="62"/>
      <c r="G169" s="70"/>
      <c r="H169" s="62"/>
    </row>
    <row r="170" spans="1:8" x14ac:dyDescent="0.25">
      <c r="A170" s="62">
        <v>169</v>
      </c>
      <c r="B170" s="62"/>
      <c r="C170" s="68" t="str">
        <f>IF(ISNA(VLOOKUP($B170,CPY!$B:$G,2,FALSE))=TRUE," ",VLOOKUP($B170,CPY!$B:$G,2,FALSE))</f>
        <v> </v>
      </c>
      <c r="D170" s="50" t="str">
        <f>IF(ISNA(VLOOKUP($B170,CPY!$B:$G,3,FALSE))=TRUE," ",VLOOKUP($B170,CPY!$B:$G,3,FALSE))</f>
        <v> </v>
      </c>
      <c r="E170" s="65" t="str">
        <f>IF(ISNA(VLOOKUP($B170,CPY!$B:$G,4,FALSE))=TRUE," ",VLOOKUP($B170,CPY!$B:$G,4,FALSE))</f>
        <v> </v>
      </c>
      <c r="F170" s="62"/>
      <c r="G170" s="70"/>
      <c r="H170" s="62"/>
    </row>
    <row r="171" spans="1:8" x14ac:dyDescent="0.25">
      <c r="A171" s="62">
        <v>170</v>
      </c>
      <c r="B171" s="62"/>
      <c r="C171" s="68" t="str">
        <f>IF(ISNA(VLOOKUP($B171,CPY!$B:$G,2,FALSE))=TRUE," ",VLOOKUP($B171,CPY!$B:$G,2,FALSE))</f>
        <v> </v>
      </c>
      <c r="D171" s="50" t="str">
        <f>IF(ISNA(VLOOKUP($B171,CPY!$B:$G,3,FALSE))=TRUE," ",VLOOKUP($B171,CPY!$B:$G,3,FALSE))</f>
        <v> </v>
      </c>
      <c r="E171" s="65" t="str">
        <f>IF(ISNA(VLOOKUP($B171,CPY!$B:$G,4,FALSE))=TRUE," ",VLOOKUP($B171,CPY!$B:$G,4,FALSE))</f>
        <v> </v>
      </c>
      <c r="F171" s="62"/>
      <c r="G171" s="70"/>
      <c r="H171" s="62"/>
    </row>
    <row r="172" spans="1:8" x14ac:dyDescent="0.25">
      <c r="A172" s="62">
        <v>171</v>
      </c>
      <c r="B172" s="62"/>
      <c r="C172" s="68" t="str">
        <f>IF(ISNA(VLOOKUP($B172,CPY!$B:$G,2,FALSE))=TRUE," ",VLOOKUP($B172,CPY!$B:$G,2,FALSE))</f>
        <v> </v>
      </c>
      <c r="D172" s="50" t="str">
        <f>IF(ISNA(VLOOKUP($B172,CPY!$B:$G,3,FALSE))=TRUE," ",VLOOKUP($B172,CPY!$B:$G,3,FALSE))</f>
        <v> </v>
      </c>
      <c r="E172" s="65" t="str">
        <f>IF(ISNA(VLOOKUP($B172,CPY!$B:$G,4,FALSE))=TRUE," ",VLOOKUP($B172,CPY!$B:$G,4,FALSE))</f>
        <v> </v>
      </c>
      <c r="F172" s="62"/>
      <c r="G172" s="70"/>
      <c r="H172" s="62"/>
    </row>
    <row r="173" spans="1:8" x14ac:dyDescent="0.25">
      <c r="A173" s="62">
        <v>172</v>
      </c>
      <c r="B173" s="62"/>
      <c r="C173" s="68" t="str">
        <f>IF(ISNA(VLOOKUP($B173,CPY!$B:$G,2,FALSE))=TRUE," ",VLOOKUP($B173,CPY!$B:$G,2,FALSE))</f>
        <v> </v>
      </c>
      <c r="D173" s="50" t="str">
        <f>IF(ISNA(VLOOKUP($B173,CPY!$B:$G,3,FALSE))=TRUE," ",VLOOKUP($B173,CPY!$B:$G,3,FALSE))</f>
        <v> </v>
      </c>
      <c r="E173" s="65" t="str">
        <f>IF(ISNA(VLOOKUP($B173,CPY!$B:$G,4,FALSE))=TRUE," ",VLOOKUP($B173,CPY!$B:$G,4,FALSE))</f>
        <v> </v>
      </c>
      <c r="F173" s="62"/>
      <c r="G173" s="70"/>
      <c r="H173" s="62"/>
    </row>
    <row r="174" spans="1:8" x14ac:dyDescent="0.25">
      <c r="A174" s="62">
        <v>173</v>
      </c>
      <c r="B174" s="62"/>
      <c r="C174" s="68" t="str">
        <f>IF(ISNA(VLOOKUP($B174,CPY!$B:$G,2,FALSE))=TRUE," ",VLOOKUP($B174,CPY!$B:$G,2,FALSE))</f>
        <v> </v>
      </c>
      <c r="D174" s="50" t="str">
        <f>IF(ISNA(VLOOKUP($B174,CPY!$B:$G,3,FALSE))=TRUE," ",VLOOKUP($B174,CPY!$B:$G,3,FALSE))</f>
        <v> </v>
      </c>
      <c r="E174" s="65" t="str">
        <f>IF(ISNA(VLOOKUP($B174,CPY!$B:$G,4,FALSE))=TRUE," ",VLOOKUP($B174,CPY!$B:$G,4,FALSE))</f>
        <v> </v>
      </c>
      <c r="F174" s="62"/>
      <c r="G174" s="70"/>
      <c r="H174" s="62"/>
    </row>
    <row r="175" spans="1:8" x14ac:dyDescent="0.25">
      <c r="A175" s="62">
        <v>174</v>
      </c>
      <c r="B175" s="62"/>
      <c r="C175" s="68" t="str">
        <f>IF(ISNA(VLOOKUP($B175,CPY!$B:$G,2,FALSE))=TRUE," ",VLOOKUP($B175,CPY!$B:$G,2,FALSE))</f>
        <v> </v>
      </c>
      <c r="D175" s="50" t="str">
        <f>IF(ISNA(VLOOKUP($B175,CPY!$B:$G,3,FALSE))=TRUE," ",VLOOKUP($B175,CPY!$B:$G,3,FALSE))</f>
        <v> </v>
      </c>
      <c r="E175" s="65" t="str">
        <f>IF(ISNA(VLOOKUP($B175,CPY!$B:$G,4,FALSE))=TRUE," ",VLOOKUP($B175,CPY!$B:$G,4,FALSE))</f>
        <v> </v>
      </c>
      <c r="F175" s="62"/>
      <c r="G175" s="70"/>
      <c r="H175" s="62"/>
    </row>
    <row r="176" spans="1:8" x14ac:dyDescent="0.25">
      <c r="A176" s="62">
        <v>175</v>
      </c>
      <c r="B176" s="62"/>
      <c r="C176" s="68" t="str">
        <f>IF(ISNA(VLOOKUP($B176,CPY!$B:$G,2,FALSE))=TRUE," ",VLOOKUP($B176,CPY!$B:$G,2,FALSE))</f>
        <v> </v>
      </c>
      <c r="D176" s="50" t="str">
        <f>IF(ISNA(VLOOKUP($B176,CPY!$B:$G,3,FALSE))=TRUE," ",VLOOKUP($B176,CPY!$B:$G,3,FALSE))</f>
        <v> </v>
      </c>
      <c r="E176" s="65" t="str">
        <f>IF(ISNA(VLOOKUP($B176,CPY!$B:$G,4,FALSE))=TRUE," ",VLOOKUP($B176,CPY!$B:$G,4,FALSE))</f>
        <v> </v>
      </c>
      <c r="F176" s="62"/>
      <c r="G176" s="70"/>
      <c r="H176" s="62"/>
    </row>
    <row r="177" spans="1:8" x14ac:dyDescent="0.25">
      <c r="A177" s="62">
        <v>176</v>
      </c>
      <c r="B177" s="62"/>
      <c r="C177" s="68" t="str">
        <f>IF(ISNA(VLOOKUP($B177,CPY!$B:$G,2,FALSE))=TRUE," ",VLOOKUP($B177,CPY!$B:$G,2,FALSE))</f>
        <v> </v>
      </c>
      <c r="D177" s="50" t="str">
        <f>IF(ISNA(VLOOKUP($B177,CPY!$B:$G,3,FALSE))=TRUE," ",VLOOKUP($B177,CPY!$B:$G,3,FALSE))</f>
        <v> </v>
      </c>
      <c r="E177" s="65" t="str">
        <f>IF(ISNA(VLOOKUP($B177,CPY!$B:$G,4,FALSE))=TRUE," ",VLOOKUP($B177,CPY!$B:$G,4,FALSE))</f>
        <v> </v>
      </c>
      <c r="F177" s="62"/>
      <c r="G177" s="70"/>
      <c r="H177" s="62"/>
    </row>
    <row r="178" spans="1:8" x14ac:dyDescent="0.25">
      <c r="A178" s="62">
        <v>177</v>
      </c>
      <c r="B178" s="62"/>
      <c r="C178" s="68" t="str">
        <f>IF(ISNA(VLOOKUP($B178,CPY!$B:$G,2,FALSE))=TRUE," ",VLOOKUP($B178,CPY!$B:$G,2,FALSE))</f>
        <v> </v>
      </c>
      <c r="D178" s="50" t="str">
        <f>IF(ISNA(VLOOKUP($B178,CPY!$B:$G,3,FALSE))=TRUE," ",VLOOKUP($B178,CPY!$B:$G,3,FALSE))</f>
        <v> </v>
      </c>
      <c r="E178" s="65" t="str">
        <f>IF(ISNA(VLOOKUP($B178,CPY!$B:$G,4,FALSE))=TRUE," ",VLOOKUP($B178,CPY!$B:$G,4,FALSE))</f>
        <v> </v>
      </c>
      <c r="F178" s="62"/>
      <c r="G178" s="70"/>
      <c r="H178" s="62"/>
    </row>
    <row r="179" spans="1:8" x14ac:dyDescent="0.25">
      <c r="A179" s="62">
        <v>178</v>
      </c>
      <c r="B179" s="62"/>
      <c r="C179" s="68" t="str">
        <f>IF(ISNA(VLOOKUP($B179,CPY!$B:$G,2,FALSE))=TRUE," ",VLOOKUP($B179,CPY!$B:$G,2,FALSE))</f>
        <v> </v>
      </c>
      <c r="D179" s="50" t="str">
        <f>IF(ISNA(VLOOKUP($B179,CPY!$B:$G,3,FALSE))=TRUE," ",VLOOKUP($B179,CPY!$B:$G,3,FALSE))</f>
        <v> </v>
      </c>
      <c r="E179" s="65" t="str">
        <f>IF(ISNA(VLOOKUP($B179,CPY!$B:$G,4,FALSE))=TRUE," ",VLOOKUP($B179,CPY!$B:$G,4,FALSE))</f>
        <v> </v>
      </c>
      <c r="F179" s="62"/>
      <c r="G179" s="70"/>
      <c r="H179" s="62"/>
    </row>
    <row r="180" spans="1:8" x14ac:dyDescent="0.25">
      <c r="A180" s="62">
        <v>179</v>
      </c>
      <c r="B180" s="62"/>
      <c r="C180" s="68" t="str">
        <f>IF(ISNA(VLOOKUP($B180,CPY!$B:$G,2,FALSE))=TRUE," ",VLOOKUP($B180,CPY!$B:$G,2,FALSE))</f>
        <v> </v>
      </c>
      <c r="D180" s="50" t="str">
        <f>IF(ISNA(VLOOKUP($B180,CPY!$B:$G,3,FALSE))=TRUE," ",VLOOKUP($B180,CPY!$B:$G,3,FALSE))</f>
        <v> </v>
      </c>
      <c r="E180" s="65" t="str">
        <f>IF(ISNA(VLOOKUP($B180,CPY!$B:$G,4,FALSE))=TRUE," ",VLOOKUP($B180,CPY!$B:$G,4,FALSE))</f>
        <v> </v>
      </c>
      <c r="F180" s="62"/>
      <c r="G180" s="70"/>
      <c r="H180" s="62"/>
    </row>
    <row r="181" spans="1:8" x14ac:dyDescent="0.25">
      <c r="A181" s="62">
        <v>180</v>
      </c>
      <c r="B181" s="62"/>
      <c r="C181" s="68" t="str">
        <f>IF(ISNA(VLOOKUP($B181,CPY!$B:$G,2,FALSE))=TRUE," ",VLOOKUP($B181,CPY!$B:$G,2,FALSE))</f>
        <v> </v>
      </c>
      <c r="D181" s="50" t="str">
        <f>IF(ISNA(VLOOKUP($B181,CPY!$B:$G,3,FALSE))=TRUE," ",VLOOKUP($B181,CPY!$B:$G,3,FALSE))</f>
        <v> </v>
      </c>
      <c r="E181" s="65" t="str">
        <f>IF(ISNA(VLOOKUP($B181,CPY!$B:$G,4,FALSE))=TRUE," ",VLOOKUP($B181,CPY!$B:$G,4,FALSE))</f>
        <v> </v>
      </c>
      <c r="F181" s="62"/>
      <c r="G181" s="70"/>
      <c r="H181" s="62"/>
    </row>
    <row r="182" spans="1:8" x14ac:dyDescent="0.25">
      <c r="A182" s="62">
        <v>181</v>
      </c>
      <c r="B182" s="62"/>
      <c r="C182" s="68" t="str">
        <f>IF(ISNA(VLOOKUP($B182,CPY!$B:$G,2,FALSE))=TRUE," ",VLOOKUP($B182,CPY!$B:$G,2,FALSE))</f>
        <v> </v>
      </c>
      <c r="D182" s="50" t="str">
        <f>IF(ISNA(VLOOKUP($B182,CPY!$B:$G,3,FALSE))=TRUE," ",VLOOKUP($B182,CPY!$B:$G,3,FALSE))</f>
        <v> </v>
      </c>
      <c r="E182" s="65" t="str">
        <f>IF(ISNA(VLOOKUP($B182,CPY!$B:$G,4,FALSE))=TRUE," ",VLOOKUP($B182,CPY!$B:$G,4,FALSE))</f>
        <v> </v>
      </c>
      <c r="F182" s="62"/>
      <c r="G182" s="70"/>
      <c r="H182" s="62"/>
    </row>
    <row r="183" spans="1:8" x14ac:dyDescent="0.25">
      <c r="A183" s="62">
        <v>182</v>
      </c>
      <c r="B183" s="62"/>
      <c r="C183" s="68" t="str">
        <f>IF(ISNA(VLOOKUP($B183,CPY!$B:$G,2,FALSE))=TRUE," ",VLOOKUP($B183,CPY!$B:$G,2,FALSE))</f>
        <v> </v>
      </c>
      <c r="D183" s="50" t="str">
        <f>IF(ISNA(VLOOKUP($B183,CPY!$B:$G,3,FALSE))=TRUE," ",VLOOKUP($B183,CPY!$B:$G,3,FALSE))</f>
        <v> </v>
      </c>
      <c r="E183" s="65" t="str">
        <f>IF(ISNA(VLOOKUP($B183,CPY!$B:$G,4,FALSE))=TRUE," ",VLOOKUP($B183,CPY!$B:$G,4,FALSE))</f>
        <v> </v>
      </c>
      <c r="F183" s="62"/>
      <c r="G183" s="70"/>
      <c r="H183" s="62"/>
    </row>
    <row r="184" spans="1:8" x14ac:dyDescent="0.25">
      <c r="A184" s="62">
        <v>183</v>
      </c>
      <c r="B184" s="62"/>
      <c r="C184" s="68" t="str">
        <f>IF(ISNA(VLOOKUP($B184,CPY!$B:$G,2,FALSE))=TRUE," ",VLOOKUP($B184,CPY!$B:$G,2,FALSE))</f>
        <v> </v>
      </c>
      <c r="D184" s="50" t="str">
        <f>IF(ISNA(VLOOKUP($B184,CPY!$B:$G,3,FALSE))=TRUE," ",VLOOKUP($B184,CPY!$B:$G,3,FALSE))</f>
        <v> </v>
      </c>
      <c r="E184" s="65" t="str">
        <f>IF(ISNA(VLOOKUP($B184,CPY!$B:$G,4,FALSE))=TRUE," ",VLOOKUP($B184,CPY!$B:$G,4,FALSE))</f>
        <v> </v>
      </c>
      <c r="F184" s="62"/>
      <c r="G184" s="70"/>
      <c r="H184" s="62"/>
    </row>
    <row r="185" spans="1:8" x14ac:dyDescent="0.25">
      <c r="A185" s="62">
        <v>184</v>
      </c>
      <c r="B185" s="62"/>
      <c r="C185" s="68" t="str">
        <f>IF(ISNA(VLOOKUP($B185,CPY!$B:$G,2,FALSE))=TRUE," ",VLOOKUP($B185,CPY!$B:$G,2,FALSE))</f>
        <v> </v>
      </c>
      <c r="D185" s="50" t="str">
        <f>IF(ISNA(VLOOKUP($B185,CPY!$B:$G,3,FALSE))=TRUE," ",VLOOKUP($B185,CPY!$B:$G,3,FALSE))</f>
        <v> </v>
      </c>
      <c r="E185" s="65" t="str">
        <f>IF(ISNA(VLOOKUP($B185,CPY!$B:$G,4,FALSE))=TRUE," ",VLOOKUP($B185,CPY!$B:$G,4,FALSE))</f>
        <v> </v>
      </c>
      <c r="F185" s="62"/>
      <c r="G185" s="70"/>
      <c r="H185" s="62"/>
    </row>
    <row r="186" spans="1:8" x14ac:dyDescent="0.25">
      <c r="A186" s="62">
        <v>185</v>
      </c>
      <c r="B186" s="62"/>
      <c r="C186" s="68" t="str">
        <f>IF(ISNA(VLOOKUP($B186,CPY!$B:$G,2,FALSE))=TRUE," ",VLOOKUP($B186,CPY!$B:$G,2,FALSE))</f>
        <v> </v>
      </c>
      <c r="D186" s="50" t="str">
        <f>IF(ISNA(VLOOKUP($B186,CPY!$B:$G,3,FALSE))=TRUE," ",VLOOKUP($B186,CPY!$B:$G,3,FALSE))</f>
        <v> </v>
      </c>
      <c r="E186" s="65" t="str">
        <f>IF(ISNA(VLOOKUP($B186,CPY!$B:$G,4,FALSE))=TRUE," ",VLOOKUP($B186,CPY!$B:$G,4,FALSE))</f>
        <v> </v>
      </c>
      <c r="F186" s="62"/>
      <c r="G186" s="70"/>
      <c r="H186" s="62"/>
    </row>
    <row r="187" spans="1:8" x14ac:dyDescent="0.25">
      <c r="A187" s="62">
        <v>186</v>
      </c>
      <c r="B187" s="62"/>
      <c r="C187" s="68" t="str">
        <f>IF(ISNA(VLOOKUP($B187,CPY!$B:$G,2,FALSE))=TRUE," ",VLOOKUP($B187,CPY!$B:$G,2,FALSE))</f>
        <v> </v>
      </c>
      <c r="D187" s="50" t="str">
        <f>IF(ISNA(VLOOKUP($B187,CPY!$B:$G,3,FALSE))=TRUE," ",VLOOKUP($B187,CPY!$B:$G,3,FALSE))</f>
        <v> </v>
      </c>
      <c r="E187" s="65" t="str">
        <f>IF(ISNA(VLOOKUP($B187,CPY!$B:$G,4,FALSE))=TRUE," ",VLOOKUP($B187,CPY!$B:$G,4,FALSE))</f>
        <v> </v>
      </c>
      <c r="F187" s="62"/>
      <c r="G187" s="70"/>
      <c r="H187" s="62"/>
    </row>
    <row r="188" spans="1:8" x14ac:dyDescent="0.25">
      <c r="A188" s="62">
        <v>187</v>
      </c>
      <c r="B188" s="62"/>
      <c r="C188" s="68" t="str">
        <f>IF(ISNA(VLOOKUP($B188,CPY!$B:$G,2,FALSE))=TRUE," ",VLOOKUP($B188,CPY!$B:$G,2,FALSE))</f>
        <v> </v>
      </c>
      <c r="D188" s="50" t="str">
        <f>IF(ISNA(VLOOKUP($B188,CPY!$B:$G,3,FALSE))=TRUE," ",VLOOKUP($B188,CPY!$B:$G,3,FALSE))</f>
        <v> </v>
      </c>
      <c r="E188" s="65" t="str">
        <f>IF(ISNA(VLOOKUP($B188,CPY!$B:$G,4,FALSE))=TRUE," ",VLOOKUP($B188,CPY!$B:$G,4,FALSE))</f>
        <v> </v>
      </c>
      <c r="F188" s="62"/>
      <c r="G188" s="70"/>
      <c r="H188" s="62"/>
    </row>
    <row r="189" spans="1:8" x14ac:dyDescent="0.25">
      <c r="A189" s="62">
        <v>188</v>
      </c>
      <c r="B189" s="62"/>
      <c r="C189" s="68" t="str">
        <f>IF(ISNA(VLOOKUP($B189,CPY!$B:$G,2,FALSE))=TRUE," ",VLOOKUP($B189,CPY!$B:$G,2,FALSE))</f>
        <v> </v>
      </c>
      <c r="D189" s="50" t="str">
        <f>IF(ISNA(VLOOKUP($B189,CPY!$B:$G,3,FALSE))=TRUE," ",VLOOKUP($B189,CPY!$B:$G,3,FALSE))</f>
        <v> </v>
      </c>
      <c r="E189" s="65" t="str">
        <f>IF(ISNA(VLOOKUP($B189,CPY!$B:$G,4,FALSE))=TRUE," ",VLOOKUP($B189,CPY!$B:$G,4,FALSE))</f>
        <v> </v>
      </c>
      <c r="F189" s="62"/>
      <c r="G189" s="70"/>
      <c r="H189" s="62"/>
    </row>
    <row r="190" spans="1:8" x14ac:dyDescent="0.25">
      <c r="A190" s="62">
        <v>189</v>
      </c>
      <c r="B190" s="62"/>
      <c r="C190" s="68" t="str">
        <f>IF(ISNA(VLOOKUP($B190,CPY!$B:$G,2,FALSE))=TRUE," ",VLOOKUP($B190,CPY!$B:$G,2,FALSE))</f>
        <v> </v>
      </c>
      <c r="D190" s="50" t="str">
        <f>IF(ISNA(VLOOKUP($B190,CPY!$B:$G,3,FALSE))=TRUE," ",VLOOKUP($B190,CPY!$B:$G,3,FALSE))</f>
        <v> </v>
      </c>
      <c r="E190" s="65" t="str">
        <f>IF(ISNA(VLOOKUP($B190,CPY!$B:$G,4,FALSE))=TRUE," ",VLOOKUP($B190,CPY!$B:$G,4,FALSE))</f>
        <v> </v>
      </c>
      <c r="F190" s="62"/>
      <c r="G190" s="70"/>
      <c r="H190" s="62"/>
    </row>
    <row r="191" spans="1:8" x14ac:dyDescent="0.25">
      <c r="A191" s="62">
        <v>190</v>
      </c>
      <c r="B191" s="62"/>
      <c r="C191" s="68" t="str">
        <f>IF(ISNA(VLOOKUP($B191,CPY!$B:$G,2,FALSE))=TRUE," ",VLOOKUP($B191,CPY!$B:$G,2,FALSE))</f>
        <v> </v>
      </c>
      <c r="D191" s="50" t="str">
        <f>IF(ISNA(VLOOKUP($B191,CPY!$B:$G,3,FALSE))=TRUE," ",VLOOKUP($B191,CPY!$B:$G,3,FALSE))</f>
        <v> </v>
      </c>
      <c r="E191" s="65" t="str">
        <f>IF(ISNA(VLOOKUP($B191,CPY!$B:$G,4,FALSE))=TRUE," ",VLOOKUP($B191,CPY!$B:$G,4,FALSE))</f>
        <v> </v>
      </c>
      <c r="F191" s="62"/>
      <c r="G191" s="70"/>
      <c r="H191" s="62"/>
    </row>
    <row r="192" spans="1:8" x14ac:dyDescent="0.25">
      <c r="A192" s="62">
        <v>191</v>
      </c>
      <c r="B192" s="62"/>
      <c r="C192" s="68" t="str">
        <f>IF(ISNA(VLOOKUP($B192,CPY!$B:$G,2,FALSE))=TRUE," ",VLOOKUP($B192,CPY!$B:$G,2,FALSE))</f>
        <v> </v>
      </c>
      <c r="D192" s="50" t="str">
        <f>IF(ISNA(VLOOKUP($B192,CPY!$B:$G,3,FALSE))=TRUE," ",VLOOKUP($B192,CPY!$B:$G,3,FALSE))</f>
        <v> </v>
      </c>
      <c r="E192" s="65" t="str">
        <f>IF(ISNA(VLOOKUP($B192,CPY!$B:$G,4,FALSE))=TRUE," ",VLOOKUP($B192,CPY!$B:$G,4,FALSE))</f>
        <v> </v>
      </c>
      <c r="F192" s="62"/>
      <c r="G192" s="70"/>
      <c r="H192" s="62"/>
    </row>
    <row r="193" spans="1:8" x14ac:dyDescent="0.25">
      <c r="A193" s="62">
        <v>192</v>
      </c>
      <c r="B193" s="62"/>
      <c r="C193" s="68" t="str">
        <f>IF(ISNA(VLOOKUP($B193,CPY!$B:$G,2,FALSE))=TRUE," ",VLOOKUP($B193,CPY!$B:$G,2,FALSE))</f>
        <v> </v>
      </c>
      <c r="D193" s="50" t="str">
        <f>IF(ISNA(VLOOKUP($B193,CPY!$B:$G,3,FALSE))=TRUE," ",VLOOKUP($B193,CPY!$B:$G,3,FALSE))</f>
        <v> </v>
      </c>
      <c r="E193" s="65" t="str">
        <f>IF(ISNA(VLOOKUP($B193,CPY!$B:$G,4,FALSE))=TRUE," ",VLOOKUP($B193,CPY!$B:$G,4,FALSE))</f>
        <v> </v>
      </c>
      <c r="F193" s="62"/>
      <c r="G193" s="70"/>
      <c r="H193" s="62"/>
    </row>
    <row r="194" spans="1:8" x14ac:dyDescent="0.25">
      <c r="A194" s="62">
        <v>193</v>
      </c>
      <c r="B194" s="62"/>
      <c r="C194" s="68" t="str">
        <f>IF(ISNA(VLOOKUP($B194,CPY!$B:$G,2,FALSE))=TRUE," ",VLOOKUP($B194,CPY!$B:$G,2,FALSE))</f>
        <v> </v>
      </c>
      <c r="D194" s="50" t="str">
        <f>IF(ISNA(VLOOKUP($B194,CPY!$B:$G,3,FALSE))=TRUE," ",VLOOKUP($B194,CPY!$B:$G,3,FALSE))</f>
        <v> </v>
      </c>
      <c r="E194" s="65" t="str">
        <f>IF(ISNA(VLOOKUP($B194,CPY!$B:$G,4,FALSE))=TRUE," ",VLOOKUP($B194,CPY!$B:$G,4,FALSE))</f>
        <v> </v>
      </c>
      <c r="F194" s="62"/>
      <c r="G194" s="70"/>
      <c r="H194" s="62"/>
    </row>
    <row r="195" spans="1:8" x14ac:dyDescent="0.25">
      <c r="A195" s="62">
        <v>194</v>
      </c>
      <c r="B195" s="62"/>
      <c r="C195" s="68" t="str">
        <f>IF(ISNA(VLOOKUP($B195,CPY!$B:$G,2,FALSE))=TRUE," ",VLOOKUP($B195,CPY!$B:$G,2,FALSE))</f>
        <v> </v>
      </c>
      <c r="D195" s="50" t="str">
        <f>IF(ISNA(VLOOKUP($B195,CPY!$B:$G,3,FALSE))=TRUE," ",VLOOKUP($B195,CPY!$B:$G,3,FALSE))</f>
        <v> </v>
      </c>
      <c r="E195" s="65" t="str">
        <f>IF(ISNA(VLOOKUP($B195,CPY!$B:$G,4,FALSE))=TRUE," ",VLOOKUP($B195,CPY!$B:$G,4,FALSE))</f>
        <v> </v>
      </c>
      <c r="F195" s="62"/>
      <c r="G195" s="70"/>
      <c r="H195" s="62"/>
    </row>
    <row r="196" spans="1:8" x14ac:dyDescent="0.25">
      <c r="A196" s="62">
        <v>195</v>
      </c>
      <c r="B196" s="62"/>
      <c r="C196" s="68" t="str">
        <f>IF(ISNA(VLOOKUP($B196,CPY!$B:$G,2,FALSE))=TRUE," ",VLOOKUP($B196,CPY!$B:$G,2,FALSE))</f>
        <v> </v>
      </c>
      <c r="D196" s="50" t="str">
        <f>IF(ISNA(VLOOKUP($B196,CPY!$B:$G,3,FALSE))=TRUE," ",VLOOKUP($B196,CPY!$B:$G,3,FALSE))</f>
        <v> </v>
      </c>
      <c r="E196" s="65" t="str">
        <f>IF(ISNA(VLOOKUP($B196,CPY!$B:$G,4,FALSE))=TRUE," ",VLOOKUP($B196,CPY!$B:$G,4,FALSE))</f>
        <v> </v>
      </c>
      <c r="F196" s="62"/>
      <c r="G196" s="70"/>
      <c r="H196" s="62"/>
    </row>
    <row r="197" spans="1:8" x14ac:dyDescent="0.25">
      <c r="A197" s="62">
        <v>196</v>
      </c>
      <c r="B197" s="62"/>
      <c r="C197" s="68" t="str">
        <f>IF(ISNA(VLOOKUP($B197,CPY!$B:$G,2,FALSE))=TRUE," ",VLOOKUP($B197,CPY!$B:$G,2,FALSE))</f>
        <v> </v>
      </c>
      <c r="D197" s="50" t="str">
        <f>IF(ISNA(VLOOKUP($B197,CPY!$B:$G,3,FALSE))=TRUE," ",VLOOKUP($B197,CPY!$B:$G,3,FALSE))</f>
        <v> </v>
      </c>
      <c r="E197" s="65" t="str">
        <f>IF(ISNA(VLOOKUP($B197,CPY!$B:$G,4,FALSE))=TRUE," ",VLOOKUP($B197,CPY!$B:$G,4,FALSE))</f>
        <v> </v>
      </c>
      <c r="F197" s="62"/>
      <c r="G197" s="70"/>
      <c r="H197" s="62"/>
    </row>
    <row r="198" spans="1:8" x14ac:dyDescent="0.25">
      <c r="A198" s="62">
        <v>197</v>
      </c>
      <c r="B198" s="62"/>
      <c r="C198" s="68" t="str">
        <f>IF(ISNA(VLOOKUP($B198,CPY!$B:$G,2,FALSE))=TRUE," ",VLOOKUP($B198,CPY!$B:$G,2,FALSE))</f>
        <v> </v>
      </c>
      <c r="D198" s="50" t="str">
        <f>IF(ISNA(VLOOKUP($B198,CPY!$B:$G,3,FALSE))=TRUE," ",VLOOKUP($B198,CPY!$B:$G,3,FALSE))</f>
        <v> </v>
      </c>
      <c r="E198" s="65" t="str">
        <f>IF(ISNA(VLOOKUP($B198,CPY!$B:$G,4,FALSE))=TRUE," ",VLOOKUP($B198,CPY!$B:$G,4,FALSE))</f>
        <v> </v>
      </c>
      <c r="F198" s="62"/>
      <c r="G198" s="70"/>
      <c r="H198" s="62"/>
    </row>
    <row r="199" spans="1:8" x14ac:dyDescent="0.25">
      <c r="A199" s="62">
        <v>198</v>
      </c>
      <c r="B199" s="62"/>
      <c r="C199" s="68" t="str">
        <f>IF(ISNA(VLOOKUP($B199,CPY!$B:$G,2,FALSE))=TRUE," ",VLOOKUP($B199,CPY!$B:$G,2,FALSE))</f>
        <v> </v>
      </c>
      <c r="D199" s="50" t="str">
        <f>IF(ISNA(VLOOKUP($B199,CPY!$B:$G,3,FALSE))=TRUE," ",VLOOKUP($B199,CPY!$B:$G,3,FALSE))</f>
        <v> </v>
      </c>
      <c r="E199" s="65" t="str">
        <f>IF(ISNA(VLOOKUP($B199,CPY!$B:$G,4,FALSE))=TRUE," ",VLOOKUP($B199,CPY!$B:$G,4,FALSE))</f>
        <v> </v>
      </c>
      <c r="F199" s="62"/>
      <c r="G199" s="70"/>
      <c r="H199" s="62"/>
    </row>
    <row r="200" spans="1:8" x14ac:dyDescent="0.25">
      <c r="A200" s="62">
        <v>199</v>
      </c>
      <c r="B200" s="62"/>
      <c r="C200" s="68" t="str">
        <f>IF(ISNA(VLOOKUP($B200,CPY!$B:$G,2,FALSE))=TRUE," ",VLOOKUP($B200,CPY!$B:$G,2,FALSE))</f>
        <v> </v>
      </c>
      <c r="D200" s="50" t="str">
        <f>IF(ISNA(VLOOKUP($B200,CPY!$B:$G,3,FALSE))=TRUE," ",VLOOKUP($B200,CPY!$B:$G,3,FALSE))</f>
        <v> </v>
      </c>
      <c r="E200" s="65" t="str">
        <f>IF(ISNA(VLOOKUP($B200,CPY!$B:$G,4,FALSE))=TRUE," ",VLOOKUP($B200,CPY!$B:$G,4,FALSE))</f>
        <v> </v>
      </c>
      <c r="F200" s="62"/>
      <c r="G200" s="70"/>
      <c r="H200" s="62"/>
    </row>
    <row r="201" spans="1:8" x14ac:dyDescent="0.25">
      <c r="A201" s="62">
        <v>200</v>
      </c>
      <c r="B201" s="62"/>
      <c r="C201" s="68" t="str">
        <f>IF(ISNA(VLOOKUP($B201,CPY!$B:$G,2,FALSE))=TRUE," ",VLOOKUP($B201,CPY!$B:$G,2,FALSE))</f>
        <v> </v>
      </c>
      <c r="D201" s="50" t="str">
        <f>IF(ISNA(VLOOKUP($B201,CPY!$B:$G,3,FALSE))=TRUE," ",VLOOKUP($B201,CPY!$B:$G,3,FALSE))</f>
        <v> </v>
      </c>
      <c r="E201" s="65" t="str">
        <f>IF(ISNA(VLOOKUP($B201,CPY!$B:$G,4,FALSE))=TRUE," ",VLOOKUP($B201,CPY!$B:$G,4,FALSE))</f>
        <v> </v>
      </c>
      <c r="F201" s="62"/>
      <c r="G201" s="70"/>
      <c r="H201" s="62"/>
    </row>
    <row r="202" spans="1:8" x14ac:dyDescent="0.25">
      <c r="A202" s="62">
        <v>201</v>
      </c>
      <c r="B202" s="62"/>
      <c r="C202" s="68" t="str">
        <f>IF(ISNA(VLOOKUP($B202,CPY!$B:$G,2,FALSE))=TRUE," ",VLOOKUP($B202,CPY!$B:$G,2,FALSE))</f>
        <v> </v>
      </c>
      <c r="D202" s="50" t="str">
        <f>IF(ISNA(VLOOKUP($B202,CPY!$B:$G,3,FALSE))=TRUE," ",VLOOKUP($B202,CPY!$B:$G,3,FALSE))</f>
        <v> </v>
      </c>
      <c r="E202" s="65" t="str">
        <f>IF(ISNA(VLOOKUP($B202,CPY!$B:$G,4,FALSE))=TRUE," ",VLOOKUP($B202,CPY!$B:$G,4,FALSE))</f>
        <v> </v>
      </c>
      <c r="F202" s="62"/>
      <c r="G202" s="70"/>
      <c r="H202" s="62"/>
    </row>
    <row r="203" spans="1:8" x14ac:dyDescent="0.25">
      <c r="A203" s="62">
        <v>202</v>
      </c>
      <c r="B203" s="62"/>
      <c r="C203" s="68" t="str">
        <f>IF(ISNA(VLOOKUP($B203,CPY!$B:$G,2,FALSE))=TRUE," ",VLOOKUP($B203,CPY!$B:$G,2,FALSE))</f>
        <v> </v>
      </c>
      <c r="D203" s="50" t="str">
        <f>IF(ISNA(VLOOKUP($B203,CPY!$B:$G,3,FALSE))=TRUE," ",VLOOKUP($B203,CPY!$B:$G,3,FALSE))</f>
        <v> </v>
      </c>
      <c r="E203" s="65" t="str">
        <f>IF(ISNA(VLOOKUP($B203,CPY!$B:$G,4,FALSE))=TRUE," ",VLOOKUP($B203,CPY!$B:$G,4,FALSE))</f>
        <v> </v>
      </c>
      <c r="F203" s="62"/>
      <c r="G203" s="70"/>
      <c r="H203" s="62"/>
    </row>
    <row r="204" spans="1:8" x14ac:dyDescent="0.25">
      <c r="A204" s="62">
        <v>203</v>
      </c>
      <c r="B204" s="62"/>
      <c r="C204" s="68" t="str">
        <f>IF(ISNA(VLOOKUP($B204,CPY!$B:$G,2,FALSE))=TRUE," ",VLOOKUP($B204,CPY!$B:$G,2,FALSE))</f>
        <v> </v>
      </c>
      <c r="D204" s="50" t="str">
        <f>IF(ISNA(VLOOKUP($B204,CPY!$B:$G,3,FALSE))=TRUE," ",VLOOKUP($B204,CPY!$B:$G,3,FALSE))</f>
        <v> </v>
      </c>
      <c r="E204" s="65" t="str">
        <f>IF(ISNA(VLOOKUP($B204,CPY!$B:$G,4,FALSE))=TRUE," ",VLOOKUP($B204,CPY!$B:$G,4,FALSE))</f>
        <v> </v>
      </c>
      <c r="F204" s="62"/>
      <c r="G204" s="70"/>
      <c r="H204" s="62"/>
    </row>
    <row r="205" spans="1:8" x14ac:dyDescent="0.25">
      <c r="A205" s="62">
        <v>204</v>
      </c>
      <c r="B205" s="62"/>
      <c r="C205" s="68" t="str">
        <f>IF(ISNA(VLOOKUP($B205,CPY!$B:$G,2,FALSE))=TRUE," ",VLOOKUP($B205,CPY!$B:$G,2,FALSE))</f>
        <v> </v>
      </c>
      <c r="D205" s="50" t="str">
        <f>IF(ISNA(VLOOKUP($B205,CPY!$B:$G,3,FALSE))=TRUE," ",VLOOKUP($B205,CPY!$B:$G,3,FALSE))</f>
        <v> </v>
      </c>
      <c r="E205" s="65" t="str">
        <f>IF(ISNA(VLOOKUP($B205,CPY!$B:$G,4,FALSE))=TRUE," ",VLOOKUP($B205,CPY!$B:$G,4,FALSE))</f>
        <v> </v>
      </c>
      <c r="F205" s="62"/>
      <c r="G205" s="70"/>
      <c r="H205" s="62"/>
    </row>
    <row r="206" spans="1:8" x14ac:dyDescent="0.25">
      <c r="A206" s="62">
        <v>205</v>
      </c>
      <c r="B206" s="62"/>
      <c r="C206" s="68" t="str">
        <f>IF(ISNA(VLOOKUP($B206,CPY!$B:$G,2,FALSE))=TRUE," ",VLOOKUP($B206,CPY!$B:$G,2,FALSE))</f>
        <v> </v>
      </c>
      <c r="D206" s="50" t="str">
        <f>IF(ISNA(VLOOKUP($B206,CPY!$B:$G,3,FALSE))=TRUE," ",VLOOKUP($B206,CPY!$B:$G,3,FALSE))</f>
        <v> </v>
      </c>
      <c r="E206" s="65" t="str">
        <f>IF(ISNA(VLOOKUP($B206,CPY!$B:$G,4,FALSE))=TRUE," ",VLOOKUP($B206,CPY!$B:$G,4,FALSE))</f>
        <v> </v>
      </c>
      <c r="F206" s="62"/>
      <c r="G206" s="70"/>
      <c r="H206" s="62"/>
    </row>
    <row r="207" spans="1:8" x14ac:dyDescent="0.25">
      <c r="A207" s="62">
        <v>206</v>
      </c>
      <c r="B207" s="62"/>
      <c r="C207" s="68" t="str">
        <f>IF(ISNA(VLOOKUP($B207,CPY!$B:$G,2,FALSE))=TRUE," ",VLOOKUP($B207,CPY!$B:$G,2,FALSE))</f>
        <v> </v>
      </c>
      <c r="D207" s="50" t="str">
        <f>IF(ISNA(VLOOKUP($B207,CPY!$B:$G,3,FALSE))=TRUE," ",VLOOKUP($B207,CPY!$B:$G,3,FALSE))</f>
        <v> </v>
      </c>
      <c r="E207" s="65" t="str">
        <f>IF(ISNA(VLOOKUP($B207,CPY!$B:$G,4,FALSE))=TRUE," ",VLOOKUP($B207,CPY!$B:$G,4,FALSE))</f>
        <v> </v>
      </c>
      <c r="F207" s="62"/>
      <c r="G207" s="70"/>
      <c r="H207" s="62"/>
    </row>
    <row r="208" spans="1:8" x14ac:dyDescent="0.25">
      <c r="A208" s="62">
        <v>207</v>
      </c>
      <c r="B208" s="62"/>
      <c r="C208" s="68" t="str">
        <f>IF(ISNA(VLOOKUP($B208,CPY!$B:$G,2,FALSE))=TRUE," ",VLOOKUP($B208,CPY!$B:$G,2,FALSE))</f>
        <v> </v>
      </c>
      <c r="D208" s="50" t="str">
        <f>IF(ISNA(VLOOKUP($B208,CPY!$B:$G,3,FALSE))=TRUE," ",VLOOKUP($B208,CPY!$B:$G,3,FALSE))</f>
        <v> </v>
      </c>
      <c r="E208" s="65" t="str">
        <f>IF(ISNA(VLOOKUP($B208,CPY!$B:$G,4,FALSE))=TRUE," ",VLOOKUP($B208,CPY!$B:$G,4,FALSE))</f>
        <v> </v>
      </c>
      <c r="F208" s="62"/>
      <c r="G208" s="70"/>
      <c r="H208" s="62"/>
    </row>
    <row r="209" spans="1:8" x14ac:dyDescent="0.25">
      <c r="A209" s="62">
        <v>208</v>
      </c>
      <c r="B209" s="62"/>
      <c r="C209" s="68" t="str">
        <f>IF(ISNA(VLOOKUP($B209,CPY!$B:$G,2,FALSE))=TRUE," ",VLOOKUP($B209,CPY!$B:$G,2,FALSE))</f>
        <v> </v>
      </c>
      <c r="D209" s="50" t="str">
        <f>IF(ISNA(VLOOKUP($B209,CPY!$B:$G,3,FALSE))=TRUE," ",VLOOKUP($B209,CPY!$B:$G,3,FALSE))</f>
        <v> </v>
      </c>
      <c r="E209" s="65" t="str">
        <f>IF(ISNA(VLOOKUP($B209,CPY!$B:$G,4,FALSE))=TRUE," ",VLOOKUP($B209,CPY!$B:$G,4,FALSE))</f>
        <v> </v>
      </c>
      <c r="F209" s="62"/>
      <c r="G209" s="70"/>
      <c r="H209" s="62"/>
    </row>
    <row r="210" spans="1:8" x14ac:dyDescent="0.25">
      <c r="A210" s="62">
        <v>209</v>
      </c>
      <c r="B210" s="62"/>
      <c r="C210" s="68" t="str">
        <f>IF(ISNA(VLOOKUP($B210,CPY!$B:$G,2,FALSE))=TRUE," ",VLOOKUP($B210,CPY!$B:$G,2,FALSE))</f>
        <v> </v>
      </c>
      <c r="D210" s="50" t="str">
        <f>IF(ISNA(VLOOKUP($B210,CPY!$B:$G,3,FALSE))=TRUE," ",VLOOKUP($B210,CPY!$B:$G,3,FALSE))</f>
        <v> </v>
      </c>
      <c r="E210" s="65" t="str">
        <f>IF(ISNA(VLOOKUP($B210,CPY!$B:$G,4,FALSE))=TRUE," ",VLOOKUP($B210,CPY!$B:$G,4,FALSE))</f>
        <v> </v>
      </c>
      <c r="F210" s="62"/>
      <c r="G210" s="70"/>
      <c r="H210" s="62"/>
    </row>
    <row r="211" spans="1:8" x14ac:dyDescent="0.25">
      <c r="A211" s="62">
        <v>210</v>
      </c>
      <c r="B211" s="62"/>
      <c r="C211" s="68" t="str">
        <f>IF(ISNA(VLOOKUP($B211,CPY!$B:$G,2,FALSE))=TRUE," ",VLOOKUP($B211,CPY!$B:$G,2,FALSE))</f>
        <v> </v>
      </c>
      <c r="D211" s="50" t="str">
        <f>IF(ISNA(VLOOKUP($B211,CPY!$B:$G,3,FALSE))=TRUE," ",VLOOKUP($B211,CPY!$B:$G,3,FALSE))</f>
        <v> </v>
      </c>
      <c r="E211" s="65" t="str">
        <f>IF(ISNA(VLOOKUP($B211,CPY!$B:$G,4,FALSE))=TRUE," ",VLOOKUP($B211,CPY!$B:$G,4,FALSE))</f>
        <v> </v>
      </c>
      <c r="F211" s="62"/>
      <c r="G211" s="70"/>
      <c r="H211" s="62"/>
    </row>
    <row r="212" spans="1:8" x14ac:dyDescent="0.25">
      <c r="A212" s="62">
        <v>211</v>
      </c>
      <c r="B212" s="62"/>
      <c r="C212" s="68" t="str">
        <f>IF(ISNA(VLOOKUP($B212,CPY!$B:$G,2,FALSE))=TRUE," ",VLOOKUP($B212,CPY!$B:$G,2,FALSE))</f>
        <v> </v>
      </c>
      <c r="D212" s="50" t="str">
        <f>IF(ISNA(VLOOKUP($B212,CPY!$B:$G,3,FALSE))=TRUE," ",VLOOKUP($B212,CPY!$B:$G,3,FALSE))</f>
        <v> </v>
      </c>
      <c r="E212" s="65" t="str">
        <f>IF(ISNA(VLOOKUP($B212,CPY!$B:$G,4,FALSE))=TRUE," ",VLOOKUP($B212,CPY!$B:$G,4,FALSE))</f>
        <v> </v>
      </c>
      <c r="F212" s="62"/>
      <c r="G212" s="70"/>
      <c r="H212" s="62"/>
    </row>
    <row r="213" spans="1:8" x14ac:dyDescent="0.25">
      <c r="A213" s="62">
        <v>212</v>
      </c>
      <c r="B213" s="62"/>
      <c r="C213" s="68" t="str">
        <f>IF(ISNA(VLOOKUP($B213,CPY!$B:$G,2,FALSE))=TRUE," ",VLOOKUP($B213,CPY!$B:$G,2,FALSE))</f>
        <v> </v>
      </c>
      <c r="D213" s="50" t="str">
        <f>IF(ISNA(VLOOKUP($B213,CPY!$B:$G,3,FALSE))=TRUE," ",VLOOKUP($B213,CPY!$B:$G,3,FALSE))</f>
        <v> </v>
      </c>
      <c r="E213" s="65" t="str">
        <f>IF(ISNA(VLOOKUP($B213,CPY!$B:$G,4,FALSE))=TRUE," ",VLOOKUP($B213,CPY!$B:$G,4,FALSE))</f>
        <v> </v>
      </c>
      <c r="F213" s="62"/>
      <c r="G213" s="70"/>
      <c r="H213" s="62"/>
    </row>
    <row r="214" spans="1:8" x14ac:dyDescent="0.25">
      <c r="A214" s="62">
        <v>213</v>
      </c>
      <c r="B214" s="62"/>
      <c r="C214" s="68" t="str">
        <f>IF(ISNA(VLOOKUP($B214,CPY!$B:$G,2,FALSE))=TRUE," ",VLOOKUP($B214,CPY!$B:$G,2,FALSE))</f>
        <v> </v>
      </c>
      <c r="D214" s="50" t="str">
        <f>IF(ISNA(VLOOKUP($B214,CPY!$B:$G,3,FALSE))=TRUE," ",VLOOKUP($B214,CPY!$B:$G,3,FALSE))</f>
        <v> </v>
      </c>
      <c r="E214" s="65" t="str">
        <f>IF(ISNA(VLOOKUP($B214,CPY!$B:$G,4,FALSE))=TRUE," ",VLOOKUP($B214,CPY!$B:$G,4,FALSE))</f>
        <v> </v>
      </c>
      <c r="F214" s="62"/>
      <c r="G214" s="70"/>
      <c r="H214" s="62"/>
    </row>
    <row r="215" spans="1:8" x14ac:dyDescent="0.25">
      <c r="A215" s="62">
        <v>214</v>
      </c>
      <c r="B215" s="62"/>
      <c r="C215" s="68" t="str">
        <f>IF(ISNA(VLOOKUP($B215,CPY!$B:$G,2,FALSE))=TRUE," ",VLOOKUP($B215,CPY!$B:$G,2,FALSE))</f>
        <v> </v>
      </c>
      <c r="D215" s="50" t="str">
        <f>IF(ISNA(VLOOKUP($B215,CPY!$B:$G,3,FALSE))=TRUE," ",VLOOKUP($B215,CPY!$B:$G,3,FALSE))</f>
        <v> </v>
      </c>
      <c r="E215" s="65" t="str">
        <f>IF(ISNA(VLOOKUP($B215,CPY!$B:$G,4,FALSE))=TRUE," ",VLOOKUP($B215,CPY!$B:$G,4,FALSE))</f>
        <v> </v>
      </c>
      <c r="F215" s="62"/>
      <c r="G215" s="70"/>
      <c r="H215" s="62"/>
    </row>
    <row r="216" spans="1:8" x14ac:dyDescent="0.25">
      <c r="A216" s="62">
        <v>215</v>
      </c>
      <c r="B216" s="62"/>
      <c r="C216" s="68" t="str">
        <f>IF(ISNA(VLOOKUP($B216,CPY!$B:$G,2,FALSE))=TRUE," ",VLOOKUP($B216,CPY!$B:$G,2,FALSE))</f>
        <v> </v>
      </c>
      <c r="D216" s="50" t="str">
        <f>IF(ISNA(VLOOKUP($B216,CPY!$B:$G,3,FALSE))=TRUE," ",VLOOKUP($B216,CPY!$B:$G,3,FALSE))</f>
        <v> </v>
      </c>
      <c r="E216" s="65" t="str">
        <f>IF(ISNA(VLOOKUP($B216,CPY!$B:$G,4,FALSE))=TRUE," ",VLOOKUP($B216,CPY!$B:$G,4,FALSE))</f>
        <v> </v>
      </c>
      <c r="F216" s="62"/>
      <c r="G216" s="70"/>
      <c r="H216" s="62"/>
    </row>
    <row r="217" spans="1:8" x14ac:dyDescent="0.25">
      <c r="A217" s="62">
        <v>216</v>
      </c>
      <c r="B217" s="62"/>
      <c r="C217" s="68" t="str">
        <f>IF(ISNA(VLOOKUP($B217,CPY!$B:$G,2,FALSE))=TRUE," ",VLOOKUP($B217,CPY!$B:$G,2,FALSE))</f>
        <v> </v>
      </c>
      <c r="D217" s="50" t="str">
        <f>IF(ISNA(VLOOKUP($B217,CPY!$B:$G,3,FALSE))=TRUE," ",VLOOKUP($B217,CPY!$B:$G,3,FALSE))</f>
        <v> </v>
      </c>
      <c r="E217" s="65" t="str">
        <f>IF(ISNA(VLOOKUP($B217,CPY!$B:$G,4,FALSE))=TRUE," ",VLOOKUP($B217,CPY!$B:$G,4,FALSE))</f>
        <v> </v>
      </c>
      <c r="F217" s="62"/>
      <c r="G217" s="70"/>
      <c r="H217" s="62"/>
    </row>
    <row r="218" spans="1:8" x14ac:dyDescent="0.25">
      <c r="A218" s="62">
        <v>217</v>
      </c>
      <c r="B218" s="62"/>
      <c r="C218" s="68" t="str">
        <f>IF(ISNA(VLOOKUP($B218,CPY!$B:$G,2,FALSE))=TRUE," ",VLOOKUP($B218,CPY!$B:$G,2,FALSE))</f>
        <v> </v>
      </c>
      <c r="D218" s="50" t="str">
        <f>IF(ISNA(VLOOKUP($B218,CPY!$B:$G,3,FALSE))=TRUE," ",VLOOKUP($B218,CPY!$B:$G,3,FALSE))</f>
        <v> </v>
      </c>
      <c r="E218" s="65" t="str">
        <f>IF(ISNA(VLOOKUP($B218,CPY!$B:$G,4,FALSE))=TRUE," ",VLOOKUP($B218,CPY!$B:$G,4,FALSE))</f>
        <v> </v>
      </c>
      <c r="F218" s="62"/>
      <c r="G218" s="70"/>
      <c r="H218" s="62"/>
    </row>
    <row r="219" spans="1:8" x14ac:dyDescent="0.25">
      <c r="A219" s="62">
        <v>218</v>
      </c>
      <c r="B219" s="62"/>
      <c r="C219" s="68" t="str">
        <f>IF(ISNA(VLOOKUP($B219,CPY!$B:$G,2,FALSE))=TRUE," ",VLOOKUP($B219,CPY!$B:$G,2,FALSE))</f>
        <v> </v>
      </c>
      <c r="D219" s="50" t="str">
        <f>IF(ISNA(VLOOKUP($B219,CPY!$B:$G,3,FALSE))=TRUE," ",VLOOKUP($B219,CPY!$B:$G,3,FALSE))</f>
        <v> </v>
      </c>
      <c r="E219" s="65" t="str">
        <f>IF(ISNA(VLOOKUP($B219,CPY!$B:$G,4,FALSE))=TRUE," ",VLOOKUP($B219,CPY!$B:$G,4,FALSE))</f>
        <v> </v>
      </c>
      <c r="F219" s="62"/>
      <c r="G219" s="70"/>
      <c r="H219" s="62"/>
    </row>
    <row r="220" spans="1:8" x14ac:dyDescent="0.25">
      <c r="A220" s="62">
        <v>219</v>
      </c>
      <c r="B220" s="62"/>
      <c r="C220" s="68" t="str">
        <f>IF(ISNA(VLOOKUP($B220,CPY!$B:$G,2,FALSE))=TRUE," ",VLOOKUP($B220,CPY!$B:$G,2,FALSE))</f>
        <v> </v>
      </c>
      <c r="D220" s="50" t="str">
        <f>IF(ISNA(VLOOKUP($B220,CPY!$B:$G,3,FALSE))=TRUE," ",VLOOKUP($B220,CPY!$B:$G,3,FALSE))</f>
        <v> </v>
      </c>
      <c r="E220" s="65" t="str">
        <f>IF(ISNA(VLOOKUP($B220,CPY!$B:$G,4,FALSE))=TRUE," ",VLOOKUP($B220,CPY!$B:$G,4,FALSE))</f>
        <v> </v>
      </c>
      <c r="F220" s="62"/>
      <c r="G220" s="70"/>
      <c r="H220" s="62"/>
    </row>
    <row r="221" spans="1:8" x14ac:dyDescent="0.25">
      <c r="A221" s="62">
        <v>220</v>
      </c>
      <c r="B221" s="62"/>
      <c r="C221" s="68" t="str">
        <f>IF(ISNA(VLOOKUP($B221,CPY!$B:$G,2,FALSE))=TRUE," ",VLOOKUP($B221,CPY!$B:$G,2,FALSE))</f>
        <v> </v>
      </c>
      <c r="D221" s="50" t="str">
        <f>IF(ISNA(VLOOKUP($B221,CPY!$B:$G,3,FALSE))=TRUE," ",VLOOKUP($B221,CPY!$B:$G,3,FALSE))</f>
        <v> </v>
      </c>
      <c r="E221" s="65" t="str">
        <f>IF(ISNA(VLOOKUP($B221,CPY!$B:$G,4,FALSE))=TRUE," ",VLOOKUP($B221,CPY!$B:$G,4,FALSE))</f>
        <v> </v>
      </c>
      <c r="F221" s="62"/>
      <c r="G221" s="70"/>
      <c r="H221" s="62"/>
    </row>
    <row r="222" spans="1:8" x14ac:dyDescent="0.25">
      <c r="A222" s="62">
        <v>221</v>
      </c>
      <c r="B222" s="62"/>
      <c r="C222" s="68" t="str">
        <f>IF(ISNA(VLOOKUP($B222,CPY!$B:$G,2,FALSE))=TRUE," ",VLOOKUP($B222,CPY!$B:$G,2,FALSE))</f>
        <v> </v>
      </c>
      <c r="D222" s="50" t="str">
        <f>IF(ISNA(VLOOKUP($B222,CPY!$B:$G,3,FALSE))=TRUE," ",VLOOKUP($B222,CPY!$B:$G,3,FALSE))</f>
        <v> </v>
      </c>
      <c r="E222" s="65" t="str">
        <f>IF(ISNA(VLOOKUP($B222,CPY!$B:$G,4,FALSE))=TRUE," ",VLOOKUP($B222,CPY!$B:$G,4,FALSE))</f>
        <v> </v>
      </c>
      <c r="F222" s="62"/>
      <c r="G222" s="70"/>
      <c r="H222" s="62"/>
    </row>
    <row r="223" spans="1:8" x14ac:dyDescent="0.25">
      <c r="A223" s="62">
        <v>222</v>
      </c>
      <c r="B223" s="62"/>
      <c r="C223" s="68" t="str">
        <f>IF(ISNA(VLOOKUP($B223,CPY!$B:$G,2,FALSE))=TRUE," ",VLOOKUP($B223,CPY!$B:$G,2,FALSE))</f>
        <v> </v>
      </c>
      <c r="D223" s="50" t="str">
        <f>IF(ISNA(VLOOKUP($B223,CPY!$B:$G,3,FALSE))=TRUE," ",VLOOKUP($B223,CPY!$B:$G,3,FALSE))</f>
        <v> </v>
      </c>
      <c r="E223" s="65" t="str">
        <f>IF(ISNA(VLOOKUP($B223,CPY!$B:$G,4,FALSE))=TRUE," ",VLOOKUP($B223,CPY!$B:$G,4,FALSE))</f>
        <v> </v>
      </c>
      <c r="F223" s="62"/>
      <c r="G223" s="70"/>
      <c r="H223" s="62"/>
    </row>
    <row r="224" spans="1:8" x14ac:dyDescent="0.25">
      <c r="A224" s="62">
        <v>223</v>
      </c>
      <c r="B224" s="62"/>
      <c r="C224" s="68" t="str">
        <f>IF(ISNA(VLOOKUP($B224,CPY!$B:$G,2,FALSE))=TRUE," ",VLOOKUP($B224,CPY!$B:$G,2,FALSE))</f>
        <v> </v>
      </c>
      <c r="D224" s="50" t="str">
        <f>IF(ISNA(VLOOKUP($B224,CPY!$B:$G,3,FALSE))=TRUE," ",VLOOKUP($B224,CPY!$B:$G,3,FALSE))</f>
        <v> </v>
      </c>
      <c r="E224" s="65" t="str">
        <f>IF(ISNA(VLOOKUP($B224,CPY!$B:$G,4,FALSE))=TRUE," ",VLOOKUP($B224,CPY!$B:$G,4,FALSE))</f>
        <v> </v>
      </c>
      <c r="F224" s="62"/>
      <c r="G224" s="70"/>
      <c r="H224" s="62"/>
    </row>
    <row r="225" spans="1:8" x14ac:dyDescent="0.25">
      <c r="A225" s="62">
        <v>224</v>
      </c>
      <c r="B225" s="62"/>
      <c r="C225" s="68" t="str">
        <f>IF(ISNA(VLOOKUP($B225,CPY!$B:$G,2,FALSE))=TRUE," ",VLOOKUP($B225,CPY!$B:$G,2,FALSE))</f>
        <v> </v>
      </c>
      <c r="D225" s="50" t="str">
        <f>IF(ISNA(VLOOKUP($B225,CPY!$B:$G,3,FALSE))=TRUE," ",VLOOKUP($B225,CPY!$B:$G,3,FALSE))</f>
        <v> </v>
      </c>
      <c r="E225" s="65" t="str">
        <f>IF(ISNA(VLOOKUP($B225,CPY!$B:$G,4,FALSE))=TRUE," ",VLOOKUP($B225,CPY!$B:$G,4,FALSE))</f>
        <v> </v>
      </c>
      <c r="F225" s="62"/>
      <c r="G225" s="70"/>
      <c r="H225" s="62"/>
    </row>
    <row r="226" spans="1:8" x14ac:dyDescent="0.25">
      <c r="A226" s="62">
        <v>225</v>
      </c>
      <c r="B226" s="62"/>
      <c r="C226" s="68" t="str">
        <f>IF(ISNA(VLOOKUP($B226,CPY!$B:$G,2,FALSE))=TRUE," ",VLOOKUP($B226,CPY!$B:$G,2,FALSE))</f>
        <v> </v>
      </c>
      <c r="D226" s="50" t="str">
        <f>IF(ISNA(VLOOKUP($B226,CPY!$B:$G,3,FALSE))=TRUE," ",VLOOKUP($B226,CPY!$B:$G,3,FALSE))</f>
        <v> </v>
      </c>
      <c r="E226" s="65" t="str">
        <f>IF(ISNA(VLOOKUP($B226,CPY!$B:$G,4,FALSE))=TRUE," ",VLOOKUP($B226,CPY!$B:$G,4,FALSE))</f>
        <v> </v>
      </c>
      <c r="F226" s="62"/>
      <c r="G226" s="70"/>
      <c r="H226" s="62"/>
    </row>
    <row r="227" spans="1:8" x14ac:dyDescent="0.25">
      <c r="A227" s="62">
        <v>226</v>
      </c>
      <c r="B227" s="62"/>
      <c r="C227" s="68" t="str">
        <f>IF(ISNA(VLOOKUP($B227,CPY!$B:$G,2,FALSE))=TRUE," ",VLOOKUP($B227,CPY!$B:$G,2,FALSE))</f>
        <v> </v>
      </c>
      <c r="D227" s="50" t="str">
        <f>IF(ISNA(VLOOKUP($B227,CPY!$B:$G,3,FALSE))=TRUE," ",VLOOKUP($B227,CPY!$B:$G,3,FALSE))</f>
        <v> </v>
      </c>
      <c r="E227" s="65" t="str">
        <f>IF(ISNA(VLOOKUP($B227,CPY!$B:$G,4,FALSE))=TRUE," ",VLOOKUP($B227,CPY!$B:$G,4,FALSE))</f>
        <v> </v>
      </c>
      <c r="F227" s="62"/>
      <c r="G227" s="70"/>
      <c r="H227" s="62"/>
    </row>
    <row r="228" spans="1:8" x14ac:dyDescent="0.25">
      <c r="A228" s="62">
        <v>227</v>
      </c>
      <c r="B228" s="62"/>
      <c r="C228" s="68" t="str">
        <f>IF(ISNA(VLOOKUP($B228,CPY!$B:$G,2,FALSE))=TRUE," ",VLOOKUP($B228,CPY!$B:$G,2,FALSE))</f>
        <v> </v>
      </c>
      <c r="D228" s="50" t="str">
        <f>IF(ISNA(VLOOKUP($B228,CPY!$B:$G,3,FALSE))=TRUE," ",VLOOKUP($B228,CPY!$B:$G,3,FALSE))</f>
        <v> </v>
      </c>
      <c r="E228" s="65" t="str">
        <f>IF(ISNA(VLOOKUP($B228,CPY!$B:$G,4,FALSE))=TRUE," ",VLOOKUP($B228,CPY!$B:$G,4,FALSE))</f>
        <v> </v>
      </c>
      <c r="F228" s="62"/>
      <c r="G228" s="70"/>
      <c r="H228" s="62"/>
    </row>
    <row r="229" spans="1:8" x14ac:dyDescent="0.25">
      <c r="A229" s="62">
        <v>228</v>
      </c>
      <c r="B229" s="62"/>
      <c r="C229" s="68" t="str">
        <f>IF(ISNA(VLOOKUP($B229,CPY!$B:$G,2,FALSE))=TRUE," ",VLOOKUP($B229,CPY!$B:$G,2,FALSE))</f>
        <v> </v>
      </c>
      <c r="D229" s="50" t="str">
        <f>IF(ISNA(VLOOKUP($B229,CPY!$B:$G,3,FALSE))=TRUE," ",VLOOKUP($B229,CPY!$B:$G,3,FALSE))</f>
        <v> </v>
      </c>
      <c r="E229" s="65" t="str">
        <f>IF(ISNA(VLOOKUP($B229,CPY!$B:$G,4,FALSE))=TRUE," ",VLOOKUP($B229,CPY!$B:$G,4,FALSE))</f>
        <v> </v>
      </c>
      <c r="F229" s="62"/>
      <c r="G229" s="70"/>
      <c r="H229" s="62"/>
    </row>
    <row r="230" spans="1:8" x14ac:dyDescent="0.25">
      <c r="A230" s="62">
        <v>229</v>
      </c>
      <c r="B230" s="62"/>
      <c r="C230" s="68" t="str">
        <f>IF(ISNA(VLOOKUP($B230,CPY!$B:$G,2,FALSE))=TRUE," ",VLOOKUP($B230,CPY!$B:$G,2,FALSE))</f>
        <v> </v>
      </c>
      <c r="D230" s="50" t="str">
        <f>IF(ISNA(VLOOKUP($B230,CPY!$B:$G,3,FALSE))=TRUE," ",VLOOKUP($B230,CPY!$B:$G,3,FALSE))</f>
        <v> </v>
      </c>
      <c r="E230" s="65" t="str">
        <f>IF(ISNA(VLOOKUP($B230,CPY!$B:$G,4,FALSE))=TRUE," ",VLOOKUP($B230,CPY!$B:$G,4,FALSE))</f>
        <v> </v>
      </c>
      <c r="F230" s="62"/>
      <c r="G230" s="70"/>
      <c r="H230" s="62"/>
    </row>
    <row r="231" spans="1:8" x14ac:dyDescent="0.25">
      <c r="A231" s="62">
        <v>230</v>
      </c>
      <c r="B231" s="62"/>
      <c r="C231" s="68" t="str">
        <f>IF(ISNA(VLOOKUP($B231,CPY!$B:$G,2,FALSE))=TRUE," ",VLOOKUP($B231,CPY!$B:$G,2,FALSE))</f>
        <v> </v>
      </c>
      <c r="D231" s="50" t="str">
        <f>IF(ISNA(VLOOKUP($B231,CPY!$B:$G,3,FALSE))=TRUE," ",VLOOKUP($B231,CPY!$B:$G,3,FALSE))</f>
        <v> </v>
      </c>
      <c r="E231" s="65" t="str">
        <f>IF(ISNA(VLOOKUP($B231,CPY!$B:$G,4,FALSE))=TRUE," ",VLOOKUP($B231,CPY!$B:$G,4,FALSE))</f>
        <v> </v>
      </c>
      <c r="F231" s="62"/>
      <c r="G231" s="70"/>
      <c r="H231" s="62"/>
    </row>
    <row r="232" spans="1:8" x14ac:dyDescent="0.25">
      <c r="A232" s="62">
        <v>231</v>
      </c>
      <c r="B232" s="62"/>
      <c r="C232" s="68" t="str">
        <f>IF(ISNA(VLOOKUP($B232,CPY!$B:$G,2,FALSE))=TRUE," ",VLOOKUP($B232,CPY!$B:$G,2,FALSE))</f>
        <v> </v>
      </c>
      <c r="D232" s="50" t="str">
        <f>IF(ISNA(VLOOKUP($B232,CPY!$B:$G,3,FALSE))=TRUE," ",VLOOKUP($B232,CPY!$B:$G,3,FALSE))</f>
        <v> </v>
      </c>
      <c r="E232" s="65" t="str">
        <f>IF(ISNA(VLOOKUP($B232,CPY!$B:$G,4,FALSE))=TRUE," ",VLOOKUP($B232,CPY!$B:$G,4,FALSE))</f>
        <v> </v>
      </c>
      <c r="F232" s="62"/>
      <c r="G232" s="70"/>
      <c r="H232" s="62"/>
    </row>
    <row r="233" spans="1:8" x14ac:dyDescent="0.25">
      <c r="A233" s="62">
        <v>232</v>
      </c>
      <c r="B233" s="62"/>
      <c r="C233" s="68" t="str">
        <f>IF(ISNA(VLOOKUP($B233,CPY!$B:$G,2,FALSE))=TRUE," ",VLOOKUP($B233,CPY!$B:$G,2,FALSE))</f>
        <v> </v>
      </c>
      <c r="D233" s="50" t="str">
        <f>IF(ISNA(VLOOKUP($B233,CPY!$B:$G,3,FALSE))=TRUE," ",VLOOKUP($B233,CPY!$B:$G,3,FALSE))</f>
        <v> </v>
      </c>
      <c r="E233" s="65" t="str">
        <f>IF(ISNA(VLOOKUP($B233,CPY!$B:$G,4,FALSE))=TRUE," ",VLOOKUP($B233,CPY!$B:$G,4,FALSE))</f>
        <v> </v>
      </c>
      <c r="F233" s="62"/>
      <c r="G233" s="70"/>
      <c r="H233" s="62"/>
    </row>
    <row r="234" spans="1:8" x14ac:dyDescent="0.25">
      <c r="A234" s="62">
        <v>233</v>
      </c>
      <c r="B234" s="62"/>
      <c r="C234" s="68" t="str">
        <f>IF(ISNA(VLOOKUP($B234,CPY!$B:$G,2,FALSE))=TRUE," ",VLOOKUP($B234,CPY!$B:$G,2,FALSE))</f>
        <v> </v>
      </c>
      <c r="D234" s="50" t="str">
        <f>IF(ISNA(VLOOKUP($B234,CPY!$B:$G,3,FALSE))=TRUE," ",VLOOKUP($B234,CPY!$B:$G,3,FALSE))</f>
        <v> </v>
      </c>
      <c r="E234" s="65" t="str">
        <f>IF(ISNA(VLOOKUP($B234,CPY!$B:$G,4,FALSE))=TRUE," ",VLOOKUP($B234,CPY!$B:$G,4,FALSE))</f>
        <v> </v>
      </c>
      <c r="F234" s="62"/>
      <c r="G234" s="70"/>
      <c r="H234" s="62"/>
    </row>
    <row r="235" spans="1:8" x14ac:dyDescent="0.25">
      <c r="A235" s="62">
        <v>234</v>
      </c>
      <c r="B235" s="62"/>
      <c r="C235" s="68" t="str">
        <f>IF(ISNA(VLOOKUP($B235,CPY!$B:$G,2,FALSE))=TRUE," ",VLOOKUP($B235,CPY!$B:$G,2,FALSE))</f>
        <v> </v>
      </c>
      <c r="D235" s="50" t="str">
        <f>IF(ISNA(VLOOKUP($B235,CPY!$B:$G,3,FALSE))=TRUE," ",VLOOKUP($B235,CPY!$B:$G,3,FALSE))</f>
        <v> </v>
      </c>
      <c r="E235" s="65" t="str">
        <f>IF(ISNA(VLOOKUP($B235,CPY!$B:$G,4,FALSE))=TRUE," ",VLOOKUP($B235,CPY!$B:$G,4,FALSE))</f>
        <v> </v>
      </c>
      <c r="F235" s="62"/>
      <c r="G235" s="70"/>
      <c r="H235" s="62"/>
    </row>
    <row r="236" spans="1:8" x14ac:dyDescent="0.25">
      <c r="A236" s="62">
        <v>235</v>
      </c>
      <c r="B236" s="62"/>
      <c r="C236" s="68" t="str">
        <f>IF(ISNA(VLOOKUP($B236,CPY!$B:$G,2,FALSE))=TRUE," ",VLOOKUP($B236,CPY!$B:$G,2,FALSE))</f>
        <v> </v>
      </c>
      <c r="D236" s="50" t="str">
        <f>IF(ISNA(VLOOKUP($B236,CPY!$B:$G,3,FALSE))=TRUE," ",VLOOKUP($B236,CPY!$B:$G,3,FALSE))</f>
        <v> </v>
      </c>
      <c r="E236" s="65" t="str">
        <f>IF(ISNA(VLOOKUP($B236,CPY!$B:$G,4,FALSE))=TRUE," ",VLOOKUP($B236,CPY!$B:$G,4,FALSE))</f>
        <v> </v>
      </c>
      <c r="F236" s="62"/>
      <c r="G236" s="70"/>
      <c r="H236" s="62"/>
    </row>
    <row r="237" spans="1:8" x14ac:dyDescent="0.25">
      <c r="A237" s="62">
        <v>236</v>
      </c>
      <c r="B237" s="62"/>
      <c r="C237" s="68" t="str">
        <f>IF(ISNA(VLOOKUP($B237,CPY!$B:$G,2,FALSE))=TRUE," ",VLOOKUP($B237,CPY!$B:$G,2,FALSE))</f>
        <v> </v>
      </c>
      <c r="D237" s="50" t="str">
        <f>IF(ISNA(VLOOKUP($B237,CPY!$B:$G,3,FALSE))=TRUE," ",VLOOKUP($B237,CPY!$B:$G,3,FALSE))</f>
        <v> </v>
      </c>
      <c r="E237" s="65" t="str">
        <f>IF(ISNA(VLOOKUP($B237,CPY!$B:$G,4,FALSE))=TRUE," ",VLOOKUP($B237,CPY!$B:$G,4,FALSE))</f>
        <v> </v>
      </c>
      <c r="F237" s="62"/>
      <c r="G237" s="70"/>
      <c r="H237" s="62"/>
    </row>
    <row r="238" spans="1:8" x14ac:dyDescent="0.25">
      <c r="A238" s="62">
        <v>237</v>
      </c>
      <c r="B238" s="62"/>
      <c r="C238" s="68" t="str">
        <f>IF(ISNA(VLOOKUP($B238,CPY!$B:$G,2,FALSE))=TRUE," ",VLOOKUP($B238,CPY!$B:$G,2,FALSE))</f>
        <v> </v>
      </c>
      <c r="D238" s="50" t="str">
        <f>IF(ISNA(VLOOKUP($B238,CPY!$B:$G,3,FALSE))=TRUE," ",VLOOKUP($B238,CPY!$B:$G,3,FALSE))</f>
        <v> </v>
      </c>
      <c r="E238" s="65" t="str">
        <f>IF(ISNA(VLOOKUP($B238,CPY!$B:$G,4,FALSE))=TRUE," ",VLOOKUP($B238,CPY!$B:$G,4,FALSE))</f>
        <v> </v>
      </c>
      <c r="F238" s="62"/>
      <c r="G238" s="70"/>
      <c r="H238" s="62"/>
    </row>
    <row r="239" spans="1:8" x14ac:dyDescent="0.25">
      <c r="A239" s="62">
        <v>238</v>
      </c>
      <c r="B239" s="62"/>
      <c r="C239" s="68" t="str">
        <f>IF(ISNA(VLOOKUP($B239,CPY!$B:$G,2,FALSE))=TRUE," ",VLOOKUP($B239,CPY!$B:$G,2,FALSE))</f>
        <v> </v>
      </c>
      <c r="D239" s="50" t="str">
        <f>IF(ISNA(VLOOKUP($B239,CPY!$B:$G,3,FALSE))=TRUE," ",VLOOKUP($B239,CPY!$B:$G,3,FALSE))</f>
        <v> </v>
      </c>
      <c r="E239" s="65" t="str">
        <f>IF(ISNA(VLOOKUP($B239,CPY!$B:$G,4,FALSE))=TRUE," ",VLOOKUP($B239,CPY!$B:$G,4,FALSE))</f>
        <v> </v>
      </c>
      <c r="F239" s="62"/>
      <c r="G239" s="70"/>
      <c r="H239" s="62"/>
    </row>
    <row r="240" spans="1:8" x14ac:dyDescent="0.25">
      <c r="A240" s="62">
        <v>239</v>
      </c>
      <c r="B240" s="62"/>
      <c r="C240" s="68" t="str">
        <f>IF(ISNA(VLOOKUP($B240,CPY!$B:$G,2,FALSE))=TRUE," ",VLOOKUP($B240,CPY!$B:$G,2,FALSE))</f>
        <v> </v>
      </c>
      <c r="D240" s="50" t="str">
        <f>IF(ISNA(VLOOKUP($B240,CPY!$B:$G,3,FALSE))=TRUE," ",VLOOKUP($B240,CPY!$B:$G,3,FALSE))</f>
        <v> </v>
      </c>
      <c r="E240" s="65" t="str">
        <f>IF(ISNA(VLOOKUP($B240,CPY!$B:$G,4,FALSE))=TRUE," ",VLOOKUP($B240,CPY!$B:$G,4,FALSE))</f>
        <v> </v>
      </c>
      <c r="F240" s="62"/>
      <c r="G240" s="70"/>
      <c r="H240" s="62"/>
    </row>
    <row r="241" spans="1:8" x14ac:dyDescent="0.25">
      <c r="A241" s="62">
        <v>240</v>
      </c>
      <c r="B241" s="62"/>
      <c r="C241" s="68" t="str">
        <f>IF(ISNA(VLOOKUP($B241,CPY!$B:$G,2,FALSE))=TRUE," ",VLOOKUP($B241,CPY!$B:$G,2,FALSE))</f>
        <v> </v>
      </c>
      <c r="D241" s="50" t="str">
        <f>IF(ISNA(VLOOKUP($B241,CPY!$B:$G,3,FALSE))=TRUE," ",VLOOKUP($B241,CPY!$B:$G,3,FALSE))</f>
        <v> </v>
      </c>
      <c r="E241" s="65" t="str">
        <f>IF(ISNA(VLOOKUP($B241,CPY!$B:$G,4,FALSE))=TRUE," ",VLOOKUP($B241,CPY!$B:$G,4,FALSE))</f>
        <v> </v>
      </c>
      <c r="F241" s="62"/>
      <c r="G241" s="70"/>
      <c r="H241" s="62"/>
    </row>
    <row r="242" spans="1:8" x14ac:dyDescent="0.25">
      <c r="A242" s="62">
        <v>241</v>
      </c>
      <c r="B242" s="62"/>
      <c r="C242" s="68" t="str">
        <f>IF(ISNA(VLOOKUP($B242,CPY!$B:$G,2,FALSE))=TRUE," ",VLOOKUP($B242,CPY!$B:$G,2,FALSE))</f>
        <v> </v>
      </c>
      <c r="D242" s="50" t="str">
        <f>IF(ISNA(VLOOKUP($B242,CPY!$B:$G,3,FALSE))=TRUE," ",VLOOKUP($B242,CPY!$B:$G,3,FALSE))</f>
        <v> </v>
      </c>
      <c r="E242" s="65" t="str">
        <f>IF(ISNA(VLOOKUP($B242,CPY!$B:$G,4,FALSE))=TRUE," ",VLOOKUP($B242,CPY!$B:$G,4,FALSE))</f>
        <v> </v>
      </c>
      <c r="F242" s="62"/>
      <c r="G242" s="70"/>
      <c r="H242" s="62"/>
    </row>
    <row r="243" spans="1:8" x14ac:dyDescent="0.25">
      <c r="A243" s="62">
        <v>242</v>
      </c>
      <c r="B243" s="62"/>
      <c r="C243" s="68" t="str">
        <f>IF(ISNA(VLOOKUP($B243,CPY!$B:$G,2,FALSE))=TRUE," ",VLOOKUP($B243,CPY!$B:$G,2,FALSE))</f>
        <v> </v>
      </c>
      <c r="D243" s="50" t="str">
        <f>IF(ISNA(VLOOKUP($B243,CPY!$B:$G,3,FALSE))=TRUE," ",VLOOKUP($B243,CPY!$B:$G,3,FALSE))</f>
        <v> </v>
      </c>
      <c r="E243" s="65" t="str">
        <f>IF(ISNA(VLOOKUP($B243,CPY!$B:$G,4,FALSE))=TRUE," ",VLOOKUP($B243,CPY!$B:$G,4,FALSE))</f>
        <v> </v>
      </c>
      <c r="F243" s="62"/>
      <c r="G243" s="70"/>
      <c r="H243" s="62"/>
    </row>
    <row r="244" spans="1:8" x14ac:dyDescent="0.25">
      <c r="A244" s="62">
        <v>243</v>
      </c>
      <c r="B244" s="62"/>
      <c r="C244" s="68" t="str">
        <f>IF(ISNA(VLOOKUP($B244,CPY!$B:$G,2,FALSE))=TRUE," ",VLOOKUP($B244,CPY!$B:$G,2,FALSE))</f>
        <v> </v>
      </c>
      <c r="D244" s="50" t="str">
        <f>IF(ISNA(VLOOKUP($B244,CPY!$B:$G,3,FALSE))=TRUE," ",VLOOKUP($B244,CPY!$B:$G,3,FALSE))</f>
        <v> </v>
      </c>
      <c r="E244" s="65" t="str">
        <f>IF(ISNA(VLOOKUP($B244,CPY!$B:$G,4,FALSE))=TRUE," ",VLOOKUP($B244,CPY!$B:$G,4,FALSE))</f>
        <v> </v>
      </c>
      <c r="F244" s="62"/>
      <c r="G244" s="70"/>
      <c r="H244" s="62"/>
    </row>
    <row r="245" spans="1:8" x14ac:dyDescent="0.25">
      <c r="A245" s="62">
        <v>244</v>
      </c>
      <c r="B245" s="62"/>
      <c r="C245" s="68" t="str">
        <f>IF(ISNA(VLOOKUP($B245,CPY!$B:$G,2,FALSE))=TRUE," ",VLOOKUP($B245,CPY!$B:$G,2,FALSE))</f>
        <v> </v>
      </c>
      <c r="D245" s="50" t="str">
        <f>IF(ISNA(VLOOKUP($B245,CPY!$B:$G,3,FALSE))=TRUE," ",VLOOKUP($B245,CPY!$B:$G,3,FALSE))</f>
        <v> </v>
      </c>
      <c r="E245" s="65" t="str">
        <f>IF(ISNA(VLOOKUP($B245,CPY!$B:$G,4,FALSE))=TRUE," ",VLOOKUP($B245,CPY!$B:$G,4,FALSE))</f>
        <v> </v>
      </c>
      <c r="F245" s="62"/>
      <c r="G245" s="70"/>
      <c r="H245" s="62"/>
    </row>
    <row r="246" spans="1:8" x14ac:dyDescent="0.25">
      <c r="A246" s="62">
        <v>245</v>
      </c>
      <c r="B246" s="62"/>
      <c r="C246" s="68" t="str">
        <f>IF(ISNA(VLOOKUP($B246,CPY!$B:$G,2,FALSE))=TRUE," ",VLOOKUP($B246,CPY!$B:$G,2,FALSE))</f>
        <v> </v>
      </c>
      <c r="D246" s="50" t="str">
        <f>IF(ISNA(VLOOKUP($B246,CPY!$B:$G,3,FALSE))=TRUE," ",VLOOKUP($B246,CPY!$B:$G,3,FALSE))</f>
        <v> </v>
      </c>
      <c r="E246" s="65" t="str">
        <f>IF(ISNA(VLOOKUP($B246,CPY!$B:$G,4,FALSE))=TRUE," ",VLOOKUP($B246,CPY!$B:$G,4,FALSE))</f>
        <v> </v>
      </c>
      <c r="F246" s="62"/>
      <c r="G246" s="70"/>
      <c r="H246" s="62"/>
    </row>
    <row r="247" spans="1:8" x14ac:dyDescent="0.25">
      <c r="A247" s="62">
        <v>246</v>
      </c>
      <c r="B247" s="62"/>
      <c r="C247" s="68" t="str">
        <f>IF(ISNA(VLOOKUP($B247,CPY!$B:$G,2,FALSE))=TRUE," ",VLOOKUP($B247,CPY!$B:$G,2,FALSE))</f>
        <v> </v>
      </c>
      <c r="D247" s="50" t="str">
        <f>IF(ISNA(VLOOKUP($B247,CPY!$B:$G,3,FALSE))=TRUE," ",VLOOKUP($B247,CPY!$B:$G,3,FALSE))</f>
        <v> </v>
      </c>
      <c r="E247" s="65" t="str">
        <f>IF(ISNA(VLOOKUP($B247,CPY!$B:$G,4,FALSE))=TRUE," ",VLOOKUP($B247,CPY!$B:$G,4,FALSE))</f>
        <v> </v>
      </c>
      <c r="F247" s="62"/>
      <c r="G247" s="70"/>
      <c r="H247" s="62"/>
    </row>
    <row r="248" spans="1:8" x14ac:dyDescent="0.25">
      <c r="A248" s="62">
        <v>247</v>
      </c>
      <c r="B248" s="62"/>
      <c r="C248" s="68" t="str">
        <f>IF(ISNA(VLOOKUP($B248,CPY!$B:$G,2,FALSE))=TRUE," ",VLOOKUP($B248,CPY!$B:$G,2,FALSE))</f>
        <v> </v>
      </c>
      <c r="D248" s="50" t="str">
        <f>IF(ISNA(VLOOKUP($B248,CPY!$B:$G,3,FALSE))=TRUE," ",VLOOKUP($B248,CPY!$B:$G,3,FALSE))</f>
        <v> </v>
      </c>
      <c r="E248" s="65" t="str">
        <f>IF(ISNA(VLOOKUP($B248,CPY!$B:$G,4,FALSE))=TRUE," ",VLOOKUP($B248,CPY!$B:$G,4,FALSE))</f>
        <v> </v>
      </c>
      <c r="F248" s="62"/>
      <c r="G248" s="70"/>
      <c r="H248" s="62"/>
    </row>
    <row r="249" spans="1:8" x14ac:dyDescent="0.25">
      <c r="A249" s="62">
        <v>248</v>
      </c>
      <c r="B249" s="62"/>
      <c r="C249" s="68" t="str">
        <f>IF(ISNA(VLOOKUP($B249,CPY!$B:$G,2,FALSE))=TRUE," ",VLOOKUP($B249,CPY!$B:$G,2,FALSE))</f>
        <v> </v>
      </c>
      <c r="D249" s="50" t="str">
        <f>IF(ISNA(VLOOKUP($B249,CPY!$B:$G,3,FALSE))=TRUE," ",VLOOKUP($B249,CPY!$B:$G,3,FALSE))</f>
        <v> </v>
      </c>
      <c r="E249" s="65" t="str">
        <f>IF(ISNA(VLOOKUP($B249,CPY!$B:$G,4,FALSE))=TRUE," ",VLOOKUP($B249,CPY!$B:$G,4,FALSE))</f>
        <v> </v>
      </c>
      <c r="F249" s="62"/>
      <c r="G249" s="70"/>
      <c r="H249" s="62"/>
    </row>
    <row r="250" spans="1:8" x14ac:dyDescent="0.25">
      <c r="A250" s="62">
        <v>249</v>
      </c>
      <c r="B250" s="62"/>
      <c r="C250" s="68" t="str">
        <f>IF(ISNA(VLOOKUP($B250,CPY!$B:$G,2,FALSE))=TRUE," ",VLOOKUP($B250,CPY!$B:$G,2,FALSE))</f>
        <v> </v>
      </c>
      <c r="D250" s="50" t="str">
        <f>IF(ISNA(VLOOKUP($B250,CPY!$B:$G,3,FALSE))=TRUE," ",VLOOKUP($B250,CPY!$B:$G,3,FALSE))</f>
        <v> </v>
      </c>
      <c r="E250" s="65" t="str">
        <f>IF(ISNA(VLOOKUP($B250,CPY!$B:$G,4,FALSE))=TRUE," ",VLOOKUP($B250,CPY!$B:$G,4,FALSE))</f>
        <v> </v>
      </c>
      <c r="F250" s="62"/>
      <c r="G250" s="70"/>
      <c r="H250" s="62"/>
    </row>
    <row r="251" spans="1:8" x14ac:dyDescent="0.25">
      <c r="A251" s="62">
        <v>250</v>
      </c>
      <c r="B251" s="62"/>
      <c r="C251" s="68" t="str">
        <f>IF(ISNA(VLOOKUP($B251,CPY!$B:$G,2,FALSE))=TRUE," ",VLOOKUP($B251,CPY!$B:$G,2,FALSE))</f>
        <v> </v>
      </c>
      <c r="D251" s="50" t="str">
        <f>IF(ISNA(VLOOKUP($B251,CPY!$B:$G,3,FALSE))=TRUE," ",VLOOKUP($B251,CPY!$B:$G,3,FALSE))</f>
        <v> </v>
      </c>
      <c r="E251" s="65" t="str">
        <f>IF(ISNA(VLOOKUP($B251,CPY!$B:$G,4,FALSE))=TRUE," ",VLOOKUP($B251,CPY!$B:$G,4,FALSE))</f>
        <v> </v>
      </c>
      <c r="F251" s="62"/>
      <c r="G251" s="70"/>
      <c r="H251" s="62"/>
    </row>
    <row r="252" spans="1:8" x14ac:dyDescent="0.25">
      <c r="A252" s="62">
        <v>251</v>
      </c>
      <c r="B252" s="62"/>
      <c r="C252" s="68" t="str">
        <f>IF(ISNA(VLOOKUP($B252,CPY!$B:$G,2,FALSE))=TRUE," ",VLOOKUP($B252,CPY!$B:$G,2,FALSE))</f>
        <v> </v>
      </c>
      <c r="D252" s="50" t="str">
        <f>IF(ISNA(VLOOKUP($B252,CPY!$B:$G,3,FALSE))=TRUE," ",VLOOKUP($B252,CPY!$B:$G,3,FALSE))</f>
        <v> </v>
      </c>
      <c r="E252" s="65" t="str">
        <f>IF(ISNA(VLOOKUP($B252,CPY!$B:$G,4,FALSE))=TRUE," ",VLOOKUP($B252,CPY!$B:$G,4,FALSE))</f>
        <v> </v>
      </c>
      <c r="F252" s="62"/>
      <c r="G252" s="70"/>
      <c r="H252" s="62"/>
    </row>
    <row r="253" spans="1:8" x14ac:dyDescent="0.25">
      <c r="A253" s="62">
        <v>252</v>
      </c>
      <c r="B253" s="62"/>
      <c r="C253" s="68" t="str">
        <f>IF(ISNA(VLOOKUP($B253,CPY!$B:$G,2,FALSE))=TRUE," ",VLOOKUP($B253,CPY!$B:$G,2,FALSE))</f>
        <v> </v>
      </c>
      <c r="D253" s="50" t="str">
        <f>IF(ISNA(VLOOKUP($B253,CPY!$B:$G,3,FALSE))=TRUE," ",VLOOKUP($B253,CPY!$B:$G,3,FALSE))</f>
        <v> </v>
      </c>
      <c r="E253" s="65" t="str">
        <f>IF(ISNA(VLOOKUP($B253,CPY!$B:$G,4,FALSE))=TRUE," ",VLOOKUP($B253,CPY!$B:$G,4,FALSE))</f>
        <v> </v>
      </c>
      <c r="F253" s="62"/>
      <c r="G253" s="70"/>
      <c r="H253" s="62"/>
    </row>
    <row r="254" spans="1:8" x14ac:dyDescent="0.25">
      <c r="A254" s="62">
        <v>253</v>
      </c>
      <c r="B254" s="62"/>
      <c r="C254" s="68" t="str">
        <f>IF(ISNA(VLOOKUP($B254,CPY!$B:$G,2,FALSE))=TRUE," ",VLOOKUP($B254,CPY!$B:$G,2,FALSE))</f>
        <v> </v>
      </c>
      <c r="D254" s="50" t="str">
        <f>IF(ISNA(VLOOKUP($B254,CPY!$B:$G,3,FALSE))=TRUE," ",VLOOKUP($B254,CPY!$B:$G,3,FALSE))</f>
        <v> </v>
      </c>
      <c r="E254" s="65" t="str">
        <f>IF(ISNA(VLOOKUP($B254,CPY!$B:$G,4,FALSE))=TRUE," ",VLOOKUP($B254,CPY!$B:$G,4,FALSE))</f>
        <v> </v>
      </c>
      <c r="F254" s="62"/>
      <c r="G254" s="70"/>
      <c r="H254" s="62"/>
    </row>
    <row r="255" spans="1:8" x14ac:dyDescent="0.25">
      <c r="A255" s="62">
        <v>254</v>
      </c>
      <c r="B255" s="62"/>
      <c r="C255" s="68" t="str">
        <f>IF(ISNA(VLOOKUP($B255,CPY!$B:$G,2,FALSE))=TRUE," ",VLOOKUP($B255,CPY!$B:$G,2,FALSE))</f>
        <v> </v>
      </c>
      <c r="D255" s="50" t="str">
        <f>IF(ISNA(VLOOKUP($B255,CPY!$B:$G,3,FALSE))=TRUE," ",VLOOKUP($B255,CPY!$B:$G,3,FALSE))</f>
        <v> </v>
      </c>
      <c r="E255" s="65" t="str">
        <f>IF(ISNA(VLOOKUP($B255,CPY!$B:$G,4,FALSE))=TRUE," ",VLOOKUP($B255,CPY!$B:$G,4,FALSE))</f>
        <v> </v>
      </c>
      <c r="F255" s="62"/>
      <c r="G255" s="70"/>
      <c r="H255" s="62"/>
    </row>
    <row r="256" spans="1:8" x14ac:dyDescent="0.25">
      <c r="A256" s="62">
        <v>255</v>
      </c>
      <c r="B256" s="62"/>
      <c r="C256" s="68" t="str">
        <f>IF(ISNA(VLOOKUP($B256,CPY!$B:$G,2,FALSE))=TRUE," ",VLOOKUP($B256,CPY!$B:$G,2,FALSE))</f>
        <v> </v>
      </c>
      <c r="D256" s="50" t="str">
        <f>IF(ISNA(VLOOKUP($B256,CPY!$B:$G,3,FALSE))=TRUE," ",VLOOKUP($B256,CPY!$B:$G,3,FALSE))</f>
        <v> </v>
      </c>
      <c r="E256" s="65" t="str">
        <f>IF(ISNA(VLOOKUP($B256,CPY!$B:$G,4,FALSE))=TRUE," ",VLOOKUP($B256,CPY!$B:$G,4,FALSE))</f>
        <v> </v>
      </c>
      <c r="F256" s="62"/>
      <c r="G256" s="70"/>
      <c r="H256" s="62"/>
    </row>
    <row r="257" spans="1:8" x14ac:dyDescent="0.25">
      <c r="A257" s="62">
        <v>256</v>
      </c>
      <c r="B257" s="62"/>
      <c r="C257" s="68" t="str">
        <f>IF(ISNA(VLOOKUP($B257,CPY!$B:$G,2,FALSE))=TRUE," ",VLOOKUP($B257,CPY!$B:$G,2,FALSE))</f>
        <v> </v>
      </c>
      <c r="D257" s="50" t="str">
        <f>IF(ISNA(VLOOKUP($B257,CPY!$B:$G,3,FALSE))=TRUE," ",VLOOKUP($B257,CPY!$B:$G,3,FALSE))</f>
        <v> </v>
      </c>
      <c r="E257" s="65" t="str">
        <f>IF(ISNA(VLOOKUP($B257,CPY!$B:$G,4,FALSE))=TRUE," ",VLOOKUP($B257,CPY!$B:$G,4,FALSE))</f>
        <v> </v>
      </c>
      <c r="F257" s="62"/>
      <c r="G257" s="70"/>
      <c r="H257" s="62"/>
    </row>
    <row r="258" spans="1:8" x14ac:dyDescent="0.25">
      <c r="A258" s="62">
        <v>257</v>
      </c>
      <c r="B258" s="62"/>
      <c r="C258" s="68" t="str">
        <f>IF(ISNA(VLOOKUP($B258,CPY!$B:$G,2,FALSE))=TRUE," ",VLOOKUP($B258,CPY!$B:$G,2,FALSE))</f>
        <v> </v>
      </c>
      <c r="D258" s="50" t="str">
        <f>IF(ISNA(VLOOKUP($B258,CPY!$B:$G,3,FALSE))=TRUE," ",VLOOKUP($B258,CPY!$B:$G,3,FALSE))</f>
        <v> </v>
      </c>
      <c r="E258" s="65" t="str">
        <f>IF(ISNA(VLOOKUP($B258,CPY!$B:$G,4,FALSE))=TRUE," ",VLOOKUP($B258,CPY!$B:$G,4,FALSE))</f>
        <v> </v>
      </c>
      <c r="F258" s="62"/>
      <c r="G258" s="70"/>
      <c r="H258" s="62"/>
    </row>
    <row r="259" spans="1:8" x14ac:dyDescent="0.25">
      <c r="A259" s="62">
        <v>258</v>
      </c>
      <c r="B259" s="62"/>
      <c r="C259" s="68" t="str">
        <f>IF(ISNA(VLOOKUP($B259,CPY!$B:$G,2,FALSE))=TRUE," ",VLOOKUP($B259,CPY!$B:$G,2,FALSE))</f>
        <v> </v>
      </c>
      <c r="D259" s="50" t="str">
        <f>IF(ISNA(VLOOKUP($B259,CPY!$B:$G,3,FALSE))=TRUE," ",VLOOKUP($B259,CPY!$B:$G,3,FALSE))</f>
        <v> </v>
      </c>
      <c r="E259" s="65" t="str">
        <f>IF(ISNA(VLOOKUP($B259,CPY!$B:$G,4,FALSE))=TRUE," ",VLOOKUP($B259,CPY!$B:$G,4,FALSE))</f>
        <v> </v>
      </c>
      <c r="F259" s="62"/>
      <c r="G259" s="70"/>
      <c r="H259" s="62"/>
    </row>
    <row r="260" spans="1:8" x14ac:dyDescent="0.25">
      <c r="A260" s="62">
        <v>259</v>
      </c>
      <c r="B260" s="62"/>
      <c r="C260" s="68" t="str">
        <f>IF(ISNA(VLOOKUP($B260,CPY!$B:$G,2,FALSE))=TRUE," ",VLOOKUP($B260,CPY!$B:$G,2,FALSE))</f>
        <v> </v>
      </c>
      <c r="D260" s="50" t="str">
        <f>IF(ISNA(VLOOKUP($B260,CPY!$B:$G,3,FALSE))=TRUE," ",VLOOKUP($B260,CPY!$B:$G,3,FALSE))</f>
        <v> </v>
      </c>
      <c r="E260" s="65" t="str">
        <f>IF(ISNA(VLOOKUP($B260,CPY!$B:$G,4,FALSE))=TRUE," ",VLOOKUP($B260,CPY!$B:$G,4,FALSE))</f>
        <v> </v>
      </c>
      <c r="F260" s="62"/>
      <c r="G260" s="70"/>
      <c r="H260" s="62"/>
    </row>
    <row r="261" spans="1:8" x14ac:dyDescent="0.25">
      <c r="A261" s="62">
        <v>260</v>
      </c>
      <c r="B261" s="62"/>
      <c r="C261" s="68" t="str">
        <f>IF(ISNA(VLOOKUP($B261,CPY!$B:$G,2,FALSE))=TRUE," ",VLOOKUP($B261,CPY!$B:$G,2,FALSE))</f>
        <v> </v>
      </c>
      <c r="D261" s="50" t="str">
        <f>IF(ISNA(VLOOKUP($B261,CPY!$B:$G,3,FALSE))=TRUE," ",VLOOKUP($B261,CPY!$B:$G,3,FALSE))</f>
        <v> </v>
      </c>
      <c r="E261" s="65" t="str">
        <f>IF(ISNA(VLOOKUP($B261,CPY!$B:$G,4,FALSE))=TRUE," ",VLOOKUP($B261,CPY!$B:$G,4,FALSE))</f>
        <v> </v>
      </c>
      <c r="F261" s="62"/>
      <c r="G261" s="70"/>
      <c r="H261" s="62"/>
    </row>
    <row r="262" spans="1:8" x14ac:dyDescent="0.25">
      <c r="A262" s="62">
        <v>261</v>
      </c>
      <c r="B262" s="62"/>
      <c r="C262" s="68" t="str">
        <f>IF(ISNA(VLOOKUP($B262,CPY!$B:$G,2,FALSE))=TRUE," ",VLOOKUP($B262,CPY!$B:$G,2,FALSE))</f>
        <v> </v>
      </c>
      <c r="D262" s="50" t="str">
        <f>IF(ISNA(VLOOKUP($B262,CPY!$B:$G,3,FALSE))=TRUE," ",VLOOKUP($B262,CPY!$B:$G,3,FALSE))</f>
        <v> </v>
      </c>
      <c r="E262" s="65" t="str">
        <f>IF(ISNA(VLOOKUP($B262,CPY!$B:$G,4,FALSE))=TRUE," ",VLOOKUP($B262,CPY!$B:$G,4,FALSE))</f>
        <v> </v>
      </c>
      <c r="F262" s="62"/>
      <c r="G262" s="70"/>
      <c r="H262" s="62"/>
    </row>
    <row r="263" spans="1:8" x14ac:dyDescent="0.25">
      <c r="A263" s="62">
        <v>262</v>
      </c>
      <c r="B263" s="62"/>
      <c r="C263" s="68" t="str">
        <f>IF(ISNA(VLOOKUP($B263,CPY!$B:$G,2,FALSE))=TRUE," ",VLOOKUP($B263,CPY!$B:$G,2,FALSE))</f>
        <v> </v>
      </c>
      <c r="D263" s="50" t="str">
        <f>IF(ISNA(VLOOKUP($B263,CPY!$B:$G,3,FALSE))=TRUE," ",VLOOKUP($B263,CPY!$B:$G,3,FALSE))</f>
        <v> </v>
      </c>
      <c r="E263" s="65" t="str">
        <f>IF(ISNA(VLOOKUP($B263,CPY!$B:$G,4,FALSE))=TRUE," ",VLOOKUP($B263,CPY!$B:$G,4,FALSE))</f>
        <v> </v>
      </c>
      <c r="F263" s="62"/>
      <c r="G263" s="70"/>
      <c r="H263" s="62"/>
    </row>
    <row r="264" spans="1:8" x14ac:dyDescent="0.25">
      <c r="A264" s="62">
        <v>263</v>
      </c>
      <c r="B264" s="62"/>
      <c r="C264" s="68" t="str">
        <f>IF(ISNA(VLOOKUP($B264,CPY!$B:$G,2,FALSE))=TRUE," ",VLOOKUP($B264,CPY!$B:$G,2,FALSE))</f>
        <v> </v>
      </c>
      <c r="D264" s="50" t="str">
        <f>IF(ISNA(VLOOKUP($B264,CPY!$B:$G,3,FALSE))=TRUE," ",VLOOKUP($B264,CPY!$B:$G,3,FALSE))</f>
        <v> </v>
      </c>
      <c r="E264" s="65" t="str">
        <f>IF(ISNA(VLOOKUP($B264,CPY!$B:$G,4,FALSE))=TRUE," ",VLOOKUP($B264,CPY!$B:$G,4,FALSE))</f>
        <v> </v>
      </c>
      <c r="F264" s="62"/>
      <c r="G264" s="70"/>
      <c r="H264" s="62"/>
    </row>
    <row r="265" spans="1:8" x14ac:dyDescent="0.25">
      <c r="A265" s="62">
        <v>264</v>
      </c>
      <c r="B265" s="62"/>
      <c r="C265" s="68" t="str">
        <f>IF(ISNA(VLOOKUP($B265,CPY!$B:$G,2,FALSE))=TRUE," ",VLOOKUP($B265,CPY!$B:$G,2,FALSE))</f>
        <v> </v>
      </c>
      <c r="D265" s="50" t="str">
        <f>IF(ISNA(VLOOKUP($B265,CPY!$B:$G,3,FALSE))=TRUE," ",VLOOKUP($B265,CPY!$B:$G,3,FALSE))</f>
        <v> </v>
      </c>
      <c r="E265" s="65" t="str">
        <f>IF(ISNA(VLOOKUP($B265,CPY!$B:$G,4,FALSE))=TRUE," ",VLOOKUP($B265,CPY!$B:$G,4,FALSE))</f>
        <v> </v>
      </c>
      <c r="F265" s="62"/>
      <c r="G265" s="70"/>
      <c r="H265" s="62"/>
    </row>
    <row r="266" spans="1:8" x14ac:dyDescent="0.25">
      <c r="A266" s="62">
        <v>265</v>
      </c>
      <c r="B266" s="62"/>
      <c r="C266" s="68" t="str">
        <f>IF(ISNA(VLOOKUP($B266,CPY!$B:$G,2,FALSE))=TRUE," ",VLOOKUP($B266,CPY!$B:$G,2,FALSE))</f>
        <v> </v>
      </c>
      <c r="D266" s="50" t="str">
        <f>IF(ISNA(VLOOKUP($B266,CPY!$B:$G,3,FALSE))=TRUE," ",VLOOKUP($B266,CPY!$B:$G,3,FALSE))</f>
        <v> </v>
      </c>
      <c r="E266" s="65" t="str">
        <f>IF(ISNA(VLOOKUP($B266,CPY!$B:$G,4,FALSE))=TRUE," ",VLOOKUP($B266,CPY!$B:$G,4,FALSE))</f>
        <v> </v>
      </c>
      <c r="F266" s="62"/>
      <c r="G266" s="70"/>
      <c r="H266" s="62"/>
    </row>
    <row r="267" spans="1:8" x14ac:dyDescent="0.25">
      <c r="A267" s="62">
        <v>266</v>
      </c>
      <c r="B267" s="62"/>
      <c r="C267" s="68" t="str">
        <f>IF(ISNA(VLOOKUP($B267,CPY!$B:$G,2,FALSE))=TRUE," ",VLOOKUP($B267,CPY!$B:$G,2,FALSE))</f>
        <v> </v>
      </c>
      <c r="D267" s="50" t="str">
        <f>IF(ISNA(VLOOKUP($B267,CPY!$B:$G,3,FALSE))=TRUE," ",VLOOKUP($B267,CPY!$B:$G,3,FALSE))</f>
        <v> </v>
      </c>
      <c r="E267" s="65" t="str">
        <f>IF(ISNA(VLOOKUP($B267,CPY!$B:$G,4,FALSE))=TRUE," ",VLOOKUP($B267,CPY!$B:$G,4,FALSE))</f>
        <v> </v>
      </c>
      <c r="F267" s="62"/>
      <c r="G267" s="70"/>
      <c r="H267" s="62"/>
    </row>
    <row r="268" spans="1:8" x14ac:dyDescent="0.25">
      <c r="A268" s="62">
        <v>267</v>
      </c>
      <c r="B268" s="62"/>
      <c r="C268" s="68" t="str">
        <f>IF(ISNA(VLOOKUP($B268,CPY!$B:$G,2,FALSE))=TRUE," ",VLOOKUP($B268,CPY!$B:$G,2,FALSE))</f>
        <v> </v>
      </c>
      <c r="D268" s="50" t="str">
        <f>IF(ISNA(VLOOKUP($B268,CPY!$B:$G,3,FALSE))=TRUE," ",VLOOKUP($B268,CPY!$B:$G,3,FALSE))</f>
        <v> </v>
      </c>
      <c r="E268" s="65" t="str">
        <f>IF(ISNA(VLOOKUP($B268,CPY!$B:$G,4,FALSE))=TRUE," ",VLOOKUP($B268,CPY!$B:$G,4,FALSE))</f>
        <v> </v>
      </c>
      <c r="F268" s="62"/>
      <c r="G268" s="70"/>
      <c r="H268" s="62"/>
    </row>
    <row r="269" spans="1:8" x14ac:dyDescent="0.25">
      <c r="A269" s="62">
        <v>268</v>
      </c>
      <c r="B269" s="62"/>
      <c r="C269" s="68" t="str">
        <f>IF(ISNA(VLOOKUP($B269,CPY!$B:$G,2,FALSE))=TRUE," ",VLOOKUP($B269,CPY!$B:$G,2,FALSE))</f>
        <v> </v>
      </c>
      <c r="D269" s="50" t="str">
        <f>IF(ISNA(VLOOKUP($B269,CPY!$B:$G,3,FALSE))=TRUE," ",VLOOKUP($B269,CPY!$B:$G,3,FALSE))</f>
        <v> </v>
      </c>
      <c r="E269" s="65" t="str">
        <f>IF(ISNA(VLOOKUP($B269,CPY!$B:$G,4,FALSE))=TRUE," ",VLOOKUP($B269,CPY!$B:$G,4,FALSE))</f>
        <v> </v>
      </c>
      <c r="F269" s="62"/>
      <c r="G269" s="70"/>
      <c r="H269" s="62"/>
    </row>
    <row r="270" spans="1:8" x14ac:dyDescent="0.25">
      <c r="A270" s="62">
        <v>269</v>
      </c>
      <c r="B270" s="62"/>
      <c r="C270" s="68" t="str">
        <f>IF(ISNA(VLOOKUP($B270,CPY!$B:$G,2,FALSE))=TRUE," ",VLOOKUP($B270,CPY!$B:$G,2,FALSE))</f>
        <v> </v>
      </c>
      <c r="D270" s="50" t="str">
        <f>IF(ISNA(VLOOKUP($B270,CPY!$B:$G,3,FALSE))=TRUE," ",VLOOKUP($B270,CPY!$B:$G,3,FALSE))</f>
        <v> </v>
      </c>
      <c r="E270" s="65" t="str">
        <f>IF(ISNA(VLOOKUP($B270,CPY!$B:$G,4,FALSE))=TRUE," ",VLOOKUP($B270,CPY!$B:$G,4,FALSE))</f>
        <v> </v>
      </c>
      <c r="F270" s="62"/>
      <c r="G270" s="70"/>
      <c r="H270" s="62"/>
    </row>
    <row r="271" spans="1:8" x14ac:dyDescent="0.25">
      <c r="A271" s="62">
        <v>270</v>
      </c>
      <c r="B271" s="62"/>
      <c r="C271" s="68" t="str">
        <f>IF(ISNA(VLOOKUP($B271,CPY!$B:$G,2,FALSE))=TRUE," ",VLOOKUP($B271,CPY!$B:$G,2,FALSE))</f>
        <v> </v>
      </c>
      <c r="D271" s="50" t="str">
        <f>IF(ISNA(VLOOKUP($B271,CPY!$B:$G,3,FALSE))=TRUE," ",VLOOKUP($B271,CPY!$B:$G,3,FALSE))</f>
        <v> </v>
      </c>
      <c r="E271" s="65" t="str">
        <f>IF(ISNA(VLOOKUP($B271,CPY!$B:$G,4,FALSE))=TRUE," ",VLOOKUP($B271,CPY!$B:$G,4,FALSE))</f>
        <v> </v>
      </c>
      <c r="F271" s="62"/>
      <c r="G271" s="70"/>
      <c r="H271" s="62"/>
    </row>
    <row r="272" spans="1:8" x14ac:dyDescent="0.25">
      <c r="A272" s="62">
        <v>271</v>
      </c>
      <c r="B272" s="62"/>
      <c r="C272" s="68" t="str">
        <f>IF(ISNA(VLOOKUP($B272,CPY!$B:$G,2,FALSE))=TRUE," ",VLOOKUP($B272,CPY!$B:$G,2,FALSE))</f>
        <v> </v>
      </c>
      <c r="D272" s="50" t="str">
        <f>IF(ISNA(VLOOKUP($B272,CPY!$B:$G,3,FALSE))=TRUE," ",VLOOKUP($B272,CPY!$B:$G,3,FALSE))</f>
        <v> </v>
      </c>
      <c r="E272" s="65" t="str">
        <f>IF(ISNA(VLOOKUP($B272,CPY!$B:$G,4,FALSE))=TRUE," ",VLOOKUP($B272,CPY!$B:$G,4,FALSE))</f>
        <v> </v>
      </c>
      <c r="F272" s="62"/>
      <c r="G272" s="70"/>
      <c r="H272" s="62"/>
    </row>
    <row r="273" spans="1:8" x14ac:dyDescent="0.25">
      <c r="A273" s="62">
        <v>272</v>
      </c>
      <c r="B273" s="62"/>
      <c r="C273" s="68" t="str">
        <f>IF(ISNA(VLOOKUP($B273,CPY!$B:$G,2,FALSE))=TRUE," ",VLOOKUP($B273,CPY!$B:$G,2,FALSE))</f>
        <v> </v>
      </c>
      <c r="D273" s="50" t="str">
        <f>IF(ISNA(VLOOKUP($B273,CPY!$B:$G,3,FALSE))=TRUE," ",VLOOKUP($B273,CPY!$B:$G,3,FALSE))</f>
        <v> </v>
      </c>
      <c r="E273" s="65" t="str">
        <f>IF(ISNA(VLOOKUP($B273,CPY!$B:$G,4,FALSE))=TRUE," ",VLOOKUP($B273,CPY!$B:$G,4,FALSE))</f>
        <v> </v>
      </c>
      <c r="F273" s="62"/>
      <c r="G273" s="70"/>
      <c r="H273" s="62"/>
    </row>
    <row r="274" spans="1:8" x14ac:dyDescent="0.25">
      <c r="A274" s="62">
        <v>273</v>
      </c>
      <c r="B274" s="62"/>
      <c r="C274" s="68" t="str">
        <f>IF(ISNA(VLOOKUP($B274,CPY!$B:$G,2,FALSE))=TRUE," ",VLOOKUP($B274,CPY!$B:$G,2,FALSE))</f>
        <v> </v>
      </c>
      <c r="D274" s="50" t="str">
        <f>IF(ISNA(VLOOKUP($B274,CPY!$B:$G,3,FALSE))=TRUE," ",VLOOKUP($B274,CPY!$B:$G,3,FALSE))</f>
        <v> </v>
      </c>
      <c r="E274" s="65" t="str">
        <f>IF(ISNA(VLOOKUP($B274,CPY!$B:$G,4,FALSE))=TRUE," ",VLOOKUP($B274,CPY!$B:$G,4,FALSE))</f>
        <v> </v>
      </c>
      <c r="F274" s="62"/>
      <c r="G274" s="70"/>
      <c r="H274" s="62"/>
    </row>
    <row r="275" spans="1:8" x14ac:dyDescent="0.25">
      <c r="A275" s="62">
        <v>274</v>
      </c>
      <c r="B275" s="62"/>
      <c r="C275" s="68" t="str">
        <f>IF(ISNA(VLOOKUP($B275,CPY!$B:$G,2,FALSE))=TRUE," ",VLOOKUP($B275,CPY!$B:$G,2,FALSE))</f>
        <v> </v>
      </c>
      <c r="D275" s="50" t="str">
        <f>IF(ISNA(VLOOKUP($B275,CPY!$B:$G,3,FALSE))=TRUE," ",VLOOKUP($B275,CPY!$B:$G,3,FALSE))</f>
        <v> </v>
      </c>
      <c r="E275" s="65" t="str">
        <f>IF(ISNA(VLOOKUP($B275,CPY!$B:$G,4,FALSE))=TRUE," ",VLOOKUP($B275,CPY!$B:$G,4,FALSE))</f>
        <v> </v>
      </c>
      <c r="F275" s="62"/>
      <c r="G275" s="70"/>
      <c r="H275" s="62"/>
    </row>
    <row r="276" spans="1:8" x14ac:dyDescent="0.25">
      <c r="A276" s="62">
        <v>275</v>
      </c>
      <c r="B276" s="62"/>
      <c r="C276" s="68" t="str">
        <f>IF(ISNA(VLOOKUP($B276,CPY!$B:$G,2,FALSE))=TRUE," ",VLOOKUP($B276,CPY!$B:$G,2,FALSE))</f>
        <v> </v>
      </c>
      <c r="D276" s="50" t="str">
        <f>IF(ISNA(VLOOKUP($B276,CPY!$B:$G,3,FALSE))=TRUE," ",VLOOKUP($B276,CPY!$B:$G,3,FALSE))</f>
        <v> </v>
      </c>
      <c r="E276" s="65" t="str">
        <f>IF(ISNA(VLOOKUP($B276,CPY!$B:$G,4,FALSE))=TRUE," ",VLOOKUP($B276,CPY!$B:$G,4,FALSE))</f>
        <v> </v>
      </c>
      <c r="F276" s="62"/>
      <c r="G276" s="70"/>
      <c r="H276" s="62"/>
    </row>
    <row r="277" spans="1:8" x14ac:dyDescent="0.25">
      <c r="A277" s="62">
        <v>276</v>
      </c>
      <c r="B277" s="62"/>
      <c r="C277" s="68" t="str">
        <f>IF(ISNA(VLOOKUP($B277,CPY!$B:$G,2,FALSE))=TRUE," ",VLOOKUP($B277,CPY!$B:$G,2,FALSE))</f>
        <v> </v>
      </c>
      <c r="D277" s="50" t="str">
        <f>IF(ISNA(VLOOKUP($B277,CPY!$B:$G,3,FALSE))=TRUE," ",VLOOKUP($B277,CPY!$B:$G,3,FALSE))</f>
        <v> </v>
      </c>
      <c r="E277" s="65" t="str">
        <f>IF(ISNA(VLOOKUP($B277,CPY!$B:$G,4,FALSE))=TRUE," ",VLOOKUP($B277,CPY!$B:$G,4,FALSE))</f>
        <v> </v>
      </c>
      <c r="F277" s="62"/>
      <c r="G277" s="70"/>
      <c r="H277" s="62"/>
    </row>
    <row r="278" spans="1:8" x14ac:dyDescent="0.25">
      <c r="A278" s="62">
        <v>277</v>
      </c>
      <c r="B278" s="62"/>
      <c r="C278" s="68" t="str">
        <f>IF(ISNA(VLOOKUP($B278,CPY!$B:$G,2,FALSE))=TRUE," ",VLOOKUP($B278,CPY!$B:$G,2,FALSE))</f>
        <v> </v>
      </c>
      <c r="D278" s="50" t="str">
        <f>IF(ISNA(VLOOKUP($B278,CPY!$B:$G,3,FALSE))=TRUE," ",VLOOKUP($B278,CPY!$B:$G,3,FALSE))</f>
        <v> </v>
      </c>
      <c r="E278" s="65" t="str">
        <f>IF(ISNA(VLOOKUP($B278,CPY!$B:$G,4,FALSE))=TRUE," ",VLOOKUP($B278,CPY!$B:$G,4,FALSE))</f>
        <v> </v>
      </c>
      <c r="F278" s="62"/>
      <c r="G278" s="70"/>
      <c r="H278" s="62"/>
    </row>
    <row r="279" spans="1:8" x14ac:dyDescent="0.25">
      <c r="A279" s="62">
        <v>278</v>
      </c>
      <c r="B279" s="62"/>
      <c r="C279" s="68" t="str">
        <f>IF(ISNA(VLOOKUP($B279,CPY!$B:$G,2,FALSE))=TRUE," ",VLOOKUP($B279,CPY!$B:$G,2,FALSE))</f>
        <v> </v>
      </c>
      <c r="D279" s="50" t="str">
        <f>IF(ISNA(VLOOKUP($B279,CPY!$B:$G,3,FALSE))=TRUE," ",VLOOKUP($B279,CPY!$B:$G,3,FALSE))</f>
        <v> </v>
      </c>
      <c r="E279" s="65" t="str">
        <f>IF(ISNA(VLOOKUP($B279,CPY!$B:$G,4,FALSE))=TRUE," ",VLOOKUP($B279,CPY!$B:$G,4,FALSE))</f>
        <v> </v>
      </c>
      <c r="F279" s="62"/>
      <c r="G279" s="70"/>
      <c r="H279" s="62"/>
    </row>
    <row r="280" spans="1:8" x14ac:dyDescent="0.25">
      <c r="A280" s="62">
        <v>279</v>
      </c>
      <c r="B280" s="62"/>
      <c r="C280" s="68" t="str">
        <f>IF(ISNA(VLOOKUP($B280,CPY!$B:$G,2,FALSE))=TRUE," ",VLOOKUP($B280,CPY!$B:$G,2,FALSE))</f>
        <v> </v>
      </c>
      <c r="D280" s="50" t="str">
        <f>IF(ISNA(VLOOKUP($B280,CPY!$B:$G,3,FALSE))=TRUE," ",VLOOKUP($B280,CPY!$B:$G,3,FALSE))</f>
        <v> </v>
      </c>
      <c r="E280" s="65" t="str">
        <f>IF(ISNA(VLOOKUP($B280,CPY!$B:$G,4,FALSE))=TRUE," ",VLOOKUP($B280,CPY!$B:$G,4,FALSE))</f>
        <v> </v>
      </c>
      <c r="F280" s="62"/>
      <c r="G280" s="70"/>
      <c r="H280" s="62"/>
    </row>
    <row r="281" spans="1:8" x14ac:dyDescent="0.25">
      <c r="A281" s="62">
        <v>280</v>
      </c>
      <c r="B281" s="62"/>
      <c r="C281" s="68" t="str">
        <f>IF(ISNA(VLOOKUP($B281,CPY!$B:$G,2,FALSE))=TRUE," ",VLOOKUP($B281,CPY!$B:$G,2,FALSE))</f>
        <v> </v>
      </c>
      <c r="D281" s="50" t="str">
        <f>IF(ISNA(VLOOKUP($B281,CPY!$B:$G,3,FALSE))=TRUE," ",VLOOKUP($B281,CPY!$B:$G,3,FALSE))</f>
        <v> </v>
      </c>
      <c r="E281" s="65" t="str">
        <f>IF(ISNA(VLOOKUP($B281,CPY!$B:$G,4,FALSE))=TRUE," ",VLOOKUP($B281,CPY!$B:$G,4,FALSE))</f>
        <v> </v>
      </c>
      <c r="F281" s="62"/>
      <c r="G281" s="70"/>
      <c r="H281" s="62"/>
    </row>
    <row r="282" spans="1:8" x14ac:dyDescent="0.25">
      <c r="A282" s="62">
        <v>281</v>
      </c>
      <c r="B282" s="62"/>
      <c r="C282" s="68" t="str">
        <f>IF(ISNA(VLOOKUP($B282,CPY!$B:$G,2,FALSE))=TRUE," ",VLOOKUP($B282,CPY!$B:$G,2,FALSE))</f>
        <v> </v>
      </c>
      <c r="D282" s="50" t="str">
        <f>IF(ISNA(VLOOKUP($B282,CPY!$B:$G,3,FALSE))=TRUE," ",VLOOKUP($B282,CPY!$B:$G,3,FALSE))</f>
        <v> </v>
      </c>
      <c r="E282" s="65" t="str">
        <f>IF(ISNA(VLOOKUP($B282,CPY!$B:$G,4,FALSE))=TRUE," ",VLOOKUP($B282,CPY!$B:$G,4,FALSE))</f>
        <v> </v>
      </c>
      <c r="F282" s="62"/>
      <c r="G282" s="70"/>
      <c r="H282" s="62"/>
    </row>
    <row r="283" spans="1:8" x14ac:dyDescent="0.25">
      <c r="A283" s="62">
        <v>282</v>
      </c>
      <c r="B283" s="62"/>
      <c r="C283" s="68" t="str">
        <f>IF(ISNA(VLOOKUP($B283,CPY!$B:$G,2,FALSE))=TRUE," ",VLOOKUP($B283,CPY!$B:$G,2,FALSE))</f>
        <v> </v>
      </c>
      <c r="D283" s="50" t="str">
        <f>IF(ISNA(VLOOKUP($B283,CPY!$B:$G,3,FALSE))=TRUE," ",VLOOKUP($B283,CPY!$B:$G,3,FALSE))</f>
        <v> </v>
      </c>
      <c r="E283" s="65" t="str">
        <f>IF(ISNA(VLOOKUP($B283,CPY!$B:$G,4,FALSE))=TRUE," ",VLOOKUP($B283,CPY!$B:$G,4,FALSE))</f>
        <v> </v>
      </c>
      <c r="F283" s="62"/>
      <c r="G283" s="70"/>
      <c r="H283" s="62"/>
    </row>
    <row r="284" spans="1:8" x14ac:dyDescent="0.25">
      <c r="A284" s="62">
        <v>283</v>
      </c>
      <c r="B284" s="62"/>
      <c r="C284" s="68" t="str">
        <f>IF(ISNA(VLOOKUP($B284,CPY!$B:$G,2,FALSE))=TRUE," ",VLOOKUP($B284,CPY!$B:$G,2,FALSE))</f>
        <v> </v>
      </c>
      <c r="D284" s="50" t="str">
        <f>IF(ISNA(VLOOKUP($B284,CPY!$B:$G,3,FALSE))=TRUE," ",VLOOKUP($B284,CPY!$B:$G,3,FALSE))</f>
        <v> </v>
      </c>
      <c r="E284" s="65" t="str">
        <f>IF(ISNA(VLOOKUP($B284,CPY!$B:$G,4,FALSE))=TRUE," ",VLOOKUP($B284,CPY!$B:$G,4,FALSE))</f>
        <v> </v>
      </c>
      <c r="F284" s="62"/>
      <c r="G284" s="70"/>
      <c r="H284" s="62"/>
    </row>
    <row r="285" spans="1:8" x14ac:dyDescent="0.25">
      <c r="A285" s="62">
        <v>284</v>
      </c>
      <c r="B285" s="62"/>
      <c r="C285" s="68" t="str">
        <f>IF(ISNA(VLOOKUP($B285,CPY!$B:$G,2,FALSE))=TRUE," ",VLOOKUP($B285,CPY!$B:$G,2,FALSE))</f>
        <v> </v>
      </c>
      <c r="D285" s="50" t="str">
        <f>IF(ISNA(VLOOKUP($B285,CPY!$B:$G,3,FALSE))=TRUE," ",VLOOKUP($B285,CPY!$B:$G,3,FALSE))</f>
        <v> </v>
      </c>
      <c r="E285" s="65" t="str">
        <f>IF(ISNA(VLOOKUP($B285,CPY!$B:$G,4,FALSE))=TRUE," ",VLOOKUP($B285,CPY!$B:$G,4,FALSE))</f>
        <v> </v>
      </c>
      <c r="F285" s="62"/>
      <c r="G285" s="70"/>
      <c r="H285" s="62"/>
    </row>
    <row r="286" spans="1:8" x14ac:dyDescent="0.25">
      <c r="A286" s="62">
        <v>285</v>
      </c>
      <c r="B286" s="62"/>
      <c r="C286" s="68" t="str">
        <f>IF(ISNA(VLOOKUP($B286,CPY!$B:$G,2,FALSE))=TRUE," ",VLOOKUP($B286,CPY!$B:$G,2,FALSE))</f>
        <v> </v>
      </c>
      <c r="D286" s="50" t="str">
        <f>IF(ISNA(VLOOKUP($B286,CPY!$B:$G,3,FALSE))=TRUE," ",VLOOKUP($B286,CPY!$B:$G,3,FALSE))</f>
        <v> </v>
      </c>
      <c r="E286" s="65" t="str">
        <f>IF(ISNA(VLOOKUP($B286,CPY!$B:$G,4,FALSE))=TRUE," ",VLOOKUP($B286,CPY!$B:$G,4,FALSE))</f>
        <v> </v>
      </c>
      <c r="F286" s="62"/>
      <c r="G286" s="70"/>
      <c r="H286" s="62"/>
    </row>
    <row r="287" spans="1:8" x14ac:dyDescent="0.25">
      <c r="A287" s="62">
        <v>286</v>
      </c>
      <c r="B287" s="62"/>
      <c r="C287" s="68" t="str">
        <f>IF(ISNA(VLOOKUP($B287,CPY!$B:$G,2,FALSE))=TRUE," ",VLOOKUP($B287,CPY!$B:$G,2,FALSE))</f>
        <v> </v>
      </c>
      <c r="D287" s="50" t="str">
        <f>IF(ISNA(VLOOKUP($B287,CPY!$B:$G,3,FALSE))=TRUE," ",VLOOKUP($B287,CPY!$B:$G,3,FALSE))</f>
        <v> </v>
      </c>
      <c r="E287" s="65" t="str">
        <f>IF(ISNA(VLOOKUP($B287,CPY!$B:$G,4,FALSE))=TRUE," ",VLOOKUP($B287,CPY!$B:$G,4,FALSE))</f>
        <v> </v>
      </c>
      <c r="F287" s="62"/>
      <c r="G287" s="70"/>
      <c r="H287" s="62"/>
    </row>
    <row r="288" spans="1:8" x14ac:dyDescent="0.25">
      <c r="A288" s="62">
        <v>287</v>
      </c>
      <c r="B288" s="62"/>
      <c r="C288" s="68" t="str">
        <f>IF(ISNA(VLOOKUP($B288,CPY!$B:$G,2,FALSE))=TRUE," ",VLOOKUP($B288,CPY!$B:$G,2,FALSE))</f>
        <v> </v>
      </c>
      <c r="D288" s="50" t="str">
        <f>IF(ISNA(VLOOKUP($B288,CPY!$B:$G,3,FALSE))=TRUE," ",VLOOKUP($B288,CPY!$B:$G,3,FALSE))</f>
        <v> </v>
      </c>
      <c r="E288" s="65" t="str">
        <f>IF(ISNA(VLOOKUP($B288,CPY!$B:$G,4,FALSE))=TRUE," ",VLOOKUP($B288,CPY!$B:$G,4,FALSE))</f>
        <v> </v>
      </c>
      <c r="F288" s="62"/>
      <c r="G288" s="70"/>
      <c r="H288" s="62"/>
    </row>
    <row r="289" spans="1:8" x14ac:dyDescent="0.25">
      <c r="A289" s="62">
        <v>288</v>
      </c>
      <c r="B289" s="62"/>
      <c r="C289" s="68" t="str">
        <f>IF(ISNA(VLOOKUP($B289,CPY!$B:$G,2,FALSE))=TRUE," ",VLOOKUP($B289,CPY!$B:$G,2,FALSE))</f>
        <v> </v>
      </c>
      <c r="D289" s="50" t="str">
        <f>IF(ISNA(VLOOKUP($B289,CPY!$B:$G,3,FALSE))=TRUE," ",VLOOKUP($B289,CPY!$B:$G,3,FALSE))</f>
        <v> </v>
      </c>
      <c r="E289" s="65" t="str">
        <f>IF(ISNA(VLOOKUP($B289,CPY!$B:$G,4,FALSE))=TRUE," ",VLOOKUP($B289,CPY!$B:$G,4,FALSE))</f>
        <v> </v>
      </c>
      <c r="F289" s="62"/>
      <c r="G289" s="70"/>
      <c r="H289" s="62"/>
    </row>
    <row r="290" spans="1:8" x14ac:dyDescent="0.25">
      <c r="A290" s="62">
        <v>289</v>
      </c>
      <c r="B290" s="62"/>
      <c r="C290" s="68" t="str">
        <f>IF(ISNA(VLOOKUP($B290,CPY!$B:$G,2,FALSE))=TRUE," ",VLOOKUP($B290,CPY!$B:$G,2,FALSE))</f>
        <v> </v>
      </c>
      <c r="D290" s="50" t="str">
        <f>IF(ISNA(VLOOKUP($B290,CPY!$B:$G,3,FALSE))=TRUE," ",VLOOKUP($B290,CPY!$B:$G,3,FALSE))</f>
        <v> </v>
      </c>
      <c r="E290" s="65" t="str">
        <f>IF(ISNA(VLOOKUP($B290,CPY!$B:$G,4,FALSE))=TRUE," ",VLOOKUP($B290,CPY!$B:$G,4,FALSE))</f>
        <v> </v>
      </c>
      <c r="F290" s="62"/>
      <c r="G290" s="70"/>
      <c r="H290" s="62"/>
    </row>
    <row r="291" spans="1:8" x14ac:dyDescent="0.25">
      <c r="A291" s="62">
        <v>290</v>
      </c>
      <c r="B291" s="62"/>
      <c r="C291" s="68" t="str">
        <f>IF(ISNA(VLOOKUP($B291,CPY!$B:$G,2,FALSE))=TRUE," ",VLOOKUP($B291,CPY!$B:$G,2,FALSE))</f>
        <v> </v>
      </c>
      <c r="D291" s="50" t="str">
        <f>IF(ISNA(VLOOKUP($B291,CPY!$B:$G,3,FALSE))=TRUE," ",VLOOKUP($B291,CPY!$B:$G,3,FALSE))</f>
        <v> </v>
      </c>
      <c r="E291" s="65" t="str">
        <f>IF(ISNA(VLOOKUP($B291,CPY!$B:$G,4,FALSE))=TRUE," ",VLOOKUP($B291,CPY!$B:$G,4,FALSE))</f>
        <v> </v>
      </c>
      <c r="F291" s="62"/>
      <c r="G291" s="70"/>
      <c r="H291" s="62"/>
    </row>
    <row r="292" spans="1:8" x14ac:dyDescent="0.25">
      <c r="A292" s="62">
        <v>291</v>
      </c>
      <c r="B292" s="62"/>
      <c r="C292" s="68" t="str">
        <f>IF(ISNA(VLOOKUP($B292,CPY!$B:$G,2,FALSE))=TRUE," ",VLOOKUP($B292,CPY!$B:$G,2,FALSE))</f>
        <v> </v>
      </c>
      <c r="D292" s="50" t="str">
        <f>IF(ISNA(VLOOKUP($B292,CPY!$B:$G,3,FALSE))=TRUE," ",VLOOKUP($B292,CPY!$B:$G,3,FALSE))</f>
        <v> </v>
      </c>
      <c r="E292" s="65" t="str">
        <f>IF(ISNA(VLOOKUP($B292,CPY!$B:$G,4,FALSE))=TRUE," ",VLOOKUP($B292,CPY!$B:$G,4,FALSE))</f>
        <v> </v>
      </c>
      <c r="F292" s="62"/>
      <c r="G292" s="70"/>
      <c r="H292" s="62"/>
    </row>
    <row r="293" spans="1:8" x14ac:dyDescent="0.25">
      <c r="A293" s="62">
        <v>292</v>
      </c>
      <c r="B293" s="62"/>
      <c r="C293" s="68" t="str">
        <f>IF(ISNA(VLOOKUP($B293,CPY!$B:$G,2,FALSE))=TRUE," ",VLOOKUP($B293,CPY!$B:$G,2,FALSE))</f>
        <v> </v>
      </c>
      <c r="D293" s="50" t="str">
        <f>IF(ISNA(VLOOKUP($B293,CPY!$B:$G,3,FALSE))=TRUE," ",VLOOKUP($B293,CPY!$B:$G,3,FALSE))</f>
        <v> </v>
      </c>
      <c r="E293" s="65" t="str">
        <f>IF(ISNA(VLOOKUP($B293,CPY!$B:$G,4,FALSE))=TRUE," ",VLOOKUP($B293,CPY!$B:$G,4,FALSE))</f>
        <v> </v>
      </c>
      <c r="F293" s="62"/>
      <c r="G293" s="70"/>
      <c r="H293" s="62"/>
    </row>
    <row r="294" spans="1:8" x14ac:dyDescent="0.25">
      <c r="A294" s="62">
        <v>293</v>
      </c>
      <c r="B294" s="62"/>
      <c r="C294" s="68" t="str">
        <f>IF(ISNA(VLOOKUP($B294,CPY!$B:$G,2,FALSE))=TRUE," ",VLOOKUP($B294,CPY!$B:$G,2,FALSE))</f>
        <v> </v>
      </c>
      <c r="D294" s="50" t="str">
        <f>IF(ISNA(VLOOKUP($B294,CPY!$B:$G,3,FALSE))=TRUE," ",VLOOKUP($B294,CPY!$B:$G,3,FALSE))</f>
        <v> </v>
      </c>
      <c r="E294" s="65" t="str">
        <f>IF(ISNA(VLOOKUP($B294,CPY!$B:$G,4,FALSE))=TRUE," ",VLOOKUP($B294,CPY!$B:$G,4,FALSE))</f>
        <v> </v>
      </c>
      <c r="F294" s="62"/>
      <c r="G294" s="70"/>
      <c r="H294" s="62"/>
    </row>
    <row r="295" spans="1:8" x14ac:dyDescent="0.25">
      <c r="A295" s="62">
        <v>294</v>
      </c>
      <c r="B295" s="62"/>
      <c r="C295" s="68" t="str">
        <f>IF(ISNA(VLOOKUP($B295,CPY!$B:$G,2,FALSE))=TRUE," ",VLOOKUP($B295,CPY!$B:$G,2,FALSE))</f>
        <v> </v>
      </c>
      <c r="D295" s="50" t="str">
        <f>IF(ISNA(VLOOKUP($B295,CPY!$B:$G,3,FALSE))=TRUE," ",VLOOKUP($B295,CPY!$B:$G,3,FALSE))</f>
        <v> </v>
      </c>
      <c r="E295" s="65" t="str">
        <f>IF(ISNA(VLOOKUP($B295,CPY!$B:$G,4,FALSE))=TRUE," ",VLOOKUP($B295,CPY!$B:$G,4,FALSE))</f>
        <v> </v>
      </c>
      <c r="F295" s="62"/>
      <c r="G295" s="70"/>
      <c r="H295" s="62"/>
    </row>
    <row r="296" spans="1:8" x14ac:dyDescent="0.25">
      <c r="A296" s="62">
        <v>295</v>
      </c>
      <c r="B296" s="62"/>
      <c r="C296" s="68" t="str">
        <f>IF(ISNA(VLOOKUP($B296,CPY!$B:$G,2,FALSE))=TRUE," ",VLOOKUP($B296,CPY!$B:$G,2,FALSE))</f>
        <v> </v>
      </c>
      <c r="D296" s="50" t="str">
        <f>IF(ISNA(VLOOKUP($B296,CPY!$B:$G,3,FALSE))=TRUE," ",VLOOKUP($B296,CPY!$B:$G,3,FALSE))</f>
        <v> </v>
      </c>
      <c r="E296" s="65" t="str">
        <f>IF(ISNA(VLOOKUP($B296,CPY!$B:$G,4,FALSE))=TRUE," ",VLOOKUP($B296,CPY!$B:$G,4,FALSE))</f>
        <v> </v>
      </c>
      <c r="F296" s="62"/>
      <c r="G296" s="70"/>
      <c r="H296" s="62"/>
    </row>
    <row r="297" spans="1:8" x14ac:dyDescent="0.25">
      <c r="A297" s="62">
        <v>296</v>
      </c>
      <c r="B297" s="62"/>
      <c r="C297" s="68" t="str">
        <f>IF(ISNA(VLOOKUP($B297,CPY!$B:$G,2,FALSE))=TRUE," ",VLOOKUP($B297,CPY!$B:$G,2,FALSE))</f>
        <v> </v>
      </c>
      <c r="D297" s="50" t="str">
        <f>IF(ISNA(VLOOKUP($B297,CPY!$B:$G,3,FALSE))=TRUE," ",VLOOKUP($B297,CPY!$B:$G,3,FALSE))</f>
        <v> </v>
      </c>
      <c r="E297" s="65" t="str">
        <f>IF(ISNA(VLOOKUP($B297,CPY!$B:$G,4,FALSE))=TRUE," ",VLOOKUP($B297,CPY!$B:$G,4,FALSE))</f>
        <v> </v>
      </c>
      <c r="F297" s="62"/>
      <c r="G297" s="70"/>
      <c r="H297" s="62"/>
    </row>
    <row r="298" spans="1:8" x14ac:dyDescent="0.25">
      <c r="A298" s="62">
        <v>297</v>
      </c>
      <c r="B298" s="62"/>
      <c r="C298" s="68" t="str">
        <f>IF(ISNA(VLOOKUP($B298,CPY!$B:$G,2,FALSE))=TRUE," ",VLOOKUP($B298,CPY!$B:$G,2,FALSE))</f>
        <v> </v>
      </c>
      <c r="D298" s="50" t="str">
        <f>IF(ISNA(VLOOKUP($B298,CPY!$B:$G,3,FALSE))=TRUE," ",VLOOKUP($B298,CPY!$B:$G,3,FALSE))</f>
        <v> </v>
      </c>
      <c r="E298" s="65" t="str">
        <f>IF(ISNA(VLOOKUP($B298,CPY!$B:$G,4,FALSE))=TRUE," ",VLOOKUP($B298,CPY!$B:$G,4,FALSE))</f>
        <v> </v>
      </c>
      <c r="F298" s="62"/>
      <c r="G298" s="70"/>
      <c r="H298" s="62"/>
    </row>
    <row r="299" spans="1:8" x14ac:dyDescent="0.25">
      <c r="A299" s="62">
        <v>298</v>
      </c>
      <c r="B299" s="62"/>
      <c r="C299" s="68" t="str">
        <f>IF(ISNA(VLOOKUP($B299,CPY!$B:$G,2,FALSE))=TRUE," ",VLOOKUP($B299,CPY!$B:$G,2,FALSE))</f>
        <v> </v>
      </c>
      <c r="D299" s="50" t="str">
        <f>IF(ISNA(VLOOKUP($B299,CPY!$B:$G,3,FALSE))=TRUE," ",VLOOKUP($B299,CPY!$B:$G,3,FALSE))</f>
        <v> </v>
      </c>
      <c r="E299" s="65" t="str">
        <f>IF(ISNA(VLOOKUP($B299,CPY!$B:$G,4,FALSE))=TRUE," ",VLOOKUP($B299,CPY!$B:$G,4,FALSE))</f>
        <v> </v>
      </c>
      <c r="F299" s="62"/>
      <c r="G299" s="70"/>
      <c r="H299" s="62"/>
    </row>
    <row r="300" spans="1:8" x14ac:dyDescent="0.25">
      <c r="A300" s="62">
        <v>299</v>
      </c>
      <c r="B300" s="62"/>
      <c r="C300" s="68" t="str">
        <f>IF(ISNA(VLOOKUP($B300,CPY!$B:$G,2,FALSE))=TRUE," ",VLOOKUP($B300,CPY!$B:$G,2,FALSE))</f>
        <v> </v>
      </c>
      <c r="D300" s="50" t="str">
        <f>IF(ISNA(VLOOKUP($B300,CPY!$B:$G,3,FALSE))=TRUE," ",VLOOKUP($B300,CPY!$B:$G,3,FALSE))</f>
        <v> </v>
      </c>
      <c r="E300" s="65" t="str">
        <f>IF(ISNA(VLOOKUP($B300,CPY!$B:$G,4,FALSE))=TRUE," ",VLOOKUP($B300,CPY!$B:$G,4,FALSE))</f>
        <v> </v>
      </c>
      <c r="F300" s="62"/>
      <c r="G300" s="70"/>
      <c r="H300" s="62"/>
    </row>
    <row r="301" spans="1:8" x14ac:dyDescent="0.25">
      <c r="A301" s="62">
        <v>300</v>
      </c>
      <c r="B301" s="62"/>
      <c r="C301" s="68" t="str">
        <f>IF(ISNA(VLOOKUP($B301,CPY!$B:$G,2,FALSE))=TRUE," ",VLOOKUP($B301,CPY!$B:$G,2,FALSE))</f>
        <v> </v>
      </c>
      <c r="D301" s="50" t="str">
        <f>IF(ISNA(VLOOKUP($B301,CPY!$B:$G,3,FALSE))=TRUE," ",VLOOKUP($B301,CPY!$B:$G,3,FALSE))</f>
        <v> </v>
      </c>
      <c r="E301" s="65" t="str">
        <f>IF(ISNA(VLOOKUP($B301,CPY!$B:$G,4,FALSE))=TRUE," ",VLOOKUP($B301,CPY!$B:$G,4,FALSE))</f>
        <v> </v>
      </c>
      <c r="F301" s="62"/>
      <c r="G301" s="70"/>
      <c r="H301" s="62"/>
    </row>
    <row r="302" spans="1:8" x14ac:dyDescent="0.25">
      <c r="A302" s="62">
        <v>301</v>
      </c>
      <c r="B302" s="62"/>
      <c r="C302" s="68" t="str">
        <f>IF(ISNA(VLOOKUP($B302,CPY!$B:$G,2,FALSE))=TRUE," ",VLOOKUP($B302,CPY!$B:$G,2,FALSE))</f>
        <v> </v>
      </c>
      <c r="D302" s="50" t="str">
        <f>IF(ISNA(VLOOKUP($B302,CPY!$B:$G,3,FALSE))=TRUE," ",VLOOKUP($B302,CPY!$B:$G,3,FALSE))</f>
        <v> </v>
      </c>
      <c r="E302" s="65" t="str">
        <f>IF(ISNA(VLOOKUP($B302,CPY!$B:$G,4,FALSE))=TRUE," ",VLOOKUP($B302,CPY!$B:$G,4,FALSE))</f>
        <v> </v>
      </c>
      <c r="F302" s="62"/>
      <c r="G302" s="70"/>
      <c r="H302" s="62"/>
    </row>
    <row r="303" spans="1:8" x14ac:dyDescent="0.25">
      <c r="A303" s="62">
        <v>302</v>
      </c>
      <c r="B303" s="62"/>
      <c r="C303" s="68" t="str">
        <f>IF(ISNA(VLOOKUP($B303,CPY!$B:$G,2,FALSE))=TRUE," ",VLOOKUP($B303,CPY!$B:$G,2,FALSE))</f>
        <v> </v>
      </c>
      <c r="D303" s="50" t="str">
        <f>IF(ISNA(VLOOKUP($B303,CPY!$B:$G,3,FALSE))=TRUE," ",VLOOKUP($B303,CPY!$B:$G,3,FALSE))</f>
        <v> </v>
      </c>
      <c r="E303" s="65" t="str">
        <f>IF(ISNA(VLOOKUP($B303,CPY!$B:$G,4,FALSE))=TRUE," ",VLOOKUP($B303,CPY!$B:$G,4,FALSE))</f>
        <v> </v>
      </c>
      <c r="F303" s="62"/>
      <c r="G303" s="70"/>
      <c r="H303" s="62"/>
    </row>
    <row r="304" spans="1:8" x14ac:dyDescent="0.25">
      <c r="A304" s="62">
        <v>303</v>
      </c>
      <c r="B304" s="62"/>
      <c r="C304" s="68" t="str">
        <f>IF(ISNA(VLOOKUP($B304,CPY!$B:$G,2,FALSE))=TRUE," ",VLOOKUP($B304,CPY!$B:$G,2,FALSE))</f>
        <v> </v>
      </c>
      <c r="D304" s="50" t="str">
        <f>IF(ISNA(VLOOKUP($B304,CPY!$B:$G,3,FALSE))=TRUE," ",VLOOKUP($B304,CPY!$B:$G,3,FALSE))</f>
        <v> </v>
      </c>
      <c r="E304" s="65" t="str">
        <f>IF(ISNA(VLOOKUP($B304,CPY!$B:$G,4,FALSE))=TRUE," ",VLOOKUP($B304,CPY!$B:$G,4,FALSE))</f>
        <v> </v>
      </c>
      <c r="F304" s="62"/>
      <c r="G304" s="70"/>
      <c r="H304" s="62"/>
    </row>
    <row r="305" spans="1:8" x14ac:dyDescent="0.25">
      <c r="A305" s="62">
        <v>304</v>
      </c>
      <c r="B305" s="62"/>
      <c r="C305" s="68" t="str">
        <f>IF(ISNA(VLOOKUP($B305,CPY!$B:$G,2,FALSE))=TRUE," ",VLOOKUP($B305,CPY!$B:$G,2,FALSE))</f>
        <v> </v>
      </c>
      <c r="D305" s="50" t="str">
        <f>IF(ISNA(VLOOKUP($B305,CPY!$B:$G,3,FALSE))=TRUE," ",VLOOKUP($B305,CPY!$B:$G,3,FALSE))</f>
        <v> </v>
      </c>
      <c r="E305" s="65" t="str">
        <f>IF(ISNA(VLOOKUP($B305,CPY!$B:$G,4,FALSE))=TRUE," ",VLOOKUP($B305,CPY!$B:$G,4,FALSE))</f>
        <v> </v>
      </c>
      <c r="F305" s="62"/>
      <c r="G305" s="70"/>
      <c r="H305" s="62"/>
    </row>
    <row r="306" spans="1:8" x14ac:dyDescent="0.25">
      <c r="A306" s="62">
        <v>305</v>
      </c>
      <c r="B306" s="62"/>
      <c r="C306" s="68" t="str">
        <f>IF(ISNA(VLOOKUP($B306,CPY!$B:$G,2,FALSE))=TRUE," ",VLOOKUP($B306,CPY!$B:$G,2,FALSE))</f>
        <v> </v>
      </c>
      <c r="D306" s="50" t="str">
        <f>IF(ISNA(VLOOKUP($B306,CPY!$B:$G,3,FALSE))=TRUE," ",VLOOKUP($B306,CPY!$B:$G,3,FALSE))</f>
        <v> </v>
      </c>
      <c r="E306" s="65" t="str">
        <f>IF(ISNA(VLOOKUP($B306,CPY!$B:$G,4,FALSE))=TRUE," ",VLOOKUP($B306,CPY!$B:$G,4,FALSE))</f>
        <v> </v>
      </c>
      <c r="F306" s="62"/>
      <c r="G306" s="70"/>
      <c r="H306" s="62"/>
    </row>
    <row r="307" spans="1:8" x14ac:dyDescent="0.25">
      <c r="A307" s="62">
        <v>306</v>
      </c>
      <c r="B307" s="62"/>
      <c r="C307" s="68" t="str">
        <f>IF(ISNA(VLOOKUP($B307,CPY!$B:$G,2,FALSE))=TRUE," ",VLOOKUP($B307,CPY!$B:$G,2,FALSE))</f>
        <v> </v>
      </c>
      <c r="D307" s="50" t="str">
        <f>IF(ISNA(VLOOKUP($B307,CPY!$B:$G,3,FALSE))=TRUE," ",VLOOKUP($B307,CPY!$B:$G,3,FALSE))</f>
        <v> </v>
      </c>
      <c r="E307" s="65" t="str">
        <f>IF(ISNA(VLOOKUP($B307,CPY!$B:$G,4,FALSE))=TRUE," ",VLOOKUP($B307,CPY!$B:$G,4,FALSE))</f>
        <v> </v>
      </c>
      <c r="F307" s="62"/>
      <c r="G307" s="70"/>
      <c r="H307" s="62"/>
    </row>
    <row r="308" spans="1:8" x14ac:dyDescent="0.25">
      <c r="A308" s="62">
        <v>307</v>
      </c>
      <c r="B308" s="62"/>
      <c r="C308" s="68" t="str">
        <f>IF(ISNA(VLOOKUP($B308,CPY!$B:$G,2,FALSE))=TRUE," ",VLOOKUP($B308,CPY!$B:$G,2,FALSE))</f>
        <v> </v>
      </c>
      <c r="D308" s="50" t="str">
        <f>IF(ISNA(VLOOKUP($B308,CPY!$B:$G,3,FALSE))=TRUE," ",VLOOKUP($B308,CPY!$B:$G,3,FALSE))</f>
        <v> </v>
      </c>
      <c r="E308" s="65" t="str">
        <f>IF(ISNA(VLOOKUP($B308,CPY!$B:$G,4,FALSE))=TRUE," ",VLOOKUP($B308,CPY!$B:$G,4,FALSE))</f>
        <v> </v>
      </c>
      <c r="F308" s="62"/>
      <c r="G308" s="70"/>
      <c r="H308" s="62"/>
    </row>
    <row r="309" spans="1:8" x14ac:dyDescent="0.25">
      <c r="A309" s="62">
        <v>308</v>
      </c>
      <c r="B309" s="62"/>
      <c r="C309" s="68" t="str">
        <f>IF(ISNA(VLOOKUP($B309,CPY!$B:$G,2,FALSE))=TRUE," ",VLOOKUP($B309,CPY!$B:$G,2,FALSE))</f>
        <v> </v>
      </c>
      <c r="D309" s="50" t="str">
        <f>IF(ISNA(VLOOKUP($B309,CPY!$B:$G,3,FALSE))=TRUE," ",VLOOKUP($B309,CPY!$B:$G,3,FALSE))</f>
        <v> </v>
      </c>
      <c r="E309" s="65" t="str">
        <f>IF(ISNA(VLOOKUP($B309,CPY!$B:$G,4,FALSE))=TRUE," ",VLOOKUP($B309,CPY!$B:$G,4,FALSE))</f>
        <v> </v>
      </c>
      <c r="F309" s="62"/>
      <c r="G309" s="70"/>
      <c r="H309" s="62"/>
    </row>
    <row r="310" spans="1:8" x14ac:dyDescent="0.25">
      <c r="A310" s="62">
        <v>309</v>
      </c>
      <c r="B310" s="62"/>
      <c r="C310" s="68" t="str">
        <f>IF(ISNA(VLOOKUP($B310,CPY!$B:$G,2,FALSE))=TRUE," ",VLOOKUP($B310,CPY!$B:$G,2,FALSE))</f>
        <v> </v>
      </c>
      <c r="D310" s="50" t="str">
        <f>IF(ISNA(VLOOKUP($B310,CPY!$B:$G,3,FALSE))=TRUE," ",VLOOKUP($B310,CPY!$B:$G,3,FALSE))</f>
        <v> </v>
      </c>
      <c r="E310" s="65" t="str">
        <f>IF(ISNA(VLOOKUP($B310,CPY!$B:$G,4,FALSE))=TRUE," ",VLOOKUP($B310,CPY!$B:$G,4,FALSE))</f>
        <v> </v>
      </c>
      <c r="F310" s="62"/>
      <c r="G310" s="70"/>
      <c r="H310" s="62"/>
    </row>
    <row r="311" spans="1:8" x14ac:dyDescent="0.25">
      <c r="A311" s="62">
        <v>310</v>
      </c>
      <c r="B311" s="62"/>
      <c r="C311" s="68" t="str">
        <f>IF(ISNA(VLOOKUP($B311,CPY!$B:$G,2,FALSE))=TRUE," ",VLOOKUP($B311,CPY!$B:$G,2,FALSE))</f>
        <v> </v>
      </c>
      <c r="D311" s="50" t="str">
        <f>IF(ISNA(VLOOKUP($B311,CPY!$B:$G,3,FALSE))=TRUE," ",VLOOKUP($B311,CPY!$B:$G,3,FALSE))</f>
        <v> </v>
      </c>
      <c r="E311" s="65" t="str">
        <f>IF(ISNA(VLOOKUP($B311,CPY!$B:$G,4,FALSE))=TRUE," ",VLOOKUP($B311,CPY!$B:$G,4,FALSE))</f>
        <v> </v>
      </c>
      <c r="F311" s="62"/>
      <c r="G311" s="70"/>
      <c r="H311" s="62"/>
    </row>
    <row r="312" spans="1:8" x14ac:dyDescent="0.25">
      <c r="A312" s="62">
        <v>311</v>
      </c>
      <c r="B312" s="62"/>
      <c r="C312" s="68" t="str">
        <f>IF(ISNA(VLOOKUP($B312,CPY!$B:$G,2,FALSE))=TRUE," ",VLOOKUP($B312,CPY!$B:$G,2,FALSE))</f>
        <v> </v>
      </c>
      <c r="D312" s="50" t="str">
        <f>IF(ISNA(VLOOKUP($B312,CPY!$B:$G,3,FALSE))=TRUE," ",VLOOKUP($B312,CPY!$B:$G,3,FALSE))</f>
        <v> </v>
      </c>
      <c r="E312" s="65" t="str">
        <f>IF(ISNA(VLOOKUP($B312,CPY!$B:$G,4,FALSE))=TRUE," ",VLOOKUP($B312,CPY!$B:$G,4,FALSE))</f>
        <v> </v>
      </c>
      <c r="F312" s="62"/>
      <c r="G312" s="70"/>
      <c r="H312" s="62"/>
    </row>
    <row r="313" spans="1:8" x14ac:dyDescent="0.25">
      <c r="A313" s="62">
        <v>312</v>
      </c>
      <c r="B313" s="62"/>
      <c r="C313" s="68" t="str">
        <f>IF(ISNA(VLOOKUP($B313,CPY!$B:$G,2,FALSE))=TRUE," ",VLOOKUP($B313,CPY!$B:$G,2,FALSE))</f>
        <v> </v>
      </c>
      <c r="D313" s="50" t="str">
        <f>IF(ISNA(VLOOKUP($B313,CPY!$B:$G,3,FALSE))=TRUE," ",VLOOKUP($B313,CPY!$B:$G,3,FALSE))</f>
        <v> </v>
      </c>
      <c r="E313" s="65" t="str">
        <f>IF(ISNA(VLOOKUP($B313,CPY!$B:$G,4,FALSE))=TRUE," ",VLOOKUP($B313,CPY!$B:$G,4,FALSE))</f>
        <v> </v>
      </c>
      <c r="F313" s="62"/>
      <c r="G313" s="70"/>
      <c r="H313" s="62"/>
    </row>
    <row r="314" spans="1:8" x14ac:dyDescent="0.25">
      <c r="A314" s="62">
        <v>313</v>
      </c>
      <c r="B314" s="62"/>
      <c r="C314" s="68" t="str">
        <f>IF(ISNA(VLOOKUP($B314,CPY!$B:$G,2,FALSE))=TRUE," ",VLOOKUP($B314,CPY!$B:$G,2,FALSE))</f>
        <v> </v>
      </c>
      <c r="D314" s="50" t="str">
        <f>IF(ISNA(VLOOKUP($B314,CPY!$B:$G,3,FALSE))=TRUE," ",VLOOKUP($B314,CPY!$B:$G,3,FALSE))</f>
        <v> </v>
      </c>
      <c r="E314" s="65" t="str">
        <f>IF(ISNA(VLOOKUP($B314,CPY!$B:$G,4,FALSE))=TRUE," ",VLOOKUP($B314,CPY!$B:$G,4,FALSE))</f>
        <v> </v>
      </c>
      <c r="F314" s="62"/>
      <c r="G314" s="70"/>
      <c r="H314" s="62"/>
    </row>
    <row r="315" spans="1:8" x14ac:dyDescent="0.25">
      <c r="A315" s="62">
        <v>314</v>
      </c>
      <c r="B315" s="62"/>
      <c r="C315" s="68" t="str">
        <f>IF(ISNA(VLOOKUP($B315,CPY!$B:$G,2,FALSE))=TRUE," ",VLOOKUP($B315,CPY!$B:$G,2,FALSE))</f>
        <v> </v>
      </c>
      <c r="D315" s="50" t="str">
        <f>IF(ISNA(VLOOKUP($B315,CPY!$B:$G,3,FALSE))=TRUE," ",VLOOKUP($B315,CPY!$B:$G,3,FALSE))</f>
        <v> </v>
      </c>
      <c r="E315" s="65" t="str">
        <f>IF(ISNA(VLOOKUP($B315,CPY!$B:$G,4,FALSE))=TRUE," ",VLOOKUP($B315,CPY!$B:$G,4,FALSE))</f>
        <v> </v>
      </c>
      <c r="F315" s="62"/>
      <c r="G315" s="70"/>
      <c r="H315" s="62"/>
    </row>
    <row r="316" spans="1:8" x14ac:dyDescent="0.25">
      <c r="A316" s="62">
        <v>315</v>
      </c>
      <c r="B316" s="62"/>
      <c r="C316" s="68" t="str">
        <f>IF(ISNA(VLOOKUP($B316,CPY!$B:$G,2,FALSE))=TRUE," ",VLOOKUP($B316,CPY!$B:$G,2,FALSE))</f>
        <v> </v>
      </c>
      <c r="D316" s="50" t="str">
        <f>IF(ISNA(VLOOKUP($B316,CPY!$B:$G,3,FALSE))=TRUE," ",VLOOKUP($B316,CPY!$B:$G,3,FALSE))</f>
        <v> </v>
      </c>
      <c r="E316" s="65" t="str">
        <f>IF(ISNA(VLOOKUP($B316,CPY!$B:$G,4,FALSE))=TRUE," ",VLOOKUP($B316,CPY!$B:$G,4,FALSE))</f>
        <v> </v>
      </c>
      <c r="F316" s="62"/>
      <c r="G316" s="70"/>
      <c r="H316" s="62"/>
    </row>
    <row r="317" spans="1:8" x14ac:dyDescent="0.25">
      <c r="A317" s="62">
        <v>316</v>
      </c>
      <c r="B317" s="62"/>
      <c r="C317" s="68" t="str">
        <f>IF(ISNA(VLOOKUP($B317,CPY!$B:$G,2,FALSE))=TRUE," ",VLOOKUP($B317,CPY!$B:$G,2,FALSE))</f>
        <v> </v>
      </c>
      <c r="D317" s="50" t="str">
        <f>IF(ISNA(VLOOKUP($B317,CPY!$B:$G,3,FALSE))=TRUE," ",VLOOKUP($B317,CPY!$B:$G,3,FALSE))</f>
        <v> </v>
      </c>
      <c r="E317" s="65" t="str">
        <f>IF(ISNA(VLOOKUP($B317,CPY!$B:$G,4,FALSE))=TRUE," ",VLOOKUP($B317,CPY!$B:$G,4,FALSE))</f>
        <v> </v>
      </c>
      <c r="F317" s="62"/>
      <c r="G317" s="70"/>
      <c r="H317" s="62"/>
    </row>
    <row r="318" spans="1:8" x14ac:dyDescent="0.25">
      <c r="A318" s="62">
        <v>317</v>
      </c>
      <c r="B318" s="62"/>
      <c r="C318" s="68" t="str">
        <f>IF(ISNA(VLOOKUP($B318,CPY!$B:$G,2,FALSE))=TRUE," ",VLOOKUP($B318,CPY!$B:$G,2,FALSE))</f>
        <v> </v>
      </c>
      <c r="D318" s="50" t="str">
        <f>IF(ISNA(VLOOKUP($B318,CPY!$B:$G,3,FALSE))=TRUE," ",VLOOKUP($B318,CPY!$B:$G,3,FALSE))</f>
        <v> </v>
      </c>
      <c r="E318" s="65" t="str">
        <f>IF(ISNA(VLOOKUP($B318,CPY!$B:$G,4,FALSE))=TRUE," ",VLOOKUP($B318,CPY!$B:$G,4,FALSE))</f>
        <v> </v>
      </c>
      <c r="F318" s="62"/>
      <c r="G318" s="70"/>
      <c r="H318" s="62"/>
    </row>
    <row r="319" spans="1:8" x14ac:dyDescent="0.25">
      <c r="A319" s="62">
        <v>318</v>
      </c>
      <c r="B319" s="62"/>
      <c r="C319" s="68" t="str">
        <f>IF(ISNA(VLOOKUP($B319,CPY!$B:$G,2,FALSE))=TRUE," ",VLOOKUP($B319,CPY!$B:$G,2,FALSE))</f>
        <v> </v>
      </c>
      <c r="D319" s="50" t="str">
        <f>IF(ISNA(VLOOKUP($B319,CPY!$B:$G,3,FALSE))=TRUE," ",VLOOKUP($B319,CPY!$B:$G,3,FALSE))</f>
        <v> </v>
      </c>
      <c r="E319" s="65" t="str">
        <f>IF(ISNA(VLOOKUP($B319,CPY!$B:$G,4,FALSE))=TRUE," ",VLOOKUP($B319,CPY!$B:$G,4,FALSE))</f>
        <v> </v>
      </c>
      <c r="F319" s="62"/>
      <c r="G319" s="70"/>
      <c r="H319" s="62"/>
    </row>
    <row r="320" spans="1:8" x14ac:dyDescent="0.25">
      <c r="A320" s="62">
        <v>319</v>
      </c>
      <c r="B320" s="62"/>
      <c r="C320" s="68" t="str">
        <f>IF(ISNA(VLOOKUP($B320,CPY!$B:$G,2,FALSE))=TRUE," ",VLOOKUP($B320,CPY!$B:$G,2,FALSE))</f>
        <v> </v>
      </c>
      <c r="D320" s="50" t="str">
        <f>IF(ISNA(VLOOKUP($B320,CPY!$B:$G,3,FALSE))=TRUE," ",VLOOKUP($B320,CPY!$B:$G,3,FALSE))</f>
        <v> </v>
      </c>
      <c r="E320" s="65" t="str">
        <f>IF(ISNA(VLOOKUP($B320,CPY!$B:$G,4,FALSE))=TRUE," ",VLOOKUP($B320,CPY!$B:$G,4,FALSE))</f>
        <v> </v>
      </c>
      <c r="F320" s="62"/>
      <c r="G320" s="70"/>
      <c r="H320" s="62"/>
    </row>
    <row r="321" spans="1:8" x14ac:dyDescent="0.25">
      <c r="A321" s="62">
        <v>320</v>
      </c>
      <c r="B321" s="62"/>
      <c r="C321" s="68" t="str">
        <f>IF(ISNA(VLOOKUP($B321,CPY!$B:$G,2,FALSE))=TRUE," ",VLOOKUP($B321,CPY!$B:$G,2,FALSE))</f>
        <v> </v>
      </c>
      <c r="D321" s="50" t="str">
        <f>IF(ISNA(VLOOKUP($B321,CPY!$B:$G,3,FALSE))=TRUE," ",VLOOKUP($B321,CPY!$B:$G,3,FALSE))</f>
        <v> </v>
      </c>
      <c r="E321" s="65" t="str">
        <f>IF(ISNA(VLOOKUP($B321,CPY!$B:$G,4,FALSE))=TRUE," ",VLOOKUP($B321,CPY!$B:$G,4,FALSE))</f>
        <v> </v>
      </c>
      <c r="F321" s="62"/>
      <c r="G321" s="70"/>
      <c r="H321" s="62"/>
    </row>
    <row r="322" spans="1:8" x14ac:dyDescent="0.25">
      <c r="A322" s="62">
        <v>321</v>
      </c>
      <c r="B322" s="62"/>
      <c r="C322" s="68" t="str">
        <f>IF(ISNA(VLOOKUP($B322,CPY!$B:$G,2,FALSE))=TRUE," ",VLOOKUP($B322,CPY!$B:$G,2,FALSE))</f>
        <v> </v>
      </c>
      <c r="D322" s="50" t="str">
        <f>IF(ISNA(VLOOKUP($B322,CPY!$B:$G,3,FALSE))=TRUE," ",VLOOKUP($B322,CPY!$B:$G,3,FALSE))</f>
        <v> </v>
      </c>
      <c r="E322" s="65" t="str">
        <f>IF(ISNA(VLOOKUP($B322,CPY!$B:$G,4,FALSE))=TRUE," ",VLOOKUP($B322,CPY!$B:$G,4,FALSE))</f>
        <v> </v>
      </c>
      <c r="F322" s="62"/>
      <c r="G322" s="70"/>
      <c r="H322" s="62"/>
    </row>
    <row r="323" spans="1:8" x14ac:dyDescent="0.25">
      <c r="A323" s="62">
        <v>322</v>
      </c>
      <c r="B323" s="62"/>
      <c r="C323" s="68" t="str">
        <f>IF(ISNA(VLOOKUP($B323,CPY!$B:$G,2,FALSE))=TRUE," ",VLOOKUP($B323,CPY!$B:$G,2,FALSE))</f>
        <v> </v>
      </c>
      <c r="D323" s="50" t="str">
        <f>IF(ISNA(VLOOKUP($B323,CPY!$B:$G,3,FALSE))=TRUE," ",VLOOKUP($B323,CPY!$B:$G,3,FALSE))</f>
        <v> </v>
      </c>
      <c r="E323" s="65" t="str">
        <f>IF(ISNA(VLOOKUP($B323,CPY!$B:$G,4,FALSE))=TRUE," ",VLOOKUP($B323,CPY!$B:$G,4,FALSE))</f>
        <v> </v>
      </c>
      <c r="F323" s="62"/>
      <c r="G323" s="70"/>
      <c r="H323" s="62"/>
    </row>
    <row r="324" spans="1:8" x14ac:dyDescent="0.25">
      <c r="A324" s="62">
        <v>323</v>
      </c>
      <c r="B324" s="62"/>
      <c r="C324" s="68" t="str">
        <f>IF(ISNA(VLOOKUP($B324,CPY!$B:$G,2,FALSE))=TRUE," ",VLOOKUP($B324,CPY!$B:$G,2,FALSE))</f>
        <v> </v>
      </c>
      <c r="D324" s="50" t="str">
        <f>IF(ISNA(VLOOKUP($B324,CPY!$B:$G,3,FALSE))=TRUE," ",VLOOKUP($B324,CPY!$B:$G,3,FALSE))</f>
        <v> </v>
      </c>
      <c r="E324" s="65" t="str">
        <f>IF(ISNA(VLOOKUP($B324,CPY!$B:$G,4,FALSE))=TRUE," ",VLOOKUP($B324,CPY!$B:$G,4,FALSE))</f>
        <v> </v>
      </c>
      <c r="F324" s="62"/>
      <c r="G324" s="70"/>
      <c r="H324" s="62"/>
    </row>
    <row r="325" spans="1:8" x14ac:dyDescent="0.25">
      <c r="A325" s="62">
        <v>324</v>
      </c>
      <c r="B325" s="62"/>
      <c r="C325" s="68" t="str">
        <f>IF(ISNA(VLOOKUP($B325,CPY!$B:$G,2,FALSE))=TRUE," ",VLOOKUP($B325,CPY!$B:$G,2,FALSE))</f>
        <v> </v>
      </c>
      <c r="D325" s="50" t="str">
        <f>IF(ISNA(VLOOKUP($B325,CPY!$B:$G,3,FALSE))=TRUE," ",VLOOKUP($B325,CPY!$B:$G,3,FALSE))</f>
        <v> </v>
      </c>
      <c r="E325" s="65" t="str">
        <f>IF(ISNA(VLOOKUP($B325,CPY!$B:$G,4,FALSE))=TRUE," ",VLOOKUP($B325,CPY!$B:$G,4,FALSE))</f>
        <v> </v>
      </c>
      <c r="F325" s="62"/>
      <c r="G325" s="70"/>
      <c r="H325" s="62"/>
    </row>
    <row r="326" spans="1:8" x14ac:dyDescent="0.25">
      <c r="A326" s="62">
        <v>325</v>
      </c>
      <c r="B326" s="62"/>
      <c r="C326" s="68" t="str">
        <f>IF(ISNA(VLOOKUP($B326,CPY!$B:$G,2,FALSE))=TRUE," ",VLOOKUP($B326,CPY!$B:$G,2,FALSE))</f>
        <v> </v>
      </c>
      <c r="D326" s="50" t="str">
        <f>IF(ISNA(VLOOKUP($B326,CPY!$B:$G,3,FALSE))=TRUE," ",VLOOKUP($B326,CPY!$B:$G,3,FALSE))</f>
        <v> </v>
      </c>
      <c r="E326" s="65" t="str">
        <f>IF(ISNA(VLOOKUP($B326,CPY!$B:$G,4,FALSE))=TRUE," ",VLOOKUP($B326,CPY!$B:$G,4,FALSE))</f>
        <v> </v>
      </c>
      <c r="F326" s="62"/>
      <c r="G326" s="70"/>
      <c r="H326" s="62"/>
    </row>
    <row r="327" spans="1:8" x14ac:dyDescent="0.25">
      <c r="A327" s="62">
        <v>326</v>
      </c>
      <c r="B327" s="62"/>
      <c r="C327" s="68" t="str">
        <f>IF(ISNA(VLOOKUP($B327,CPY!$B:$G,2,FALSE))=TRUE," ",VLOOKUP($B327,CPY!$B:$G,2,FALSE))</f>
        <v> </v>
      </c>
      <c r="D327" s="50" t="str">
        <f>IF(ISNA(VLOOKUP($B327,CPY!$B:$G,3,FALSE))=TRUE," ",VLOOKUP($B327,CPY!$B:$G,3,FALSE))</f>
        <v> </v>
      </c>
      <c r="E327" s="65" t="str">
        <f>IF(ISNA(VLOOKUP($B327,CPY!$B:$G,4,FALSE))=TRUE," ",VLOOKUP($B327,CPY!$B:$G,4,FALSE))</f>
        <v> </v>
      </c>
      <c r="F327" s="62"/>
      <c r="G327" s="70"/>
      <c r="H327" s="62"/>
    </row>
    <row r="328" spans="1:8" x14ac:dyDescent="0.25">
      <c r="A328" s="62">
        <v>327</v>
      </c>
      <c r="B328" s="62"/>
      <c r="C328" s="68" t="str">
        <f>IF(ISNA(VLOOKUP($B328,CPY!$B:$G,2,FALSE))=TRUE," ",VLOOKUP($B328,CPY!$B:$G,2,FALSE))</f>
        <v> </v>
      </c>
      <c r="D328" s="50" t="str">
        <f>IF(ISNA(VLOOKUP($B328,CPY!$B:$G,3,FALSE))=TRUE," ",VLOOKUP($B328,CPY!$B:$G,3,FALSE))</f>
        <v> </v>
      </c>
      <c r="E328" s="65" t="str">
        <f>IF(ISNA(VLOOKUP($B328,CPY!$B:$G,4,FALSE))=TRUE," ",VLOOKUP($B328,CPY!$B:$G,4,FALSE))</f>
        <v> </v>
      </c>
      <c r="F328" s="62"/>
      <c r="G328" s="70"/>
      <c r="H328" s="62"/>
    </row>
    <row r="329" spans="1:8" x14ac:dyDescent="0.25">
      <c r="A329" s="62">
        <v>328</v>
      </c>
      <c r="B329" s="62"/>
      <c r="C329" s="68" t="str">
        <f>IF(ISNA(VLOOKUP($B329,CPY!$B:$G,2,FALSE))=TRUE," ",VLOOKUP($B329,CPY!$B:$G,2,FALSE))</f>
        <v> </v>
      </c>
      <c r="D329" s="50" t="str">
        <f>IF(ISNA(VLOOKUP($B329,CPY!$B:$G,3,FALSE))=TRUE," ",VLOOKUP($B329,CPY!$B:$G,3,FALSE))</f>
        <v> </v>
      </c>
      <c r="E329" s="65" t="str">
        <f>IF(ISNA(VLOOKUP($B329,CPY!$B:$G,4,FALSE))=TRUE," ",VLOOKUP($B329,CPY!$B:$G,4,FALSE))</f>
        <v> </v>
      </c>
      <c r="F329" s="62"/>
      <c r="G329" s="70"/>
      <c r="H329" s="62"/>
    </row>
    <row r="330" spans="1:8" x14ac:dyDescent="0.25">
      <c r="A330" s="62">
        <v>329</v>
      </c>
      <c r="B330" s="62"/>
      <c r="C330" s="68" t="str">
        <f>IF(ISNA(VLOOKUP($B330,CPY!$B:$G,2,FALSE))=TRUE," ",VLOOKUP($B330,CPY!$B:$G,2,FALSE))</f>
        <v> </v>
      </c>
      <c r="D330" s="50" t="str">
        <f>IF(ISNA(VLOOKUP($B330,CPY!$B:$G,3,FALSE))=TRUE," ",VLOOKUP($B330,CPY!$B:$G,3,FALSE))</f>
        <v> </v>
      </c>
      <c r="E330" s="65" t="str">
        <f>IF(ISNA(VLOOKUP($B330,CPY!$B:$G,4,FALSE))=TRUE," ",VLOOKUP($B330,CPY!$B:$G,4,FALSE))</f>
        <v> </v>
      </c>
      <c r="F330" s="62"/>
      <c r="G330" s="70"/>
      <c r="H330" s="62"/>
    </row>
    <row r="331" spans="1:8" x14ac:dyDescent="0.25">
      <c r="A331" s="62">
        <v>330</v>
      </c>
      <c r="B331" s="62"/>
      <c r="C331" s="68" t="str">
        <f>IF(ISNA(VLOOKUP($B331,CPY!$B:$G,2,FALSE))=TRUE," ",VLOOKUP($B331,CPY!$B:$G,2,FALSE))</f>
        <v> </v>
      </c>
      <c r="D331" s="50" t="str">
        <f>IF(ISNA(VLOOKUP($B331,CPY!$B:$G,3,FALSE))=TRUE," ",VLOOKUP($B331,CPY!$B:$G,3,FALSE))</f>
        <v> </v>
      </c>
      <c r="E331" s="65" t="str">
        <f>IF(ISNA(VLOOKUP($B331,CPY!$B:$G,4,FALSE))=TRUE," ",VLOOKUP($B331,CPY!$B:$G,4,FALSE))</f>
        <v> </v>
      </c>
      <c r="F331" s="62"/>
      <c r="G331" s="70"/>
      <c r="H331" s="62"/>
    </row>
    <row r="332" spans="1:8" x14ac:dyDescent="0.25">
      <c r="A332" s="62">
        <v>331</v>
      </c>
      <c r="B332" s="62"/>
      <c r="C332" s="68" t="str">
        <f>IF(ISNA(VLOOKUP($B332,CPY!$B:$G,2,FALSE))=TRUE," ",VLOOKUP($B332,CPY!$B:$G,2,FALSE))</f>
        <v> </v>
      </c>
      <c r="D332" s="50" t="str">
        <f>IF(ISNA(VLOOKUP($B332,CPY!$B:$G,3,FALSE))=TRUE," ",VLOOKUP($B332,CPY!$B:$G,3,FALSE))</f>
        <v> </v>
      </c>
      <c r="E332" s="65" t="str">
        <f>IF(ISNA(VLOOKUP($B332,CPY!$B:$G,4,FALSE))=TRUE," ",VLOOKUP($B332,CPY!$B:$G,4,FALSE))</f>
        <v> </v>
      </c>
      <c r="F332" s="62"/>
      <c r="G332" s="70"/>
      <c r="H332" s="62"/>
    </row>
    <row r="333" spans="1:8" x14ac:dyDescent="0.25">
      <c r="A333" s="62">
        <v>332</v>
      </c>
      <c r="B333" s="62"/>
      <c r="C333" s="68" t="str">
        <f>IF(ISNA(VLOOKUP($B333,CPY!$B:$G,2,FALSE))=TRUE," ",VLOOKUP($B333,CPY!$B:$G,2,FALSE))</f>
        <v> </v>
      </c>
      <c r="D333" s="50" t="str">
        <f>IF(ISNA(VLOOKUP($B333,CPY!$B:$G,3,FALSE))=TRUE," ",VLOOKUP($B333,CPY!$B:$G,3,FALSE))</f>
        <v> </v>
      </c>
      <c r="E333" s="65" t="str">
        <f>IF(ISNA(VLOOKUP($B333,CPY!$B:$G,4,FALSE))=TRUE," ",VLOOKUP($B333,CPY!$B:$G,4,FALSE))</f>
        <v> </v>
      </c>
      <c r="F333" s="62"/>
      <c r="G333" s="70"/>
      <c r="H333" s="62"/>
    </row>
    <row r="334" spans="1:8" x14ac:dyDescent="0.25">
      <c r="A334" s="62">
        <v>333</v>
      </c>
      <c r="B334" s="62"/>
      <c r="C334" s="68" t="str">
        <f>IF(ISNA(VLOOKUP($B334,CPY!$B:$G,2,FALSE))=TRUE," ",VLOOKUP($B334,CPY!$B:$G,2,FALSE))</f>
        <v> </v>
      </c>
      <c r="D334" s="50" t="str">
        <f>IF(ISNA(VLOOKUP($B334,CPY!$B:$G,3,FALSE))=TRUE," ",VLOOKUP($B334,CPY!$B:$G,3,FALSE))</f>
        <v> </v>
      </c>
      <c r="E334" s="65" t="str">
        <f>IF(ISNA(VLOOKUP($B334,CPY!$B:$G,4,FALSE))=TRUE," ",VLOOKUP($B334,CPY!$B:$G,4,FALSE))</f>
        <v> </v>
      </c>
      <c r="F334" s="62"/>
      <c r="G334" s="70"/>
      <c r="H334" s="62"/>
    </row>
    <row r="335" spans="1:8" x14ac:dyDescent="0.25">
      <c r="A335" s="62">
        <v>334</v>
      </c>
      <c r="B335" s="62"/>
      <c r="C335" s="68" t="str">
        <f>IF(ISNA(VLOOKUP($B335,CPY!$B:$G,2,FALSE))=TRUE," ",VLOOKUP($B335,CPY!$B:$G,2,FALSE))</f>
        <v> </v>
      </c>
      <c r="D335" s="50" t="str">
        <f>IF(ISNA(VLOOKUP($B335,CPY!$B:$G,3,FALSE))=TRUE," ",VLOOKUP($B335,CPY!$B:$G,3,FALSE))</f>
        <v> </v>
      </c>
      <c r="E335" s="65" t="str">
        <f>IF(ISNA(VLOOKUP($B335,CPY!$B:$G,4,FALSE))=TRUE," ",VLOOKUP($B335,CPY!$B:$G,4,FALSE))</f>
        <v> </v>
      </c>
      <c r="F335" s="62"/>
      <c r="G335" s="70"/>
      <c r="H335" s="62"/>
    </row>
    <row r="336" spans="1:8" x14ac:dyDescent="0.25">
      <c r="A336" s="62">
        <v>335</v>
      </c>
      <c r="B336" s="62"/>
      <c r="C336" s="68" t="str">
        <f>IF(ISNA(VLOOKUP($B336,CPY!$B:$G,2,FALSE))=TRUE," ",VLOOKUP($B336,CPY!$B:$G,2,FALSE))</f>
        <v> </v>
      </c>
      <c r="D336" s="50" t="str">
        <f>IF(ISNA(VLOOKUP($B336,CPY!$B:$G,3,FALSE))=TRUE," ",VLOOKUP($B336,CPY!$B:$G,3,FALSE))</f>
        <v> </v>
      </c>
      <c r="E336" s="65" t="str">
        <f>IF(ISNA(VLOOKUP($B336,CPY!$B:$G,4,FALSE))=TRUE," ",VLOOKUP($B336,CPY!$B:$G,4,FALSE))</f>
        <v> </v>
      </c>
      <c r="F336" s="62"/>
      <c r="G336" s="70"/>
      <c r="H336" s="62"/>
    </row>
    <row r="337" spans="1:8" x14ac:dyDescent="0.25">
      <c r="A337" s="62">
        <v>336</v>
      </c>
      <c r="B337" s="62"/>
      <c r="C337" s="68" t="str">
        <f>IF(ISNA(VLOOKUP($B337,CPY!$B:$G,2,FALSE))=TRUE," ",VLOOKUP($B337,CPY!$B:$G,2,FALSE))</f>
        <v> </v>
      </c>
      <c r="D337" s="50" t="str">
        <f>IF(ISNA(VLOOKUP($B337,CPY!$B:$G,3,FALSE))=TRUE," ",VLOOKUP($B337,CPY!$B:$G,3,FALSE))</f>
        <v> </v>
      </c>
      <c r="E337" s="65" t="str">
        <f>IF(ISNA(VLOOKUP($B337,CPY!$B:$G,4,FALSE))=TRUE," ",VLOOKUP($B337,CPY!$B:$G,4,FALSE))</f>
        <v> </v>
      </c>
      <c r="F337" s="62"/>
      <c r="G337" s="70"/>
      <c r="H337" s="62"/>
    </row>
    <row r="338" spans="1:8" x14ac:dyDescent="0.25">
      <c r="A338" s="62">
        <v>337</v>
      </c>
      <c r="B338" s="62"/>
      <c r="C338" s="68" t="str">
        <f>IF(ISNA(VLOOKUP($B338,CPY!$B:$G,2,FALSE))=TRUE," ",VLOOKUP($B338,CPY!$B:$G,2,FALSE))</f>
        <v> </v>
      </c>
      <c r="D338" s="50" t="str">
        <f>IF(ISNA(VLOOKUP($B338,CPY!$B:$G,3,FALSE))=TRUE," ",VLOOKUP($B338,CPY!$B:$G,3,FALSE))</f>
        <v> </v>
      </c>
      <c r="E338" s="65" t="str">
        <f>IF(ISNA(VLOOKUP($B338,CPY!$B:$G,4,FALSE))=TRUE," ",VLOOKUP($B338,CPY!$B:$G,4,FALSE))</f>
        <v> </v>
      </c>
      <c r="F338" s="62"/>
      <c r="G338" s="70"/>
      <c r="H338" s="62"/>
    </row>
    <row r="339" spans="1:8" x14ac:dyDescent="0.25">
      <c r="A339" s="62">
        <v>338</v>
      </c>
      <c r="B339" s="62"/>
      <c r="C339" s="68" t="str">
        <f>IF(ISNA(VLOOKUP($B339,CPY!$B:$G,2,FALSE))=TRUE," ",VLOOKUP($B339,CPY!$B:$G,2,FALSE))</f>
        <v> </v>
      </c>
      <c r="D339" s="50" t="str">
        <f>IF(ISNA(VLOOKUP($B339,CPY!$B:$G,3,FALSE))=TRUE," ",VLOOKUP($B339,CPY!$B:$G,3,FALSE))</f>
        <v> </v>
      </c>
      <c r="E339" s="65" t="str">
        <f>IF(ISNA(VLOOKUP($B339,CPY!$B:$G,4,FALSE))=TRUE," ",VLOOKUP($B339,CPY!$B:$G,4,FALSE))</f>
        <v> </v>
      </c>
      <c r="F339" s="62"/>
      <c r="G339" s="70"/>
      <c r="H339" s="62"/>
    </row>
    <row r="340" spans="1:8" x14ac:dyDescent="0.25">
      <c r="A340" s="62">
        <v>339</v>
      </c>
      <c r="B340" s="62"/>
      <c r="C340" s="68" t="str">
        <f>IF(ISNA(VLOOKUP($B340,CPY!$B:$G,2,FALSE))=TRUE," ",VLOOKUP($B340,CPY!$B:$G,2,FALSE))</f>
        <v> </v>
      </c>
      <c r="D340" s="50" t="str">
        <f>IF(ISNA(VLOOKUP($B340,CPY!$B:$G,3,FALSE))=TRUE," ",VLOOKUP($B340,CPY!$B:$G,3,FALSE))</f>
        <v> </v>
      </c>
      <c r="E340" s="65" t="str">
        <f>IF(ISNA(VLOOKUP($B340,CPY!$B:$G,4,FALSE))=TRUE," ",VLOOKUP($B340,CPY!$B:$G,4,FALSE))</f>
        <v> </v>
      </c>
      <c r="F340" s="62"/>
      <c r="G340" s="70"/>
      <c r="H340" s="62"/>
    </row>
    <row r="341" spans="1:8" x14ac:dyDescent="0.25">
      <c r="A341" s="62">
        <v>340</v>
      </c>
      <c r="B341" s="62"/>
      <c r="C341" s="68" t="str">
        <f>IF(ISNA(VLOOKUP($B341,CPY!$B:$G,2,FALSE))=TRUE," ",VLOOKUP($B341,CPY!$B:$G,2,FALSE))</f>
        <v> </v>
      </c>
      <c r="D341" s="50" t="str">
        <f>IF(ISNA(VLOOKUP($B341,CPY!$B:$G,3,FALSE))=TRUE," ",VLOOKUP($B341,CPY!$B:$G,3,FALSE))</f>
        <v> </v>
      </c>
      <c r="E341" s="65" t="str">
        <f>IF(ISNA(VLOOKUP($B341,CPY!$B:$G,4,FALSE))=TRUE," ",VLOOKUP($B341,CPY!$B:$G,4,FALSE))</f>
        <v> </v>
      </c>
      <c r="F341" s="62"/>
      <c r="G341" s="70"/>
      <c r="H341" s="62"/>
    </row>
    <row r="342" spans="1:8" x14ac:dyDescent="0.25">
      <c r="A342" s="62">
        <v>341</v>
      </c>
      <c r="B342" s="62"/>
      <c r="C342" s="68" t="str">
        <f>IF(ISNA(VLOOKUP($B342,CPY!$B:$G,2,FALSE))=TRUE," ",VLOOKUP($B342,CPY!$B:$G,2,FALSE))</f>
        <v> </v>
      </c>
      <c r="D342" s="50" t="str">
        <f>IF(ISNA(VLOOKUP($B342,CPY!$B:$G,3,FALSE))=TRUE," ",VLOOKUP($B342,CPY!$B:$G,3,FALSE))</f>
        <v> </v>
      </c>
      <c r="E342" s="65" t="str">
        <f>IF(ISNA(VLOOKUP($B342,CPY!$B:$G,4,FALSE))=TRUE," ",VLOOKUP($B342,CPY!$B:$G,4,FALSE))</f>
        <v> </v>
      </c>
      <c r="F342" s="62"/>
      <c r="G342" s="70"/>
      <c r="H342" s="62"/>
    </row>
    <row r="343" spans="1:8" x14ac:dyDescent="0.25">
      <c r="A343" s="62">
        <v>342</v>
      </c>
      <c r="B343" s="62"/>
      <c r="C343" s="68" t="str">
        <f>IF(ISNA(VLOOKUP($B343,CPY!$B:$G,2,FALSE))=TRUE," ",VLOOKUP($B343,CPY!$B:$G,2,FALSE))</f>
        <v> </v>
      </c>
      <c r="D343" s="50" t="str">
        <f>IF(ISNA(VLOOKUP($B343,CPY!$B:$G,3,FALSE))=TRUE," ",VLOOKUP($B343,CPY!$B:$G,3,FALSE))</f>
        <v> </v>
      </c>
      <c r="E343" s="65" t="str">
        <f>IF(ISNA(VLOOKUP($B343,CPY!$B:$G,4,FALSE))=TRUE," ",VLOOKUP($B343,CPY!$B:$G,4,FALSE))</f>
        <v> </v>
      </c>
      <c r="F343" s="62"/>
      <c r="G343" s="70"/>
      <c r="H343" s="62"/>
    </row>
    <row r="344" spans="1:8" x14ac:dyDescent="0.25">
      <c r="A344" s="62">
        <v>343</v>
      </c>
      <c r="B344" s="62"/>
      <c r="C344" s="68" t="str">
        <f>IF(ISNA(VLOOKUP($B344,CPY!$B:$G,2,FALSE))=TRUE," ",VLOOKUP($B344,CPY!$B:$G,2,FALSE))</f>
        <v> </v>
      </c>
      <c r="D344" s="50" t="str">
        <f>IF(ISNA(VLOOKUP($B344,CPY!$B:$G,3,FALSE))=TRUE," ",VLOOKUP($B344,CPY!$B:$G,3,FALSE))</f>
        <v> </v>
      </c>
      <c r="E344" s="65" t="str">
        <f>IF(ISNA(VLOOKUP($B344,CPY!$B:$G,4,FALSE))=TRUE," ",VLOOKUP($B344,CPY!$B:$G,4,FALSE))</f>
        <v> </v>
      </c>
      <c r="F344" s="62"/>
      <c r="G344" s="70"/>
      <c r="H344" s="62"/>
    </row>
    <row r="345" spans="1:8" x14ac:dyDescent="0.25">
      <c r="A345" s="62">
        <v>344</v>
      </c>
      <c r="B345" s="62"/>
      <c r="C345" s="68" t="str">
        <f>IF(ISNA(VLOOKUP($B345,CPY!$B:$G,2,FALSE))=TRUE," ",VLOOKUP($B345,CPY!$B:$G,2,FALSE))</f>
        <v> </v>
      </c>
      <c r="D345" s="50" t="str">
        <f>IF(ISNA(VLOOKUP($B345,CPY!$B:$G,3,FALSE))=TRUE," ",VLOOKUP($B345,CPY!$B:$G,3,FALSE))</f>
        <v> </v>
      </c>
      <c r="E345" s="65" t="str">
        <f>IF(ISNA(VLOOKUP($B345,CPY!$B:$G,4,FALSE))=TRUE," ",VLOOKUP($B345,CPY!$B:$G,4,FALSE))</f>
        <v> </v>
      </c>
      <c r="F345" s="62"/>
      <c r="G345" s="70"/>
      <c r="H345" s="62"/>
    </row>
    <row r="346" spans="1:8" x14ac:dyDescent="0.25">
      <c r="A346" s="62">
        <v>345</v>
      </c>
      <c r="B346" s="62"/>
      <c r="C346" s="68" t="str">
        <f>IF(ISNA(VLOOKUP($B346,CPY!$B:$G,2,FALSE))=TRUE," ",VLOOKUP($B346,CPY!$B:$G,2,FALSE))</f>
        <v> </v>
      </c>
      <c r="D346" s="50" t="str">
        <f>IF(ISNA(VLOOKUP($B346,CPY!$B:$G,3,FALSE))=TRUE," ",VLOOKUP($B346,CPY!$B:$G,3,FALSE))</f>
        <v> </v>
      </c>
      <c r="E346" s="65" t="str">
        <f>IF(ISNA(VLOOKUP($B346,CPY!$B:$G,4,FALSE))=TRUE," ",VLOOKUP($B346,CPY!$B:$G,4,FALSE))</f>
        <v> </v>
      </c>
      <c r="F346" s="62"/>
      <c r="G346" s="70"/>
      <c r="H346" s="62"/>
    </row>
    <row r="347" spans="1:8" x14ac:dyDescent="0.25">
      <c r="A347" s="62">
        <v>346</v>
      </c>
      <c r="B347" s="62"/>
      <c r="C347" s="68" t="str">
        <f>IF(ISNA(VLOOKUP($B347,CPY!$B:$G,2,FALSE))=TRUE," ",VLOOKUP($B347,CPY!$B:$G,2,FALSE))</f>
        <v> </v>
      </c>
      <c r="D347" s="50" t="str">
        <f>IF(ISNA(VLOOKUP($B347,CPY!$B:$G,3,FALSE))=TRUE," ",VLOOKUP($B347,CPY!$B:$G,3,FALSE))</f>
        <v> </v>
      </c>
      <c r="E347" s="65" t="str">
        <f>IF(ISNA(VLOOKUP($B347,CPY!$B:$G,4,FALSE))=TRUE," ",VLOOKUP($B347,CPY!$B:$G,4,FALSE))</f>
        <v> </v>
      </c>
      <c r="F347" s="62"/>
      <c r="G347" s="70"/>
      <c r="H347" s="62"/>
    </row>
    <row r="348" spans="1:8" x14ac:dyDescent="0.25">
      <c r="A348" s="62">
        <v>347</v>
      </c>
      <c r="B348" s="62"/>
      <c r="C348" s="68" t="str">
        <f>IF(ISNA(VLOOKUP($B348,CPY!$B:$G,2,FALSE))=TRUE," ",VLOOKUP($B348,CPY!$B:$G,2,FALSE))</f>
        <v> </v>
      </c>
      <c r="D348" s="50" t="str">
        <f>IF(ISNA(VLOOKUP($B348,CPY!$B:$G,3,FALSE))=TRUE," ",VLOOKUP($B348,CPY!$B:$G,3,FALSE))</f>
        <v> </v>
      </c>
      <c r="E348" s="65" t="str">
        <f>IF(ISNA(VLOOKUP($B348,CPY!$B:$G,4,FALSE))=TRUE," ",VLOOKUP($B348,CPY!$B:$G,4,FALSE))</f>
        <v> </v>
      </c>
      <c r="F348" s="62"/>
      <c r="G348" s="70"/>
      <c r="H348" s="62"/>
    </row>
    <row r="349" spans="1:8" x14ac:dyDescent="0.25">
      <c r="A349" s="62">
        <v>348</v>
      </c>
      <c r="B349" s="62"/>
      <c r="C349" s="68" t="str">
        <f>IF(ISNA(VLOOKUP($B349,CPY!$B:$G,2,FALSE))=TRUE," ",VLOOKUP($B349,CPY!$B:$G,2,FALSE))</f>
        <v> </v>
      </c>
      <c r="D349" s="50" t="str">
        <f>IF(ISNA(VLOOKUP($B349,CPY!$B:$G,3,FALSE))=TRUE," ",VLOOKUP($B349,CPY!$B:$G,3,FALSE))</f>
        <v> </v>
      </c>
      <c r="E349" s="65" t="str">
        <f>IF(ISNA(VLOOKUP($B349,CPY!$B:$G,4,FALSE))=TRUE," ",VLOOKUP($B349,CPY!$B:$G,4,FALSE))</f>
        <v> </v>
      </c>
      <c r="F349" s="62"/>
      <c r="G349" s="70"/>
      <c r="H349" s="62"/>
    </row>
    <row r="350" spans="1:8" x14ac:dyDescent="0.25">
      <c r="A350" s="62">
        <v>349</v>
      </c>
      <c r="B350" s="62"/>
      <c r="C350" s="68" t="str">
        <f>IF(ISNA(VLOOKUP($B350,CPY!$B:$G,2,FALSE))=TRUE," ",VLOOKUP($B350,CPY!$B:$G,2,FALSE))</f>
        <v> </v>
      </c>
      <c r="D350" s="50" t="str">
        <f>IF(ISNA(VLOOKUP($B350,CPY!$B:$G,3,FALSE))=TRUE," ",VLOOKUP($B350,CPY!$B:$G,3,FALSE))</f>
        <v> </v>
      </c>
      <c r="E350" s="65" t="str">
        <f>IF(ISNA(VLOOKUP($B350,CPY!$B:$G,4,FALSE))=TRUE," ",VLOOKUP($B350,CPY!$B:$G,4,FALSE))</f>
        <v> </v>
      </c>
      <c r="F350" s="62"/>
      <c r="G350" s="70"/>
      <c r="H350" s="62"/>
    </row>
    <row r="351" spans="1:8" x14ac:dyDescent="0.25">
      <c r="A351" s="62">
        <v>350</v>
      </c>
      <c r="B351" s="62"/>
      <c r="C351" s="68" t="str">
        <f>IF(ISNA(VLOOKUP($B351,CPY!$B:$G,2,FALSE))=TRUE," ",VLOOKUP($B351,CPY!$B:$G,2,FALSE))</f>
        <v> </v>
      </c>
      <c r="D351" s="50" t="str">
        <f>IF(ISNA(VLOOKUP($B351,CPY!$B:$G,3,FALSE))=TRUE," ",VLOOKUP($B351,CPY!$B:$G,3,FALSE))</f>
        <v> </v>
      </c>
      <c r="E351" s="65" t="str">
        <f>IF(ISNA(VLOOKUP($B351,CPY!$B:$G,4,FALSE))=TRUE," ",VLOOKUP($B351,CPY!$B:$G,4,FALSE))</f>
        <v> </v>
      </c>
      <c r="F351" s="62"/>
      <c r="G351" s="70"/>
      <c r="H351" s="62"/>
    </row>
    <row r="352" spans="1:8" x14ac:dyDescent="0.25">
      <c r="A352" s="62">
        <v>351</v>
      </c>
      <c r="B352" s="62"/>
      <c r="C352" s="68" t="str">
        <f>IF(ISNA(VLOOKUP($B352,CPY!$B:$G,2,FALSE))=TRUE," ",VLOOKUP($B352,CPY!$B:$G,2,FALSE))</f>
        <v> </v>
      </c>
      <c r="D352" s="50" t="str">
        <f>IF(ISNA(VLOOKUP($B352,CPY!$B:$G,3,FALSE))=TRUE," ",VLOOKUP($B352,CPY!$B:$G,3,FALSE))</f>
        <v> </v>
      </c>
      <c r="E352" s="65" t="str">
        <f>IF(ISNA(VLOOKUP($B352,CPY!$B:$G,4,FALSE))=TRUE," ",VLOOKUP($B352,CPY!$B:$G,4,FALSE))</f>
        <v> </v>
      </c>
      <c r="F352" s="62"/>
      <c r="G352" s="70"/>
      <c r="H352" s="62"/>
    </row>
    <row r="353" spans="1:8" x14ac:dyDescent="0.25">
      <c r="A353" s="62">
        <v>352</v>
      </c>
      <c r="B353" s="62"/>
      <c r="C353" s="68" t="str">
        <f>IF(ISNA(VLOOKUP($B353,CPY!$B:$G,2,FALSE))=TRUE," ",VLOOKUP($B353,CPY!$B:$G,2,FALSE))</f>
        <v> </v>
      </c>
      <c r="D353" s="50" t="str">
        <f>IF(ISNA(VLOOKUP($B353,CPY!$B:$G,3,FALSE))=TRUE," ",VLOOKUP($B353,CPY!$B:$G,3,FALSE))</f>
        <v> </v>
      </c>
      <c r="E353" s="65" t="str">
        <f>IF(ISNA(VLOOKUP($B353,CPY!$B:$G,4,FALSE))=TRUE," ",VLOOKUP($B353,CPY!$B:$G,4,FALSE))</f>
        <v> </v>
      </c>
      <c r="F353" s="62"/>
      <c r="G353" s="70"/>
      <c r="H353" s="62"/>
    </row>
    <row r="354" spans="1:8" x14ac:dyDescent="0.25">
      <c r="A354" s="62">
        <v>353</v>
      </c>
      <c r="B354" s="62"/>
      <c r="C354" s="68" t="str">
        <f>IF(ISNA(VLOOKUP($B354,CPY!$B:$G,2,FALSE))=TRUE," ",VLOOKUP($B354,CPY!$B:$G,2,FALSE))</f>
        <v> </v>
      </c>
      <c r="D354" s="50" t="str">
        <f>IF(ISNA(VLOOKUP($B354,CPY!$B:$G,3,FALSE))=TRUE," ",VLOOKUP($B354,CPY!$B:$G,3,FALSE))</f>
        <v> </v>
      </c>
      <c r="E354" s="65" t="str">
        <f>IF(ISNA(VLOOKUP($B354,CPY!$B:$G,4,FALSE))=TRUE," ",VLOOKUP($B354,CPY!$B:$G,4,FALSE))</f>
        <v> </v>
      </c>
      <c r="F354" s="62"/>
      <c r="G354" s="70"/>
      <c r="H354" s="62"/>
    </row>
    <row r="355" spans="1:8" x14ac:dyDescent="0.25">
      <c r="A355" s="62">
        <v>354</v>
      </c>
      <c r="B355" s="62"/>
      <c r="C355" s="68" t="str">
        <f>IF(ISNA(VLOOKUP($B355,CPY!$B:$G,2,FALSE))=TRUE," ",VLOOKUP($B355,CPY!$B:$G,2,FALSE))</f>
        <v> </v>
      </c>
      <c r="D355" s="50" t="str">
        <f>IF(ISNA(VLOOKUP($B355,CPY!$B:$G,3,FALSE))=TRUE," ",VLOOKUP($B355,CPY!$B:$G,3,FALSE))</f>
        <v> </v>
      </c>
      <c r="E355" s="65" t="str">
        <f>IF(ISNA(VLOOKUP($B355,CPY!$B:$G,4,FALSE))=TRUE," ",VLOOKUP($B355,CPY!$B:$G,4,FALSE))</f>
        <v> </v>
      </c>
      <c r="F355" s="62"/>
      <c r="G355" s="70"/>
      <c r="H355" s="62"/>
    </row>
    <row r="356" spans="1:8" x14ac:dyDescent="0.25">
      <c r="A356" s="62">
        <v>355</v>
      </c>
      <c r="B356" s="62"/>
      <c r="C356" s="68" t="str">
        <f>IF(ISNA(VLOOKUP($B356,CPY!$B:$G,2,FALSE))=TRUE," ",VLOOKUP($B356,CPY!$B:$G,2,FALSE))</f>
        <v> </v>
      </c>
      <c r="D356" s="50" t="str">
        <f>IF(ISNA(VLOOKUP($B356,CPY!$B:$G,3,FALSE))=TRUE," ",VLOOKUP($B356,CPY!$B:$G,3,FALSE))</f>
        <v> </v>
      </c>
      <c r="E356" s="65" t="str">
        <f>IF(ISNA(VLOOKUP($B356,CPY!$B:$G,4,FALSE))=TRUE," ",VLOOKUP($B356,CPY!$B:$G,4,FALSE))</f>
        <v> </v>
      </c>
      <c r="F356" s="62"/>
      <c r="G356" s="70"/>
      <c r="H356" s="62"/>
    </row>
    <row r="357" spans="1:8" x14ac:dyDescent="0.25">
      <c r="A357" s="62">
        <v>356</v>
      </c>
      <c r="B357" s="62"/>
      <c r="C357" s="68" t="str">
        <f>IF(ISNA(VLOOKUP($B357,CPY!$B:$G,2,FALSE))=TRUE," ",VLOOKUP($B357,CPY!$B:$G,2,FALSE))</f>
        <v> </v>
      </c>
      <c r="D357" s="50" t="str">
        <f>IF(ISNA(VLOOKUP($B357,CPY!$B:$G,3,FALSE))=TRUE," ",VLOOKUP($B357,CPY!$B:$G,3,FALSE))</f>
        <v> </v>
      </c>
      <c r="E357" s="65" t="str">
        <f>IF(ISNA(VLOOKUP($B357,CPY!$B:$G,4,FALSE))=TRUE," ",VLOOKUP($B357,CPY!$B:$G,4,FALSE))</f>
        <v> </v>
      </c>
      <c r="F357" s="62"/>
      <c r="G357" s="70"/>
      <c r="H357" s="62"/>
    </row>
    <row r="358" spans="1:8" x14ac:dyDescent="0.25">
      <c r="A358" s="62">
        <v>357</v>
      </c>
      <c r="B358" s="62"/>
      <c r="C358" s="68" t="str">
        <f>IF(ISNA(VLOOKUP($B358,CPY!$B:$G,2,FALSE))=TRUE," ",VLOOKUP($B358,CPY!$B:$G,2,FALSE))</f>
        <v> </v>
      </c>
      <c r="D358" s="50" t="str">
        <f>IF(ISNA(VLOOKUP($B358,CPY!$B:$G,3,FALSE))=TRUE," ",VLOOKUP($B358,CPY!$B:$G,3,FALSE))</f>
        <v> </v>
      </c>
      <c r="E358" s="65" t="str">
        <f>IF(ISNA(VLOOKUP($B358,CPY!$B:$G,4,FALSE))=TRUE," ",VLOOKUP($B358,CPY!$B:$G,4,FALSE))</f>
        <v> </v>
      </c>
      <c r="F358" s="62"/>
      <c r="G358" s="70"/>
      <c r="H358" s="62"/>
    </row>
    <row r="359" spans="1:8" x14ac:dyDescent="0.25">
      <c r="A359" s="62">
        <v>358</v>
      </c>
      <c r="B359" s="62"/>
      <c r="C359" s="68" t="str">
        <f>IF(ISNA(VLOOKUP($B359,CPY!$B:$G,2,FALSE))=TRUE," ",VLOOKUP($B359,CPY!$B:$G,2,FALSE))</f>
        <v> </v>
      </c>
      <c r="D359" s="50" t="str">
        <f>IF(ISNA(VLOOKUP($B359,CPY!$B:$G,3,FALSE))=TRUE," ",VLOOKUP($B359,CPY!$B:$G,3,FALSE))</f>
        <v> </v>
      </c>
      <c r="E359" s="65" t="str">
        <f>IF(ISNA(VLOOKUP($B359,CPY!$B:$G,4,FALSE))=TRUE," ",VLOOKUP($B359,CPY!$B:$G,4,FALSE))</f>
        <v> </v>
      </c>
      <c r="F359" s="62"/>
      <c r="G359" s="70"/>
      <c r="H359" s="62"/>
    </row>
    <row r="360" spans="1:8" x14ac:dyDescent="0.25">
      <c r="A360" s="62">
        <v>359</v>
      </c>
      <c r="B360" s="62"/>
      <c r="C360" s="68" t="str">
        <f>IF(ISNA(VLOOKUP($B360,CPY!$B:$G,2,FALSE))=TRUE," ",VLOOKUP($B360,CPY!$B:$G,2,FALSE))</f>
        <v> </v>
      </c>
      <c r="D360" s="50" t="str">
        <f>IF(ISNA(VLOOKUP($B360,CPY!$B:$G,3,FALSE))=TRUE," ",VLOOKUP($B360,CPY!$B:$G,3,FALSE))</f>
        <v> </v>
      </c>
      <c r="E360" s="65" t="str">
        <f>IF(ISNA(VLOOKUP($B360,CPY!$B:$G,4,FALSE))=TRUE," ",VLOOKUP($B360,CPY!$B:$G,4,FALSE))</f>
        <v> </v>
      </c>
      <c r="F360" s="62"/>
      <c r="G360" s="70"/>
      <c r="H360" s="62"/>
    </row>
    <row r="361" spans="1:8" x14ac:dyDescent="0.25">
      <c r="A361" s="62">
        <v>360</v>
      </c>
      <c r="B361" s="62"/>
      <c r="C361" s="68" t="str">
        <f>IF(ISNA(VLOOKUP($B361,CPY!$B:$G,2,FALSE))=TRUE," ",VLOOKUP($B361,CPY!$B:$G,2,FALSE))</f>
        <v> </v>
      </c>
      <c r="D361" s="50" t="str">
        <f>IF(ISNA(VLOOKUP($B361,CPY!$B:$G,3,FALSE))=TRUE," ",VLOOKUP($B361,CPY!$B:$G,3,FALSE))</f>
        <v> </v>
      </c>
      <c r="E361" s="65" t="str">
        <f>IF(ISNA(VLOOKUP($B361,CPY!$B:$G,4,FALSE))=TRUE," ",VLOOKUP($B361,CPY!$B:$G,4,FALSE))</f>
        <v> </v>
      </c>
      <c r="F361" s="62"/>
      <c r="G361" s="70"/>
      <c r="H361" s="62"/>
    </row>
    <row r="362" spans="1:8" x14ac:dyDescent="0.25">
      <c r="A362" s="62">
        <v>361</v>
      </c>
      <c r="B362" s="62"/>
      <c r="C362" s="68" t="str">
        <f>IF(ISNA(VLOOKUP($B362,CPY!$B:$G,2,FALSE))=TRUE," ",VLOOKUP($B362,CPY!$B:$G,2,FALSE))</f>
        <v> </v>
      </c>
      <c r="D362" s="50" t="str">
        <f>IF(ISNA(VLOOKUP($B362,CPY!$B:$G,3,FALSE))=TRUE," ",VLOOKUP($B362,CPY!$B:$G,3,FALSE))</f>
        <v> </v>
      </c>
      <c r="E362" s="65" t="str">
        <f>IF(ISNA(VLOOKUP($B362,CPY!$B:$G,4,FALSE))=TRUE," ",VLOOKUP($B362,CPY!$B:$G,4,FALSE))</f>
        <v> </v>
      </c>
      <c r="F362" s="62"/>
      <c r="G362" s="70"/>
      <c r="H362" s="62"/>
    </row>
    <row r="363" spans="1:8" x14ac:dyDescent="0.25">
      <c r="A363" s="62">
        <v>362</v>
      </c>
      <c r="B363" s="62"/>
      <c r="C363" s="68" t="str">
        <f>IF(ISNA(VLOOKUP($B363,CPY!$B:$G,2,FALSE))=TRUE," ",VLOOKUP($B363,CPY!$B:$G,2,FALSE))</f>
        <v> </v>
      </c>
      <c r="D363" s="50" t="str">
        <f>IF(ISNA(VLOOKUP($B363,CPY!$B:$G,3,FALSE))=TRUE," ",VLOOKUP($B363,CPY!$B:$G,3,FALSE))</f>
        <v> </v>
      </c>
      <c r="E363" s="65" t="str">
        <f>IF(ISNA(VLOOKUP($B363,CPY!$B:$G,4,FALSE))=TRUE," ",VLOOKUP($B363,CPY!$B:$G,4,FALSE))</f>
        <v> </v>
      </c>
      <c r="F363" s="62"/>
      <c r="G363" s="70"/>
      <c r="H363" s="62"/>
    </row>
    <row r="364" spans="1:8" x14ac:dyDescent="0.25">
      <c r="A364" s="62">
        <v>363</v>
      </c>
      <c r="B364" s="62"/>
      <c r="C364" s="68" t="str">
        <f>IF(ISNA(VLOOKUP($B364,CPY!$B:$G,2,FALSE))=TRUE," ",VLOOKUP($B364,CPY!$B:$G,2,FALSE))</f>
        <v> </v>
      </c>
      <c r="D364" s="50" t="str">
        <f>IF(ISNA(VLOOKUP($B364,CPY!$B:$G,3,FALSE))=TRUE," ",VLOOKUP($B364,CPY!$B:$G,3,FALSE))</f>
        <v> </v>
      </c>
      <c r="E364" s="65" t="str">
        <f>IF(ISNA(VLOOKUP($B364,CPY!$B:$G,4,FALSE))=TRUE," ",VLOOKUP($B364,CPY!$B:$G,4,FALSE))</f>
        <v> </v>
      </c>
      <c r="F364" s="62"/>
      <c r="G364" s="70"/>
      <c r="H364" s="62"/>
    </row>
    <row r="365" spans="1:8" x14ac:dyDescent="0.25">
      <c r="A365" s="62">
        <v>364</v>
      </c>
      <c r="B365" s="62"/>
      <c r="C365" s="68" t="str">
        <f>IF(ISNA(VLOOKUP($B365,CPY!$B:$G,2,FALSE))=TRUE," ",VLOOKUP($B365,CPY!$B:$G,2,FALSE))</f>
        <v> </v>
      </c>
      <c r="D365" s="50" t="str">
        <f>IF(ISNA(VLOOKUP($B365,CPY!$B:$G,3,FALSE))=TRUE," ",VLOOKUP($B365,CPY!$B:$G,3,FALSE))</f>
        <v> </v>
      </c>
      <c r="E365" s="65" t="str">
        <f>IF(ISNA(VLOOKUP($B365,CPY!$B:$G,4,FALSE))=TRUE," ",VLOOKUP($B365,CPY!$B:$G,4,FALSE))</f>
        <v> </v>
      </c>
      <c r="F365" s="62"/>
      <c r="G365" s="70"/>
      <c r="H365" s="62"/>
    </row>
    <row r="366" spans="1:8" x14ac:dyDescent="0.25">
      <c r="A366" s="62">
        <v>365</v>
      </c>
      <c r="B366" s="62"/>
      <c r="C366" s="68" t="str">
        <f>IF(ISNA(VLOOKUP($B366,CPY!$B:$G,2,FALSE))=TRUE," ",VLOOKUP($B366,CPY!$B:$G,2,FALSE))</f>
        <v> </v>
      </c>
      <c r="D366" s="50" t="str">
        <f>IF(ISNA(VLOOKUP($B366,CPY!$B:$G,3,FALSE))=TRUE," ",VLOOKUP($B366,CPY!$B:$G,3,FALSE))</f>
        <v> </v>
      </c>
      <c r="E366" s="65" t="str">
        <f>IF(ISNA(VLOOKUP($B366,CPY!$B:$G,4,FALSE))=TRUE," ",VLOOKUP($B366,CPY!$B:$G,4,FALSE))</f>
        <v> </v>
      </c>
      <c r="F366" s="62"/>
      <c r="G366" s="70"/>
      <c r="H366" s="62"/>
    </row>
    <row r="367" spans="1:8" x14ac:dyDescent="0.25">
      <c r="A367" s="62">
        <v>366</v>
      </c>
      <c r="B367" s="62"/>
      <c r="C367" s="68" t="str">
        <f>IF(ISNA(VLOOKUP($B367,CPY!$B:$G,2,FALSE))=TRUE," ",VLOOKUP($B367,CPY!$B:$G,2,FALSE))</f>
        <v> </v>
      </c>
      <c r="D367" s="50" t="str">
        <f>IF(ISNA(VLOOKUP($B367,CPY!$B:$G,3,FALSE))=TRUE," ",VLOOKUP($B367,CPY!$B:$G,3,FALSE))</f>
        <v> </v>
      </c>
      <c r="E367" s="65" t="str">
        <f>IF(ISNA(VLOOKUP($B367,CPY!$B:$G,4,FALSE))=TRUE," ",VLOOKUP($B367,CPY!$B:$G,4,FALSE))</f>
        <v> </v>
      </c>
      <c r="F367" s="62"/>
      <c r="G367" s="70"/>
      <c r="H367" s="62"/>
    </row>
    <row r="368" spans="1:8" x14ac:dyDescent="0.25">
      <c r="A368" s="62">
        <v>367</v>
      </c>
      <c r="B368" s="62"/>
      <c r="C368" s="68" t="str">
        <f>IF(ISNA(VLOOKUP($B368,CPY!$B:$G,2,FALSE))=TRUE," ",VLOOKUP($B368,CPY!$B:$G,2,FALSE))</f>
        <v> </v>
      </c>
      <c r="D368" s="50" t="str">
        <f>IF(ISNA(VLOOKUP($B368,CPY!$B:$G,3,FALSE))=TRUE," ",VLOOKUP($B368,CPY!$B:$G,3,FALSE))</f>
        <v> </v>
      </c>
      <c r="E368" s="65" t="str">
        <f>IF(ISNA(VLOOKUP($B368,CPY!$B:$G,4,FALSE))=TRUE," ",VLOOKUP($B368,CPY!$B:$G,4,FALSE))</f>
        <v> </v>
      </c>
      <c r="F368" s="62"/>
      <c r="G368" s="70"/>
      <c r="H368" s="62"/>
    </row>
    <row r="369" spans="1:8" x14ac:dyDescent="0.25">
      <c r="A369" s="62">
        <v>368</v>
      </c>
      <c r="B369" s="62"/>
      <c r="C369" s="68" t="str">
        <f>IF(ISNA(VLOOKUP($B369,CPY!$B:$G,2,FALSE))=TRUE," ",VLOOKUP($B369,CPY!$B:$G,2,FALSE))</f>
        <v> </v>
      </c>
      <c r="D369" s="50" t="str">
        <f>IF(ISNA(VLOOKUP($B369,CPY!$B:$G,3,FALSE))=TRUE," ",VLOOKUP($B369,CPY!$B:$G,3,FALSE))</f>
        <v> </v>
      </c>
      <c r="E369" s="65" t="str">
        <f>IF(ISNA(VLOOKUP($B369,CPY!$B:$G,4,FALSE))=TRUE," ",VLOOKUP($B369,CPY!$B:$G,4,FALSE))</f>
        <v> </v>
      </c>
      <c r="F369" s="62"/>
      <c r="G369" s="70"/>
      <c r="H369" s="62"/>
    </row>
    <row r="370" spans="1:8" x14ac:dyDescent="0.25">
      <c r="A370" s="62">
        <v>369</v>
      </c>
      <c r="B370" s="62"/>
      <c r="C370" s="68" t="str">
        <f>IF(ISNA(VLOOKUP($B370,CPY!$B:$G,2,FALSE))=TRUE," ",VLOOKUP($B370,CPY!$B:$G,2,FALSE))</f>
        <v> </v>
      </c>
      <c r="D370" s="50" t="str">
        <f>IF(ISNA(VLOOKUP($B370,CPY!$B:$G,3,FALSE))=TRUE," ",VLOOKUP($B370,CPY!$B:$G,3,FALSE))</f>
        <v> </v>
      </c>
      <c r="E370" s="65" t="str">
        <f>IF(ISNA(VLOOKUP($B370,CPY!$B:$G,4,FALSE))=TRUE," ",VLOOKUP($B370,CPY!$B:$G,4,FALSE))</f>
        <v> </v>
      </c>
      <c r="F370" s="62"/>
      <c r="G370" s="70"/>
      <c r="H370" s="62"/>
    </row>
    <row r="371" spans="1:8" x14ac:dyDescent="0.25">
      <c r="A371" s="62">
        <v>370</v>
      </c>
      <c r="B371" s="62"/>
      <c r="C371" s="68" t="str">
        <f>IF(ISNA(VLOOKUP($B371,CPY!$B:$G,2,FALSE))=TRUE," ",VLOOKUP($B371,CPY!$B:$G,2,FALSE))</f>
        <v> </v>
      </c>
      <c r="D371" s="50" t="str">
        <f>IF(ISNA(VLOOKUP($B371,CPY!$B:$G,3,FALSE))=TRUE," ",VLOOKUP($B371,CPY!$B:$G,3,FALSE))</f>
        <v> </v>
      </c>
      <c r="E371" s="65" t="str">
        <f>IF(ISNA(VLOOKUP($B371,CPY!$B:$G,4,FALSE))=TRUE," ",VLOOKUP($B371,CPY!$B:$G,4,FALSE))</f>
        <v> </v>
      </c>
      <c r="F371" s="62"/>
      <c r="G371" s="70"/>
      <c r="H371" s="62"/>
    </row>
    <row r="372" spans="1:8" x14ac:dyDescent="0.25">
      <c r="A372" s="62">
        <v>371</v>
      </c>
      <c r="B372" s="62"/>
      <c r="C372" s="68" t="str">
        <f>IF(ISNA(VLOOKUP($B372,CPY!$B:$G,2,FALSE))=TRUE," ",VLOOKUP($B372,CPY!$B:$G,2,FALSE))</f>
        <v> </v>
      </c>
      <c r="D372" s="50" t="str">
        <f>IF(ISNA(VLOOKUP($B372,CPY!$B:$G,3,FALSE))=TRUE," ",VLOOKUP($B372,CPY!$B:$G,3,FALSE))</f>
        <v> </v>
      </c>
      <c r="E372" s="65" t="str">
        <f>IF(ISNA(VLOOKUP($B372,CPY!$B:$G,4,FALSE))=TRUE," ",VLOOKUP($B372,CPY!$B:$G,4,FALSE))</f>
        <v> </v>
      </c>
      <c r="F372" s="62"/>
      <c r="G372" s="70"/>
      <c r="H372" s="62"/>
    </row>
    <row r="373" spans="1:8" x14ac:dyDescent="0.25">
      <c r="A373" s="62">
        <v>372</v>
      </c>
      <c r="B373" s="62"/>
      <c r="C373" s="68" t="str">
        <f>IF(ISNA(VLOOKUP($B373,CPY!$B:$G,2,FALSE))=TRUE," ",VLOOKUP($B373,CPY!$B:$G,2,FALSE))</f>
        <v> </v>
      </c>
      <c r="D373" s="50" t="str">
        <f>IF(ISNA(VLOOKUP($B373,CPY!$B:$G,3,FALSE))=TRUE," ",VLOOKUP($B373,CPY!$B:$G,3,FALSE))</f>
        <v> </v>
      </c>
      <c r="E373" s="65" t="str">
        <f>IF(ISNA(VLOOKUP($B373,CPY!$B:$G,4,FALSE))=TRUE," ",VLOOKUP($B373,CPY!$B:$G,4,FALSE))</f>
        <v> </v>
      </c>
      <c r="F373" s="62"/>
      <c r="G373" s="70"/>
      <c r="H373" s="62"/>
    </row>
    <row r="374" spans="1:8" x14ac:dyDescent="0.25">
      <c r="A374" s="62">
        <v>373</v>
      </c>
      <c r="B374" s="62"/>
      <c r="C374" s="68" t="str">
        <f>IF(ISNA(VLOOKUP($B374,CPY!$B:$G,2,FALSE))=TRUE," ",VLOOKUP($B374,CPY!$B:$G,2,FALSE))</f>
        <v> </v>
      </c>
      <c r="D374" s="50" t="str">
        <f>IF(ISNA(VLOOKUP($B374,CPY!$B:$G,3,FALSE))=TRUE," ",VLOOKUP($B374,CPY!$B:$G,3,FALSE))</f>
        <v> </v>
      </c>
      <c r="E374" s="65" t="str">
        <f>IF(ISNA(VLOOKUP($B374,CPY!$B:$G,4,FALSE))=TRUE," ",VLOOKUP($B374,CPY!$B:$G,4,FALSE))</f>
        <v> </v>
      </c>
      <c r="F374" s="62"/>
      <c r="G374" s="70"/>
      <c r="H374" s="62"/>
    </row>
    <row r="375" spans="1:8" x14ac:dyDescent="0.25">
      <c r="A375" s="62">
        <v>374</v>
      </c>
      <c r="B375" s="62"/>
      <c r="C375" s="68" t="str">
        <f>IF(ISNA(VLOOKUP($B375,CPY!$B:$G,2,FALSE))=TRUE," ",VLOOKUP($B375,CPY!$B:$G,2,FALSE))</f>
        <v> </v>
      </c>
      <c r="D375" s="50" t="str">
        <f>IF(ISNA(VLOOKUP($B375,CPY!$B:$G,3,FALSE))=TRUE," ",VLOOKUP($B375,CPY!$B:$G,3,FALSE))</f>
        <v> </v>
      </c>
      <c r="E375" s="65" t="str">
        <f>IF(ISNA(VLOOKUP($B375,CPY!$B:$G,4,FALSE))=TRUE," ",VLOOKUP($B375,CPY!$B:$G,4,FALSE))</f>
        <v> </v>
      </c>
      <c r="F375" s="62"/>
      <c r="G375" s="70"/>
      <c r="H375" s="62"/>
    </row>
    <row r="376" spans="1:8" x14ac:dyDescent="0.25">
      <c r="A376" s="62">
        <v>375</v>
      </c>
      <c r="B376" s="62"/>
      <c r="C376" s="68" t="str">
        <f>IF(ISNA(VLOOKUP($B376,CPY!$B:$G,2,FALSE))=TRUE," ",VLOOKUP($B376,CPY!$B:$G,2,FALSE))</f>
        <v> </v>
      </c>
      <c r="D376" s="50" t="str">
        <f>IF(ISNA(VLOOKUP($B376,CPY!$B:$G,3,FALSE))=TRUE," ",VLOOKUP($B376,CPY!$B:$G,3,FALSE))</f>
        <v> </v>
      </c>
      <c r="E376" s="65" t="str">
        <f>IF(ISNA(VLOOKUP($B376,CPY!$B:$G,4,FALSE))=TRUE," ",VLOOKUP($B376,CPY!$B:$G,4,FALSE))</f>
        <v> </v>
      </c>
      <c r="F376" s="62"/>
      <c r="G376" s="70"/>
      <c r="H376" s="62"/>
    </row>
    <row r="377" spans="1:8" x14ac:dyDescent="0.25">
      <c r="A377" s="62">
        <v>376</v>
      </c>
      <c r="B377" s="62"/>
      <c r="C377" s="68" t="str">
        <f>IF(ISNA(VLOOKUP($B377,CPY!$B:$G,2,FALSE))=TRUE," ",VLOOKUP($B377,CPY!$B:$G,2,FALSE))</f>
        <v> </v>
      </c>
      <c r="D377" s="50" t="str">
        <f>IF(ISNA(VLOOKUP($B377,CPY!$B:$G,3,FALSE))=TRUE," ",VLOOKUP($B377,CPY!$B:$G,3,FALSE))</f>
        <v> </v>
      </c>
      <c r="E377" s="65" t="str">
        <f>IF(ISNA(VLOOKUP($B377,CPY!$B:$G,4,FALSE))=TRUE," ",VLOOKUP($B377,CPY!$B:$G,4,FALSE))</f>
        <v> </v>
      </c>
      <c r="F377" s="62"/>
      <c r="G377" s="70"/>
      <c r="H377" s="62"/>
    </row>
    <row r="378" spans="1:8" x14ac:dyDescent="0.25">
      <c r="A378" s="62">
        <v>377</v>
      </c>
      <c r="B378" s="62"/>
      <c r="C378" s="68" t="str">
        <f>IF(ISNA(VLOOKUP($B378,CPY!$B:$G,2,FALSE))=TRUE," ",VLOOKUP($B378,CPY!$B:$G,2,FALSE))</f>
        <v> </v>
      </c>
      <c r="D378" s="50" t="str">
        <f>IF(ISNA(VLOOKUP($B378,CPY!$B:$G,3,FALSE))=TRUE," ",VLOOKUP($B378,CPY!$B:$G,3,FALSE))</f>
        <v> </v>
      </c>
      <c r="E378" s="65" t="str">
        <f>IF(ISNA(VLOOKUP($B378,CPY!$B:$G,4,FALSE))=TRUE," ",VLOOKUP($B378,CPY!$B:$G,4,FALSE))</f>
        <v> </v>
      </c>
      <c r="F378" s="62"/>
      <c r="G378" s="70"/>
      <c r="H378" s="62"/>
    </row>
    <row r="379" spans="1:8" x14ac:dyDescent="0.25">
      <c r="A379" s="62">
        <v>378</v>
      </c>
      <c r="B379" s="62"/>
      <c r="C379" s="68" t="str">
        <f>IF(ISNA(VLOOKUP($B379,CPY!$B:$G,2,FALSE))=TRUE," ",VLOOKUP($B379,CPY!$B:$G,2,FALSE))</f>
        <v> </v>
      </c>
      <c r="D379" s="50" t="str">
        <f>IF(ISNA(VLOOKUP($B379,CPY!$B:$G,3,FALSE))=TRUE," ",VLOOKUP($B379,CPY!$B:$G,3,FALSE))</f>
        <v> </v>
      </c>
      <c r="E379" s="65" t="str">
        <f>IF(ISNA(VLOOKUP($B379,CPY!$B:$G,4,FALSE))=TRUE," ",VLOOKUP($B379,CPY!$B:$G,4,FALSE))</f>
        <v> </v>
      </c>
      <c r="F379" s="62"/>
      <c r="G379" s="70"/>
      <c r="H379" s="62"/>
    </row>
    <row r="380" spans="1:8" x14ac:dyDescent="0.25">
      <c r="A380" s="62">
        <v>379</v>
      </c>
      <c r="B380" s="62"/>
      <c r="C380" s="68" t="str">
        <f>IF(ISNA(VLOOKUP($B380,CPY!$B:$G,2,FALSE))=TRUE," ",VLOOKUP($B380,CPY!$B:$G,2,FALSE))</f>
        <v> </v>
      </c>
      <c r="D380" s="50" t="str">
        <f>IF(ISNA(VLOOKUP($B380,CPY!$B:$G,3,FALSE))=TRUE," ",VLOOKUP($B380,CPY!$B:$G,3,FALSE))</f>
        <v> </v>
      </c>
      <c r="E380" s="65" t="str">
        <f>IF(ISNA(VLOOKUP($B380,CPY!$B:$G,4,FALSE))=TRUE," ",VLOOKUP($B380,CPY!$B:$G,4,FALSE))</f>
        <v> </v>
      </c>
      <c r="F380" s="62"/>
      <c r="G380" s="70"/>
      <c r="H380" s="62"/>
    </row>
    <row r="381" spans="1:8" x14ac:dyDescent="0.25">
      <c r="A381" s="62">
        <v>380</v>
      </c>
      <c r="B381" s="62"/>
      <c r="C381" s="68" t="str">
        <f>IF(ISNA(VLOOKUP($B381,CPY!$B:$G,2,FALSE))=TRUE," ",VLOOKUP($B381,CPY!$B:$G,2,FALSE))</f>
        <v> </v>
      </c>
      <c r="D381" s="50" t="str">
        <f>IF(ISNA(VLOOKUP($B381,CPY!$B:$G,3,FALSE))=TRUE," ",VLOOKUP($B381,CPY!$B:$G,3,FALSE))</f>
        <v> </v>
      </c>
      <c r="E381" s="65" t="str">
        <f>IF(ISNA(VLOOKUP($B381,CPY!$B:$G,4,FALSE))=TRUE," ",VLOOKUP($B381,CPY!$B:$G,4,FALSE))</f>
        <v> </v>
      </c>
      <c r="F381" s="62"/>
      <c r="G381" s="70"/>
      <c r="H381" s="62"/>
    </row>
    <row r="382" spans="1:8" x14ac:dyDescent="0.25">
      <c r="A382" s="62">
        <v>381</v>
      </c>
      <c r="B382" s="62"/>
      <c r="C382" s="68" t="str">
        <f>IF(ISNA(VLOOKUP($B382,CPY!$B:$G,2,FALSE))=TRUE," ",VLOOKUP($B382,CPY!$B:$G,2,FALSE))</f>
        <v> </v>
      </c>
      <c r="D382" s="50" t="str">
        <f>IF(ISNA(VLOOKUP($B382,CPY!$B:$G,3,FALSE))=TRUE," ",VLOOKUP($B382,CPY!$B:$G,3,FALSE))</f>
        <v> </v>
      </c>
      <c r="E382" s="65" t="str">
        <f>IF(ISNA(VLOOKUP($B382,CPY!$B:$G,4,FALSE))=TRUE," ",VLOOKUP($B382,CPY!$B:$G,4,FALSE))</f>
        <v> </v>
      </c>
      <c r="F382" s="62"/>
      <c r="G382" s="70"/>
      <c r="H382" s="62"/>
    </row>
    <row r="383" spans="1:8" x14ac:dyDescent="0.25">
      <c r="A383" s="62">
        <v>382</v>
      </c>
      <c r="B383" s="62"/>
      <c r="C383" s="68" t="str">
        <f>IF(ISNA(VLOOKUP($B383,CPY!$B:$G,2,FALSE))=TRUE," ",VLOOKUP($B383,CPY!$B:$G,2,FALSE))</f>
        <v> </v>
      </c>
      <c r="D383" s="50" t="str">
        <f>IF(ISNA(VLOOKUP($B383,CPY!$B:$G,3,FALSE))=TRUE," ",VLOOKUP($B383,CPY!$B:$G,3,FALSE))</f>
        <v> </v>
      </c>
      <c r="E383" s="65" t="str">
        <f>IF(ISNA(VLOOKUP($B383,CPY!$B:$G,4,FALSE))=TRUE," ",VLOOKUP($B383,CPY!$B:$G,4,FALSE))</f>
        <v> </v>
      </c>
      <c r="F383" s="62"/>
      <c r="G383" s="70"/>
      <c r="H383" s="62"/>
    </row>
    <row r="384" spans="1:8" x14ac:dyDescent="0.25">
      <c r="A384" s="62">
        <v>383</v>
      </c>
      <c r="B384" s="62"/>
      <c r="C384" s="68" t="str">
        <f>IF(ISNA(VLOOKUP($B384,CPY!$B:$G,2,FALSE))=TRUE," ",VLOOKUP($B384,CPY!$B:$G,2,FALSE))</f>
        <v> </v>
      </c>
      <c r="D384" s="50" t="str">
        <f>IF(ISNA(VLOOKUP($B384,CPY!$B:$G,3,FALSE))=TRUE," ",VLOOKUP($B384,CPY!$B:$G,3,FALSE))</f>
        <v> </v>
      </c>
      <c r="E384" s="65" t="str">
        <f>IF(ISNA(VLOOKUP($B384,CPY!$B:$G,4,FALSE))=TRUE," ",VLOOKUP($B384,CPY!$B:$G,4,FALSE))</f>
        <v> </v>
      </c>
      <c r="F384" s="62"/>
      <c r="G384" s="70"/>
      <c r="H384" s="62"/>
    </row>
    <row r="385" spans="1:8" x14ac:dyDescent="0.25">
      <c r="A385" s="62">
        <v>384</v>
      </c>
      <c r="B385" s="62"/>
      <c r="C385" s="68" t="str">
        <f>IF(ISNA(VLOOKUP($B385,CPY!$B:$G,2,FALSE))=TRUE," ",VLOOKUP($B385,CPY!$B:$G,2,FALSE))</f>
        <v> </v>
      </c>
      <c r="D385" s="50" t="str">
        <f>IF(ISNA(VLOOKUP($B385,CPY!$B:$G,3,FALSE))=TRUE," ",VLOOKUP($B385,CPY!$B:$G,3,FALSE))</f>
        <v> </v>
      </c>
      <c r="E385" s="65" t="str">
        <f>IF(ISNA(VLOOKUP($B385,CPY!$B:$G,4,FALSE))=TRUE," ",VLOOKUP($B385,CPY!$B:$G,4,FALSE))</f>
        <v> </v>
      </c>
      <c r="F385" s="62"/>
      <c r="G385" s="70"/>
      <c r="H385" s="62"/>
    </row>
    <row r="386" spans="1:8" x14ac:dyDescent="0.25">
      <c r="A386" s="62">
        <v>385</v>
      </c>
      <c r="B386" s="62"/>
      <c r="C386" s="68" t="str">
        <f>IF(ISNA(VLOOKUP($B386,CPY!$B:$G,2,FALSE))=TRUE," ",VLOOKUP($B386,CPY!$B:$G,2,FALSE))</f>
        <v> </v>
      </c>
      <c r="D386" s="50" t="str">
        <f>IF(ISNA(VLOOKUP($B386,CPY!$B:$G,3,FALSE))=TRUE," ",VLOOKUP($B386,CPY!$B:$G,3,FALSE))</f>
        <v> </v>
      </c>
      <c r="E386" s="65" t="str">
        <f>IF(ISNA(VLOOKUP($B386,CPY!$B:$G,4,FALSE))=TRUE," ",VLOOKUP($B386,CPY!$B:$G,4,FALSE))</f>
        <v> </v>
      </c>
      <c r="F386" s="62"/>
      <c r="G386" s="70"/>
      <c r="H386" s="62"/>
    </row>
    <row r="387" spans="1:8" x14ac:dyDescent="0.25">
      <c r="A387" s="62">
        <v>386</v>
      </c>
      <c r="B387" s="62"/>
      <c r="C387" s="68" t="str">
        <f>IF(ISNA(VLOOKUP($B387,CPY!$B:$G,2,FALSE))=TRUE," ",VLOOKUP($B387,CPY!$B:$G,2,FALSE))</f>
        <v> </v>
      </c>
      <c r="D387" s="50" t="str">
        <f>IF(ISNA(VLOOKUP($B387,CPY!$B:$G,3,FALSE))=TRUE," ",VLOOKUP($B387,CPY!$B:$G,3,FALSE))</f>
        <v> </v>
      </c>
      <c r="E387" s="65" t="str">
        <f>IF(ISNA(VLOOKUP($B387,CPY!$B:$G,4,FALSE))=TRUE," ",VLOOKUP($B387,CPY!$B:$G,4,FALSE))</f>
        <v> </v>
      </c>
      <c r="F387" s="62"/>
      <c r="G387" s="70"/>
      <c r="H387" s="62"/>
    </row>
    <row r="388" spans="1:8" x14ac:dyDescent="0.25">
      <c r="A388" s="62">
        <v>387</v>
      </c>
      <c r="B388" s="62"/>
      <c r="C388" s="68" t="str">
        <f>IF(ISNA(VLOOKUP($B388,CPY!$B:$G,2,FALSE))=TRUE," ",VLOOKUP($B388,CPY!$B:$G,2,FALSE))</f>
        <v> </v>
      </c>
      <c r="D388" s="50" t="str">
        <f>IF(ISNA(VLOOKUP($B388,CPY!$B:$G,3,FALSE))=TRUE," ",VLOOKUP($B388,CPY!$B:$G,3,FALSE))</f>
        <v> </v>
      </c>
      <c r="E388" s="65" t="str">
        <f>IF(ISNA(VLOOKUP($B388,CPY!$B:$G,4,FALSE))=TRUE," ",VLOOKUP($B388,CPY!$B:$G,4,FALSE))</f>
        <v> </v>
      </c>
      <c r="F388" s="62"/>
      <c r="G388" s="70"/>
      <c r="H388" s="62"/>
    </row>
    <row r="389" spans="1:8" x14ac:dyDescent="0.25">
      <c r="A389" s="62">
        <v>388</v>
      </c>
      <c r="B389" s="62"/>
      <c r="C389" s="68" t="str">
        <f>IF(ISNA(VLOOKUP($B389,CPY!$B:$G,2,FALSE))=TRUE," ",VLOOKUP($B389,CPY!$B:$G,2,FALSE))</f>
        <v> </v>
      </c>
      <c r="D389" s="50" t="str">
        <f>IF(ISNA(VLOOKUP($B389,CPY!$B:$G,3,FALSE))=TRUE," ",VLOOKUP($B389,CPY!$B:$G,3,FALSE))</f>
        <v> </v>
      </c>
      <c r="E389" s="65" t="str">
        <f>IF(ISNA(VLOOKUP($B389,CPY!$B:$G,4,FALSE))=TRUE," ",VLOOKUP($B389,CPY!$B:$G,4,FALSE))</f>
        <v> </v>
      </c>
      <c r="F389" s="62"/>
      <c r="G389" s="70"/>
      <c r="H389" s="62"/>
    </row>
    <row r="390" spans="1:8" x14ac:dyDescent="0.25">
      <c r="A390" s="62">
        <v>389</v>
      </c>
      <c r="B390" s="62"/>
      <c r="C390" s="68" t="str">
        <f>IF(ISNA(VLOOKUP($B390,CPY!$B:$G,2,FALSE))=TRUE," ",VLOOKUP($B390,CPY!$B:$G,2,FALSE))</f>
        <v> </v>
      </c>
      <c r="D390" s="50" t="str">
        <f>IF(ISNA(VLOOKUP($B390,CPY!$B:$G,3,FALSE))=TRUE," ",VLOOKUP($B390,CPY!$B:$G,3,FALSE))</f>
        <v> </v>
      </c>
      <c r="E390" s="65" t="str">
        <f>IF(ISNA(VLOOKUP($B390,CPY!$B:$G,4,FALSE))=TRUE," ",VLOOKUP($B390,CPY!$B:$G,4,FALSE))</f>
        <v> </v>
      </c>
      <c r="F390" s="62"/>
      <c r="G390" s="70"/>
      <c r="H390" s="62"/>
    </row>
    <row r="391" spans="1:8" x14ac:dyDescent="0.25">
      <c r="A391" s="62">
        <v>390</v>
      </c>
      <c r="B391" s="62"/>
      <c r="C391" s="68" t="str">
        <f>IF(ISNA(VLOOKUP($B391,CPY!$B:$G,2,FALSE))=TRUE," ",VLOOKUP($B391,CPY!$B:$G,2,FALSE))</f>
        <v> </v>
      </c>
      <c r="D391" s="50" t="str">
        <f>IF(ISNA(VLOOKUP($B391,CPY!$B:$G,3,FALSE))=TRUE," ",VLOOKUP($B391,CPY!$B:$G,3,FALSE))</f>
        <v> </v>
      </c>
      <c r="E391" s="65" t="str">
        <f>IF(ISNA(VLOOKUP($B391,CPY!$B:$G,4,FALSE))=TRUE," ",VLOOKUP($B391,CPY!$B:$G,4,FALSE))</f>
        <v> </v>
      </c>
      <c r="F391" s="62"/>
      <c r="G391" s="70"/>
      <c r="H391" s="62"/>
    </row>
    <row r="392" spans="1:8" x14ac:dyDescent="0.25">
      <c r="A392" s="62">
        <v>391</v>
      </c>
      <c r="B392" s="62"/>
      <c r="C392" s="68" t="str">
        <f>IF(ISNA(VLOOKUP($B392,CPY!$B:$G,2,FALSE))=TRUE," ",VLOOKUP($B392,CPY!$B:$G,2,FALSE))</f>
        <v> </v>
      </c>
      <c r="D392" s="50" t="str">
        <f>IF(ISNA(VLOOKUP($B392,CPY!$B:$G,3,FALSE))=TRUE," ",VLOOKUP($B392,CPY!$B:$G,3,FALSE))</f>
        <v> </v>
      </c>
      <c r="E392" s="65" t="str">
        <f>IF(ISNA(VLOOKUP($B392,CPY!$B:$G,4,FALSE))=TRUE," ",VLOOKUP($B392,CPY!$B:$G,4,FALSE))</f>
        <v> </v>
      </c>
      <c r="F392" s="62"/>
      <c r="G392" s="70"/>
      <c r="H392" s="62"/>
    </row>
    <row r="393" spans="1:8" x14ac:dyDescent="0.25">
      <c r="A393" s="62">
        <v>392</v>
      </c>
      <c r="B393" s="62"/>
      <c r="C393" s="68" t="str">
        <f>IF(ISNA(VLOOKUP($B393,CPY!$B:$G,2,FALSE))=TRUE," ",VLOOKUP($B393,CPY!$B:$G,2,FALSE))</f>
        <v> </v>
      </c>
      <c r="D393" s="50" t="str">
        <f>IF(ISNA(VLOOKUP($B393,CPY!$B:$G,3,FALSE))=TRUE," ",VLOOKUP($B393,CPY!$B:$G,3,FALSE))</f>
        <v> </v>
      </c>
      <c r="E393" s="65" t="str">
        <f>IF(ISNA(VLOOKUP($B393,CPY!$B:$G,4,FALSE))=TRUE," ",VLOOKUP($B393,CPY!$B:$G,4,FALSE))</f>
        <v> </v>
      </c>
      <c r="F393" s="62"/>
      <c r="G393" s="70"/>
      <c r="H393" s="62"/>
    </row>
    <row r="394" spans="1:8" x14ac:dyDescent="0.25">
      <c r="A394" s="62">
        <v>393</v>
      </c>
      <c r="B394" s="62"/>
      <c r="C394" s="68" t="str">
        <f>IF(ISNA(VLOOKUP($B394,CPY!$B:$G,2,FALSE))=TRUE," ",VLOOKUP($B394,CPY!$B:$G,2,FALSE))</f>
        <v> </v>
      </c>
      <c r="D394" s="50" t="str">
        <f>IF(ISNA(VLOOKUP($B394,CPY!$B:$G,3,FALSE))=TRUE," ",VLOOKUP($B394,CPY!$B:$G,3,FALSE))</f>
        <v> </v>
      </c>
      <c r="E394" s="65" t="str">
        <f>IF(ISNA(VLOOKUP($B394,CPY!$B:$G,4,FALSE))=TRUE," ",VLOOKUP($B394,CPY!$B:$G,4,FALSE))</f>
        <v> </v>
      </c>
      <c r="F394" s="62"/>
      <c r="G394" s="70"/>
      <c r="H394" s="62"/>
    </row>
    <row r="395" spans="1:8" x14ac:dyDescent="0.25">
      <c r="A395" s="62">
        <v>394</v>
      </c>
      <c r="B395" s="62"/>
      <c r="C395" s="68" t="str">
        <f>IF(ISNA(VLOOKUP($B395,CPY!$B:$G,2,FALSE))=TRUE," ",VLOOKUP($B395,CPY!$B:$G,2,FALSE))</f>
        <v> </v>
      </c>
      <c r="D395" s="50" t="str">
        <f>IF(ISNA(VLOOKUP($B395,CPY!$B:$G,3,FALSE))=TRUE," ",VLOOKUP($B395,CPY!$B:$G,3,FALSE))</f>
        <v> </v>
      </c>
      <c r="E395" s="65" t="str">
        <f>IF(ISNA(VLOOKUP($B395,CPY!$B:$G,4,FALSE))=TRUE," ",VLOOKUP($B395,CPY!$B:$G,4,FALSE))</f>
        <v> </v>
      </c>
      <c r="F395" s="62"/>
      <c r="G395" s="70"/>
      <c r="H395" s="62"/>
    </row>
    <row r="396" spans="1:8" x14ac:dyDescent="0.25">
      <c r="A396" s="62">
        <v>395</v>
      </c>
      <c r="B396" s="62"/>
      <c r="C396" s="68" t="str">
        <f>IF(ISNA(VLOOKUP($B396,CPY!$B:$G,2,FALSE))=TRUE," ",VLOOKUP($B396,CPY!$B:$G,2,FALSE))</f>
        <v> </v>
      </c>
      <c r="D396" s="50" t="str">
        <f>IF(ISNA(VLOOKUP($B396,CPY!$B:$G,3,FALSE))=TRUE," ",VLOOKUP($B396,CPY!$B:$G,3,FALSE))</f>
        <v> </v>
      </c>
      <c r="E396" s="65" t="str">
        <f>IF(ISNA(VLOOKUP($B396,CPY!$B:$G,4,FALSE))=TRUE," ",VLOOKUP($B396,CPY!$B:$G,4,FALSE))</f>
        <v> </v>
      </c>
      <c r="F396" s="62"/>
      <c r="G396" s="70"/>
      <c r="H396" s="62"/>
    </row>
    <row r="397" spans="1:8" x14ac:dyDescent="0.25">
      <c r="A397" s="62">
        <v>396</v>
      </c>
      <c r="B397" s="62"/>
      <c r="C397" s="68" t="str">
        <f>IF(ISNA(VLOOKUP($B397,CPY!$B:$G,2,FALSE))=TRUE," ",VLOOKUP($B397,CPY!$B:$G,2,FALSE))</f>
        <v> </v>
      </c>
      <c r="D397" s="50" t="str">
        <f>IF(ISNA(VLOOKUP($B397,CPY!$B:$G,3,FALSE))=TRUE," ",VLOOKUP($B397,CPY!$B:$G,3,FALSE))</f>
        <v> </v>
      </c>
      <c r="E397" s="65" t="str">
        <f>IF(ISNA(VLOOKUP($B397,CPY!$B:$G,4,FALSE))=TRUE," ",VLOOKUP($B397,CPY!$B:$G,4,FALSE))</f>
        <v> </v>
      </c>
      <c r="F397" s="62"/>
      <c r="G397" s="70"/>
      <c r="H397" s="62"/>
    </row>
    <row r="398" spans="1:8" x14ac:dyDescent="0.25">
      <c r="A398" s="62">
        <v>397</v>
      </c>
      <c r="B398" s="62"/>
      <c r="C398" s="68" t="str">
        <f>IF(ISNA(VLOOKUP($B398,CPY!$B:$G,2,FALSE))=TRUE," ",VLOOKUP($B398,CPY!$B:$G,2,FALSE))</f>
        <v> </v>
      </c>
      <c r="D398" s="50" t="str">
        <f>IF(ISNA(VLOOKUP($B398,CPY!$B:$G,3,FALSE))=TRUE," ",VLOOKUP($B398,CPY!$B:$G,3,FALSE))</f>
        <v> </v>
      </c>
      <c r="E398" s="65" t="str">
        <f>IF(ISNA(VLOOKUP($B398,CPY!$B:$G,4,FALSE))=TRUE," ",VLOOKUP($B398,CPY!$B:$G,4,FALSE))</f>
        <v> </v>
      </c>
      <c r="F398" s="62"/>
      <c r="G398" s="70"/>
      <c r="H398" s="62"/>
    </row>
    <row r="399" spans="1:8" x14ac:dyDescent="0.25">
      <c r="A399" s="62">
        <v>398</v>
      </c>
      <c r="B399" s="62"/>
      <c r="C399" s="68" t="str">
        <f>IF(ISNA(VLOOKUP($B399,CPY!$B:$G,2,FALSE))=TRUE," ",VLOOKUP($B399,CPY!$B:$G,2,FALSE))</f>
        <v> </v>
      </c>
      <c r="D399" s="50" t="str">
        <f>IF(ISNA(VLOOKUP($B399,CPY!$B:$G,3,FALSE))=TRUE," ",VLOOKUP($B399,CPY!$B:$G,3,FALSE))</f>
        <v> </v>
      </c>
      <c r="E399" s="65" t="str">
        <f>IF(ISNA(VLOOKUP($B399,CPY!$B:$G,4,FALSE))=TRUE," ",VLOOKUP($B399,CPY!$B:$G,4,FALSE))</f>
        <v> </v>
      </c>
      <c r="F399" s="62"/>
      <c r="G399" s="70"/>
      <c r="H399" s="62"/>
    </row>
    <row r="400" spans="1:8" x14ac:dyDescent="0.25">
      <c r="A400" s="62">
        <v>399</v>
      </c>
      <c r="B400" s="62"/>
      <c r="C400" s="68" t="str">
        <f>IF(ISNA(VLOOKUP($B400,CPY!$B:$G,2,FALSE))=TRUE," ",VLOOKUP($B400,CPY!$B:$G,2,FALSE))</f>
        <v> </v>
      </c>
      <c r="D400" s="50" t="str">
        <f>IF(ISNA(VLOOKUP($B400,CPY!$B:$G,3,FALSE))=TRUE," ",VLOOKUP($B400,CPY!$B:$G,3,FALSE))</f>
        <v> </v>
      </c>
      <c r="E400" s="65" t="str">
        <f>IF(ISNA(VLOOKUP($B400,CPY!$B:$G,4,FALSE))=TRUE," ",VLOOKUP($B400,CPY!$B:$G,4,FALSE))</f>
        <v> </v>
      </c>
      <c r="F400" s="62"/>
      <c r="G400" s="70"/>
      <c r="H400" s="62"/>
    </row>
    <row r="401" spans="1:8" x14ac:dyDescent="0.25">
      <c r="A401" s="62">
        <v>400</v>
      </c>
      <c r="B401" s="62"/>
      <c r="C401" s="68" t="str">
        <f>IF(ISNA(VLOOKUP($B401,CPY!$B:$G,2,FALSE))=TRUE," ",VLOOKUP($B401,CPY!$B:$G,2,FALSE))</f>
        <v> </v>
      </c>
      <c r="D401" s="50" t="str">
        <f>IF(ISNA(VLOOKUP($B401,CPY!$B:$G,3,FALSE))=TRUE," ",VLOOKUP($B401,CPY!$B:$G,3,FALSE))</f>
        <v> </v>
      </c>
      <c r="E401" s="65" t="str">
        <f>IF(ISNA(VLOOKUP($B401,CPY!$B:$G,4,FALSE))=TRUE," ",VLOOKUP($B401,CPY!$B:$G,4,FALSE))</f>
        <v> </v>
      </c>
      <c r="F401" s="62"/>
      <c r="G401" s="70"/>
      <c r="H401" s="62"/>
    </row>
    <row r="402" spans="1:8" x14ac:dyDescent="0.25">
      <c r="A402" s="62">
        <v>401</v>
      </c>
      <c r="B402" s="62"/>
      <c r="C402" s="68" t="str">
        <f>IF(ISNA(VLOOKUP($B402,CPY!$B:$G,2,FALSE))=TRUE," ",VLOOKUP($B402,CPY!$B:$G,2,FALSE))</f>
        <v> </v>
      </c>
      <c r="D402" s="50" t="str">
        <f>IF(ISNA(VLOOKUP($B402,CPY!$B:$G,3,FALSE))=TRUE," ",VLOOKUP($B402,CPY!$B:$G,3,FALSE))</f>
        <v> </v>
      </c>
      <c r="E402" s="65" t="str">
        <f>IF(ISNA(VLOOKUP($B402,CPY!$B:$G,4,FALSE))=TRUE," ",VLOOKUP($B402,CPY!$B:$G,4,FALSE))</f>
        <v> </v>
      </c>
      <c r="F402" s="62"/>
      <c r="G402" s="70"/>
      <c r="H402" s="62"/>
    </row>
    <row r="403" spans="1:8" x14ac:dyDescent="0.25">
      <c r="A403" s="62">
        <v>402</v>
      </c>
      <c r="B403" s="62"/>
      <c r="C403" s="68" t="str">
        <f>IF(ISNA(VLOOKUP($B403,CPY!$B:$G,2,FALSE))=TRUE," ",VLOOKUP($B403,CPY!$B:$G,2,FALSE))</f>
        <v> </v>
      </c>
      <c r="D403" s="50" t="str">
        <f>IF(ISNA(VLOOKUP($B403,CPY!$B:$G,3,FALSE))=TRUE," ",VLOOKUP($B403,CPY!$B:$G,3,FALSE))</f>
        <v> </v>
      </c>
      <c r="E403" s="65" t="str">
        <f>IF(ISNA(VLOOKUP($B403,CPY!$B:$G,4,FALSE))=TRUE," ",VLOOKUP($B403,CPY!$B:$G,4,FALSE))</f>
        <v> </v>
      </c>
      <c r="F403" s="62"/>
      <c r="G403" s="70"/>
      <c r="H403" s="62"/>
    </row>
    <row r="404" spans="1:8" x14ac:dyDescent="0.25">
      <c r="A404" s="62">
        <v>403</v>
      </c>
      <c r="B404" s="62"/>
      <c r="C404" s="68" t="str">
        <f>IF(ISNA(VLOOKUP($B404,CPY!$B:$G,2,FALSE))=TRUE," ",VLOOKUP($B404,CPY!$B:$G,2,FALSE))</f>
        <v> </v>
      </c>
      <c r="D404" s="50" t="str">
        <f>IF(ISNA(VLOOKUP($B404,CPY!$B:$G,3,FALSE))=TRUE," ",VLOOKUP($B404,CPY!$B:$G,3,FALSE))</f>
        <v> </v>
      </c>
      <c r="E404" s="65" t="str">
        <f>IF(ISNA(VLOOKUP($B404,CPY!$B:$G,4,FALSE))=TRUE," ",VLOOKUP($B404,CPY!$B:$G,4,FALSE))</f>
        <v> </v>
      </c>
      <c r="F404" s="62"/>
      <c r="G404" s="70"/>
      <c r="H404" s="62"/>
    </row>
    <row r="405" spans="1:8" x14ac:dyDescent="0.25">
      <c r="A405" s="62">
        <v>404</v>
      </c>
      <c r="B405" s="62"/>
      <c r="C405" s="68" t="str">
        <f>IF(ISNA(VLOOKUP($B405,CPY!$B:$G,2,FALSE))=TRUE," ",VLOOKUP($B405,CPY!$B:$G,2,FALSE))</f>
        <v> </v>
      </c>
      <c r="D405" s="50" t="str">
        <f>IF(ISNA(VLOOKUP($B405,CPY!$B:$G,3,FALSE))=TRUE," ",VLOOKUP($B405,CPY!$B:$G,3,FALSE))</f>
        <v> </v>
      </c>
      <c r="E405" s="65" t="str">
        <f>IF(ISNA(VLOOKUP($B405,CPY!$B:$G,4,FALSE))=TRUE," ",VLOOKUP($B405,CPY!$B:$G,4,FALSE))</f>
        <v> </v>
      </c>
      <c r="F405" s="62"/>
      <c r="G405" s="70"/>
      <c r="H405" s="62"/>
    </row>
    <row r="406" spans="1:8" x14ac:dyDescent="0.25">
      <c r="A406" s="62">
        <v>405</v>
      </c>
      <c r="B406" s="62"/>
      <c r="C406" s="68" t="str">
        <f>IF(ISNA(VLOOKUP($B406,CPY!$B:$G,2,FALSE))=TRUE," ",VLOOKUP($B406,CPY!$B:$G,2,FALSE))</f>
        <v> </v>
      </c>
      <c r="D406" s="50" t="str">
        <f>IF(ISNA(VLOOKUP($B406,CPY!$B:$G,3,FALSE))=TRUE," ",VLOOKUP($B406,CPY!$B:$G,3,FALSE))</f>
        <v> </v>
      </c>
      <c r="E406" s="65" t="str">
        <f>IF(ISNA(VLOOKUP($B406,CPY!$B:$G,4,FALSE))=TRUE," ",VLOOKUP($B406,CPY!$B:$G,4,FALSE))</f>
        <v> </v>
      </c>
      <c r="F406" s="62"/>
      <c r="G406" s="70"/>
      <c r="H406" s="62"/>
    </row>
    <row r="407" spans="1:8" x14ac:dyDescent="0.25">
      <c r="A407" s="62">
        <v>406</v>
      </c>
      <c r="B407" s="62"/>
      <c r="C407" s="68" t="str">
        <f>IF(ISNA(VLOOKUP($B407,CPY!$B:$G,2,FALSE))=TRUE," ",VLOOKUP($B407,CPY!$B:$G,2,FALSE))</f>
        <v> </v>
      </c>
      <c r="D407" s="50" t="str">
        <f>IF(ISNA(VLOOKUP($B407,CPY!$B:$G,3,FALSE))=TRUE," ",VLOOKUP($B407,CPY!$B:$G,3,FALSE))</f>
        <v> </v>
      </c>
      <c r="E407" s="65" t="str">
        <f>IF(ISNA(VLOOKUP($B407,CPY!$B:$G,4,FALSE))=TRUE," ",VLOOKUP($B407,CPY!$B:$G,4,FALSE))</f>
        <v> </v>
      </c>
      <c r="F407" s="62"/>
      <c r="G407" s="70"/>
      <c r="H407" s="62"/>
    </row>
    <row r="408" spans="1:8" x14ac:dyDescent="0.25">
      <c r="A408" s="62">
        <v>407</v>
      </c>
      <c r="B408" s="62"/>
      <c r="C408" s="68" t="str">
        <f>IF(ISNA(VLOOKUP($B408,CPY!$B:$G,2,FALSE))=TRUE," ",VLOOKUP($B408,CPY!$B:$G,2,FALSE))</f>
        <v> </v>
      </c>
      <c r="D408" s="50" t="str">
        <f>IF(ISNA(VLOOKUP($B408,CPY!$B:$G,3,FALSE))=TRUE," ",VLOOKUP($B408,CPY!$B:$G,3,FALSE))</f>
        <v> </v>
      </c>
      <c r="E408" s="65" t="str">
        <f>IF(ISNA(VLOOKUP($B408,CPY!$B:$G,4,FALSE))=TRUE," ",VLOOKUP($B408,CPY!$B:$G,4,FALSE))</f>
        <v> </v>
      </c>
      <c r="F408" s="62"/>
      <c r="G408" s="70"/>
      <c r="H408" s="62"/>
    </row>
    <row r="409" spans="1:8" x14ac:dyDescent="0.25">
      <c r="A409" s="62">
        <v>408</v>
      </c>
      <c r="B409" s="62"/>
      <c r="C409" s="68" t="str">
        <f>IF(ISNA(VLOOKUP($B409,CPY!$B:$G,2,FALSE))=TRUE," ",VLOOKUP($B409,CPY!$B:$G,2,FALSE))</f>
        <v> </v>
      </c>
      <c r="D409" s="50" t="str">
        <f>IF(ISNA(VLOOKUP($B409,CPY!$B:$G,3,FALSE))=TRUE," ",VLOOKUP($B409,CPY!$B:$G,3,FALSE))</f>
        <v> </v>
      </c>
      <c r="E409" s="65" t="str">
        <f>IF(ISNA(VLOOKUP($B409,CPY!$B:$G,4,FALSE))=TRUE," ",VLOOKUP($B409,CPY!$B:$G,4,FALSE))</f>
        <v> </v>
      </c>
      <c r="F409" s="62"/>
      <c r="G409" s="70"/>
      <c r="H409" s="62"/>
    </row>
    <row r="410" spans="1:8" x14ac:dyDescent="0.25">
      <c r="A410" s="62">
        <v>409</v>
      </c>
      <c r="B410" s="62"/>
      <c r="C410" s="68" t="str">
        <f>IF(ISNA(VLOOKUP($B410,CPY!$B:$G,2,FALSE))=TRUE," ",VLOOKUP($B410,CPY!$B:$G,2,FALSE))</f>
        <v> </v>
      </c>
      <c r="D410" s="50" t="str">
        <f>IF(ISNA(VLOOKUP($B410,CPY!$B:$G,3,FALSE))=TRUE," ",VLOOKUP($B410,CPY!$B:$G,3,FALSE))</f>
        <v> </v>
      </c>
      <c r="E410" s="65" t="str">
        <f>IF(ISNA(VLOOKUP($B410,CPY!$B:$G,4,FALSE))=TRUE," ",VLOOKUP($B410,CPY!$B:$G,4,FALSE))</f>
        <v> </v>
      </c>
      <c r="F410" s="62"/>
      <c r="G410" s="70"/>
      <c r="H410" s="62"/>
    </row>
    <row r="411" spans="1:8" x14ac:dyDescent="0.25">
      <c r="A411" s="62">
        <v>410</v>
      </c>
      <c r="B411" s="62"/>
      <c r="C411" s="68" t="str">
        <f>IF(ISNA(VLOOKUP($B411,CPY!$B:$G,2,FALSE))=TRUE," ",VLOOKUP($B411,CPY!$B:$G,2,FALSE))</f>
        <v> </v>
      </c>
      <c r="D411" s="50" t="str">
        <f>IF(ISNA(VLOOKUP($B411,CPY!$B:$G,3,FALSE))=TRUE," ",VLOOKUP($B411,CPY!$B:$G,3,FALSE))</f>
        <v> </v>
      </c>
      <c r="E411" s="65" t="str">
        <f>IF(ISNA(VLOOKUP($B411,CPY!$B:$G,4,FALSE))=TRUE," ",VLOOKUP($B411,CPY!$B:$G,4,FALSE))</f>
        <v> </v>
      </c>
      <c r="F411" s="62"/>
      <c r="G411" s="70"/>
      <c r="H411" s="62"/>
    </row>
    <row r="412" spans="1:8" x14ac:dyDescent="0.25">
      <c r="A412" s="62">
        <v>411</v>
      </c>
      <c r="B412" s="62"/>
      <c r="C412" s="68" t="str">
        <f>IF(ISNA(VLOOKUP($B412,CPY!$B:$G,2,FALSE))=TRUE," ",VLOOKUP($B412,CPY!$B:$G,2,FALSE))</f>
        <v> </v>
      </c>
      <c r="D412" s="50" t="str">
        <f>IF(ISNA(VLOOKUP($B412,CPY!$B:$G,3,FALSE))=TRUE," ",VLOOKUP($B412,CPY!$B:$G,3,FALSE))</f>
        <v> </v>
      </c>
      <c r="E412" s="65" t="str">
        <f>IF(ISNA(VLOOKUP($B412,CPY!$B:$G,4,FALSE))=TRUE," ",VLOOKUP($B412,CPY!$B:$G,4,FALSE))</f>
        <v> </v>
      </c>
      <c r="F412" s="62"/>
      <c r="G412" s="70"/>
      <c r="H412" s="62"/>
    </row>
    <row r="413" spans="1:8" x14ac:dyDescent="0.25">
      <c r="A413" s="62">
        <v>412</v>
      </c>
      <c r="B413" s="62"/>
      <c r="C413" s="68" t="str">
        <f>IF(ISNA(VLOOKUP($B413,CPY!$B:$G,2,FALSE))=TRUE," ",VLOOKUP($B413,CPY!$B:$G,2,FALSE))</f>
        <v> </v>
      </c>
      <c r="D413" s="50" t="str">
        <f>IF(ISNA(VLOOKUP($B413,CPY!$B:$G,3,FALSE))=TRUE," ",VLOOKUP($B413,CPY!$B:$G,3,FALSE))</f>
        <v> </v>
      </c>
      <c r="E413" s="65" t="str">
        <f>IF(ISNA(VLOOKUP($B413,CPY!$B:$G,4,FALSE))=TRUE," ",VLOOKUP($B413,CPY!$B:$G,4,FALSE))</f>
        <v> </v>
      </c>
      <c r="F413" s="62"/>
      <c r="G413" s="70"/>
      <c r="H413" s="62"/>
    </row>
    <row r="414" spans="1:8" x14ac:dyDescent="0.25">
      <c r="A414" s="62">
        <v>413</v>
      </c>
      <c r="B414" s="62"/>
      <c r="C414" s="68" t="str">
        <f>IF(ISNA(VLOOKUP($B414,CPY!$B:$G,2,FALSE))=TRUE," ",VLOOKUP($B414,CPY!$B:$G,2,FALSE))</f>
        <v> </v>
      </c>
      <c r="D414" s="50" t="str">
        <f>IF(ISNA(VLOOKUP($B414,CPY!$B:$G,3,FALSE))=TRUE," ",VLOOKUP($B414,CPY!$B:$G,3,FALSE))</f>
        <v> </v>
      </c>
      <c r="E414" s="65" t="str">
        <f>IF(ISNA(VLOOKUP($B414,CPY!$B:$G,4,FALSE))=TRUE," ",VLOOKUP($B414,CPY!$B:$G,4,FALSE))</f>
        <v> </v>
      </c>
      <c r="F414" s="62"/>
      <c r="G414" s="70"/>
      <c r="H414" s="62"/>
    </row>
    <row r="415" spans="1:8" x14ac:dyDescent="0.25">
      <c r="A415" s="62">
        <v>414</v>
      </c>
      <c r="B415" s="62"/>
      <c r="C415" s="68" t="str">
        <f>IF(ISNA(VLOOKUP($B415,CPY!$B:$G,2,FALSE))=TRUE," ",VLOOKUP($B415,CPY!$B:$G,2,FALSE))</f>
        <v> </v>
      </c>
      <c r="D415" s="50" t="str">
        <f>IF(ISNA(VLOOKUP($B415,CPY!$B:$G,3,FALSE))=TRUE," ",VLOOKUP($B415,CPY!$B:$G,3,FALSE))</f>
        <v> </v>
      </c>
      <c r="E415" s="65" t="str">
        <f>IF(ISNA(VLOOKUP($B415,CPY!$B:$G,4,FALSE))=TRUE," ",VLOOKUP($B415,CPY!$B:$G,4,FALSE))</f>
        <v> </v>
      </c>
      <c r="F415" s="62"/>
      <c r="G415" s="70"/>
      <c r="H415" s="62"/>
    </row>
    <row r="416" spans="1:8" x14ac:dyDescent="0.25">
      <c r="A416" s="62">
        <v>415</v>
      </c>
      <c r="B416" s="62"/>
      <c r="C416" s="68" t="str">
        <f>IF(ISNA(VLOOKUP($B416,CPY!$B:$G,2,FALSE))=TRUE," ",VLOOKUP($B416,CPY!$B:$G,2,FALSE))</f>
        <v> </v>
      </c>
      <c r="D416" s="50" t="str">
        <f>IF(ISNA(VLOOKUP($B416,CPY!$B:$G,3,FALSE))=TRUE," ",VLOOKUP($B416,CPY!$B:$G,3,FALSE))</f>
        <v> </v>
      </c>
      <c r="E416" s="65" t="str">
        <f>IF(ISNA(VLOOKUP($B416,CPY!$B:$G,4,FALSE))=TRUE," ",VLOOKUP($B416,CPY!$B:$G,4,FALSE))</f>
        <v> </v>
      </c>
      <c r="F416" s="62"/>
      <c r="G416" s="70"/>
      <c r="H416" s="62"/>
    </row>
    <row r="417" spans="1:8" x14ac:dyDescent="0.25">
      <c r="A417" s="62">
        <v>416</v>
      </c>
      <c r="B417" s="62"/>
      <c r="C417" s="68" t="str">
        <f>IF(ISNA(VLOOKUP($B417,CPY!$B:$G,2,FALSE))=TRUE," ",VLOOKUP($B417,CPY!$B:$G,2,FALSE))</f>
        <v> </v>
      </c>
      <c r="D417" s="50" t="str">
        <f>IF(ISNA(VLOOKUP($B417,CPY!$B:$G,3,FALSE))=TRUE," ",VLOOKUP($B417,CPY!$B:$G,3,FALSE))</f>
        <v> </v>
      </c>
      <c r="E417" s="65" t="str">
        <f>IF(ISNA(VLOOKUP($B417,CPY!$B:$G,4,FALSE))=TRUE," ",VLOOKUP($B417,CPY!$B:$G,4,FALSE))</f>
        <v> </v>
      </c>
      <c r="F417" s="62"/>
      <c r="G417" s="70"/>
      <c r="H417" s="62"/>
    </row>
    <row r="418" spans="1:8" x14ac:dyDescent="0.25">
      <c r="A418" s="62">
        <v>417</v>
      </c>
      <c r="B418" s="62"/>
      <c r="C418" s="68" t="str">
        <f>IF(ISNA(VLOOKUP($B418,CPY!$B:$G,2,FALSE))=TRUE," ",VLOOKUP($B418,CPY!$B:$G,2,FALSE))</f>
        <v> </v>
      </c>
      <c r="D418" s="50" t="str">
        <f>IF(ISNA(VLOOKUP($B418,CPY!$B:$G,3,FALSE))=TRUE," ",VLOOKUP($B418,CPY!$B:$G,3,FALSE))</f>
        <v> </v>
      </c>
      <c r="E418" s="65" t="str">
        <f>IF(ISNA(VLOOKUP($B418,CPY!$B:$G,4,FALSE))=TRUE," ",VLOOKUP($B418,CPY!$B:$G,4,FALSE))</f>
        <v> </v>
      </c>
      <c r="F418" s="62"/>
      <c r="G418" s="70"/>
      <c r="H418" s="62"/>
    </row>
    <row r="419" spans="1:8" x14ac:dyDescent="0.25">
      <c r="A419" s="62">
        <v>418</v>
      </c>
      <c r="B419" s="62"/>
      <c r="C419" s="68" t="str">
        <f>IF(ISNA(VLOOKUP($B419,CPY!$B:$G,2,FALSE))=TRUE," ",VLOOKUP($B419,CPY!$B:$G,2,FALSE))</f>
        <v> </v>
      </c>
      <c r="D419" s="50" t="str">
        <f>IF(ISNA(VLOOKUP($B419,CPY!$B:$G,3,FALSE))=TRUE," ",VLOOKUP($B419,CPY!$B:$G,3,FALSE))</f>
        <v> </v>
      </c>
      <c r="E419" s="65" t="str">
        <f>IF(ISNA(VLOOKUP($B419,CPY!$B:$G,4,FALSE))=TRUE," ",VLOOKUP($B419,CPY!$B:$G,4,FALSE))</f>
        <v> </v>
      </c>
      <c r="F419" s="62"/>
      <c r="G419" s="70"/>
      <c r="H419" s="62"/>
    </row>
    <row r="420" spans="1:8" x14ac:dyDescent="0.25">
      <c r="A420" s="62">
        <v>419</v>
      </c>
      <c r="B420" s="62"/>
      <c r="C420" s="68" t="str">
        <f>IF(ISNA(VLOOKUP($B420,CPY!$B:$G,2,FALSE))=TRUE," ",VLOOKUP($B420,CPY!$B:$G,2,FALSE))</f>
        <v> </v>
      </c>
      <c r="D420" s="50" t="str">
        <f>IF(ISNA(VLOOKUP($B420,CPY!$B:$G,3,FALSE))=TRUE," ",VLOOKUP($B420,CPY!$B:$G,3,FALSE))</f>
        <v> </v>
      </c>
      <c r="E420" s="65" t="str">
        <f>IF(ISNA(VLOOKUP($B420,CPY!$B:$G,4,FALSE))=TRUE," ",VLOOKUP($B420,CPY!$B:$G,4,FALSE))</f>
        <v> </v>
      </c>
      <c r="F420" s="62"/>
      <c r="G420" s="70"/>
      <c r="H420" s="62"/>
    </row>
    <row r="421" spans="1:8" x14ac:dyDescent="0.25">
      <c r="A421" s="62">
        <v>420</v>
      </c>
      <c r="B421" s="62"/>
      <c r="C421" s="68" t="str">
        <f>IF(ISNA(VLOOKUP($B421,CPY!$B:$G,2,FALSE))=TRUE," ",VLOOKUP($B421,CPY!$B:$G,2,FALSE))</f>
        <v> </v>
      </c>
      <c r="D421" s="50" t="str">
        <f>IF(ISNA(VLOOKUP($B421,CPY!$B:$G,3,FALSE))=TRUE," ",VLOOKUP($B421,CPY!$B:$G,3,FALSE))</f>
        <v> </v>
      </c>
      <c r="E421" s="65" t="str">
        <f>IF(ISNA(VLOOKUP($B421,CPY!$B:$G,4,FALSE))=TRUE," ",VLOOKUP($B421,CPY!$B:$G,4,FALSE))</f>
        <v> </v>
      </c>
      <c r="F421" s="62"/>
      <c r="G421" s="70"/>
      <c r="H421" s="62"/>
    </row>
    <row r="422" spans="1:8" x14ac:dyDescent="0.25">
      <c r="A422" s="62">
        <v>421</v>
      </c>
      <c r="B422" s="62"/>
      <c r="C422" s="68" t="str">
        <f>IF(ISNA(VLOOKUP($B422,CPY!$B:$G,2,FALSE))=TRUE," ",VLOOKUP($B422,CPY!$B:$G,2,FALSE))</f>
        <v> </v>
      </c>
      <c r="D422" s="50" t="str">
        <f>IF(ISNA(VLOOKUP($B422,CPY!$B:$G,3,FALSE))=TRUE," ",VLOOKUP($B422,CPY!$B:$G,3,FALSE))</f>
        <v> </v>
      </c>
      <c r="E422" s="65" t="str">
        <f>IF(ISNA(VLOOKUP($B422,CPY!$B:$G,4,FALSE))=TRUE," ",VLOOKUP($B422,CPY!$B:$G,4,FALSE))</f>
        <v> </v>
      </c>
      <c r="F422" s="62"/>
      <c r="G422" s="70"/>
      <c r="H422" s="62"/>
    </row>
    <row r="423" spans="1:8" x14ac:dyDescent="0.25">
      <c r="A423" s="62">
        <v>422</v>
      </c>
      <c r="B423" s="62"/>
      <c r="C423" s="68" t="str">
        <f>IF(ISNA(VLOOKUP($B423,CPY!$B:$G,2,FALSE))=TRUE," ",VLOOKUP($B423,CPY!$B:$G,2,FALSE))</f>
        <v> </v>
      </c>
      <c r="D423" s="50" t="str">
        <f>IF(ISNA(VLOOKUP($B423,CPY!$B:$G,3,FALSE))=TRUE," ",VLOOKUP($B423,CPY!$B:$G,3,FALSE))</f>
        <v> </v>
      </c>
      <c r="E423" s="65" t="str">
        <f>IF(ISNA(VLOOKUP($B423,CPY!$B:$G,4,FALSE))=TRUE," ",VLOOKUP($B423,CPY!$B:$G,4,FALSE))</f>
        <v> </v>
      </c>
      <c r="F423" s="62"/>
      <c r="G423" s="70"/>
      <c r="H423" s="62"/>
    </row>
    <row r="424" spans="1:8" x14ac:dyDescent="0.25">
      <c r="A424" s="62">
        <v>423</v>
      </c>
      <c r="B424" s="62"/>
      <c r="C424" s="68" t="str">
        <f>IF(ISNA(VLOOKUP($B424,CPY!$B:$G,2,FALSE))=TRUE," ",VLOOKUP($B424,CPY!$B:$G,2,FALSE))</f>
        <v> </v>
      </c>
      <c r="D424" s="50" t="str">
        <f>IF(ISNA(VLOOKUP($B424,CPY!$B:$G,3,FALSE))=TRUE," ",VLOOKUP($B424,CPY!$B:$G,3,FALSE))</f>
        <v> </v>
      </c>
      <c r="E424" s="65" t="str">
        <f>IF(ISNA(VLOOKUP($B424,CPY!$B:$G,4,FALSE))=TRUE," ",VLOOKUP($B424,CPY!$B:$G,4,FALSE))</f>
        <v> </v>
      </c>
      <c r="F424" s="62"/>
      <c r="G424" s="70"/>
      <c r="H424" s="62"/>
    </row>
    <row r="425" spans="1:8" x14ac:dyDescent="0.25">
      <c r="A425" s="62">
        <v>424</v>
      </c>
      <c r="B425" s="62"/>
      <c r="C425" s="68" t="str">
        <f>IF(ISNA(VLOOKUP($B425,CPY!$B:$G,2,FALSE))=TRUE," ",VLOOKUP($B425,CPY!$B:$G,2,FALSE))</f>
        <v> </v>
      </c>
      <c r="D425" s="50" t="str">
        <f>IF(ISNA(VLOOKUP($B425,CPY!$B:$G,3,FALSE))=TRUE," ",VLOOKUP($B425,CPY!$B:$G,3,FALSE))</f>
        <v> </v>
      </c>
      <c r="E425" s="65" t="str">
        <f>IF(ISNA(VLOOKUP($B425,CPY!$B:$G,4,FALSE))=TRUE," ",VLOOKUP($B425,CPY!$B:$G,4,FALSE))</f>
        <v> </v>
      </c>
      <c r="F425" s="62"/>
      <c r="G425" s="70"/>
      <c r="H425" s="62"/>
    </row>
    <row r="426" spans="1:8" x14ac:dyDescent="0.25">
      <c r="A426" s="62">
        <v>425</v>
      </c>
      <c r="B426" s="62"/>
      <c r="C426" s="68" t="str">
        <f>IF(ISNA(VLOOKUP($B426,CPY!$B:$G,2,FALSE))=TRUE," ",VLOOKUP($B426,CPY!$B:$G,2,FALSE))</f>
        <v> </v>
      </c>
      <c r="D426" s="50" t="str">
        <f>IF(ISNA(VLOOKUP($B426,CPY!$B:$G,3,FALSE))=TRUE," ",VLOOKUP($B426,CPY!$B:$G,3,FALSE))</f>
        <v> </v>
      </c>
      <c r="E426" s="65" t="str">
        <f>IF(ISNA(VLOOKUP($B426,CPY!$B:$G,4,FALSE))=TRUE," ",VLOOKUP($B426,CPY!$B:$G,4,FALSE))</f>
        <v> </v>
      </c>
      <c r="F426" s="62"/>
      <c r="G426" s="70"/>
      <c r="H426" s="62"/>
    </row>
    <row r="427" spans="1:8" x14ac:dyDescent="0.25">
      <c r="A427" s="62">
        <v>426</v>
      </c>
      <c r="B427" s="62"/>
      <c r="C427" s="68" t="str">
        <f>IF(ISNA(VLOOKUP($B427,CPY!$B:$G,2,FALSE))=TRUE," ",VLOOKUP($B427,CPY!$B:$G,2,FALSE))</f>
        <v> </v>
      </c>
      <c r="D427" s="50" t="str">
        <f>IF(ISNA(VLOOKUP($B427,CPY!$B:$G,3,FALSE))=TRUE," ",VLOOKUP($B427,CPY!$B:$G,3,FALSE))</f>
        <v> </v>
      </c>
      <c r="E427" s="65" t="str">
        <f>IF(ISNA(VLOOKUP($B427,CPY!$B:$G,4,FALSE))=TRUE," ",VLOOKUP($B427,CPY!$B:$G,4,FALSE))</f>
        <v> </v>
      </c>
      <c r="F427" s="62"/>
      <c r="G427" s="70"/>
      <c r="H427" s="62"/>
    </row>
    <row r="428" spans="1:8" x14ac:dyDescent="0.25">
      <c r="A428" s="62">
        <v>427</v>
      </c>
      <c r="B428" s="62"/>
      <c r="C428" s="68" t="str">
        <f>IF(ISNA(VLOOKUP($B428,CPY!$B:$G,2,FALSE))=TRUE," ",VLOOKUP($B428,CPY!$B:$G,2,FALSE))</f>
        <v> </v>
      </c>
      <c r="D428" s="50" t="str">
        <f>IF(ISNA(VLOOKUP($B428,CPY!$B:$G,3,FALSE))=TRUE," ",VLOOKUP($B428,CPY!$B:$G,3,FALSE))</f>
        <v> </v>
      </c>
      <c r="E428" s="65" t="str">
        <f>IF(ISNA(VLOOKUP($B428,CPY!$B:$G,4,FALSE))=TRUE," ",VLOOKUP($B428,CPY!$B:$G,4,FALSE))</f>
        <v> </v>
      </c>
      <c r="F428" s="62"/>
      <c r="G428" s="70"/>
      <c r="H428" s="62"/>
    </row>
    <row r="429" spans="1:8" x14ac:dyDescent="0.25">
      <c r="A429" s="62">
        <v>428</v>
      </c>
      <c r="B429" s="62"/>
      <c r="C429" s="68" t="str">
        <f>IF(ISNA(VLOOKUP($B429,CPY!$B:$G,2,FALSE))=TRUE," ",VLOOKUP($B429,CPY!$B:$G,2,FALSE))</f>
        <v> </v>
      </c>
      <c r="D429" s="50" t="str">
        <f>IF(ISNA(VLOOKUP($B429,CPY!$B:$G,3,FALSE))=TRUE," ",VLOOKUP($B429,CPY!$B:$G,3,FALSE))</f>
        <v> </v>
      </c>
      <c r="E429" s="65" t="str">
        <f>IF(ISNA(VLOOKUP($B429,CPY!$B:$G,4,FALSE))=TRUE," ",VLOOKUP($B429,CPY!$B:$G,4,FALSE))</f>
        <v> </v>
      </c>
      <c r="F429" s="62"/>
      <c r="G429" s="70"/>
      <c r="H429" s="62"/>
    </row>
    <row r="430" spans="1:8" x14ac:dyDescent="0.25">
      <c r="A430" s="62">
        <v>429</v>
      </c>
      <c r="B430" s="62"/>
      <c r="C430" s="68" t="str">
        <f>IF(ISNA(VLOOKUP($B430,CPY!$B:$G,2,FALSE))=TRUE," ",VLOOKUP($B430,CPY!$B:$G,2,FALSE))</f>
        <v> </v>
      </c>
      <c r="D430" s="50" t="str">
        <f>IF(ISNA(VLOOKUP($B430,CPY!$B:$G,3,FALSE))=TRUE," ",VLOOKUP($B430,CPY!$B:$G,3,FALSE))</f>
        <v> </v>
      </c>
      <c r="E430" s="65" t="str">
        <f>IF(ISNA(VLOOKUP($B430,CPY!$B:$G,4,FALSE))=TRUE," ",VLOOKUP($B430,CPY!$B:$G,4,FALSE))</f>
        <v> </v>
      </c>
      <c r="F430" s="62"/>
      <c r="G430" s="70"/>
      <c r="H430" s="62"/>
    </row>
    <row r="431" spans="1:8" x14ac:dyDescent="0.25">
      <c r="A431" s="62">
        <v>430</v>
      </c>
      <c r="B431" s="62"/>
      <c r="C431" s="68" t="str">
        <f>IF(ISNA(VLOOKUP($B431,CPY!$B:$G,2,FALSE))=TRUE," ",VLOOKUP($B431,CPY!$B:$G,2,FALSE))</f>
        <v> </v>
      </c>
      <c r="D431" s="50" t="str">
        <f>IF(ISNA(VLOOKUP($B431,CPY!$B:$G,3,FALSE))=TRUE," ",VLOOKUP($B431,CPY!$B:$G,3,FALSE))</f>
        <v> </v>
      </c>
      <c r="E431" s="65" t="str">
        <f>IF(ISNA(VLOOKUP($B431,CPY!$B:$G,4,FALSE))=TRUE," ",VLOOKUP($B431,CPY!$B:$G,4,FALSE))</f>
        <v> </v>
      </c>
      <c r="F431" s="62"/>
      <c r="G431" s="70"/>
      <c r="H431" s="62"/>
    </row>
    <row r="432" spans="1:8" x14ac:dyDescent="0.25">
      <c r="A432" s="62">
        <v>431</v>
      </c>
      <c r="B432" s="62"/>
      <c r="C432" s="68" t="str">
        <f>IF(ISNA(VLOOKUP($B432,CPY!$B:$G,2,FALSE))=TRUE," ",VLOOKUP($B432,CPY!$B:$G,2,FALSE))</f>
        <v> </v>
      </c>
      <c r="D432" s="50" t="str">
        <f>IF(ISNA(VLOOKUP($B432,CPY!$B:$G,3,FALSE))=TRUE," ",VLOOKUP($B432,CPY!$B:$G,3,FALSE))</f>
        <v> </v>
      </c>
      <c r="E432" s="65" t="str">
        <f>IF(ISNA(VLOOKUP($B432,CPY!$B:$G,4,FALSE))=TRUE," ",VLOOKUP($B432,CPY!$B:$G,4,FALSE))</f>
        <v> </v>
      </c>
      <c r="F432" s="62"/>
      <c r="G432" s="70"/>
      <c r="H432" s="62"/>
    </row>
    <row r="433" spans="1:8" x14ac:dyDescent="0.25">
      <c r="A433" s="62">
        <v>432</v>
      </c>
      <c r="B433" s="62"/>
      <c r="C433" s="68" t="str">
        <f>IF(ISNA(VLOOKUP($B433,CPY!$B:$G,2,FALSE))=TRUE," ",VLOOKUP($B433,CPY!$B:$G,2,FALSE))</f>
        <v> </v>
      </c>
      <c r="D433" s="50" t="str">
        <f>IF(ISNA(VLOOKUP($B433,CPY!$B:$G,3,FALSE))=TRUE," ",VLOOKUP($B433,CPY!$B:$G,3,FALSE))</f>
        <v> </v>
      </c>
      <c r="E433" s="65" t="str">
        <f>IF(ISNA(VLOOKUP($B433,CPY!$B:$G,4,FALSE))=TRUE," ",VLOOKUP($B433,CPY!$B:$G,4,FALSE))</f>
        <v> </v>
      </c>
      <c r="F433" s="62"/>
      <c r="G433" s="70"/>
      <c r="H433" s="62"/>
    </row>
    <row r="434" spans="1:8" x14ac:dyDescent="0.25">
      <c r="A434" s="62">
        <v>433</v>
      </c>
      <c r="B434" s="62"/>
      <c r="C434" s="68" t="str">
        <f>IF(ISNA(VLOOKUP($B434,CPY!$B:$G,2,FALSE))=TRUE," ",VLOOKUP($B434,CPY!$B:$G,2,FALSE))</f>
        <v> </v>
      </c>
      <c r="D434" s="50" t="str">
        <f>IF(ISNA(VLOOKUP($B434,CPY!$B:$G,3,FALSE))=TRUE," ",VLOOKUP($B434,CPY!$B:$G,3,FALSE))</f>
        <v> </v>
      </c>
      <c r="E434" s="65" t="str">
        <f>IF(ISNA(VLOOKUP($B434,CPY!$B:$G,4,FALSE))=TRUE," ",VLOOKUP($B434,CPY!$B:$G,4,FALSE))</f>
        <v> </v>
      </c>
      <c r="F434" s="62"/>
      <c r="G434" s="70"/>
      <c r="H434" s="62"/>
    </row>
    <row r="435" spans="1:8" x14ac:dyDescent="0.25">
      <c r="A435" s="62">
        <v>434</v>
      </c>
      <c r="B435" s="62"/>
      <c r="C435" s="68" t="str">
        <f>IF(ISNA(VLOOKUP($B435,CPY!$B:$G,2,FALSE))=TRUE," ",VLOOKUP($B435,CPY!$B:$G,2,FALSE))</f>
        <v> </v>
      </c>
      <c r="D435" s="50" t="str">
        <f>IF(ISNA(VLOOKUP($B435,CPY!$B:$G,3,FALSE))=TRUE," ",VLOOKUP($B435,CPY!$B:$G,3,FALSE))</f>
        <v> </v>
      </c>
      <c r="E435" s="65" t="str">
        <f>IF(ISNA(VLOOKUP($B435,CPY!$B:$G,4,FALSE))=TRUE," ",VLOOKUP($B435,CPY!$B:$G,4,FALSE))</f>
        <v> </v>
      </c>
      <c r="F435" s="62"/>
      <c r="G435" s="70"/>
      <c r="H435" s="62"/>
    </row>
    <row r="436" spans="1:8" x14ac:dyDescent="0.25">
      <c r="A436" s="62">
        <v>435</v>
      </c>
      <c r="B436" s="62"/>
      <c r="C436" s="68" t="str">
        <f>IF(ISNA(VLOOKUP($B436,CPY!$B:$G,2,FALSE))=TRUE," ",VLOOKUP($B436,CPY!$B:$G,2,FALSE))</f>
        <v> </v>
      </c>
      <c r="D436" s="50" t="str">
        <f>IF(ISNA(VLOOKUP($B436,CPY!$B:$G,3,FALSE))=TRUE," ",VLOOKUP($B436,CPY!$B:$G,3,FALSE))</f>
        <v> </v>
      </c>
      <c r="E436" s="65" t="str">
        <f>IF(ISNA(VLOOKUP($B436,CPY!$B:$G,4,FALSE))=TRUE," ",VLOOKUP($B436,CPY!$B:$G,4,FALSE))</f>
        <v> </v>
      </c>
      <c r="F436" s="62"/>
      <c r="G436" s="70"/>
      <c r="H436" s="62"/>
    </row>
    <row r="437" spans="1:8" x14ac:dyDescent="0.25">
      <c r="A437" s="62">
        <v>436</v>
      </c>
      <c r="B437" s="62"/>
      <c r="C437" s="68" t="str">
        <f>IF(ISNA(VLOOKUP($B437,CPY!$B:$G,2,FALSE))=TRUE," ",VLOOKUP($B437,CPY!$B:$G,2,FALSE))</f>
        <v> </v>
      </c>
      <c r="D437" s="50" t="str">
        <f>IF(ISNA(VLOOKUP($B437,CPY!$B:$G,3,FALSE))=TRUE," ",VLOOKUP($B437,CPY!$B:$G,3,FALSE))</f>
        <v> </v>
      </c>
      <c r="E437" s="65" t="str">
        <f>IF(ISNA(VLOOKUP($B437,CPY!$B:$G,4,FALSE))=TRUE," ",VLOOKUP($B437,CPY!$B:$G,4,FALSE))</f>
        <v> </v>
      </c>
      <c r="F437" s="62"/>
      <c r="G437" s="70"/>
      <c r="H437" s="62"/>
    </row>
    <row r="438" spans="1:8" x14ac:dyDescent="0.25">
      <c r="A438" s="62">
        <v>437</v>
      </c>
      <c r="B438" s="62"/>
      <c r="C438" s="68" t="str">
        <f>IF(ISNA(VLOOKUP($B438,CPY!$B:$G,2,FALSE))=TRUE," ",VLOOKUP($B438,CPY!$B:$G,2,FALSE))</f>
        <v> </v>
      </c>
      <c r="D438" s="50" t="str">
        <f>IF(ISNA(VLOOKUP($B438,CPY!$B:$G,3,FALSE))=TRUE," ",VLOOKUP($B438,CPY!$B:$G,3,FALSE))</f>
        <v> </v>
      </c>
      <c r="E438" s="65" t="str">
        <f>IF(ISNA(VLOOKUP($B438,CPY!$B:$G,4,FALSE))=TRUE," ",VLOOKUP($B438,CPY!$B:$G,4,FALSE))</f>
        <v> </v>
      </c>
      <c r="F438" s="62"/>
      <c r="G438" s="70"/>
      <c r="H438" s="62"/>
    </row>
    <row r="439" spans="1:8" x14ac:dyDescent="0.25">
      <c r="A439" s="62">
        <v>438</v>
      </c>
      <c r="B439" s="62"/>
      <c r="C439" s="68" t="str">
        <f>IF(ISNA(VLOOKUP($B439,CPY!$B:$G,2,FALSE))=TRUE," ",VLOOKUP($B439,CPY!$B:$G,2,FALSE))</f>
        <v> </v>
      </c>
      <c r="D439" s="50" t="str">
        <f>IF(ISNA(VLOOKUP($B439,CPY!$B:$G,3,FALSE))=TRUE," ",VLOOKUP($B439,CPY!$B:$G,3,FALSE))</f>
        <v> </v>
      </c>
      <c r="E439" s="65" t="str">
        <f>IF(ISNA(VLOOKUP($B439,CPY!$B:$G,4,FALSE))=TRUE," ",VLOOKUP($B439,CPY!$B:$G,4,FALSE))</f>
        <v> </v>
      </c>
      <c r="F439" s="62"/>
      <c r="G439" s="70"/>
      <c r="H439" s="62"/>
    </row>
    <row r="440" spans="1:8" x14ac:dyDescent="0.25">
      <c r="A440" s="62">
        <v>439</v>
      </c>
      <c r="B440" s="62"/>
      <c r="C440" s="68" t="str">
        <f>IF(ISNA(VLOOKUP($B440,CPY!$B:$G,2,FALSE))=TRUE," ",VLOOKUP($B440,CPY!$B:$G,2,FALSE))</f>
        <v> </v>
      </c>
      <c r="D440" s="50" t="str">
        <f>IF(ISNA(VLOOKUP($B440,CPY!$B:$G,3,FALSE))=TRUE," ",VLOOKUP($B440,CPY!$B:$G,3,FALSE))</f>
        <v> </v>
      </c>
      <c r="E440" s="65" t="str">
        <f>IF(ISNA(VLOOKUP($B440,CPY!$B:$G,4,FALSE))=TRUE," ",VLOOKUP($B440,CPY!$B:$G,4,FALSE))</f>
        <v> </v>
      </c>
      <c r="F440" s="62"/>
      <c r="G440" s="70"/>
      <c r="H440" s="62"/>
    </row>
    <row r="441" spans="1:8" x14ac:dyDescent="0.25">
      <c r="A441" s="62">
        <v>440</v>
      </c>
      <c r="B441" s="62"/>
      <c r="C441" s="68" t="str">
        <f>IF(ISNA(VLOOKUP($B441,CPY!$B:$G,2,FALSE))=TRUE," ",VLOOKUP($B441,CPY!$B:$G,2,FALSE))</f>
        <v> </v>
      </c>
      <c r="D441" s="50" t="str">
        <f>IF(ISNA(VLOOKUP($B441,CPY!$B:$G,3,FALSE))=TRUE," ",VLOOKUP($B441,CPY!$B:$G,3,FALSE))</f>
        <v> </v>
      </c>
      <c r="E441" s="65" t="str">
        <f>IF(ISNA(VLOOKUP($B441,CPY!$B:$G,4,FALSE))=TRUE," ",VLOOKUP($B441,CPY!$B:$G,4,FALSE))</f>
        <v> </v>
      </c>
      <c r="F441" s="62"/>
      <c r="G441" s="70"/>
      <c r="H441" s="62"/>
    </row>
    <row r="442" spans="1:8" x14ac:dyDescent="0.25">
      <c r="A442" s="62">
        <v>441</v>
      </c>
      <c r="B442" s="62"/>
      <c r="C442" s="68" t="str">
        <f>IF(ISNA(VLOOKUP($B442,CPY!$B:$G,2,FALSE))=TRUE," ",VLOOKUP($B442,CPY!$B:$G,2,FALSE))</f>
        <v> </v>
      </c>
      <c r="D442" s="50" t="str">
        <f>IF(ISNA(VLOOKUP($B442,CPY!$B:$G,3,FALSE))=TRUE," ",VLOOKUP($B442,CPY!$B:$G,3,FALSE))</f>
        <v> </v>
      </c>
      <c r="E442" s="65" t="str">
        <f>IF(ISNA(VLOOKUP($B442,CPY!$B:$G,4,FALSE))=TRUE," ",VLOOKUP($B442,CPY!$B:$G,4,FALSE))</f>
        <v> </v>
      </c>
      <c r="F442" s="62"/>
      <c r="G442" s="70"/>
      <c r="H442" s="62"/>
    </row>
    <row r="443" spans="1:8" x14ac:dyDescent="0.25">
      <c r="A443" s="62">
        <v>442</v>
      </c>
      <c r="B443" s="62"/>
      <c r="C443" s="68" t="str">
        <f>IF(ISNA(VLOOKUP($B443,CPY!$B:$G,2,FALSE))=TRUE," ",VLOOKUP($B443,CPY!$B:$G,2,FALSE))</f>
        <v> </v>
      </c>
      <c r="D443" s="50" t="str">
        <f>IF(ISNA(VLOOKUP($B443,CPY!$B:$G,3,FALSE))=TRUE," ",VLOOKUP($B443,CPY!$B:$G,3,FALSE))</f>
        <v> </v>
      </c>
      <c r="E443" s="65" t="str">
        <f>IF(ISNA(VLOOKUP($B443,CPY!$B:$G,4,FALSE))=TRUE," ",VLOOKUP($B443,CPY!$B:$G,4,FALSE))</f>
        <v> </v>
      </c>
      <c r="F443" s="62"/>
      <c r="G443" s="70"/>
      <c r="H443" s="62"/>
    </row>
    <row r="444" spans="1:8" x14ac:dyDescent="0.25">
      <c r="A444" s="62">
        <v>443</v>
      </c>
      <c r="B444" s="62"/>
      <c r="C444" s="68" t="str">
        <f>IF(ISNA(VLOOKUP($B444,CPY!$B:$G,2,FALSE))=TRUE," ",VLOOKUP($B444,CPY!$B:$G,2,FALSE))</f>
        <v> </v>
      </c>
      <c r="D444" s="50" t="str">
        <f>IF(ISNA(VLOOKUP($B444,CPY!$B:$G,3,FALSE))=TRUE," ",VLOOKUP($B444,CPY!$B:$G,3,FALSE))</f>
        <v> </v>
      </c>
      <c r="E444" s="65" t="str">
        <f>IF(ISNA(VLOOKUP($B444,CPY!$B:$G,4,FALSE))=TRUE," ",VLOOKUP($B444,CPY!$B:$G,4,FALSE))</f>
        <v> </v>
      </c>
      <c r="F444" s="62"/>
      <c r="G444" s="70"/>
      <c r="H444" s="62"/>
    </row>
    <row r="445" spans="1:8" x14ac:dyDescent="0.25">
      <c r="A445" s="62">
        <v>444</v>
      </c>
      <c r="B445" s="62"/>
      <c r="C445" s="68" t="str">
        <f>IF(ISNA(VLOOKUP($B445,CPY!$B:$G,2,FALSE))=TRUE," ",VLOOKUP($B445,CPY!$B:$G,2,FALSE))</f>
        <v> </v>
      </c>
      <c r="D445" s="50" t="str">
        <f>IF(ISNA(VLOOKUP($B445,CPY!$B:$G,3,FALSE))=TRUE," ",VLOOKUP($B445,CPY!$B:$G,3,FALSE))</f>
        <v> </v>
      </c>
      <c r="E445" s="65" t="str">
        <f>IF(ISNA(VLOOKUP($B445,CPY!$B:$G,4,FALSE))=TRUE," ",VLOOKUP($B445,CPY!$B:$G,4,FALSE))</f>
        <v> </v>
      </c>
      <c r="F445" s="62"/>
      <c r="G445" s="70"/>
      <c r="H445" s="62"/>
    </row>
    <row r="446" spans="1:8" x14ac:dyDescent="0.25">
      <c r="A446" s="62">
        <v>445</v>
      </c>
      <c r="B446" s="62"/>
      <c r="C446" s="68" t="str">
        <f>IF(ISNA(VLOOKUP($B446,CPY!$B:$G,2,FALSE))=TRUE," ",VLOOKUP($B446,CPY!$B:$G,2,FALSE))</f>
        <v> </v>
      </c>
      <c r="D446" s="50" t="str">
        <f>IF(ISNA(VLOOKUP($B446,CPY!$B:$G,3,FALSE))=TRUE," ",VLOOKUP($B446,CPY!$B:$G,3,FALSE))</f>
        <v> </v>
      </c>
      <c r="E446" s="65" t="str">
        <f>IF(ISNA(VLOOKUP($B446,CPY!$B:$G,4,FALSE))=TRUE," ",VLOOKUP($B446,CPY!$B:$G,4,FALSE))</f>
        <v> </v>
      </c>
      <c r="F446" s="62"/>
      <c r="G446" s="70"/>
      <c r="H446" s="62"/>
    </row>
    <row r="447" spans="1:8" x14ac:dyDescent="0.25">
      <c r="A447" s="62">
        <v>446</v>
      </c>
      <c r="B447" s="62"/>
      <c r="C447" s="68" t="str">
        <f>IF(ISNA(VLOOKUP($B447,CPY!$B:$G,2,FALSE))=TRUE," ",VLOOKUP($B447,CPY!$B:$G,2,FALSE))</f>
        <v> </v>
      </c>
      <c r="D447" s="50" t="str">
        <f>IF(ISNA(VLOOKUP($B447,CPY!$B:$G,3,FALSE))=TRUE," ",VLOOKUP($B447,CPY!$B:$G,3,FALSE))</f>
        <v> </v>
      </c>
      <c r="E447" s="65" t="str">
        <f>IF(ISNA(VLOOKUP($B447,CPY!$B:$G,4,FALSE))=TRUE," ",VLOOKUP($B447,CPY!$B:$G,4,FALSE))</f>
        <v> </v>
      </c>
      <c r="F447" s="62"/>
      <c r="G447" s="70"/>
      <c r="H447" s="62"/>
    </row>
    <row r="448" spans="1:8" x14ac:dyDescent="0.25">
      <c r="A448" s="62">
        <v>447</v>
      </c>
      <c r="B448" s="62"/>
      <c r="C448" s="68" t="str">
        <f>IF(ISNA(VLOOKUP($B448,CPY!$B:$G,2,FALSE))=TRUE," ",VLOOKUP($B448,CPY!$B:$G,2,FALSE))</f>
        <v> </v>
      </c>
      <c r="D448" s="50" t="str">
        <f>IF(ISNA(VLOOKUP($B448,CPY!$B:$G,3,FALSE))=TRUE," ",VLOOKUP($B448,CPY!$B:$G,3,FALSE))</f>
        <v> </v>
      </c>
      <c r="E448" s="65" t="str">
        <f>IF(ISNA(VLOOKUP($B448,CPY!$B:$G,4,FALSE))=TRUE," ",VLOOKUP($B448,CPY!$B:$G,4,FALSE))</f>
        <v> </v>
      </c>
      <c r="F448" s="62"/>
      <c r="G448" s="70"/>
      <c r="H448" s="62"/>
    </row>
    <row r="449" spans="1:8" x14ac:dyDescent="0.25">
      <c r="A449" s="62">
        <v>448</v>
      </c>
      <c r="B449" s="62"/>
      <c r="C449" s="68" t="str">
        <f>IF(ISNA(VLOOKUP($B449,CPY!$B:$G,2,FALSE))=TRUE," ",VLOOKUP($B449,CPY!$B:$G,2,FALSE))</f>
        <v> </v>
      </c>
      <c r="D449" s="50" t="str">
        <f>IF(ISNA(VLOOKUP($B449,CPY!$B:$G,3,FALSE))=TRUE," ",VLOOKUP($B449,CPY!$B:$G,3,FALSE))</f>
        <v> </v>
      </c>
      <c r="E449" s="65" t="str">
        <f>IF(ISNA(VLOOKUP($B449,CPY!$B:$G,4,FALSE))=TRUE," ",VLOOKUP($B449,CPY!$B:$G,4,FALSE))</f>
        <v> </v>
      </c>
      <c r="F449" s="62"/>
      <c r="G449" s="70"/>
      <c r="H449" s="62"/>
    </row>
    <row r="450" spans="1:8" x14ac:dyDescent="0.25">
      <c r="A450" s="62">
        <v>449</v>
      </c>
      <c r="B450" s="62"/>
      <c r="C450" s="68" t="str">
        <f>IF(ISNA(VLOOKUP($B450,CPY!$B:$G,2,FALSE))=TRUE," ",VLOOKUP($B450,CPY!$B:$G,2,FALSE))</f>
        <v> </v>
      </c>
      <c r="D450" s="50" t="str">
        <f>IF(ISNA(VLOOKUP($B450,CPY!$B:$G,3,FALSE))=TRUE," ",VLOOKUP($B450,CPY!$B:$G,3,FALSE))</f>
        <v> </v>
      </c>
      <c r="E450" s="65" t="str">
        <f>IF(ISNA(VLOOKUP($B450,CPY!$B:$G,4,FALSE))=TRUE," ",VLOOKUP($B450,CPY!$B:$G,4,FALSE))</f>
        <v> </v>
      </c>
      <c r="F450" s="62"/>
      <c r="G450" s="70"/>
      <c r="H450" s="62"/>
    </row>
    <row r="451" spans="1:8" x14ac:dyDescent="0.25">
      <c r="A451" s="62">
        <v>450</v>
      </c>
      <c r="B451" s="62"/>
      <c r="C451" s="68" t="str">
        <f>IF(ISNA(VLOOKUP($B451,CPY!$B:$G,2,FALSE))=TRUE," ",VLOOKUP($B451,CPY!$B:$G,2,FALSE))</f>
        <v> </v>
      </c>
      <c r="D451" s="50" t="str">
        <f>IF(ISNA(VLOOKUP($B451,CPY!$B:$G,3,FALSE))=TRUE," ",VLOOKUP($B451,CPY!$B:$G,3,FALSE))</f>
        <v> </v>
      </c>
      <c r="E451" s="65" t="str">
        <f>IF(ISNA(VLOOKUP($B451,CPY!$B:$G,4,FALSE))=TRUE," ",VLOOKUP($B451,CPY!$B:$G,4,FALSE))</f>
        <v> </v>
      </c>
      <c r="F451" s="62"/>
      <c r="G451" s="70"/>
      <c r="H451" s="62"/>
    </row>
    <row r="452" spans="1:8" x14ac:dyDescent="0.25">
      <c r="A452" s="62">
        <v>451</v>
      </c>
      <c r="B452" s="62"/>
      <c r="C452" s="68" t="str">
        <f>IF(ISNA(VLOOKUP($B452,CPY!$B:$G,2,FALSE))=TRUE," ",VLOOKUP($B452,CPY!$B:$G,2,FALSE))</f>
        <v> </v>
      </c>
      <c r="D452" s="50" t="str">
        <f>IF(ISNA(VLOOKUP($B452,CPY!$B:$G,3,FALSE))=TRUE," ",VLOOKUP($B452,CPY!$B:$G,3,FALSE))</f>
        <v> </v>
      </c>
      <c r="E452" s="65" t="str">
        <f>IF(ISNA(VLOOKUP($B452,CPY!$B:$G,4,FALSE))=TRUE," ",VLOOKUP($B452,CPY!$B:$G,4,FALSE))</f>
        <v> </v>
      </c>
      <c r="F452" s="62"/>
      <c r="G452" s="70"/>
      <c r="H452" s="62"/>
    </row>
    <row r="453" spans="1:8" x14ac:dyDescent="0.25">
      <c r="A453" s="62">
        <v>452</v>
      </c>
      <c r="B453" s="62"/>
      <c r="C453" s="68" t="str">
        <f>IF(ISNA(VLOOKUP($B453,CPY!$B:$G,2,FALSE))=TRUE," ",VLOOKUP($B453,CPY!$B:$G,2,FALSE))</f>
        <v> </v>
      </c>
      <c r="D453" s="50" t="str">
        <f>IF(ISNA(VLOOKUP($B453,CPY!$B:$G,3,FALSE))=TRUE," ",VLOOKUP($B453,CPY!$B:$G,3,FALSE))</f>
        <v> </v>
      </c>
      <c r="E453" s="65" t="str">
        <f>IF(ISNA(VLOOKUP($B453,CPY!$B:$G,4,FALSE))=TRUE," ",VLOOKUP($B453,CPY!$B:$G,4,FALSE))</f>
        <v> </v>
      </c>
      <c r="F453" s="62"/>
      <c r="G453" s="70"/>
      <c r="H453" s="62"/>
    </row>
    <row r="454" spans="1:8" x14ac:dyDescent="0.25">
      <c r="A454" s="62">
        <v>453</v>
      </c>
      <c r="B454" s="62"/>
      <c r="C454" s="68" t="str">
        <f>IF(ISNA(VLOOKUP($B454,CPY!$B:$G,2,FALSE))=TRUE," ",VLOOKUP($B454,CPY!$B:$G,2,FALSE))</f>
        <v> </v>
      </c>
      <c r="D454" s="50" t="str">
        <f>IF(ISNA(VLOOKUP($B454,CPY!$B:$G,3,FALSE))=TRUE," ",VLOOKUP($B454,CPY!$B:$G,3,FALSE))</f>
        <v> </v>
      </c>
      <c r="E454" s="65" t="str">
        <f>IF(ISNA(VLOOKUP($B454,CPY!$B:$G,4,FALSE))=TRUE," ",VLOOKUP($B454,CPY!$B:$G,4,FALSE))</f>
        <v> </v>
      </c>
      <c r="F454" s="62"/>
      <c r="G454" s="70"/>
      <c r="H454" s="62"/>
    </row>
    <row r="455" spans="1:8" x14ac:dyDescent="0.25">
      <c r="A455" s="62">
        <v>454</v>
      </c>
      <c r="B455" s="62"/>
      <c r="C455" s="68" t="str">
        <f>IF(ISNA(VLOOKUP($B455,CPY!$B:$G,2,FALSE))=TRUE," ",VLOOKUP($B455,CPY!$B:$G,2,FALSE))</f>
        <v> </v>
      </c>
      <c r="D455" s="50" t="str">
        <f>IF(ISNA(VLOOKUP($B455,CPY!$B:$G,3,FALSE))=TRUE," ",VLOOKUP($B455,CPY!$B:$G,3,FALSE))</f>
        <v> </v>
      </c>
      <c r="E455" s="65" t="str">
        <f>IF(ISNA(VLOOKUP($B455,CPY!$B:$G,4,FALSE))=TRUE," ",VLOOKUP($B455,CPY!$B:$G,4,FALSE))</f>
        <v> </v>
      </c>
      <c r="F455" s="62"/>
      <c r="G455" s="70"/>
      <c r="H455" s="62"/>
    </row>
    <row r="456" spans="1:8" x14ac:dyDescent="0.25">
      <c r="A456" s="62">
        <v>455</v>
      </c>
      <c r="B456" s="62"/>
      <c r="C456" s="68" t="str">
        <f>IF(ISNA(VLOOKUP($B456,CPY!$B:$G,2,FALSE))=TRUE," ",VLOOKUP($B456,CPY!$B:$G,2,FALSE))</f>
        <v> </v>
      </c>
      <c r="D456" s="50" t="str">
        <f>IF(ISNA(VLOOKUP($B456,CPY!$B:$G,3,FALSE))=TRUE," ",VLOOKUP($B456,CPY!$B:$G,3,FALSE))</f>
        <v> </v>
      </c>
      <c r="E456" s="65" t="str">
        <f>IF(ISNA(VLOOKUP($B456,CPY!$B:$G,4,FALSE))=TRUE," ",VLOOKUP($B456,CPY!$B:$G,4,FALSE))</f>
        <v> </v>
      </c>
      <c r="F456" s="62"/>
      <c r="G456" s="70"/>
      <c r="H456" s="62"/>
    </row>
    <row r="457" spans="1:8" x14ac:dyDescent="0.25">
      <c r="A457" s="62">
        <v>456</v>
      </c>
      <c r="B457" s="62"/>
      <c r="C457" s="68" t="str">
        <f>IF(ISNA(VLOOKUP($B457,CPY!$B:$G,2,FALSE))=TRUE," ",VLOOKUP($B457,CPY!$B:$G,2,FALSE))</f>
        <v> </v>
      </c>
      <c r="D457" s="50" t="str">
        <f>IF(ISNA(VLOOKUP($B457,CPY!$B:$G,3,FALSE))=TRUE," ",VLOOKUP($B457,CPY!$B:$G,3,FALSE))</f>
        <v> </v>
      </c>
      <c r="E457" s="65" t="str">
        <f>IF(ISNA(VLOOKUP($B457,CPY!$B:$G,4,FALSE))=TRUE," ",VLOOKUP($B457,CPY!$B:$G,4,FALSE))</f>
        <v> </v>
      </c>
      <c r="F457" s="62"/>
      <c r="G457" s="70"/>
      <c r="H457" s="62"/>
    </row>
    <row r="458" spans="1:8" x14ac:dyDescent="0.25">
      <c r="A458" s="62">
        <v>457</v>
      </c>
      <c r="B458" s="62"/>
      <c r="C458" s="68" t="str">
        <f>IF(ISNA(VLOOKUP($B458,CPY!$B:$G,2,FALSE))=TRUE," ",VLOOKUP($B458,CPY!$B:$G,2,FALSE))</f>
        <v> </v>
      </c>
      <c r="D458" s="50" t="str">
        <f>IF(ISNA(VLOOKUP($B458,CPY!$B:$G,3,FALSE))=TRUE," ",VLOOKUP($B458,CPY!$B:$G,3,FALSE))</f>
        <v> </v>
      </c>
      <c r="E458" s="65" t="str">
        <f>IF(ISNA(VLOOKUP($B458,CPY!$B:$G,4,FALSE))=TRUE," ",VLOOKUP($B458,CPY!$B:$G,4,FALSE))</f>
        <v> </v>
      </c>
      <c r="F458" s="62"/>
      <c r="G458" s="70"/>
      <c r="H458" s="62"/>
    </row>
    <row r="459" spans="1:8" x14ac:dyDescent="0.25">
      <c r="A459" s="62">
        <v>458</v>
      </c>
      <c r="B459" s="62"/>
      <c r="C459" s="68" t="str">
        <f>IF(ISNA(VLOOKUP($B459,CPY!$B:$G,2,FALSE))=TRUE," ",VLOOKUP($B459,CPY!$B:$G,2,FALSE))</f>
        <v> </v>
      </c>
      <c r="D459" s="50" t="str">
        <f>IF(ISNA(VLOOKUP($B459,CPY!$B:$G,3,FALSE))=TRUE," ",VLOOKUP($B459,CPY!$B:$G,3,FALSE))</f>
        <v> </v>
      </c>
      <c r="E459" s="65" t="str">
        <f>IF(ISNA(VLOOKUP($B459,CPY!$B:$G,4,FALSE))=TRUE," ",VLOOKUP($B459,CPY!$B:$G,4,FALSE))</f>
        <v> </v>
      </c>
      <c r="F459" s="62"/>
      <c r="G459" s="70"/>
      <c r="H459" s="62"/>
    </row>
    <row r="460" spans="1:8" x14ac:dyDescent="0.25">
      <c r="A460" s="62">
        <v>459</v>
      </c>
      <c r="B460" s="62"/>
      <c r="C460" s="68" t="str">
        <f>IF(ISNA(VLOOKUP($B460,CPY!$B:$G,2,FALSE))=TRUE," ",VLOOKUP($B460,CPY!$B:$G,2,FALSE))</f>
        <v> </v>
      </c>
      <c r="D460" s="50" t="str">
        <f>IF(ISNA(VLOOKUP($B460,CPY!$B:$G,3,FALSE))=TRUE," ",VLOOKUP($B460,CPY!$B:$G,3,FALSE))</f>
        <v> </v>
      </c>
      <c r="E460" s="65" t="str">
        <f>IF(ISNA(VLOOKUP($B460,CPY!$B:$G,4,FALSE))=TRUE," ",VLOOKUP($B460,CPY!$B:$G,4,FALSE))</f>
        <v> </v>
      </c>
      <c r="F460" s="62"/>
      <c r="G460" s="70"/>
      <c r="H460" s="62"/>
    </row>
    <row r="461" spans="1:8" x14ac:dyDescent="0.25">
      <c r="A461" s="62">
        <v>460</v>
      </c>
      <c r="B461" s="62"/>
      <c r="C461" s="68" t="str">
        <f>IF(ISNA(VLOOKUP($B461,CPY!$B:$G,2,FALSE))=TRUE," ",VLOOKUP($B461,CPY!$B:$G,2,FALSE))</f>
        <v> </v>
      </c>
      <c r="D461" s="50" t="str">
        <f>IF(ISNA(VLOOKUP($B461,CPY!$B:$G,3,FALSE))=TRUE," ",VLOOKUP($B461,CPY!$B:$G,3,FALSE))</f>
        <v> </v>
      </c>
      <c r="E461" s="65" t="str">
        <f>IF(ISNA(VLOOKUP($B461,CPY!$B:$G,4,FALSE))=TRUE," ",VLOOKUP($B461,CPY!$B:$G,4,FALSE))</f>
        <v> </v>
      </c>
      <c r="F461" s="62"/>
      <c r="G461" s="70"/>
      <c r="H461" s="62"/>
    </row>
    <row r="462" spans="1:8" x14ac:dyDescent="0.25">
      <c r="A462" s="62">
        <v>461</v>
      </c>
      <c r="B462" s="62"/>
      <c r="C462" s="68" t="str">
        <f>IF(ISNA(VLOOKUP($B462,CPY!$B:$G,2,FALSE))=TRUE," ",VLOOKUP($B462,CPY!$B:$G,2,FALSE))</f>
        <v> </v>
      </c>
      <c r="D462" s="50" t="str">
        <f>IF(ISNA(VLOOKUP($B462,CPY!$B:$G,3,FALSE))=TRUE," ",VLOOKUP($B462,CPY!$B:$G,3,FALSE))</f>
        <v> </v>
      </c>
      <c r="E462" s="65" t="str">
        <f>IF(ISNA(VLOOKUP($B462,CPY!$B:$G,4,FALSE))=TRUE," ",VLOOKUP($B462,CPY!$B:$G,4,FALSE))</f>
        <v> </v>
      </c>
      <c r="F462" s="62"/>
      <c r="G462" s="70"/>
      <c r="H462" s="62"/>
    </row>
    <row r="463" spans="1:8" x14ac:dyDescent="0.25">
      <c r="A463" s="62">
        <v>462</v>
      </c>
      <c r="B463" s="62"/>
      <c r="C463" s="68" t="str">
        <f>IF(ISNA(VLOOKUP($B463,CPY!$B:$G,2,FALSE))=TRUE," ",VLOOKUP($B463,CPY!$B:$G,2,FALSE))</f>
        <v> </v>
      </c>
      <c r="D463" s="50" t="str">
        <f>IF(ISNA(VLOOKUP($B463,CPY!$B:$G,3,FALSE))=TRUE," ",VLOOKUP($B463,CPY!$B:$G,3,FALSE))</f>
        <v> </v>
      </c>
      <c r="E463" s="65" t="str">
        <f>IF(ISNA(VLOOKUP($B463,CPY!$B:$G,4,FALSE))=TRUE," ",VLOOKUP($B463,CPY!$B:$G,4,FALSE))</f>
        <v> </v>
      </c>
      <c r="F463" s="62"/>
      <c r="G463" s="70"/>
      <c r="H463" s="62"/>
    </row>
    <row r="464" spans="1:8" x14ac:dyDescent="0.25">
      <c r="A464" s="62">
        <v>463</v>
      </c>
      <c r="B464" s="62"/>
      <c r="C464" s="68" t="str">
        <f>IF(ISNA(VLOOKUP($B464,CPY!$B:$G,2,FALSE))=TRUE," ",VLOOKUP($B464,CPY!$B:$G,2,FALSE))</f>
        <v> </v>
      </c>
      <c r="D464" s="50" t="str">
        <f>IF(ISNA(VLOOKUP($B464,CPY!$B:$G,3,FALSE))=TRUE," ",VLOOKUP($B464,CPY!$B:$G,3,FALSE))</f>
        <v> </v>
      </c>
      <c r="E464" s="65" t="str">
        <f>IF(ISNA(VLOOKUP($B464,CPY!$B:$G,4,FALSE))=TRUE," ",VLOOKUP($B464,CPY!$B:$G,4,FALSE))</f>
        <v> </v>
      </c>
      <c r="F464" s="62"/>
      <c r="G464" s="70"/>
      <c r="H464" s="62"/>
    </row>
    <row r="465" spans="1:8" x14ac:dyDescent="0.25">
      <c r="A465" s="62">
        <v>464</v>
      </c>
      <c r="B465" s="62"/>
      <c r="C465" s="68" t="str">
        <f>IF(ISNA(VLOOKUP($B465,CPY!$B:$G,2,FALSE))=TRUE," ",VLOOKUP($B465,CPY!$B:$G,2,FALSE))</f>
        <v> </v>
      </c>
      <c r="D465" s="50" t="str">
        <f>IF(ISNA(VLOOKUP($B465,CPY!$B:$G,3,FALSE))=TRUE," ",VLOOKUP($B465,CPY!$B:$G,3,FALSE))</f>
        <v> </v>
      </c>
      <c r="E465" s="65" t="str">
        <f>IF(ISNA(VLOOKUP($B465,CPY!$B:$G,4,FALSE))=TRUE," ",VLOOKUP($B465,CPY!$B:$G,4,FALSE))</f>
        <v> </v>
      </c>
      <c r="F465" s="62"/>
      <c r="G465" s="70"/>
      <c r="H465" s="62"/>
    </row>
    <row r="466" spans="1:8" x14ac:dyDescent="0.25">
      <c r="A466" s="62">
        <v>465</v>
      </c>
      <c r="B466" s="62"/>
      <c r="C466" s="68" t="str">
        <f>IF(ISNA(VLOOKUP($B466,CPY!$B:$G,2,FALSE))=TRUE," ",VLOOKUP($B466,CPY!$B:$G,2,FALSE))</f>
        <v> </v>
      </c>
      <c r="D466" s="50" t="str">
        <f>IF(ISNA(VLOOKUP($B466,CPY!$B:$G,3,FALSE))=TRUE," ",VLOOKUP($B466,CPY!$B:$G,3,FALSE))</f>
        <v> </v>
      </c>
      <c r="E466" s="65" t="str">
        <f>IF(ISNA(VLOOKUP($B466,CPY!$B:$G,4,FALSE))=TRUE," ",VLOOKUP($B466,CPY!$B:$G,4,FALSE))</f>
        <v> </v>
      </c>
      <c r="F466" s="62"/>
      <c r="G466" s="70"/>
      <c r="H466" s="62"/>
    </row>
    <row r="467" spans="1:8" x14ac:dyDescent="0.25">
      <c r="A467" s="62">
        <v>466</v>
      </c>
      <c r="B467" s="62"/>
      <c r="C467" s="68" t="str">
        <f>IF(ISNA(VLOOKUP($B467,CPY!$B:$G,2,FALSE))=TRUE," ",VLOOKUP($B467,CPY!$B:$G,2,FALSE))</f>
        <v> </v>
      </c>
      <c r="D467" s="50" t="str">
        <f>IF(ISNA(VLOOKUP($B467,CPY!$B:$G,3,FALSE))=TRUE," ",VLOOKUP($B467,CPY!$B:$G,3,FALSE))</f>
        <v> </v>
      </c>
      <c r="E467" s="65" t="str">
        <f>IF(ISNA(VLOOKUP($B467,CPY!$B:$G,4,FALSE))=TRUE," ",VLOOKUP($B467,CPY!$B:$G,4,FALSE))</f>
        <v> </v>
      </c>
      <c r="F467" s="62"/>
      <c r="G467" s="70"/>
      <c r="H467" s="62"/>
    </row>
    <row r="468" spans="1:8" x14ac:dyDescent="0.25">
      <c r="A468" s="62">
        <v>467</v>
      </c>
      <c r="B468" s="62"/>
      <c r="C468" s="68" t="str">
        <f>IF(ISNA(VLOOKUP($B468,CPY!$B:$G,2,FALSE))=TRUE," ",VLOOKUP($B468,CPY!$B:$G,2,FALSE))</f>
        <v> </v>
      </c>
      <c r="D468" s="50" t="str">
        <f>IF(ISNA(VLOOKUP($B468,CPY!$B:$G,3,FALSE))=TRUE," ",VLOOKUP($B468,CPY!$B:$G,3,FALSE))</f>
        <v> </v>
      </c>
      <c r="E468" s="65" t="str">
        <f>IF(ISNA(VLOOKUP($B468,CPY!$B:$G,4,FALSE))=TRUE," ",VLOOKUP($B468,CPY!$B:$G,4,FALSE))</f>
        <v> </v>
      </c>
      <c r="F468" s="62"/>
      <c r="G468" s="70"/>
      <c r="H468" s="62"/>
    </row>
    <row r="469" spans="1:8" x14ac:dyDescent="0.25">
      <c r="A469" s="62">
        <v>468</v>
      </c>
      <c r="B469" s="62"/>
      <c r="C469" s="68" t="str">
        <f>IF(ISNA(VLOOKUP($B469,CPY!$B:$G,2,FALSE))=TRUE," ",VLOOKUP($B469,CPY!$B:$G,2,FALSE))</f>
        <v> </v>
      </c>
      <c r="D469" s="50" t="str">
        <f>IF(ISNA(VLOOKUP($B469,CPY!$B:$G,3,FALSE))=TRUE," ",VLOOKUP($B469,CPY!$B:$G,3,FALSE))</f>
        <v> </v>
      </c>
      <c r="E469" s="65" t="str">
        <f>IF(ISNA(VLOOKUP($B469,CPY!$B:$G,4,FALSE))=TRUE," ",VLOOKUP($B469,CPY!$B:$G,4,FALSE))</f>
        <v> </v>
      </c>
      <c r="F469" s="62"/>
      <c r="G469" s="70"/>
      <c r="H469" s="62"/>
    </row>
    <row r="470" spans="1:8" x14ac:dyDescent="0.25">
      <c r="A470" s="62">
        <v>469</v>
      </c>
      <c r="B470" s="62"/>
      <c r="C470" s="68" t="str">
        <f>IF(ISNA(VLOOKUP($B470,CPY!$B:$G,2,FALSE))=TRUE," ",VLOOKUP($B470,CPY!$B:$G,2,FALSE))</f>
        <v> </v>
      </c>
      <c r="D470" s="50" t="str">
        <f>IF(ISNA(VLOOKUP($B470,CPY!$B:$G,3,FALSE))=TRUE," ",VLOOKUP($B470,CPY!$B:$G,3,FALSE))</f>
        <v> </v>
      </c>
      <c r="E470" s="65" t="str">
        <f>IF(ISNA(VLOOKUP($B470,CPY!$B:$G,4,FALSE))=TRUE," ",VLOOKUP($B470,CPY!$B:$G,4,FALSE))</f>
        <v> </v>
      </c>
      <c r="F470" s="62"/>
      <c r="G470" s="70"/>
      <c r="H470" s="62"/>
    </row>
    <row r="471" spans="1:8" x14ac:dyDescent="0.25">
      <c r="A471" s="62">
        <v>470</v>
      </c>
      <c r="B471" s="62"/>
      <c r="C471" s="68" t="str">
        <f>IF(ISNA(VLOOKUP($B471,CPY!$B:$G,2,FALSE))=TRUE," ",VLOOKUP($B471,CPY!$B:$G,2,FALSE))</f>
        <v> </v>
      </c>
      <c r="D471" s="50" t="str">
        <f>IF(ISNA(VLOOKUP($B471,CPY!$B:$G,3,FALSE))=TRUE," ",VLOOKUP($B471,CPY!$B:$G,3,FALSE))</f>
        <v> </v>
      </c>
      <c r="E471" s="65" t="str">
        <f>IF(ISNA(VLOOKUP($B471,CPY!$B:$G,4,FALSE))=TRUE," ",VLOOKUP($B471,CPY!$B:$G,4,FALSE))</f>
        <v> </v>
      </c>
      <c r="F471" s="62"/>
      <c r="G471" s="70"/>
      <c r="H471" s="62"/>
    </row>
    <row r="472" spans="1:8" x14ac:dyDescent="0.25">
      <c r="A472" s="62">
        <v>471</v>
      </c>
      <c r="B472" s="62"/>
      <c r="C472" s="68" t="str">
        <f>IF(ISNA(VLOOKUP($B472,CPY!$B:$G,2,FALSE))=TRUE," ",VLOOKUP($B472,CPY!$B:$G,2,FALSE))</f>
        <v> </v>
      </c>
      <c r="D472" s="50" t="str">
        <f>IF(ISNA(VLOOKUP($B472,CPY!$B:$G,3,FALSE))=TRUE," ",VLOOKUP($B472,CPY!$B:$G,3,FALSE))</f>
        <v> </v>
      </c>
      <c r="E472" s="65" t="str">
        <f>IF(ISNA(VLOOKUP($B472,CPY!$B:$G,4,FALSE))=TRUE," ",VLOOKUP($B472,CPY!$B:$G,4,FALSE))</f>
        <v> </v>
      </c>
      <c r="F472" s="62"/>
      <c r="G472" s="70"/>
      <c r="H472" s="62"/>
    </row>
    <row r="473" spans="1:8" x14ac:dyDescent="0.25">
      <c r="A473" s="62">
        <v>472</v>
      </c>
      <c r="B473" s="62"/>
      <c r="C473" s="68" t="str">
        <f>IF(ISNA(VLOOKUP($B473,CPY!$B:$G,2,FALSE))=TRUE," ",VLOOKUP($B473,CPY!$B:$G,2,FALSE))</f>
        <v> </v>
      </c>
      <c r="D473" s="50" t="str">
        <f>IF(ISNA(VLOOKUP($B473,CPY!$B:$G,3,FALSE))=TRUE," ",VLOOKUP($B473,CPY!$B:$G,3,FALSE))</f>
        <v> </v>
      </c>
      <c r="E473" s="65" t="str">
        <f>IF(ISNA(VLOOKUP($B473,CPY!$B:$G,4,FALSE))=TRUE," ",VLOOKUP($B473,CPY!$B:$G,4,FALSE))</f>
        <v> </v>
      </c>
      <c r="F473" s="62"/>
      <c r="G473" s="70"/>
      <c r="H473" s="62"/>
    </row>
    <row r="474" spans="1:8" x14ac:dyDescent="0.25">
      <c r="A474" s="62">
        <v>473</v>
      </c>
      <c r="B474" s="62"/>
      <c r="C474" s="68" t="str">
        <f>IF(ISNA(VLOOKUP($B474,CPY!$B:$G,2,FALSE))=TRUE," ",VLOOKUP($B474,CPY!$B:$G,2,FALSE))</f>
        <v> </v>
      </c>
      <c r="D474" s="50" t="str">
        <f>IF(ISNA(VLOOKUP($B474,CPY!$B:$G,3,FALSE))=TRUE," ",VLOOKUP($B474,CPY!$B:$G,3,FALSE))</f>
        <v> </v>
      </c>
      <c r="E474" s="65" t="str">
        <f>IF(ISNA(VLOOKUP($B474,CPY!$B:$G,4,FALSE))=TRUE," ",VLOOKUP($B474,CPY!$B:$G,4,FALSE))</f>
        <v> </v>
      </c>
      <c r="F474" s="62"/>
      <c r="G474" s="70"/>
      <c r="H474" s="62"/>
    </row>
    <row r="475" spans="1:8" x14ac:dyDescent="0.25">
      <c r="A475" s="62">
        <v>474</v>
      </c>
      <c r="B475" s="62"/>
      <c r="C475" s="68" t="str">
        <f>IF(ISNA(VLOOKUP($B475,CPY!$B:$G,2,FALSE))=TRUE," ",VLOOKUP($B475,CPY!$B:$G,2,FALSE))</f>
        <v> </v>
      </c>
      <c r="D475" s="50" t="str">
        <f>IF(ISNA(VLOOKUP($B475,CPY!$B:$G,3,FALSE))=TRUE," ",VLOOKUP($B475,CPY!$B:$G,3,FALSE))</f>
        <v> </v>
      </c>
      <c r="E475" s="65" t="str">
        <f>IF(ISNA(VLOOKUP($B475,CPY!$B:$G,4,FALSE))=TRUE," ",VLOOKUP($B475,CPY!$B:$G,4,FALSE))</f>
        <v> </v>
      </c>
      <c r="F475" s="62"/>
      <c r="G475" s="70"/>
      <c r="H475" s="62"/>
    </row>
    <row r="476" spans="1:8" x14ac:dyDescent="0.25">
      <c r="A476" s="62">
        <v>475</v>
      </c>
      <c r="B476" s="62"/>
      <c r="C476" s="68" t="str">
        <f>IF(ISNA(VLOOKUP($B476,CPY!$B:$G,2,FALSE))=TRUE," ",VLOOKUP($B476,CPY!$B:$G,2,FALSE))</f>
        <v> </v>
      </c>
      <c r="D476" s="50" t="str">
        <f>IF(ISNA(VLOOKUP($B476,CPY!$B:$G,3,FALSE))=TRUE," ",VLOOKUP($B476,CPY!$B:$G,3,FALSE))</f>
        <v> </v>
      </c>
      <c r="E476" s="65" t="str">
        <f>IF(ISNA(VLOOKUP($B476,CPY!$B:$G,4,FALSE))=TRUE," ",VLOOKUP($B476,CPY!$B:$G,4,FALSE))</f>
        <v> </v>
      </c>
      <c r="F476" s="62"/>
      <c r="G476" s="70"/>
      <c r="H476" s="62"/>
    </row>
    <row r="477" spans="1:8" x14ac:dyDescent="0.25">
      <c r="A477" s="62">
        <v>476</v>
      </c>
      <c r="B477" s="62"/>
      <c r="C477" s="68" t="str">
        <f>IF(ISNA(VLOOKUP($B477,CPY!$B:$G,2,FALSE))=TRUE," ",VLOOKUP($B477,CPY!$B:$G,2,FALSE))</f>
        <v> </v>
      </c>
      <c r="D477" s="50" t="str">
        <f>IF(ISNA(VLOOKUP($B477,CPY!$B:$G,3,FALSE))=TRUE," ",VLOOKUP($B477,CPY!$B:$G,3,FALSE))</f>
        <v> </v>
      </c>
      <c r="E477" s="65" t="str">
        <f>IF(ISNA(VLOOKUP($B477,CPY!$B:$G,4,FALSE))=TRUE," ",VLOOKUP($B477,CPY!$B:$G,4,FALSE))</f>
        <v> </v>
      </c>
      <c r="F477" s="62"/>
      <c r="G477" s="70"/>
      <c r="H477" s="62"/>
    </row>
    <row r="478" spans="1:8" x14ac:dyDescent="0.25">
      <c r="A478" s="62">
        <v>477</v>
      </c>
      <c r="B478" s="62"/>
      <c r="C478" s="68" t="str">
        <f>IF(ISNA(VLOOKUP($B478,CPY!$B:$G,2,FALSE))=TRUE," ",VLOOKUP($B478,CPY!$B:$G,2,FALSE))</f>
        <v> </v>
      </c>
      <c r="D478" s="50" t="str">
        <f>IF(ISNA(VLOOKUP($B478,CPY!$B:$G,3,FALSE))=TRUE," ",VLOOKUP($B478,CPY!$B:$G,3,FALSE))</f>
        <v> </v>
      </c>
      <c r="E478" s="65" t="str">
        <f>IF(ISNA(VLOOKUP($B478,CPY!$B:$G,4,FALSE))=TRUE," ",VLOOKUP($B478,CPY!$B:$G,4,FALSE))</f>
        <v> </v>
      </c>
      <c r="F478" s="62"/>
      <c r="G478" s="70"/>
      <c r="H478" s="62"/>
    </row>
    <row r="479" spans="1:8" x14ac:dyDescent="0.25">
      <c r="A479" s="62">
        <v>478</v>
      </c>
      <c r="B479" s="62"/>
      <c r="C479" s="68" t="str">
        <f>IF(ISNA(VLOOKUP($B479,CPY!$B:$G,2,FALSE))=TRUE," ",VLOOKUP($B479,CPY!$B:$G,2,FALSE))</f>
        <v> </v>
      </c>
      <c r="D479" s="50" t="str">
        <f>IF(ISNA(VLOOKUP($B479,CPY!$B:$G,3,FALSE))=TRUE," ",VLOOKUP($B479,CPY!$B:$G,3,FALSE))</f>
        <v> </v>
      </c>
      <c r="E479" s="65" t="str">
        <f>IF(ISNA(VLOOKUP($B479,CPY!$B:$G,4,FALSE))=TRUE," ",VLOOKUP($B479,CPY!$B:$G,4,FALSE))</f>
        <v> </v>
      </c>
      <c r="F479" s="62"/>
      <c r="G479" s="70"/>
      <c r="H479" s="62"/>
    </row>
    <row r="480" spans="1:8" x14ac:dyDescent="0.25">
      <c r="A480" s="62">
        <v>479</v>
      </c>
      <c r="B480" s="62"/>
      <c r="C480" s="68" t="str">
        <f>IF(ISNA(VLOOKUP($B480,CPY!$B:$G,2,FALSE))=TRUE," ",VLOOKUP($B480,CPY!$B:$G,2,FALSE))</f>
        <v> </v>
      </c>
      <c r="D480" s="50" t="str">
        <f>IF(ISNA(VLOOKUP($B480,CPY!$B:$G,3,FALSE))=TRUE," ",VLOOKUP($B480,CPY!$B:$G,3,FALSE))</f>
        <v> </v>
      </c>
      <c r="E480" s="65" t="str">
        <f>IF(ISNA(VLOOKUP($B480,CPY!$B:$G,4,FALSE))=TRUE," ",VLOOKUP($B480,CPY!$B:$G,4,FALSE))</f>
        <v> </v>
      </c>
      <c r="F480" s="62"/>
      <c r="G480" s="70"/>
      <c r="H480" s="62"/>
    </row>
    <row r="481" spans="1:8" x14ac:dyDescent="0.25">
      <c r="A481" s="62">
        <v>480</v>
      </c>
      <c r="B481" s="62"/>
      <c r="C481" s="68" t="str">
        <f>IF(ISNA(VLOOKUP($B481,CPY!$B:$G,2,FALSE))=TRUE," ",VLOOKUP($B481,CPY!$B:$G,2,FALSE))</f>
        <v> </v>
      </c>
      <c r="D481" s="50" t="str">
        <f>IF(ISNA(VLOOKUP($B481,CPY!$B:$G,3,FALSE))=TRUE," ",VLOOKUP($B481,CPY!$B:$G,3,FALSE))</f>
        <v> </v>
      </c>
      <c r="E481" s="65" t="str">
        <f>IF(ISNA(VLOOKUP($B481,CPY!$B:$G,4,FALSE))=TRUE," ",VLOOKUP($B481,CPY!$B:$G,4,FALSE))</f>
        <v> </v>
      </c>
      <c r="F481" s="62"/>
      <c r="G481" s="70"/>
      <c r="H481" s="62"/>
    </row>
    <row r="482" spans="1:8" x14ac:dyDescent="0.25">
      <c r="A482" s="62">
        <v>481</v>
      </c>
      <c r="B482" s="62"/>
      <c r="C482" s="68" t="str">
        <f>IF(ISNA(VLOOKUP($B482,CPY!$B:$G,2,FALSE))=TRUE," ",VLOOKUP($B482,CPY!$B:$G,2,FALSE))</f>
        <v> </v>
      </c>
      <c r="D482" s="50" t="str">
        <f>IF(ISNA(VLOOKUP($B482,CPY!$B:$G,3,FALSE))=TRUE," ",VLOOKUP($B482,CPY!$B:$G,3,FALSE))</f>
        <v> </v>
      </c>
      <c r="E482" s="65" t="str">
        <f>IF(ISNA(VLOOKUP($B482,CPY!$B:$G,4,FALSE))=TRUE," ",VLOOKUP($B482,CPY!$B:$G,4,FALSE))</f>
        <v> </v>
      </c>
      <c r="F482" s="62"/>
      <c r="G482" s="70"/>
      <c r="H482" s="62"/>
    </row>
    <row r="483" spans="1:8" x14ac:dyDescent="0.25">
      <c r="A483" s="62">
        <v>482</v>
      </c>
      <c r="B483" s="62"/>
      <c r="C483" s="68" t="str">
        <f>IF(ISNA(VLOOKUP($B483,CPY!$B:$G,2,FALSE))=TRUE," ",VLOOKUP($B483,CPY!$B:$G,2,FALSE))</f>
        <v> </v>
      </c>
      <c r="D483" s="50" t="str">
        <f>IF(ISNA(VLOOKUP($B483,CPY!$B:$G,3,FALSE))=TRUE," ",VLOOKUP($B483,CPY!$B:$G,3,FALSE))</f>
        <v> </v>
      </c>
      <c r="E483" s="65" t="str">
        <f>IF(ISNA(VLOOKUP($B483,CPY!$B:$G,4,FALSE))=TRUE," ",VLOOKUP($B483,CPY!$B:$G,4,FALSE))</f>
        <v> </v>
      </c>
      <c r="F483" s="62"/>
      <c r="G483" s="70"/>
      <c r="H483" s="62"/>
    </row>
    <row r="484" spans="1:8" x14ac:dyDescent="0.25">
      <c r="A484" s="62">
        <v>483</v>
      </c>
      <c r="B484" s="62"/>
      <c r="C484" s="68" t="str">
        <f>IF(ISNA(VLOOKUP($B484,CPY!$B:$G,2,FALSE))=TRUE," ",VLOOKUP($B484,CPY!$B:$G,2,FALSE))</f>
        <v> </v>
      </c>
      <c r="D484" s="50" t="str">
        <f>IF(ISNA(VLOOKUP($B484,CPY!$B:$G,3,FALSE))=TRUE," ",VLOOKUP($B484,CPY!$B:$G,3,FALSE))</f>
        <v> </v>
      </c>
      <c r="E484" s="65" t="str">
        <f>IF(ISNA(VLOOKUP($B484,CPY!$B:$G,4,FALSE))=TRUE," ",VLOOKUP($B484,CPY!$B:$G,4,FALSE))</f>
        <v> </v>
      </c>
      <c r="F484" s="62"/>
      <c r="G484" s="70"/>
      <c r="H484" s="62"/>
    </row>
    <row r="485" spans="1:8" x14ac:dyDescent="0.25">
      <c r="A485" s="62">
        <v>484</v>
      </c>
      <c r="B485" s="62"/>
      <c r="C485" s="68" t="str">
        <f>IF(ISNA(VLOOKUP($B485,CPY!$B:$G,2,FALSE))=TRUE," ",VLOOKUP($B485,CPY!$B:$G,2,FALSE))</f>
        <v> </v>
      </c>
      <c r="D485" s="50" t="str">
        <f>IF(ISNA(VLOOKUP($B485,CPY!$B:$G,3,FALSE))=TRUE," ",VLOOKUP($B485,CPY!$B:$G,3,FALSE))</f>
        <v> </v>
      </c>
      <c r="E485" s="65" t="str">
        <f>IF(ISNA(VLOOKUP($B485,CPY!$B:$G,4,FALSE))=TRUE," ",VLOOKUP($B485,CPY!$B:$G,4,FALSE))</f>
        <v> </v>
      </c>
      <c r="F485" s="62"/>
      <c r="G485" s="70"/>
      <c r="H485" s="62"/>
    </row>
    <row r="486" spans="1:8" x14ac:dyDescent="0.25">
      <c r="A486" s="62">
        <v>485</v>
      </c>
      <c r="B486" s="62"/>
      <c r="C486" s="68" t="str">
        <f>IF(ISNA(VLOOKUP($B486,CPY!$B:$G,2,FALSE))=TRUE," ",VLOOKUP($B486,CPY!$B:$G,2,FALSE))</f>
        <v> </v>
      </c>
      <c r="D486" s="50" t="str">
        <f>IF(ISNA(VLOOKUP($B486,CPY!$B:$G,3,FALSE))=TRUE," ",VLOOKUP($B486,CPY!$B:$G,3,FALSE))</f>
        <v> </v>
      </c>
      <c r="E486" s="65" t="str">
        <f>IF(ISNA(VLOOKUP($B486,CPY!$B:$G,4,FALSE))=TRUE," ",VLOOKUP($B486,CPY!$B:$G,4,FALSE))</f>
        <v> </v>
      </c>
      <c r="F486" s="62"/>
      <c r="G486" s="70"/>
      <c r="H486" s="62"/>
    </row>
    <row r="487" spans="1:8" x14ac:dyDescent="0.25">
      <c r="A487" s="62">
        <v>486</v>
      </c>
      <c r="B487" s="62"/>
      <c r="C487" s="68" t="str">
        <f>IF(ISNA(VLOOKUP($B487,CPY!$B:$G,2,FALSE))=TRUE," ",VLOOKUP($B487,CPY!$B:$G,2,FALSE))</f>
        <v> </v>
      </c>
      <c r="D487" s="50" t="str">
        <f>IF(ISNA(VLOOKUP($B487,CPY!$B:$G,3,FALSE))=TRUE," ",VLOOKUP($B487,CPY!$B:$G,3,FALSE))</f>
        <v> </v>
      </c>
      <c r="E487" s="65" t="str">
        <f>IF(ISNA(VLOOKUP($B487,CPY!$B:$G,4,FALSE))=TRUE," ",VLOOKUP($B487,CPY!$B:$G,4,FALSE))</f>
        <v> </v>
      </c>
      <c r="F487" s="62"/>
      <c r="G487" s="70"/>
      <c r="H487" s="62"/>
    </row>
    <row r="488" spans="1:8" x14ac:dyDescent="0.25">
      <c r="A488" s="62">
        <v>487</v>
      </c>
      <c r="B488" s="62"/>
      <c r="C488" s="68" t="str">
        <f>IF(ISNA(VLOOKUP($B488,CPY!$B:$G,2,FALSE))=TRUE," ",VLOOKUP($B488,CPY!$B:$G,2,FALSE))</f>
        <v> </v>
      </c>
      <c r="D488" s="50" t="str">
        <f>IF(ISNA(VLOOKUP($B488,CPY!$B:$G,3,FALSE))=TRUE," ",VLOOKUP($B488,CPY!$B:$G,3,FALSE))</f>
        <v> </v>
      </c>
      <c r="E488" s="65" t="str">
        <f>IF(ISNA(VLOOKUP($B488,CPY!$B:$G,4,FALSE))=TRUE," ",VLOOKUP($B488,CPY!$B:$G,4,FALSE))</f>
        <v> </v>
      </c>
      <c r="F488" s="62"/>
      <c r="G488" s="70"/>
      <c r="H488" s="62"/>
    </row>
    <row r="489" spans="1:8" x14ac:dyDescent="0.25">
      <c r="A489" s="62">
        <v>488</v>
      </c>
      <c r="B489" s="62"/>
      <c r="C489" s="68" t="str">
        <f>IF(ISNA(VLOOKUP($B489,CPY!$B:$G,2,FALSE))=TRUE," ",VLOOKUP($B489,CPY!$B:$G,2,FALSE))</f>
        <v> </v>
      </c>
      <c r="D489" s="50" t="str">
        <f>IF(ISNA(VLOOKUP($B489,CPY!$B:$G,3,FALSE))=TRUE," ",VLOOKUP($B489,CPY!$B:$G,3,FALSE))</f>
        <v> </v>
      </c>
      <c r="E489" s="65" t="str">
        <f>IF(ISNA(VLOOKUP($B489,CPY!$B:$G,4,FALSE))=TRUE," ",VLOOKUP($B489,CPY!$B:$G,4,FALSE))</f>
        <v> </v>
      </c>
      <c r="F489" s="62"/>
      <c r="G489" s="70"/>
      <c r="H489" s="62"/>
    </row>
    <row r="490" spans="1:8" x14ac:dyDescent="0.25">
      <c r="A490" s="62">
        <v>489</v>
      </c>
      <c r="B490" s="62"/>
      <c r="C490" s="68" t="str">
        <f>IF(ISNA(VLOOKUP($B490,CPY!$B:$G,2,FALSE))=TRUE," ",VLOOKUP($B490,CPY!$B:$G,2,FALSE))</f>
        <v> </v>
      </c>
      <c r="D490" s="50" t="str">
        <f>IF(ISNA(VLOOKUP($B490,CPY!$B:$G,3,FALSE))=TRUE," ",VLOOKUP($B490,CPY!$B:$G,3,FALSE))</f>
        <v> </v>
      </c>
      <c r="E490" s="65" t="str">
        <f>IF(ISNA(VLOOKUP($B490,CPY!$B:$G,4,FALSE))=TRUE," ",VLOOKUP($B490,CPY!$B:$G,4,FALSE))</f>
        <v> </v>
      </c>
      <c r="F490" s="62"/>
      <c r="G490" s="70"/>
      <c r="H490" s="62"/>
    </row>
    <row r="491" spans="1:8" x14ac:dyDescent="0.25">
      <c r="A491" s="62">
        <v>490</v>
      </c>
      <c r="B491" s="62"/>
      <c r="C491" s="68" t="str">
        <f>IF(ISNA(VLOOKUP($B491,CPY!$B:$G,2,FALSE))=TRUE," ",VLOOKUP($B491,CPY!$B:$G,2,FALSE))</f>
        <v> </v>
      </c>
      <c r="D491" s="50" t="str">
        <f>IF(ISNA(VLOOKUP($B491,CPY!$B:$G,3,FALSE))=TRUE," ",VLOOKUP($B491,CPY!$B:$G,3,FALSE))</f>
        <v> </v>
      </c>
      <c r="E491" s="65" t="str">
        <f>IF(ISNA(VLOOKUP($B491,CPY!$B:$G,4,FALSE))=TRUE," ",VLOOKUP($B491,CPY!$B:$G,4,FALSE))</f>
        <v> </v>
      </c>
      <c r="F491" s="62"/>
      <c r="G491" s="70"/>
      <c r="H491" s="62"/>
    </row>
    <row r="492" spans="1:8" x14ac:dyDescent="0.25">
      <c r="A492" s="62">
        <v>491</v>
      </c>
      <c r="B492" s="62"/>
      <c r="C492" s="68" t="str">
        <f>IF(ISNA(VLOOKUP($B492,CPY!$B:$G,2,FALSE))=TRUE," ",VLOOKUP($B492,CPY!$B:$G,2,FALSE))</f>
        <v> </v>
      </c>
      <c r="D492" s="50" t="str">
        <f>IF(ISNA(VLOOKUP($B492,CPY!$B:$G,3,FALSE))=TRUE," ",VLOOKUP($B492,CPY!$B:$G,3,FALSE))</f>
        <v> </v>
      </c>
      <c r="E492" s="65" t="str">
        <f>IF(ISNA(VLOOKUP($B492,CPY!$B:$G,4,FALSE))=TRUE," ",VLOOKUP($B492,CPY!$B:$G,4,FALSE))</f>
        <v> </v>
      </c>
      <c r="F492" s="62"/>
      <c r="G492" s="70"/>
      <c r="H492" s="62"/>
    </row>
    <row r="493" spans="1:8" x14ac:dyDescent="0.25">
      <c r="A493" s="62">
        <v>492</v>
      </c>
      <c r="B493" s="62"/>
      <c r="C493" s="68" t="str">
        <f>IF(ISNA(VLOOKUP($B493,CPY!$B:$G,2,FALSE))=TRUE," ",VLOOKUP($B493,CPY!$B:$G,2,FALSE))</f>
        <v> </v>
      </c>
      <c r="D493" s="50" t="str">
        <f>IF(ISNA(VLOOKUP($B493,CPY!$B:$G,3,FALSE))=TRUE," ",VLOOKUP($B493,CPY!$B:$G,3,FALSE))</f>
        <v> </v>
      </c>
      <c r="E493" s="65" t="str">
        <f>IF(ISNA(VLOOKUP($B493,CPY!$B:$G,4,FALSE))=TRUE," ",VLOOKUP($B493,CPY!$B:$G,4,FALSE))</f>
        <v> </v>
      </c>
      <c r="F493" s="62"/>
      <c r="G493" s="70"/>
      <c r="H493" s="62"/>
    </row>
    <row r="494" spans="1:8" x14ac:dyDescent="0.25">
      <c r="A494" s="62">
        <v>493</v>
      </c>
      <c r="B494" s="62"/>
      <c r="C494" s="68" t="str">
        <f>IF(ISNA(VLOOKUP($B494,CPY!$B:$G,2,FALSE))=TRUE," ",VLOOKUP($B494,CPY!$B:$G,2,FALSE))</f>
        <v> </v>
      </c>
      <c r="D494" s="50" t="str">
        <f>IF(ISNA(VLOOKUP($B494,CPY!$B:$G,3,FALSE))=TRUE," ",VLOOKUP($B494,CPY!$B:$G,3,FALSE))</f>
        <v> </v>
      </c>
      <c r="E494" s="65" t="str">
        <f>IF(ISNA(VLOOKUP($B494,CPY!$B:$G,4,FALSE))=TRUE," ",VLOOKUP($B494,CPY!$B:$G,4,FALSE))</f>
        <v> </v>
      </c>
      <c r="F494" s="62"/>
      <c r="G494" s="70"/>
      <c r="H494" s="62"/>
    </row>
    <row r="495" spans="1:8" x14ac:dyDescent="0.25">
      <c r="A495" s="62">
        <v>494</v>
      </c>
      <c r="B495" s="62"/>
      <c r="C495" s="68" t="str">
        <f>IF(ISNA(VLOOKUP($B495,CPY!$B:$G,2,FALSE))=TRUE," ",VLOOKUP($B495,CPY!$B:$G,2,FALSE))</f>
        <v> </v>
      </c>
      <c r="D495" s="50" t="str">
        <f>IF(ISNA(VLOOKUP($B495,CPY!$B:$G,3,FALSE))=TRUE," ",VLOOKUP($B495,CPY!$B:$G,3,FALSE))</f>
        <v> </v>
      </c>
      <c r="E495" s="65" t="str">
        <f>IF(ISNA(VLOOKUP($B495,CPY!$B:$G,4,FALSE))=TRUE," ",VLOOKUP($B495,CPY!$B:$G,4,FALSE))</f>
        <v> </v>
      </c>
      <c r="F495" s="62"/>
      <c r="G495" s="70"/>
      <c r="H495" s="62"/>
    </row>
    <row r="496" spans="1:8" x14ac:dyDescent="0.25">
      <c r="A496" s="62">
        <v>495</v>
      </c>
      <c r="B496" s="62"/>
      <c r="C496" s="68" t="str">
        <f>IF(ISNA(VLOOKUP($B496,CPY!$B:$G,2,FALSE))=TRUE," ",VLOOKUP($B496,CPY!$B:$G,2,FALSE))</f>
        <v> </v>
      </c>
      <c r="D496" s="50" t="str">
        <f>IF(ISNA(VLOOKUP($B496,CPY!$B:$G,3,FALSE))=TRUE," ",VLOOKUP($B496,CPY!$B:$G,3,FALSE))</f>
        <v> </v>
      </c>
      <c r="E496" s="65" t="str">
        <f>IF(ISNA(VLOOKUP($B496,CPY!$B:$G,4,FALSE))=TRUE," ",VLOOKUP($B496,CPY!$B:$G,4,FALSE))</f>
        <v> </v>
      </c>
      <c r="F496" s="62"/>
      <c r="G496" s="70"/>
      <c r="H496" s="62"/>
    </row>
    <row r="497" spans="1:8" x14ac:dyDescent="0.25">
      <c r="A497" s="62">
        <v>496</v>
      </c>
      <c r="B497" s="62"/>
      <c r="C497" s="68" t="str">
        <f>IF(ISNA(VLOOKUP($B497,CPY!$B:$G,2,FALSE))=TRUE," ",VLOOKUP($B497,CPY!$B:$G,2,FALSE))</f>
        <v> </v>
      </c>
      <c r="D497" s="50" t="str">
        <f>IF(ISNA(VLOOKUP($B497,CPY!$B:$G,3,FALSE))=TRUE," ",VLOOKUP($B497,CPY!$B:$G,3,FALSE))</f>
        <v> </v>
      </c>
      <c r="E497" s="65" t="str">
        <f>IF(ISNA(VLOOKUP($B497,CPY!$B:$G,4,FALSE))=TRUE," ",VLOOKUP($B497,CPY!$B:$G,4,FALSE))</f>
        <v> </v>
      </c>
      <c r="F497" s="62"/>
      <c r="G497" s="70"/>
      <c r="H497" s="62"/>
    </row>
    <row r="498" spans="1:8" x14ac:dyDescent="0.25">
      <c r="A498" s="62">
        <v>497</v>
      </c>
      <c r="B498" s="62"/>
      <c r="C498" s="68" t="str">
        <f>IF(ISNA(VLOOKUP($B498,CPY!$B:$G,2,FALSE))=TRUE," ",VLOOKUP($B498,CPY!$B:$G,2,FALSE))</f>
        <v> </v>
      </c>
      <c r="D498" s="50" t="str">
        <f>IF(ISNA(VLOOKUP($B498,CPY!$B:$G,3,FALSE))=TRUE," ",VLOOKUP($B498,CPY!$B:$G,3,FALSE))</f>
        <v> </v>
      </c>
      <c r="E498" s="65" t="str">
        <f>IF(ISNA(VLOOKUP($B498,CPY!$B:$G,4,FALSE))=TRUE," ",VLOOKUP($B498,CPY!$B:$G,4,FALSE))</f>
        <v> </v>
      </c>
      <c r="F498" s="62"/>
      <c r="G498" s="70"/>
      <c r="H498" s="62"/>
    </row>
    <row r="499" spans="1:8" x14ac:dyDescent="0.25">
      <c r="A499" s="62">
        <v>498</v>
      </c>
      <c r="B499" s="62"/>
      <c r="C499" s="68" t="str">
        <f>IF(ISNA(VLOOKUP($B499,CPY!$B:$G,2,FALSE))=TRUE," ",VLOOKUP($B499,CPY!$B:$G,2,FALSE))</f>
        <v> </v>
      </c>
      <c r="D499" s="50" t="str">
        <f>IF(ISNA(VLOOKUP($B499,CPY!$B:$G,3,FALSE))=TRUE," ",VLOOKUP($B499,CPY!$B:$G,3,FALSE))</f>
        <v> </v>
      </c>
      <c r="E499" s="65" t="str">
        <f>IF(ISNA(VLOOKUP($B499,CPY!$B:$G,4,FALSE))=TRUE," ",VLOOKUP($B499,CPY!$B:$G,4,FALSE))</f>
        <v> </v>
      </c>
      <c r="F499" s="62"/>
      <c r="G499" s="70"/>
      <c r="H499" s="62"/>
    </row>
    <row r="500" spans="1:8" x14ac:dyDescent="0.25">
      <c r="A500" s="62">
        <v>499</v>
      </c>
      <c r="B500" s="62"/>
      <c r="C500" s="68" t="str">
        <f>IF(ISNA(VLOOKUP($B500,CPY!$B:$G,2,FALSE))=TRUE," ",VLOOKUP($B500,CPY!$B:$G,2,FALSE))</f>
        <v> </v>
      </c>
      <c r="D500" s="50" t="str">
        <f>IF(ISNA(VLOOKUP($B500,CPY!$B:$G,3,FALSE))=TRUE," ",VLOOKUP($B500,CPY!$B:$G,3,FALSE))</f>
        <v> </v>
      </c>
      <c r="E500" s="65" t="str">
        <f>IF(ISNA(VLOOKUP($B500,CPY!$B:$G,4,FALSE))=TRUE," ",VLOOKUP($B500,CPY!$B:$G,4,FALSE))</f>
        <v> </v>
      </c>
      <c r="F500" s="62"/>
      <c r="G500" s="70"/>
      <c r="H500" s="62"/>
    </row>
  </sheetData>
  <sheetProtection sheet="1" autoFilter="0" algorithmName="SHA-512" hashValue="wbcwGMyUWkrhSlDygiwnndouuu9L3UN5+I9vALYgCLPO7D+1l13s0DvrNjq8lbq1of8xWdrMqedWA1oGNI/shg==" saltValue="tPf0Tq1+cq49fkYFOcbnRA==" spinCount="100000" objects="1" scenarios="1"/>
  <autoFilter ref="A1:J1"/>
  <dataValidations count="4">
    <dataValidation type="list" allowBlank="1" showInputMessage="1" showErrorMessage="1" sqref="F10:F500">
      <formula1>"Leave,Comp Off,Non Support Work,Holiday"</formula1>
    </dataValidation>
    <dataValidation type="list" allowBlank="1" showInputMessage="1" showErrorMessage="1" sqref="F2:F500">
      <formula1>"Leave,Comp Off,Non Support Work,Holiday"</formula1>
    </dataValidation>
    <dataValidation type="custom" showInputMessage="1" showErrorMessage="1" errorTitle="Date" error="Please fill the emp ID" sqref="G10:G500">
      <formula1>($B2&gt;0)</formula1>
    </dataValidation>
    <dataValidation type="custom" showInputMessage="1" showErrorMessage="1" errorTitle="Date" error="Please fill the emp ID" sqref="G2:G500">
      <formula1>($B2&gt;0)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3"/>
  <sheetViews>
    <sheetView workbookViewId="0" showGridLines="0" zoomScale="100" zoomScaleNormal="100">
      <selection activeCell="A5" sqref="A5"/>
    </sheetView>
  </sheetViews>
  <sheetFormatPr defaultRowHeight="14.5" outlineLevelRow="0" outlineLevelCol="0" x14ac:dyDescent="0.35" defaultColWidth="9.1796875" customHeight="1"/>
  <cols>
    <col min="1" max="1" width="9.1796875" style="1" customWidth="1"/>
    <col min="2" max="2" width="21.54296875" style="1" customWidth="1"/>
    <col min="3" max="3" width="19.26953125" style="1" customWidth="1"/>
    <col min="4" max="4" width="22.26953125" style="1" customWidth="1"/>
    <col min="5" max="5" width="11.81640625" style="1" customWidth="1"/>
    <col min="6" max="6" width="11.26953125" style="1" customWidth="1"/>
    <col min="7" max="7" width="11.453125" style="1" customWidth="1"/>
    <col min="8" max="12" width="9.1796875" style="1" customWidth="1"/>
    <col min="13" max="13" width="3.453125" style="1" customWidth="1"/>
    <col min="14" max="14" width="14.26953125" style="1" customWidth="1"/>
    <col min="15" max="15" width="17.54296875" style="1" customWidth="1"/>
    <col min="16" max="16384" width="9.1796875" style="1" customWidth="1"/>
  </cols>
  <sheetData>
    <row r="1" ht="12" customHeight="1" x14ac:dyDescent="0.25"/>
    <row r="2" ht="42" customHeight="1" spans="2:7" x14ac:dyDescent="0.25">
      <c r="B2" s="2" t="s">
        <v>0</v>
      </c>
      <c r="C2" s="2"/>
      <c r="D2" s="2"/>
      <c r="E2" s="2"/>
      <c r="F2" s="2"/>
      <c r="G2" s="2"/>
    </row>
    <row r="3" ht="26.25" customHeight="1" spans="6:7" x14ac:dyDescent="0.25">
      <c r="F3" s="3" t="s">
        <v>1</v>
      </c>
      <c r="G3" s="3"/>
    </row>
    <row r="4" ht="16" customHeight="1" spans="2:15" x14ac:dyDescent="0.25">
      <c r="B4" s="4" t="s">
        <v>2</v>
      </c>
      <c r="C4" s="5">
        <v>44958</v>
      </c>
      <c r="D4" s="6"/>
      <c r="F4" s="7" t="s">
        <v>3</v>
      </c>
      <c r="G4" s="8" t="s">
        <v>4</v>
      </c>
      <c r="N4" s="9">
        <v>4.3</v>
      </c>
      <c r="O4" s="10" t="s">
        <v>5</v>
      </c>
    </row>
    <row r="5" ht="16" customHeight="1" spans="2:15" x14ac:dyDescent="0.25">
      <c r="B5" s="11" t="s">
        <v>6</v>
      </c>
      <c r="C5" s="6" t="s">
        <v>7</v>
      </c>
      <c r="D5" s="6"/>
      <c r="F5" s="12">
        <v>44947</v>
      </c>
      <c r="G5" s="13">
        <v>44977</v>
      </c>
      <c r="N5" s="9" t="s">
        <v>8</v>
      </c>
      <c r="O5" s="14" t="s">
        <v>9</v>
      </c>
    </row>
    <row r="6" ht="15.5" customHeight="1" spans="2:15" x14ac:dyDescent="0.25">
      <c r="B6" s="11" t="s">
        <v>10</v>
      </c>
      <c r="C6" s="6" t="s">
        <v>7</v>
      </c>
      <c r="D6" s="6"/>
      <c r="N6" s="15">
        <v>43917</v>
      </c>
      <c r="O6" s="14" t="s">
        <v>11</v>
      </c>
    </row>
    <row r="7" ht="15.5" customHeight="1" spans="2:4" x14ac:dyDescent="0.25">
      <c r="B7" s="11" t="s">
        <v>12</v>
      </c>
      <c r="C7" s="6" t="s">
        <v>7</v>
      </c>
      <c r="D7" s="6"/>
    </row>
    <row r="8" spans="2:2" x14ac:dyDescent="0.25">
      <c r="B8" s="16"/>
    </row>
    <row r="9" ht="15.5" customHeight="1" spans="2:7" x14ac:dyDescent="0.25">
      <c r="B9" s="17"/>
      <c r="C9" s="18" t="s">
        <v>13</v>
      </c>
      <c r="D9" s="19"/>
      <c r="E9" s="18" t="s">
        <v>14</v>
      </c>
      <c r="F9" s="20"/>
      <c r="G9" s="21"/>
    </row>
    <row r="10" ht="15.5" customHeight="1" spans="2:7" x14ac:dyDescent="0.25">
      <c r="B10" s="22" t="s">
        <v>15</v>
      </c>
      <c r="C10" s="23"/>
      <c r="D10" s="24"/>
      <c r="E10" s="25"/>
      <c r="F10" s="26"/>
      <c r="G10" s="27"/>
    </row>
    <row r="11" ht="15.5" customHeight="1" spans="2:7" x14ac:dyDescent="0.25">
      <c r="B11" s="22" t="s">
        <v>16</v>
      </c>
      <c r="C11" s="28"/>
      <c r="D11" s="29"/>
      <c r="E11" s="30"/>
      <c r="F11" s="31"/>
      <c r="G11" s="32"/>
    </row>
    <row r="12" ht="15.5" customHeight="1" spans="2:7" x14ac:dyDescent="0.25">
      <c r="B12" s="22" t="s">
        <v>17</v>
      </c>
      <c r="C12" s="33"/>
      <c r="D12" s="29"/>
      <c r="E12" s="25"/>
      <c r="F12" s="26"/>
      <c r="G12" s="27"/>
    </row>
    <row r="15" ht="15.5" customHeight="1" spans="2:4" x14ac:dyDescent="0.25">
      <c r="B15" s="34" t="s">
        <v>18</v>
      </c>
      <c r="C15" s="35" t="s">
        <v>19</v>
      </c>
      <c r="D15" s="36" t="s">
        <v>20</v>
      </c>
    </row>
    <row r="16" spans="2:4" x14ac:dyDescent="0.25">
      <c r="B16" s="37" t="s">
        <v>21</v>
      </c>
      <c r="C16" s="38">
        <f>COUNTIFS(CPY!M:M,"&gt;0")</f>
        <v>0</v>
      </c>
      <c r="D16" s="39">
        <f>SUM(CPY!M3:M500)</f>
        <v>0</v>
      </c>
    </row>
    <row r="17" spans="2:4" x14ac:dyDescent="0.25">
      <c r="B17" s="37" t="s">
        <v>22</v>
      </c>
      <c r="C17" s="38">
        <f>COUNTIFS(CPY!R:R,"&gt;0")</f>
        <v>0</v>
      </c>
      <c r="D17" s="39">
        <f>SUM(CPY!R3:R500)</f>
        <v>0</v>
      </c>
    </row>
    <row r="18" spans="2:4" x14ac:dyDescent="0.25">
      <c r="B18" s="37" t="s">
        <v>23</v>
      </c>
      <c r="C18" s="38">
        <f>COUNTIFS(CPY!V:V,"&gt;0")</f>
        <v>0</v>
      </c>
      <c r="D18" s="39">
        <f>SUM(CPY!V3:V500)</f>
        <v>0</v>
      </c>
    </row>
    <row r="19" spans="2:4" x14ac:dyDescent="0.25">
      <c r="B19" s="37" t="s">
        <v>24</v>
      </c>
      <c r="C19" s="38">
        <f>COUNTIFS(CPY!Z:Z,"&gt;0")</f>
        <v>0</v>
      </c>
      <c r="D19" s="39">
        <f>SUM(CPY!Z3:Z500)</f>
        <v>0</v>
      </c>
    </row>
    <row r="20" spans="2:4" x14ac:dyDescent="0.25">
      <c r="B20" s="37" t="s">
        <v>25</v>
      </c>
      <c r="C20" s="38">
        <f>COUNTIFS(CPY!AC:AC,"&gt;0")</f>
        <v>0</v>
      </c>
      <c r="D20" s="39">
        <f>SUM(CPY!AC3:AC500)</f>
        <v>0</v>
      </c>
    </row>
    <row r="21" ht="15" customHeight="1" spans="2:4" x14ac:dyDescent="0.25">
      <c r="B21" s="40" t="s">
        <v>26</v>
      </c>
      <c r="C21" s="41">
        <f>COUNTIFS(CPY!AF:AF,"&gt;0")</f>
        <v>0</v>
      </c>
      <c r="D21" s="42">
        <f>SUM(CPY!AF3:AF500)</f>
        <v>0</v>
      </c>
    </row>
    <row r="22" spans="2:4" x14ac:dyDescent="0.25">
      <c r="B22" s="43"/>
      <c r="C22" s="43"/>
      <c r="D22" s="43"/>
    </row>
    <row r="23" ht="19" customHeight="1" spans="2:4" x14ac:dyDescent="0.25">
      <c r="B23" s="44" t="s">
        <v>27</v>
      </c>
      <c r="C23" s="44"/>
      <c r="D23" s="45">
        <f>SUM(D16:D22)</f>
        <v>0</v>
      </c>
    </row>
  </sheetData>
  <sheetProtection sheet="1" algorithmName="SHA-512" hashValue="mDM7bnJL3vjturhGtxaUrzjy+7WodAFR0hrJRB+UkvYrADy4reQcV7zPGV8tpUnlGafq3sj2vL7peoi34A5kEA==" saltValue="tYCL44KMKsmCffyPL9YOPQ==" spinCount="100000" objects="1" scenarios="1"/>
  <mergeCells count="14">
    <mergeCell ref="B2:G2"/>
    <mergeCell ref="F3:G3"/>
    <mergeCell ref="C4:D4"/>
    <mergeCell ref="C5:D5"/>
    <mergeCell ref="C6:D6"/>
    <mergeCell ref="C7:D7"/>
    <mergeCell ref="C9:D9"/>
    <mergeCell ref="E9:G9"/>
    <mergeCell ref="C10:D10"/>
    <mergeCell ref="E10:G10"/>
    <mergeCell ref="C11:D11"/>
    <mergeCell ref="E11:G11"/>
    <mergeCell ref="C12:D12"/>
    <mergeCell ref="E12:G12"/>
  </mergeCells>
  <dataValidations count="1">
    <dataValidation type="custom" showInputMessage="1" showErrorMessage="1" errorTitle="Start &amp; End Date of CPY " error="Please fill the start and end date for CPY." sqref="C4:D4">
      <formula1>AND(NOT(ISBLANK($F$5)),NOT(ISBLANK($G$5)))</formula1>
    </dataValidation>
  </dataValidation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15"/>
  <sheetViews>
    <sheetView workbookViewId="0" showGridLines="0" zoomScale="100" zoomScaleNormal="100">
      <selection activeCell="G25" sqref="G25"/>
    </sheetView>
  </sheetViews>
  <sheetFormatPr defaultRowHeight="14.5" outlineLevelRow="0" outlineLevelCol="0" x14ac:dyDescent="0.35" customHeight="1"/>
  <cols>
    <col min="4" max="4" width="2.7265625" customWidth="1"/>
    <col min="5" max="5" width="68.453125" customWidth="1"/>
  </cols>
  <sheetData>
    <row r="3" spans="3:3" x14ac:dyDescent="0.25">
      <c r="C3" s="109" t="s">
        <v>2096</v>
      </c>
    </row>
    <row r="5" spans="3:5" x14ac:dyDescent="0.25">
      <c r="C5" s="110"/>
      <c r="E5" t="s">
        <v>2097</v>
      </c>
    </row>
    <row r="6" spans="3:5" x14ac:dyDescent="0.25">
      <c r="C6" s="111"/>
      <c r="E6" t="s">
        <v>2098</v>
      </c>
    </row>
    <row r="7" spans="3:5" x14ac:dyDescent="0.25">
      <c r="C7" s="112"/>
      <c r="E7" t="s">
        <v>2099</v>
      </c>
    </row>
    <row r="8" spans="3:5" x14ac:dyDescent="0.25">
      <c r="C8" s="113"/>
      <c r="E8" t="s">
        <v>2100</v>
      </c>
    </row>
    <row r="13" spans="3:5" x14ac:dyDescent="0.25">
      <c r="C13" s="109" t="s">
        <v>2101</v>
      </c>
      <c r="E13" t="s">
        <v>2102</v>
      </c>
    </row>
    <row r="14" spans="3:5" x14ac:dyDescent="0.25">
      <c r="C14" s="109" t="s">
        <v>24</v>
      </c>
      <c r="E14" t="s">
        <v>2103</v>
      </c>
    </row>
    <row r="15" spans="3:5" x14ac:dyDescent="0.25">
      <c r="C15" s="109" t="s">
        <v>2104</v>
      </c>
      <c r="E15" t="s">
        <v>2105</v>
      </c>
    </row>
  </sheetData>
  <sheetProtection sheet="1" algorithmName="SHA-512" hashValue="/nXUHBhiFyDSNBIQfI2CZxsizxPlqK2zIxXeASC74FmxHYYAqrO8gQ5f7KJvKuR4Sq0PlN9gpvr0rI3GZTGNeA==" saltValue="cyrZdAlMPwldRPObZY5NNA==" spinCount="100000" objects="1" scenarios="1"/>
  <pageMargins left="0.7" right="0.7" top="0.75" bottom="0.75" header="0.3" footer="0.3"/>
  <pageSetup paperSize="0" orientation="portrait" horizontalDpi="0" verticalDpi="0" scale="100" fitToWidth="1" fitToHeight="1" firstPageNumber="1" useFirstPageNumber="1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"/>
  <sheetViews>
    <sheetView workbookViewId="0" showGridLines="0" zoomScale="85" zoomScaleNormal="85">
      <selection activeCell="A3" sqref="A3"/>
    </sheetView>
  </sheetViews>
  <sheetFormatPr defaultRowHeight="14.5" outlineLevelRow="0" outlineLevelCol="0" x14ac:dyDescent="0.35" defaultColWidth="9.1796875" customHeight="1"/>
  <cols>
    <col min="1" max="1" width="5.54296875" style="1" customWidth="1"/>
    <col min="2" max="2" width="6.54296875" style="1" customWidth="1"/>
    <col min="3" max="3" width="31.81640625" style="53" customWidth="1"/>
    <col min="4" max="4" width="8.26953125" style="1" customWidth="1"/>
    <col min="5" max="5" width="52.453125" style="1" customWidth="1"/>
    <col min="6" max="6" width="22.7265625" style="1" customWidth="1"/>
    <col min="7" max="7" width="15" style="54" customWidth="1"/>
    <col min="8" max="8" width="23.54296875" style="54" customWidth="1"/>
    <col min="9" max="9" width="85.26953125" style="1" customWidth="1"/>
    <col min="10" max="16384" width="9.1796875" style="1" customWidth="1"/>
  </cols>
  <sheetData>
    <row r="1" ht="26" customHeight="1" spans="1:9" x14ac:dyDescent="0.25">
      <c r="A1" s="67" t="s">
        <v>28</v>
      </c>
      <c r="B1" s="67" t="s">
        <v>29</v>
      </c>
      <c r="C1" s="56" t="s">
        <v>30</v>
      </c>
      <c r="D1" s="67" t="s">
        <v>31</v>
      </c>
      <c r="E1" s="67" t="s">
        <v>2014</v>
      </c>
      <c r="F1" s="55" t="s">
        <v>2048</v>
      </c>
      <c r="G1" s="55" t="s">
        <v>2037</v>
      </c>
      <c r="H1" s="58" t="s">
        <v>2049</v>
      </c>
      <c r="I1" s="67" t="s">
        <v>2050</v>
      </c>
    </row>
    <row r="2" spans="1:9" x14ac:dyDescent="0.25">
      <c r="A2" s="62">
        <v>1</v>
      </c>
      <c r="B2" s="73">
        <v>5713</v>
      </c>
      <c r="C2" s="68" t="str">
        <f>IF(ISNA(VLOOKUP($B2,CPY!$B:$G,2,FALSE))=TRUE," ",VLOOKUP($B2,CPY!$B:$G,2,FALSE))</f>
        <v> </v>
      </c>
      <c r="D2" s="50" t="str">
        <f>IF(ISNA(VLOOKUP($B2,CPY!$B:$G,3,FALSE))=TRUE," ",VLOOKUP($B2,CPY!$B:$G,3,FALSE))</f>
        <v> </v>
      </c>
      <c r="E2" s="65" t="str">
        <f>IF(ISNA(VLOOKUP($B2,CPY!$B:$G,4,FALSE))=TRUE," ",VLOOKUP($B2,CPY!$B:$G,4,FALSE))</f>
        <v> </v>
      </c>
      <c r="F2" s="57" t="s">
        <v>2051</v>
      </c>
      <c r="G2" s="74">
        <v>12</v>
      </c>
      <c r="H2" s="74">
        <v>10</v>
      </c>
      <c r="I2" s="62" t="s">
        <v>2044</v>
      </c>
    </row>
    <row r="3" spans="1:9" x14ac:dyDescent="0.25">
      <c r="A3" s="62">
        <v>2</v>
      </c>
      <c r="B3" s="73">
        <v>5713</v>
      </c>
      <c r="C3" s="68" t="str">
        <f>IF(ISNA(VLOOKUP($B3,CPY!$B:$G,2,FALSE))=TRUE," ",VLOOKUP($B3,CPY!$B:$G,2,FALSE))</f>
        <v> </v>
      </c>
      <c r="D3" s="50" t="str">
        <f>IF(ISNA(VLOOKUP($B3,CPY!$B:$G,3,FALSE))=TRUE," ",VLOOKUP($B3,CPY!$B:$G,3,FALSE))</f>
        <v> </v>
      </c>
      <c r="E3" s="65" t="str">
        <f>IF(ISNA(VLOOKUP($B3,CPY!$B:$G,4,FALSE))=TRUE," ",VLOOKUP($B3,CPY!$B:$G,4,FALSE))</f>
        <v> </v>
      </c>
      <c r="F3" s="57" t="s">
        <v>2052</v>
      </c>
      <c r="G3" s="74">
        <v>10</v>
      </c>
      <c r="H3" s="74">
        <v>10</v>
      </c>
      <c r="I3" s="62" t="s">
        <v>2044</v>
      </c>
    </row>
    <row r="4" spans="1:9" x14ac:dyDescent="0.25">
      <c r="A4" s="62">
        <v>3</v>
      </c>
      <c r="B4" s="73">
        <v>5053</v>
      </c>
      <c r="C4" s="68" t="str">
        <f>IF(ISNA(VLOOKUP($B4,CPY!$B:$G,2,FALSE))=TRUE," ",VLOOKUP($B4,CPY!$B:$G,2,FALSE))</f>
        <v> </v>
      </c>
      <c r="D4" s="50" t="str">
        <f>IF(ISNA(VLOOKUP($B4,CPY!$B:$G,3,FALSE))=TRUE," ",VLOOKUP($B4,CPY!$B:$G,3,FALSE))</f>
        <v> </v>
      </c>
      <c r="E4" s="65" t="str">
        <f>IF(ISNA(VLOOKUP($B4,CPY!$B:$G,4,FALSE))=TRUE," ",VLOOKUP($B4,CPY!$B:$G,4,FALSE))</f>
        <v> </v>
      </c>
      <c r="F4" s="57" t="s">
        <v>2051</v>
      </c>
      <c r="G4" s="74">
        <v>13</v>
      </c>
      <c r="H4" s="74">
        <v>1</v>
      </c>
      <c r="I4" s="62" t="s">
        <v>2053</v>
      </c>
    </row>
    <row r="5" spans="1:11" x14ac:dyDescent="0.25">
      <c r="A5" s="62">
        <v>4</v>
      </c>
      <c r="B5" s="62">
        <v>5053</v>
      </c>
      <c r="C5" s="68" t="str">
        <f>IF(ISNA(VLOOKUP($B5,CPY!$B:$G,2,FALSE))=TRUE," ",VLOOKUP($B5,CPY!$B:$G,2,FALSE))</f>
        <v> </v>
      </c>
      <c r="D5" s="50" t="str">
        <f>IF(ISNA(VLOOKUP($B5,CPY!$B:$G,3,FALSE))=TRUE," ",VLOOKUP($B5,CPY!$B:$G,3,FALSE))</f>
        <v> </v>
      </c>
      <c r="E5" s="65" t="str">
        <f>IF(ISNA(VLOOKUP($B5,CPY!$B:$G,4,FALSE))=TRUE," ",VLOOKUP($B5,CPY!$B:$G,4,FALSE))</f>
        <v> </v>
      </c>
      <c r="F5" s="62" t="s">
        <v>2052</v>
      </c>
      <c r="G5" s="75">
        <v>4</v>
      </c>
      <c r="H5" s="75">
        <v>0</v>
      </c>
      <c r="I5" s="62" t="s">
        <v>2044</v>
      </c>
      <c r="J5" s="71"/>
      <c r="K5" s="72"/>
    </row>
    <row r="6" spans="1:9" x14ac:dyDescent="0.25">
      <c r="A6" s="62">
        <v>5</v>
      </c>
      <c r="B6" s="62"/>
      <c r="C6" s="68" t="str">
        <f>IF(ISNA(VLOOKUP($B6,CPY!$B:$G,2,FALSE))=TRUE," ",VLOOKUP($B6,CPY!$B:$G,2,FALSE))</f>
        <v> </v>
      </c>
      <c r="D6" s="50" t="str">
        <f>IF(ISNA(VLOOKUP($B6,CPY!$B:$G,3,FALSE))=TRUE," ",VLOOKUP($B6,CPY!$B:$G,3,FALSE))</f>
        <v> </v>
      </c>
      <c r="E6" s="65" t="str">
        <f>IF(ISNA(VLOOKUP($B6,CPY!$B:$G,4,FALSE))=TRUE," ",VLOOKUP($B6,CPY!$B:$G,4,FALSE))</f>
        <v> </v>
      </c>
      <c r="F6" s="62"/>
      <c r="G6" s="75"/>
      <c r="H6" s="75"/>
      <c r="I6" s="62"/>
    </row>
    <row r="7" spans="1:9" x14ac:dyDescent="0.25">
      <c r="A7" s="62">
        <v>6</v>
      </c>
      <c r="B7" s="62"/>
      <c r="C7" s="68" t="str">
        <f>IF(ISNA(VLOOKUP($B7,CPY!$B:$G,2,FALSE))=TRUE," ",VLOOKUP($B7,CPY!$B:$G,2,FALSE))</f>
        <v> </v>
      </c>
      <c r="D7" s="50" t="str">
        <f>IF(ISNA(VLOOKUP($B7,CPY!$B:$G,3,FALSE))=TRUE," ",VLOOKUP($B7,CPY!$B:$G,3,FALSE))</f>
        <v> </v>
      </c>
      <c r="E7" s="65" t="str">
        <f>IF(ISNA(VLOOKUP($B7,CPY!$B:$G,4,FALSE))=TRUE," ",VLOOKUP($B7,CPY!$B:$G,4,FALSE))</f>
        <v> </v>
      </c>
      <c r="F7" s="62"/>
      <c r="G7" s="75"/>
      <c r="H7" s="75"/>
      <c r="I7" s="62"/>
    </row>
    <row r="8" spans="1:9" x14ac:dyDescent="0.25">
      <c r="A8" s="62">
        <v>7</v>
      </c>
      <c r="B8" s="62"/>
      <c r="C8" s="68" t="str">
        <f>IF(ISNA(VLOOKUP($B8,CPY!$B:$G,2,FALSE))=TRUE," ",VLOOKUP($B8,CPY!$B:$G,2,FALSE))</f>
        <v> </v>
      </c>
      <c r="D8" s="50" t="str">
        <f>IF(ISNA(VLOOKUP($B8,CPY!$B:$G,3,FALSE))=TRUE," ",VLOOKUP($B8,CPY!$B:$G,3,FALSE))</f>
        <v> </v>
      </c>
      <c r="E8" s="65" t="str">
        <f>IF(ISNA(VLOOKUP($B8,CPY!$B:$G,4,FALSE))=TRUE," ",VLOOKUP($B8,CPY!$B:$G,4,FALSE))</f>
        <v> </v>
      </c>
      <c r="F8" s="62"/>
      <c r="G8" s="75"/>
      <c r="H8" s="75"/>
      <c r="I8" s="62"/>
    </row>
    <row r="9" spans="1:9" x14ac:dyDescent="0.25">
      <c r="A9" s="62">
        <v>8</v>
      </c>
      <c r="B9" s="62"/>
      <c r="C9" s="68" t="str">
        <f>IF(ISNA(VLOOKUP($B9,CPY!$B:$G,2,FALSE))=TRUE," ",VLOOKUP($B9,CPY!$B:$G,2,FALSE))</f>
        <v> </v>
      </c>
      <c r="D9" s="50" t="str">
        <f>IF(ISNA(VLOOKUP($B9,CPY!$B:$G,3,FALSE))=TRUE," ",VLOOKUP($B9,CPY!$B:$G,3,FALSE))</f>
        <v> </v>
      </c>
      <c r="E9" s="65" t="str">
        <f>IF(ISNA(VLOOKUP($B9,CPY!$B:$G,4,FALSE))=TRUE," ",VLOOKUP($B9,CPY!$B:$G,4,FALSE))</f>
        <v> </v>
      </c>
      <c r="F9" s="62"/>
      <c r="G9" s="75"/>
      <c r="H9" s="75"/>
      <c r="I9" s="62"/>
    </row>
    <row r="10" spans="1:9" x14ac:dyDescent="0.25">
      <c r="A10" s="62">
        <v>9</v>
      </c>
      <c r="B10" s="62"/>
      <c r="C10" s="68" t="str">
        <f>IF(ISNA(VLOOKUP($B10,CPY!$B:$G,2,FALSE))=TRUE," ",VLOOKUP($B10,CPY!$B:$G,2,FALSE))</f>
        <v> </v>
      </c>
      <c r="D10" s="50" t="str">
        <f>IF(ISNA(VLOOKUP($B10,CPY!$B:$G,3,FALSE))=TRUE," ",VLOOKUP($B10,CPY!$B:$G,3,FALSE))</f>
        <v> </v>
      </c>
      <c r="E10" s="65" t="str">
        <f>IF(ISNA(VLOOKUP($B10,CPY!$B:$G,4,FALSE))=TRUE," ",VLOOKUP($B10,CPY!$B:$G,4,FALSE))</f>
        <v> </v>
      </c>
      <c r="F10" s="62"/>
      <c r="G10" s="75"/>
      <c r="H10" s="75"/>
      <c r="I10" s="62"/>
    </row>
    <row r="11" spans="1:9" x14ac:dyDescent="0.25">
      <c r="A11" s="62">
        <v>10</v>
      </c>
      <c r="B11" s="62"/>
      <c r="C11" s="68" t="str">
        <f>IF(ISNA(VLOOKUP($B11,CPY!$B:$G,2,FALSE))=TRUE," ",VLOOKUP($B11,CPY!$B:$G,2,FALSE))</f>
        <v> </v>
      </c>
      <c r="D11" s="50" t="str">
        <f>IF(ISNA(VLOOKUP($B11,CPY!$B:$G,3,FALSE))=TRUE," ",VLOOKUP($B11,CPY!$B:$G,3,FALSE))</f>
        <v> </v>
      </c>
      <c r="E11" s="65" t="str">
        <f>IF(ISNA(VLOOKUP($B11,CPY!$B:$G,4,FALSE))=TRUE," ",VLOOKUP($B11,CPY!$B:$G,4,FALSE))</f>
        <v> </v>
      </c>
      <c r="F11" s="62"/>
      <c r="G11" s="75"/>
      <c r="H11" s="75"/>
      <c r="I11" s="62"/>
    </row>
    <row r="12" spans="1:9" x14ac:dyDescent="0.25">
      <c r="A12" s="62">
        <v>11</v>
      </c>
      <c r="B12" s="62"/>
      <c r="C12" s="68" t="str">
        <f>IF(ISNA(VLOOKUP($B12,CPY!$B:$G,2,FALSE))=TRUE," ",VLOOKUP($B12,CPY!$B:$G,2,FALSE))</f>
        <v> </v>
      </c>
      <c r="D12" s="50" t="str">
        <f>IF(ISNA(VLOOKUP($B12,CPY!$B:$G,3,FALSE))=TRUE," ",VLOOKUP($B12,CPY!$B:$G,3,FALSE))</f>
        <v> </v>
      </c>
      <c r="E12" s="65" t="str">
        <f>IF(ISNA(VLOOKUP($B12,CPY!$B:$G,4,FALSE))=TRUE," ",VLOOKUP($B12,CPY!$B:$G,4,FALSE))</f>
        <v> </v>
      </c>
      <c r="F12" s="62"/>
      <c r="G12" s="75"/>
      <c r="H12" s="75"/>
      <c r="I12" s="62"/>
    </row>
    <row r="13" spans="1:9" x14ac:dyDescent="0.25">
      <c r="A13" s="62">
        <v>12</v>
      </c>
      <c r="B13" s="62"/>
      <c r="C13" s="68" t="str">
        <f>IF(ISNA(VLOOKUP($B13,CPY!$B:$G,2,FALSE))=TRUE," ",VLOOKUP($B13,CPY!$B:$G,2,FALSE))</f>
        <v> </v>
      </c>
      <c r="D13" s="50" t="str">
        <f>IF(ISNA(VLOOKUP($B13,CPY!$B:$G,3,FALSE))=TRUE," ",VLOOKUP($B13,CPY!$B:$G,3,FALSE))</f>
        <v> </v>
      </c>
      <c r="E13" s="65" t="str">
        <f>IF(ISNA(VLOOKUP($B13,CPY!$B:$G,4,FALSE))=TRUE," ",VLOOKUP($B13,CPY!$B:$G,4,FALSE))</f>
        <v> </v>
      </c>
      <c r="F13" s="62"/>
      <c r="G13" s="75"/>
      <c r="H13" s="75"/>
      <c r="I13" s="62"/>
    </row>
    <row r="14" spans="1:9" x14ac:dyDescent="0.25">
      <c r="A14" s="62">
        <v>13</v>
      </c>
      <c r="B14" s="62"/>
      <c r="C14" s="68" t="str">
        <f>IF(ISNA(VLOOKUP($B14,CPY!$B:$G,2,FALSE))=TRUE," ",VLOOKUP($B14,CPY!$B:$G,2,FALSE))</f>
        <v> </v>
      </c>
      <c r="D14" s="50" t="str">
        <f>IF(ISNA(VLOOKUP($B14,CPY!$B:$G,3,FALSE))=TRUE," ",VLOOKUP($B14,CPY!$B:$G,3,FALSE))</f>
        <v> </v>
      </c>
      <c r="E14" s="65" t="str">
        <f>IF(ISNA(VLOOKUP($B14,CPY!$B:$G,4,FALSE))=TRUE," ",VLOOKUP($B14,CPY!$B:$G,4,FALSE))</f>
        <v> </v>
      </c>
      <c r="F14" s="62"/>
      <c r="G14" s="75"/>
      <c r="H14" s="75"/>
      <c r="I14" s="62"/>
    </row>
    <row r="15" spans="1:9" x14ac:dyDescent="0.25">
      <c r="A15" s="62">
        <v>14</v>
      </c>
      <c r="B15" s="62"/>
      <c r="C15" s="68" t="str">
        <f>IF(ISNA(VLOOKUP($B15,CPY!$B:$G,2,FALSE))=TRUE," ",VLOOKUP($B15,CPY!$B:$G,2,FALSE))</f>
        <v> </v>
      </c>
      <c r="D15" s="50" t="str">
        <f>IF(ISNA(VLOOKUP($B15,CPY!$B:$G,3,FALSE))=TRUE," ",VLOOKUP($B15,CPY!$B:$G,3,FALSE))</f>
        <v> </v>
      </c>
      <c r="E15" s="65" t="str">
        <f>IF(ISNA(VLOOKUP($B15,CPY!$B:$G,4,FALSE))=TRUE," ",VLOOKUP($B15,CPY!$B:$G,4,FALSE))</f>
        <v> </v>
      </c>
      <c r="F15" s="62"/>
      <c r="G15" s="75"/>
      <c r="H15" s="75"/>
      <c r="I15" s="62"/>
    </row>
    <row r="16" spans="1:9" x14ac:dyDescent="0.25">
      <c r="A16" s="62">
        <v>15</v>
      </c>
      <c r="B16" s="62"/>
      <c r="C16" s="68" t="str">
        <f>IF(ISNA(VLOOKUP($B16,CPY!$B:$G,2,FALSE))=TRUE," ",VLOOKUP($B16,CPY!$B:$G,2,FALSE))</f>
        <v> </v>
      </c>
      <c r="D16" s="50" t="str">
        <f>IF(ISNA(VLOOKUP($B16,CPY!$B:$G,3,FALSE))=TRUE," ",VLOOKUP($B16,CPY!$B:$G,3,FALSE))</f>
        <v> </v>
      </c>
      <c r="E16" s="65" t="str">
        <f>IF(ISNA(VLOOKUP($B16,CPY!$B:$G,4,FALSE))=TRUE," ",VLOOKUP($B16,CPY!$B:$G,4,FALSE))</f>
        <v> </v>
      </c>
      <c r="F16" s="62"/>
      <c r="G16" s="75"/>
      <c r="H16" s="75"/>
      <c r="I16" s="62"/>
    </row>
    <row r="17" spans="1:9" x14ac:dyDescent="0.25">
      <c r="A17" s="62">
        <v>16</v>
      </c>
      <c r="B17" s="62"/>
      <c r="C17" s="68" t="str">
        <f>IF(ISNA(VLOOKUP($B17,CPY!$B:$G,2,FALSE))=TRUE," ",VLOOKUP($B17,CPY!$B:$G,2,FALSE))</f>
        <v> </v>
      </c>
      <c r="D17" s="50" t="str">
        <f>IF(ISNA(VLOOKUP($B17,CPY!$B:$G,3,FALSE))=TRUE," ",VLOOKUP($B17,CPY!$B:$G,3,FALSE))</f>
        <v> </v>
      </c>
      <c r="E17" s="65" t="str">
        <f>IF(ISNA(VLOOKUP($B17,CPY!$B:$G,4,FALSE))=TRUE," ",VLOOKUP($B17,CPY!$B:$G,4,FALSE))</f>
        <v> </v>
      </c>
      <c r="F17" s="62"/>
      <c r="G17" s="75"/>
      <c r="H17" s="75"/>
      <c r="I17" s="62"/>
    </row>
    <row r="18" spans="1:9" x14ac:dyDescent="0.25">
      <c r="A18" s="62">
        <v>17</v>
      </c>
      <c r="B18" s="62"/>
      <c r="C18" s="68" t="str">
        <f>IF(ISNA(VLOOKUP($B18,CPY!$B:$G,2,FALSE))=TRUE," ",VLOOKUP($B18,CPY!$B:$G,2,FALSE))</f>
        <v> </v>
      </c>
      <c r="D18" s="50" t="str">
        <f>IF(ISNA(VLOOKUP($B18,CPY!$B:$G,3,FALSE))=TRUE," ",VLOOKUP($B18,CPY!$B:$G,3,FALSE))</f>
        <v> </v>
      </c>
      <c r="E18" s="65" t="str">
        <f>IF(ISNA(VLOOKUP($B18,CPY!$B:$G,4,FALSE))=TRUE," ",VLOOKUP($B18,CPY!$B:$G,4,FALSE))</f>
        <v> </v>
      </c>
      <c r="F18" s="62"/>
      <c r="G18" s="75"/>
      <c r="H18" s="75"/>
      <c r="I18" s="62"/>
    </row>
    <row r="19" spans="1:9" x14ac:dyDescent="0.25">
      <c r="A19" s="62">
        <v>18</v>
      </c>
      <c r="B19" s="62"/>
      <c r="C19" s="68" t="str">
        <f>IF(ISNA(VLOOKUP($B19,CPY!$B:$G,2,FALSE))=TRUE," ",VLOOKUP($B19,CPY!$B:$G,2,FALSE))</f>
        <v> </v>
      </c>
      <c r="D19" s="50" t="str">
        <f>IF(ISNA(VLOOKUP($B19,CPY!$B:$G,3,FALSE))=TRUE," ",VLOOKUP($B19,CPY!$B:$G,3,FALSE))</f>
        <v> </v>
      </c>
      <c r="E19" s="65" t="str">
        <f>IF(ISNA(VLOOKUP($B19,CPY!$B:$G,4,FALSE))=TRUE," ",VLOOKUP($B19,CPY!$B:$G,4,FALSE))</f>
        <v> </v>
      </c>
      <c r="F19" s="62"/>
      <c r="G19" s="75"/>
      <c r="H19" s="75"/>
      <c r="I19" s="62"/>
    </row>
    <row r="20" spans="1:9" x14ac:dyDescent="0.25">
      <c r="A20" s="62">
        <v>19</v>
      </c>
      <c r="B20" s="62"/>
      <c r="C20" s="68" t="str">
        <f>IF(ISNA(VLOOKUP($B20,CPY!$B:$G,2,FALSE))=TRUE," ",VLOOKUP($B20,CPY!$B:$G,2,FALSE))</f>
        <v> </v>
      </c>
      <c r="D20" s="50" t="str">
        <f>IF(ISNA(VLOOKUP($B20,CPY!$B:$G,3,FALSE))=TRUE," ",VLOOKUP($B20,CPY!$B:$G,3,FALSE))</f>
        <v> </v>
      </c>
      <c r="E20" s="65" t="str">
        <f>IF(ISNA(VLOOKUP($B20,CPY!$B:$G,4,FALSE))=TRUE," ",VLOOKUP($B20,CPY!$B:$G,4,FALSE))</f>
        <v> </v>
      </c>
      <c r="F20" s="62"/>
      <c r="G20" s="75"/>
      <c r="H20" s="75"/>
      <c r="I20" s="62"/>
    </row>
    <row r="21" spans="1:9" x14ac:dyDescent="0.25">
      <c r="A21" s="62">
        <v>20</v>
      </c>
      <c r="B21" s="62"/>
      <c r="C21" s="68" t="str">
        <f>IF(ISNA(VLOOKUP($B21,CPY!$B:$G,2,FALSE))=TRUE," ",VLOOKUP($B21,CPY!$B:$G,2,FALSE))</f>
        <v> </v>
      </c>
      <c r="D21" s="50" t="str">
        <f>IF(ISNA(VLOOKUP($B21,CPY!$B:$G,3,FALSE))=TRUE," ",VLOOKUP($B21,CPY!$B:$G,3,FALSE))</f>
        <v> </v>
      </c>
      <c r="E21" s="65" t="str">
        <f>IF(ISNA(VLOOKUP($B21,CPY!$B:$G,4,FALSE))=TRUE," ",VLOOKUP($B21,CPY!$B:$G,4,FALSE))</f>
        <v> </v>
      </c>
      <c r="F21" s="62"/>
      <c r="G21" s="75"/>
      <c r="H21" s="75"/>
      <c r="I21" s="62"/>
    </row>
    <row r="22" spans="1:9" x14ac:dyDescent="0.25">
      <c r="A22" s="62">
        <v>21</v>
      </c>
      <c r="B22" s="62"/>
      <c r="C22" s="68" t="str">
        <f>IF(ISNA(VLOOKUP($B22,CPY!$B:$G,2,FALSE))=TRUE," ",VLOOKUP($B22,CPY!$B:$G,2,FALSE))</f>
        <v> </v>
      </c>
      <c r="D22" s="50" t="str">
        <f>IF(ISNA(VLOOKUP($B22,CPY!$B:$G,3,FALSE))=TRUE," ",VLOOKUP($B22,CPY!$B:$G,3,FALSE))</f>
        <v> </v>
      </c>
      <c r="E22" s="65" t="str">
        <f>IF(ISNA(VLOOKUP($B22,CPY!$B:$G,4,FALSE))=TRUE," ",VLOOKUP($B22,CPY!$B:$G,4,FALSE))</f>
        <v> </v>
      </c>
      <c r="F22" s="62"/>
      <c r="G22" s="75"/>
      <c r="H22" s="75"/>
      <c r="I22" s="62"/>
    </row>
    <row r="23" spans="1:9" x14ac:dyDescent="0.25">
      <c r="A23" s="62">
        <v>22</v>
      </c>
      <c r="B23" s="62"/>
      <c r="C23" s="68" t="str">
        <f>IF(ISNA(VLOOKUP($B23,CPY!$B:$G,2,FALSE))=TRUE," ",VLOOKUP($B23,CPY!$B:$G,2,FALSE))</f>
        <v> </v>
      </c>
      <c r="D23" s="50" t="str">
        <f>IF(ISNA(VLOOKUP($B23,CPY!$B:$G,3,FALSE))=TRUE," ",VLOOKUP($B23,CPY!$B:$G,3,FALSE))</f>
        <v> </v>
      </c>
      <c r="E23" s="65" t="str">
        <f>IF(ISNA(VLOOKUP($B23,CPY!$B:$G,4,FALSE))=TRUE," ",VLOOKUP($B23,CPY!$B:$G,4,FALSE))</f>
        <v> </v>
      </c>
      <c r="F23" s="62"/>
      <c r="G23" s="75"/>
      <c r="H23" s="75"/>
      <c r="I23" s="62"/>
    </row>
    <row r="24" spans="1:9" x14ac:dyDescent="0.25">
      <c r="A24" s="62">
        <v>23</v>
      </c>
      <c r="B24" s="62"/>
      <c r="C24" s="68" t="str">
        <f>IF(ISNA(VLOOKUP($B24,CPY!$B:$G,2,FALSE))=TRUE," ",VLOOKUP($B24,CPY!$B:$G,2,FALSE))</f>
        <v> </v>
      </c>
      <c r="D24" s="50" t="str">
        <f>IF(ISNA(VLOOKUP($B24,CPY!$B:$G,3,FALSE))=TRUE," ",VLOOKUP($B24,CPY!$B:$G,3,FALSE))</f>
        <v> </v>
      </c>
      <c r="E24" s="65" t="str">
        <f>IF(ISNA(VLOOKUP($B24,CPY!$B:$G,4,FALSE))=TRUE," ",VLOOKUP($B24,CPY!$B:$G,4,FALSE))</f>
        <v> </v>
      </c>
      <c r="F24" s="62"/>
      <c r="G24" s="75"/>
      <c r="H24" s="75"/>
      <c r="I24" s="62"/>
    </row>
    <row r="25" spans="1:9" x14ac:dyDescent="0.25">
      <c r="A25" s="62">
        <v>24</v>
      </c>
      <c r="B25" s="62"/>
      <c r="C25" s="68" t="str">
        <f>IF(ISNA(VLOOKUP($B25,CPY!$B:$G,2,FALSE))=TRUE," ",VLOOKUP($B25,CPY!$B:$G,2,FALSE))</f>
        <v> </v>
      </c>
      <c r="D25" s="50" t="str">
        <f>IF(ISNA(VLOOKUP($B25,CPY!$B:$G,3,FALSE))=TRUE," ",VLOOKUP($B25,CPY!$B:$G,3,FALSE))</f>
        <v> </v>
      </c>
      <c r="E25" s="65" t="str">
        <f>IF(ISNA(VLOOKUP($B25,CPY!$B:$G,4,FALSE))=TRUE," ",VLOOKUP($B25,CPY!$B:$G,4,FALSE))</f>
        <v> </v>
      </c>
      <c r="F25" s="62"/>
      <c r="G25" s="75"/>
      <c r="H25" s="75"/>
      <c r="I25" s="62"/>
    </row>
    <row r="26" spans="1:9" x14ac:dyDescent="0.25">
      <c r="A26" s="62">
        <v>25</v>
      </c>
      <c r="B26" s="62"/>
      <c r="C26" s="68" t="str">
        <f>IF(ISNA(VLOOKUP($B26,CPY!$B:$G,2,FALSE))=TRUE," ",VLOOKUP($B26,CPY!$B:$G,2,FALSE))</f>
        <v> </v>
      </c>
      <c r="D26" s="50" t="str">
        <f>IF(ISNA(VLOOKUP($B26,CPY!$B:$G,3,FALSE))=TRUE," ",VLOOKUP($B26,CPY!$B:$G,3,FALSE))</f>
        <v> </v>
      </c>
      <c r="E26" s="65" t="str">
        <f>IF(ISNA(VLOOKUP($B26,CPY!$B:$G,4,FALSE))=TRUE," ",VLOOKUP($B26,CPY!$B:$G,4,FALSE))</f>
        <v> </v>
      </c>
      <c r="F26" s="62"/>
      <c r="G26" s="75"/>
      <c r="H26" s="75"/>
      <c r="I26" s="62"/>
    </row>
    <row r="27" spans="1:9" x14ac:dyDescent="0.25">
      <c r="A27" s="62">
        <v>26</v>
      </c>
      <c r="B27" s="62"/>
      <c r="C27" s="68" t="str">
        <f>IF(ISNA(VLOOKUP($B27,CPY!$B:$G,2,FALSE))=TRUE," ",VLOOKUP($B27,CPY!$B:$G,2,FALSE))</f>
        <v> </v>
      </c>
      <c r="D27" s="50" t="str">
        <f>IF(ISNA(VLOOKUP($B27,CPY!$B:$G,3,FALSE))=TRUE," ",VLOOKUP($B27,CPY!$B:$G,3,FALSE))</f>
        <v> </v>
      </c>
      <c r="E27" s="65" t="str">
        <f>IF(ISNA(VLOOKUP($B27,CPY!$B:$G,4,FALSE))=TRUE," ",VLOOKUP($B27,CPY!$B:$G,4,FALSE))</f>
        <v> </v>
      </c>
      <c r="F27" s="62"/>
      <c r="G27" s="75"/>
      <c r="H27" s="75"/>
      <c r="I27" s="62"/>
    </row>
    <row r="28" spans="1:9" x14ac:dyDescent="0.25">
      <c r="A28" s="62">
        <v>27</v>
      </c>
      <c r="B28" s="62"/>
      <c r="C28" s="68" t="str">
        <f>IF(ISNA(VLOOKUP($B28,CPY!$B:$G,2,FALSE))=TRUE," ",VLOOKUP($B28,CPY!$B:$G,2,FALSE))</f>
        <v> </v>
      </c>
      <c r="D28" s="50" t="str">
        <f>IF(ISNA(VLOOKUP($B28,CPY!$B:$G,3,FALSE))=TRUE," ",VLOOKUP($B28,CPY!$B:$G,3,FALSE))</f>
        <v> </v>
      </c>
      <c r="E28" s="65" t="str">
        <f>IF(ISNA(VLOOKUP($B28,CPY!$B:$G,4,FALSE))=TRUE," ",VLOOKUP($B28,CPY!$B:$G,4,FALSE))</f>
        <v> </v>
      </c>
      <c r="F28" s="62"/>
      <c r="G28" s="75"/>
      <c r="H28" s="75"/>
      <c r="I28" s="62"/>
    </row>
    <row r="29" spans="1:9" x14ac:dyDescent="0.25">
      <c r="A29" s="62">
        <v>28</v>
      </c>
      <c r="B29" s="62"/>
      <c r="C29" s="68" t="str">
        <f>IF(ISNA(VLOOKUP($B29,CPY!$B:$G,2,FALSE))=TRUE," ",VLOOKUP($B29,CPY!$B:$G,2,FALSE))</f>
        <v> </v>
      </c>
      <c r="D29" s="50" t="str">
        <f>IF(ISNA(VLOOKUP($B29,CPY!$B:$G,3,FALSE))=TRUE," ",VLOOKUP($B29,CPY!$B:$G,3,FALSE))</f>
        <v> </v>
      </c>
      <c r="E29" s="65" t="str">
        <f>IF(ISNA(VLOOKUP($B29,CPY!$B:$G,4,FALSE))=TRUE," ",VLOOKUP($B29,CPY!$B:$G,4,FALSE))</f>
        <v> </v>
      </c>
      <c r="F29" s="62"/>
      <c r="G29" s="75"/>
      <c r="H29" s="75"/>
      <c r="I29" s="62"/>
    </row>
    <row r="30" spans="1:9" x14ac:dyDescent="0.25">
      <c r="A30" s="62">
        <v>29</v>
      </c>
      <c r="B30" s="62"/>
      <c r="C30" s="68" t="str">
        <f>IF(ISNA(VLOOKUP($B30,CPY!$B:$G,2,FALSE))=TRUE," ",VLOOKUP($B30,CPY!$B:$G,2,FALSE))</f>
        <v> </v>
      </c>
      <c r="D30" s="50" t="str">
        <f>IF(ISNA(VLOOKUP($B30,CPY!$B:$G,3,FALSE))=TRUE," ",VLOOKUP($B30,CPY!$B:$G,3,FALSE))</f>
        <v> </v>
      </c>
      <c r="E30" s="65" t="str">
        <f>IF(ISNA(VLOOKUP($B30,CPY!$B:$G,4,FALSE))=TRUE," ",VLOOKUP($B30,CPY!$B:$G,4,FALSE))</f>
        <v> </v>
      </c>
      <c r="F30" s="62"/>
      <c r="G30" s="75"/>
      <c r="H30" s="75"/>
      <c r="I30" s="62"/>
    </row>
    <row r="31" spans="1:9" x14ac:dyDescent="0.25">
      <c r="A31" s="62">
        <v>30</v>
      </c>
      <c r="B31" s="62"/>
      <c r="C31" s="68" t="str">
        <f>IF(ISNA(VLOOKUP($B31,CPY!$B:$G,2,FALSE))=TRUE," ",VLOOKUP($B31,CPY!$B:$G,2,FALSE))</f>
        <v> </v>
      </c>
      <c r="D31" s="50" t="str">
        <f>IF(ISNA(VLOOKUP($B31,CPY!$B:$G,3,FALSE))=TRUE," ",VLOOKUP($B31,CPY!$B:$G,3,FALSE))</f>
        <v> </v>
      </c>
      <c r="E31" s="65" t="str">
        <f>IF(ISNA(VLOOKUP($B31,CPY!$B:$G,4,FALSE))=TRUE," ",VLOOKUP($B31,CPY!$B:$G,4,FALSE))</f>
        <v> </v>
      </c>
      <c r="F31" s="62"/>
      <c r="G31" s="75"/>
      <c r="H31" s="75"/>
      <c r="I31" s="62"/>
    </row>
    <row r="32" spans="1:9" x14ac:dyDescent="0.25">
      <c r="A32" s="62">
        <v>31</v>
      </c>
      <c r="B32" s="62"/>
      <c r="C32" s="68" t="str">
        <f>IF(ISNA(VLOOKUP($B32,CPY!$B:$G,2,FALSE))=TRUE," ",VLOOKUP($B32,CPY!$B:$G,2,FALSE))</f>
        <v> </v>
      </c>
      <c r="D32" s="50" t="str">
        <f>IF(ISNA(VLOOKUP($B32,CPY!$B:$G,3,FALSE))=TRUE," ",VLOOKUP($B32,CPY!$B:$G,3,FALSE))</f>
        <v> </v>
      </c>
      <c r="E32" s="65" t="str">
        <f>IF(ISNA(VLOOKUP($B32,CPY!$B:$G,4,FALSE))=TRUE," ",VLOOKUP($B32,CPY!$B:$G,4,FALSE))</f>
        <v> </v>
      </c>
      <c r="F32" s="62"/>
      <c r="G32" s="75"/>
      <c r="H32" s="75"/>
      <c r="I32" s="62"/>
    </row>
    <row r="33" spans="1:9" x14ac:dyDescent="0.25">
      <c r="A33" s="62">
        <v>32</v>
      </c>
      <c r="B33" s="62"/>
      <c r="C33" s="68" t="str">
        <f>IF(ISNA(VLOOKUP($B33,CPY!$B:$G,2,FALSE))=TRUE," ",VLOOKUP($B33,CPY!$B:$G,2,FALSE))</f>
        <v> </v>
      </c>
      <c r="D33" s="50" t="str">
        <f>IF(ISNA(VLOOKUP($B33,CPY!$B:$G,3,FALSE))=TRUE," ",VLOOKUP($B33,CPY!$B:$G,3,FALSE))</f>
        <v> </v>
      </c>
      <c r="E33" s="65" t="str">
        <f>IF(ISNA(VLOOKUP($B33,CPY!$B:$G,4,FALSE))=TRUE," ",VLOOKUP($B33,CPY!$B:$G,4,FALSE))</f>
        <v> </v>
      </c>
      <c r="F33" s="62"/>
      <c r="G33" s="75"/>
      <c r="H33" s="75"/>
      <c r="I33" s="62"/>
    </row>
    <row r="34" spans="1:9" x14ac:dyDescent="0.25">
      <c r="A34" s="62">
        <v>33</v>
      </c>
      <c r="B34" s="62"/>
      <c r="C34" s="68" t="str">
        <f>IF(ISNA(VLOOKUP($B34,CPY!$B:$G,2,FALSE))=TRUE," ",VLOOKUP($B34,CPY!$B:$G,2,FALSE))</f>
        <v> </v>
      </c>
      <c r="D34" s="50" t="str">
        <f>IF(ISNA(VLOOKUP($B34,CPY!$B:$G,3,FALSE))=TRUE," ",VLOOKUP($B34,CPY!$B:$G,3,FALSE))</f>
        <v> </v>
      </c>
      <c r="E34" s="65" t="str">
        <f>IF(ISNA(VLOOKUP($B34,CPY!$B:$G,4,FALSE))=TRUE," ",VLOOKUP($B34,CPY!$B:$G,4,FALSE))</f>
        <v> </v>
      </c>
      <c r="F34" s="62"/>
      <c r="G34" s="75"/>
      <c r="H34" s="75"/>
      <c r="I34" s="62"/>
    </row>
    <row r="35" spans="1:9" x14ac:dyDescent="0.25">
      <c r="A35" s="62">
        <v>34</v>
      </c>
      <c r="B35" s="62"/>
      <c r="C35" s="68" t="str">
        <f>IF(ISNA(VLOOKUP($B35,CPY!$B:$G,2,FALSE))=TRUE," ",VLOOKUP($B35,CPY!$B:$G,2,FALSE))</f>
        <v> </v>
      </c>
      <c r="D35" s="50" t="str">
        <f>IF(ISNA(VLOOKUP($B35,CPY!$B:$G,3,FALSE))=TRUE," ",VLOOKUP($B35,CPY!$B:$G,3,FALSE))</f>
        <v> </v>
      </c>
      <c r="E35" s="65" t="str">
        <f>IF(ISNA(VLOOKUP($B35,CPY!$B:$G,4,FALSE))=TRUE," ",VLOOKUP($B35,CPY!$B:$G,4,FALSE))</f>
        <v> </v>
      </c>
      <c r="F35" s="62"/>
      <c r="G35" s="75"/>
      <c r="H35" s="75"/>
      <c r="I35" s="62"/>
    </row>
    <row r="36" spans="1:9" x14ac:dyDescent="0.25">
      <c r="A36" s="62">
        <v>35</v>
      </c>
      <c r="B36" s="62"/>
      <c r="C36" s="68" t="str">
        <f>IF(ISNA(VLOOKUP($B36,CPY!$B:$G,2,FALSE))=TRUE," ",VLOOKUP($B36,CPY!$B:$G,2,FALSE))</f>
        <v> </v>
      </c>
      <c r="D36" s="50" t="str">
        <f>IF(ISNA(VLOOKUP($B36,CPY!$B:$G,3,FALSE))=TRUE," ",VLOOKUP($B36,CPY!$B:$G,3,FALSE))</f>
        <v> </v>
      </c>
      <c r="E36" s="65" t="str">
        <f>IF(ISNA(VLOOKUP($B36,CPY!$B:$G,4,FALSE))=TRUE," ",VLOOKUP($B36,CPY!$B:$G,4,FALSE))</f>
        <v> </v>
      </c>
      <c r="F36" s="62"/>
      <c r="G36" s="75"/>
      <c r="H36" s="75"/>
      <c r="I36" s="62"/>
    </row>
    <row r="37" spans="1:9" x14ac:dyDescent="0.25">
      <c r="A37" s="62">
        <v>36</v>
      </c>
      <c r="B37" s="62"/>
      <c r="C37" s="68" t="str">
        <f>IF(ISNA(VLOOKUP($B37,CPY!$B:$G,2,FALSE))=TRUE," ",VLOOKUP($B37,CPY!$B:$G,2,FALSE))</f>
        <v> </v>
      </c>
      <c r="D37" s="50" t="str">
        <f>IF(ISNA(VLOOKUP($B37,CPY!$B:$G,3,FALSE))=TRUE," ",VLOOKUP($B37,CPY!$B:$G,3,FALSE))</f>
        <v> </v>
      </c>
      <c r="E37" s="65" t="str">
        <f>IF(ISNA(VLOOKUP($B37,CPY!$B:$G,4,FALSE))=TRUE," ",VLOOKUP($B37,CPY!$B:$G,4,FALSE))</f>
        <v> </v>
      </c>
      <c r="F37" s="62"/>
      <c r="G37" s="75"/>
      <c r="H37" s="75"/>
      <c r="I37" s="62"/>
    </row>
    <row r="38" spans="1:9" x14ac:dyDescent="0.25">
      <c r="A38" s="62">
        <v>37</v>
      </c>
      <c r="B38" s="62"/>
      <c r="C38" s="68" t="str">
        <f>IF(ISNA(VLOOKUP($B38,CPY!$B:$G,2,FALSE))=TRUE," ",VLOOKUP($B38,CPY!$B:$G,2,FALSE))</f>
        <v> </v>
      </c>
      <c r="D38" s="50" t="str">
        <f>IF(ISNA(VLOOKUP($B38,CPY!$B:$G,3,FALSE))=TRUE," ",VLOOKUP($B38,CPY!$B:$G,3,FALSE))</f>
        <v> </v>
      </c>
      <c r="E38" s="65" t="str">
        <f>IF(ISNA(VLOOKUP($B38,CPY!$B:$G,4,FALSE))=TRUE," ",VLOOKUP($B38,CPY!$B:$G,4,FALSE))</f>
        <v> </v>
      </c>
      <c r="F38" s="62"/>
      <c r="G38" s="75"/>
      <c r="H38" s="75"/>
      <c r="I38" s="62"/>
    </row>
    <row r="39" spans="1:9" x14ac:dyDescent="0.25">
      <c r="A39" s="62">
        <v>38</v>
      </c>
      <c r="B39" s="62"/>
      <c r="C39" s="68" t="str">
        <f>IF(ISNA(VLOOKUP($B39,CPY!$B:$G,2,FALSE))=TRUE," ",VLOOKUP($B39,CPY!$B:$G,2,FALSE))</f>
        <v> </v>
      </c>
      <c r="D39" s="50" t="str">
        <f>IF(ISNA(VLOOKUP($B39,CPY!$B:$G,3,FALSE))=TRUE," ",VLOOKUP($B39,CPY!$B:$G,3,FALSE))</f>
        <v> </v>
      </c>
      <c r="E39" s="65" t="str">
        <f>IF(ISNA(VLOOKUP($B39,CPY!$B:$G,4,FALSE))=TRUE," ",VLOOKUP($B39,CPY!$B:$G,4,FALSE))</f>
        <v> </v>
      </c>
      <c r="F39" s="62"/>
      <c r="G39" s="75"/>
      <c r="H39" s="75"/>
      <c r="I39" s="62"/>
    </row>
    <row r="40" spans="1:9" x14ac:dyDescent="0.25">
      <c r="A40" s="62">
        <v>39</v>
      </c>
      <c r="B40" s="62"/>
      <c r="C40" s="68" t="str">
        <f>IF(ISNA(VLOOKUP($B40,CPY!$B:$G,2,FALSE))=TRUE," ",VLOOKUP($B40,CPY!$B:$G,2,FALSE))</f>
        <v> </v>
      </c>
      <c r="D40" s="50" t="str">
        <f>IF(ISNA(VLOOKUP($B40,CPY!$B:$G,3,FALSE))=TRUE," ",VLOOKUP($B40,CPY!$B:$G,3,FALSE))</f>
        <v> </v>
      </c>
      <c r="E40" s="65" t="str">
        <f>IF(ISNA(VLOOKUP($B40,CPY!$B:$G,4,FALSE))=TRUE," ",VLOOKUP($B40,CPY!$B:$G,4,FALSE))</f>
        <v> </v>
      </c>
      <c r="F40" s="62"/>
      <c r="G40" s="75"/>
      <c r="H40" s="75"/>
      <c r="I40" s="62"/>
    </row>
    <row r="41" spans="1:9" x14ac:dyDescent="0.25">
      <c r="A41" s="62">
        <v>40</v>
      </c>
      <c r="B41" s="62"/>
      <c r="C41" s="68" t="str">
        <f>IF(ISNA(VLOOKUP($B41,CPY!$B:$G,2,FALSE))=TRUE," ",VLOOKUP($B41,CPY!$B:$G,2,FALSE))</f>
        <v> </v>
      </c>
      <c r="D41" s="50" t="str">
        <f>IF(ISNA(VLOOKUP($B41,CPY!$B:$G,3,FALSE))=TRUE," ",VLOOKUP($B41,CPY!$B:$G,3,FALSE))</f>
        <v> </v>
      </c>
      <c r="E41" s="65" t="str">
        <f>IF(ISNA(VLOOKUP($B41,CPY!$B:$G,4,FALSE))=TRUE," ",VLOOKUP($B41,CPY!$B:$G,4,FALSE))</f>
        <v> </v>
      </c>
      <c r="F41" s="62"/>
      <c r="G41" s="75"/>
      <c r="H41" s="75"/>
      <c r="I41" s="62"/>
    </row>
    <row r="42" spans="1:9" x14ac:dyDescent="0.25">
      <c r="A42" s="62">
        <v>41</v>
      </c>
      <c r="B42" s="62"/>
      <c r="C42" s="68" t="str">
        <f>IF(ISNA(VLOOKUP($B42,CPY!$B:$G,2,FALSE))=TRUE," ",VLOOKUP($B42,CPY!$B:$G,2,FALSE))</f>
        <v> </v>
      </c>
      <c r="D42" s="50" t="str">
        <f>IF(ISNA(VLOOKUP($B42,CPY!$B:$G,3,FALSE))=TRUE," ",VLOOKUP($B42,CPY!$B:$G,3,FALSE))</f>
        <v> </v>
      </c>
      <c r="E42" s="65" t="str">
        <f>IF(ISNA(VLOOKUP($B42,CPY!$B:$G,4,FALSE))=TRUE," ",VLOOKUP($B42,CPY!$B:$G,4,FALSE))</f>
        <v> </v>
      </c>
      <c r="F42" s="62"/>
      <c r="G42" s="75"/>
      <c r="H42" s="75"/>
      <c r="I42" s="62"/>
    </row>
    <row r="43" spans="1:9" x14ac:dyDescent="0.25">
      <c r="A43" s="62">
        <v>42</v>
      </c>
      <c r="B43" s="62"/>
      <c r="C43" s="68" t="str">
        <f>IF(ISNA(VLOOKUP($B43,CPY!$B:$G,2,FALSE))=TRUE," ",VLOOKUP($B43,CPY!$B:$G,2,FALSE))</f>
        <v> </v>
      </c>
      <c r="D43" s="50" t="str">
        <f>IF(ISNA(VLOOKUP($B43,CPY!$B:$G,3,FALSE))=TRUE," ",VLOOKUP($B43,CPY!$B:$G,3,FALSE))</f>
        <v> </v>
      </c>
      <c r="E43" s="65" t="str">
        <f>IF(ISNA(VLOOKUP($B43,CPY!$B:$G,4,FALSE))=TRUE," ",VLOOKUP($B43,CPY!$B:$G,4,FALSE))</f>
        <v> </v>
      </c>
      <c r="F43" s="62"/>
      <c r="G43" s="75"/>
      <c r="H43" s="75"/>
      <c r="I43" s="62"/>
    </row>
    <row r="44" spans="1:9" x14ac:dyDescent="0.25">
      <c r="A44" s="62">
        <v>43</v>
      </c>
      <c r="B44" s="62"/>
      <c r="C44" s="68" t="str">
        <f>IF(ISNA(VLOOKUP($B44,CPY!$B:$G,2,FALSE))=TRUE," ",VLOOKUP($B44,CPY!$B:$G,2,FALSE))</f>
        <v> </v>
      </c>
      <c r="D44" s="50" t="str">
        <f>IF(ISNA(VLOOKUP($B44,CPY!$B:$G,3,FALSE))=TRUE," ",VLOOKUP($B44,CPY!$B:$G,3,FALSE))</f>
        <v> </v>
      </c>
      <c r="E44" s="65" t="str">
        <f>IF(ISNA(VLOOKUP($B44,CPY!$B:$G,4,FALSE))=TRUE," ",VLOOKUP($B44,CPY!$B:$G,4,FALSE))</f>
        <v> </v>
      </c>
      <c r="F44" s="62"/>
      <c r="G44" s="75"/>
      <c r="H44" s="75"/>
      <c r="I44" s="62"/>
    </row>
    <row r="45" spans="1:9" x14ac:dyDescent="0.25">
      <c r="A45" s="62">
        <v>44</v>
      </c>
      <c r="B45" s="62"/>
      <c r="C45" s="68" t="str">
        <f>IF(ISNA(VLOOKUP($B45,CPY!$B:$G,2,FALSE))=TRUE," ",VLOOKUP($B45,CPY!$B:$G,2,FALSE))</f>
        <v> </v>
      </c>
      <c r="D45" s="50" t="str">
        <f>IF(ISNA(VLOOKUP($B45,CPY!$B:$G,3,FALSE))=TRUE," ",VLOOKUP($B45,CPY!$B:$G,3,FALSE))</f>
        <v> </v>
      </c>
      <c r="E45" s="65" t="str">
        <f>IF(ISNA(VLOOKUP($B45,CPY!$B:$G,4,FALSE))=TRUE," ",VLOOKUP($B45,CPY!$B:$G,4,FALSE))</f>
        <v> </v>
      </c>
      <c r="F45" s="62"/>
      <c r="G45" s="75"/>
      <c r="H45" s="75"/>
      <c r="I45" s="62"/>
    </row>
    <row r="46" spans="1:9" x14ac:dyDescent="0.25">
      <c r="A46" s="62">
        <v>45</v>
      </c>
      <c r="B46" s="62"/>
      <c r="C46" s="68" t="str">
        <f>IF(ISNA(VLOOKUP($B46,CPY!$B:$G,2,FALSE))=TRUE," ",VLOOKUP($B46,CPY!$B:$G,2,FALSE))</f>
        <v> </v>
      </c>
      <c r="D46" s="50" t="str">
        <f>IF(ISNA(VLOOKUP($B46,CPY!$B:$G,3,FALSE))=TRUE," ",VLOOKUP($B46,CPY!$B:$G,3,FALSE))</f>
        <v> </v>
      </c>
      <c r="E46" s="65" t="str">
        <f>IF(ISNA(VLOOKUP($B46,CPY!$B:$G,4,FALSE))=TRUE," ",VLOOKUP($B46,CPY!$B:$G,4,FALSE))</f>
        <v> </v>
      </c>
      <c r="F46" s="62"/>
      <c r="G46" s="75"/>
      <c r="H46" s="75"/>
      <c r="I46" s="62"/>
    </row>
    <row r="47" spans="1:9" x14ac:dyDescent="0.25">
      <c r="A47" s="62">
        <v>46</v>
      </c>
      <c r="B47" s="62"/>
      <c r="C47" s="68" t="str">
        <f>IF(ISNA(VLOOKUP($B47,CPY!$B:$G,2,FALSE))=TRUE," ",VLOOKUP($B47,CPY!$B:$G,2,FALSE))</f>
        <v> </v>
      </c>
      <c r="D47" s="50" t="str">
        <f>IF(ISNA(VLOOKUP($B47,CPY!$B:$G,3,FALSE))=TRUE," ",VLOOKUP($B47,CPY!$B:$G,3,FALSE))</f>
        <v> </v>
      </c>
      <c r="E47" s="65" t="str">
        <f>IF(ISNA(VLOOKUP($B47,CPY!$B:$G,4,FALSE))=TRUE," ",VLOOKUP($B47,CPY!$B:$G,4,FALSE))</f>
        <v> </v>
      </c>
      <c r="F47" s="62"/>
      <c r="G47" s="75"/>
      <c r="H47" s="75"/>
      <c r="I47" s="62"/>
    </row>
    <row r="48" spans="1:9" x14ac:dyDescent="0.25">
      <c r="A48" s="62">
        <v>47</v>
      </c>
      <c r="B48" s="62"/>
      <c r="C48" s="68" t="str">
        <f>IF(ISNA(VLOOKUP($B48,CPY!$B:$G,2,FALSE))=TRUE," ",VLOOKUP($B48,CPY!$B:$G,2,FALSE))</f>
        <v> </v>
      </c>
      <c r="D48" s="50" t="str">
        <f>IF(ISNA(VLOOKUP($B48,CPY!$B:$G,3,FALSE))=TRUE," ",VLOOKUP($B48,CPY!$B:$G,3,FALSE))</f>
        <v> </v>
      </c>
      <c r="E48" s="65" t="str">
        <f>IF(ISNA(VLOOKUP($B48,CPY!$B:$G,4,FALSE))=TRUE," ",VLOOKUP($B48,CPY!$B:$G,4,FALSE))</f>
        <v> </v>
      </c>
      <c r="F48" s="62"/>
      <c r="G48" s="75"/>
      <c r="H48" s="75"/>
      <c r="I48" s="62"/>
    </row>
    <row r="49" spans="1:9" x14ac:dyDescent="0.25">
      <c r="A49" s="62">
        <v>48</v>
      </c>
      <c r="B49" s="62"/>
      <c r="C49" s="68" t="str">
        <f>IF(ISNA(VLOOKUP($B49,CPY!$B:$G,2,FALSE))=TRUE," ",VLOOKUP($B49,CPY!$B:$G,2,FALSE))</f>
        <v> </v>
      </c>
      <c r="D49" s="50" t="str">
        <f>IF(ISNA(VLOOKUP($B49,CPY!$B:$G,3,FALSE))=TRUE," ",VLOOKUP($B49,CPY!$B:$G,3,FALSE))</f>
        <v> </v>
      </c>
      <c r="E49" s="65" t="str">
        <f>IF(ISNA(VLOOKUP($B49,CPY!$B:$G,4,FALSE))=TRUE," ",VLOOKUP($B49,CPY!$B:$G,4,FALSE))</f>
        <v> </v>
      </c>
      <c r="F49" s="62"/>
      <c r="G49" s="75"/>
      <c r="H49" s="75"/>
      <c r="I49" s="62"/>
    </row>
    <row r="50" spans="1:9" x14ac:dyDescent="0.25">
      <c r="A50" s="62">
        <v>49</v>
      </c>
      <c r="B50" s="62"/>
      <c r="C50" s="68" t="str">
        <f>IF(ISNA(VLOOKUP($B50,CPY!$B:$G,2,FALSE))=TRUE," ",VLOOKUP($B50,CPY!$B:$G,2,FALSE))</f>
        <v> </v>
      </c>
      <c r="D50" s="50" t="str">
        <f>IF(ISNA(VLOOKUP($B50,CPY!$B:$G,3,FALSE))=TRUE," ",VLOOKUP($B50,CPY!$B:$G,3,FALSE))</f>
        <v> </v>
      </c>
      <c r="E50" s="65" t="str">
        <f>IF(ISNA(VLOOKUP($B50,CPY!$B:$G,4,FALSE))=TRUE," ",VLOOKUP($B50,CPY!$B:$G,4,FALSE))</f>
        <v> </v>
      </c>
      <c r="F50" s="62"/>
      <c r="G50" s="75"/>
      <c r="H50" s="75"/>
      <c r="I50" s="62"/>
    </row>
    <row r="51" spans="1:9" x14ac:dyDescent="0.25">
      <c r="A51" s="62">
        <v>50</v>
      </c>
      <c r="B51" s="62"/>
      <c r="C51" s="68" t="str">
        <f>IF(ISNA(VLOOKUP($B51,CPY!$B:$G,2,FALSE))=TRUE," ",VLOOKUP($B51,CPY!$B:$G,2,FALSE))</f>
        <v> </v>
      </c>
      <c r="D51" s="50" t="str">
        <f>IF(ISNA(VLOOKUP($B51,CPY!$B:$G,3,FALSE))=TRUE," ",VLOOKUP($B51,CPY!$B:$G,3,FALSE))</f>
        <v> </v>
      </c>
      <c r="E51" s="65" t="str">
        <f>IF(ISNA(VLOOKUP($B51,CPY!$B:$G,4,FALSE))=TRUE," ",VLOOKUP($B51,CPY!$B:$G,4,FALSE))</f>
        <v> </v>
      </c>
      <c r="F51" s="62"/>
      <c r="G51" s="75"/>
      <c r="H51" s="75"/>
      <c r="I51" s="62"/>
    </row>
    <row r="52" spans="1:9" x14ac:dyDescent="0.25">
      <c r="A52" s="62">
        <v>51</v>
      </c>
      <c r="B52" s="62"/>
      <c r="C52" s="68" t="str">
        <f>IF(ISNA(VLOOKUP($B52,CPY!$B:$G,2,FALSE))=TRUE," ",VLOOKUP($B52,CPY!$B:$G,2,FALSE))</f>
        <v> </v>
      </c>
      <c r="D52" s="50" t="str">
        <f>IF(ISNA(VLOOKUP($B52,CPY!$B:$G,3,FALSE))=TRUE," ",VLOOKUP($B52,CPY!$B:$G,3,FALSE))</f>
        <v> </v>
      </c>
      <c r="E52" s="65" t="str">
        <f>IF(ISNA(VLOOKUP($B52,CPY!$B:$G,4,FALSE))=TRUE," ",VLOOKUP($B52,CPY!$B:$G,4,FALSE))</f>
        <v> </v>
      </c>
      <c r="F52" s="62"/>
      <c r="G52" s="75"/>
      <c r="H52" s="75"/>
      <c r="I52" s="62"/>
    </row>
    <row r="53" spans="1:9" x14ac:dyDescent="0.25">
      <c r="A53" s="62">
        <v>52</v>
      </c>
      <c r="B53" s="62"/>
      <c r="C53" s="68" t="str">
        <f>IF(ISNA(VLOOKUP($B53,CPY!$B:$G,2,FALSE))=TRUE," ",VLOOKUP($B53,CPY!$B:$G,2,FALSE))</f>
        <v> </v>
      </c>
      <c r="D53" s="50" t="str">
        <f>IF(ISNA(VLOOKUP($B53,CPY!$B:$G,3,FALSE))=TRUE," ",VLOOKUP($B53,CPY!$B:$G,3,FALSE))</f>
        <v> </v>
      </c>
      <c r="E53" s="65" t="str">
        <f>IF(ISNA(VLOOKUP($B53,CPY!$B:$G,4,FALSE))=TRUE," ",VLOOKUP($B53,CPY!$B:$G,4,FALSE))</f>
        <v> </v>
      </c>
      <c r="F53" s="62"/>
      <c r="G53" s="75"/>
      <c r="H53" s="75"/>
      <c r="I53" s="62"/>
    </row>
    <row r="54" spans="1:9" x14ac:dyDescent="0.25">
      <c r="A54" s="62">
        <v>53</v>
      </c>
      <c r="B54" s="62"/>
      <c r="C54" s="68" t="str">
        <f>IF(ISNA(VLOOKUP($B54,CPY!$B:$G,2,FALSE))=TRUE," ",VLOOKUP($B54,CPY!$B:$G,2,FALSE))</f>
        <v> </v>
      </c>
      <c r="D54" s="50" t="str">
        <f>IF(ISNA(VLOOKUP($B54,CPY!$B:$G,3,FALSE))=TRUE," ",VLOOKUP($B54,CPY!$B:$G,3,FALSE))</f>
        <v> </v>
      </c>
      <c r="E54" s="65" t="str">
        <f>IF(ISNA(VLOOKUP($B54,CPY!$B:$G,4,FALSE))=TRUE," ",VLOOKUP($B54,CPY!$B:$G,4,FALSE))</f>
        <v> </v>
      </c>
      <c r="F54" s="62"/>
      <c r="G54" s="75"/>
      <c r="H54" s="75"/>
      <c r="I54" s="62"/>
    </row>
    <row r="55" spans="1:9" x14ac:dyDescent="0.25">
      <c r="A55" s="62">
        <v>54</v>
      </c>
      <c r="B55" s="62"/>
      <c r="C55" s="68" t="str">
        <f>IF(ISNA(VLOOKUP($B55,CPY!$B:$G,2,FALSE))=TRUE," ",VLOOKUP($B55,CPY!$B:$G,2,FALSE))</f>
        <v> </v>
      </c>
      <c r="D55" s="50" t="str">
        <f>IF(ISNA(VLOOKUP($B55,CPY!$B:$G,3,FALSE))=TRUE," ",VLOOKUP($B55,CPY!$B:$G,3,FALSE))</f>
        <v> </v>
      </c>
      <c r="E55" s="65" t="str">
        <f>IF(ISNA(VLOOKUP($B55,CPY!$B:$G,4,FALSE))=TRUE," ",VLOOKUP($B55,CPY!$B:$G,4,FALSE))</f>
        <v> </v>
      </c>
      <c r="F55" s="62"/>
      <c r="G55" s="75"/>
      <c r="H55" s="75"/>
      <c r="I55" s="62"/>
    </row>
    <row r="56" spans="1:9" x14ac:dyDescent="0.25">
      <c r="A56" s="62">
        <v>55</v>
      </c>
      <c r="B56" s="62"/>
      <c r="C56" s="68" t="str">
        <f>IF(ISNA(VLOOKUP($B56,CPY!$B:$G,2,FALSE))=TRUE," ",VLOOKUP($B56,CPY!$B:$G,2,FALSE))</f>
        <v> </v>
      </c>
      <c r="D56" s="50" t="str">
        <f>IF(ISNA(VLOOKUP($B56,CPY!$B:$G,3,FALSE))=TRUE," ",VLOOKUP($B56,CPY!$B:$G,3,FALSE))</f>
        <v> </v>
      </c>
      <c r="E56" s="65" t="str">
        <f>IF(ISNA(VLOOKUP($B56,CPY!$B:$G,4,FALSE))=TRUE," ",VLOOKUP($B56,CPY!$B:$G,4,FALSE))</f>
        <v> </v>
      </c>
      <c r="F56" s="62"/>
      <c r="G56" s="75"/>
      <c r="H56" s="75"/>
      <c r="I56" s="62"/>
    </row>
    <row r="57" spans="1:9" x14ac:dyDescent="0.25">
      <c r="A57" s="62">
        <v>56</v>
      </c>
      <c r="B57" s="62"/>
      <c r="C57" s="68" t="str">
        <f>IF(ISNA(VLOOKUP($B57,CPY!$B:$G,2,FALSE))=TRUE," ",VLOOKUP($B57,CPY!$B:$G,2,FALSE))</f>
        <v> </v>
      </c>
      <c r="D57" s="50" t="str">
        <f>IF(ISNA(VLOOKUP($B57,CPY!$B:$G,3,FALSE))=TRUE," ",VLOOKUP($B57,CPY!$B:$G,3,FALSE))</f>
        <v> </v>
      </c>
      <c r="E57" s="65" t="str">
        <f>IF(ISNA(VLOOKUP($B57,CPY!$B:$G,4,FALSE))=TRUE," ",VLOOKUP($B57,CPY!$B:$G,4,FALSE))</f>
        <v> </v>
      </c>
      <c r="F57" s="62"/>
      <c r="G57" s="75"/>
      <c r="H57" s="75"/>
      <c r="I57" s="62"/>
    </row>
    <row r="58" spans="1:9" x14ac:dyDescent="0.25">
      <c r="A58" s="62">
        <v>57</v>
      </c>
      <c r="B58" s="62"/>
      <c r="C58" s="68" t="str">
        <f>IF(ISNA(VLOOKUP($B58,CPY!$B:$G,2,FALSE))=TRUE," ",VLOOKUP($B58,CPY!$B:$G,2,FALSE))</f>
        <v> </v>
      </c>
      <c r="D58" s="50" t="str">
        <f>IF(ISNA(VLOOKUP($B58,CPY!$B:$G,3,FALSE))=TRUE," ",VLOOKUP($B58,CPY!$B:$G,3,FALSE))</f>
        <v> </v>
      </c>
      <c r="E58" s="65" t="str">
        <f>IF(ISNA(VLOOKUP($B58,CPY!$B:$G,4,FALSE))=TRUE," ",VLOOKUP($B58,CPY!$B:$G,4,FALSE))</f>
        <v> </v>
      </c>
      <c r="F58" s="62"/>
      <c r="G58" s="75"/>
      <c r="H58" s="75"/>
      <c r="I58" s="62"/>
    </row>
    <row r="59" spans="1:9" x14ac:dyDescent="0.25">
      <c r="A59" s="62">
        <v>58</v>
      </c>
      <c r="B59" s="62"/>
      <c r="C59" s="68" t="str">
        <f>IF(ISNA(VLOOKUP($B59,CPY!$B:$G,2,FALSE))=TRUE," ",VLOOKUP($B59,CPY!$B:$G,2,FALSE))</f>
        <v> </v>
      </c>
      <c r="D59" s="50" t="str">
        <f>IF(ISNA(VLOOKUP($B59,CPY!$B:$G,3,FALSE))=TRUE," ",VLOOKUP($B59,CPY!$B:$G,3,FALSE))</f>
        <v> </v>
      </c>
      <c r="E59" s="65" t="str">
        <f>IF(ISNA(VLOOKUP($B59,CPY!$B:$G,4,FALSE))=TRUE," ",VLOOKUP($B59,CPY!$B:$G,4,FALSE))</f>
        <v> </v>
      </c>
      <c r="F59" s="62"/>
      <c r="G59" s="75"/>
      <c r="H59" s="75"/>
      <c r="I59" s="62"/>
    </row>
    <row r="60" spans="1:9" x14ac:dyDescent="0.25">
      <c r="A60" s="62">
        <v>59</v>
      </c>
      <c r="B60" s="62"/>
      <c r="C60" s="68" t="str">
        <f>IF(ISNA(VLOOKUP($B60,CPY!$B:$G,2,FALSE))=TRUE," ",VLOOKUP($B60,CPY!$B:$G,2,FALSE))</f>
        <v> </v>
      </c>
      <c r="D60" s="50" t="str">
        <f>IF(ISNA(VLOOKUP($B60,CPY!$B:$G,3,FALSE))=TRUE," ",VLOOKUP($B60,CPY!$B:$G,3,FALSE))</f>
        <v> </v>
      </c>
      <c r="E60" s="65" t="str">
        <f>IF(ISNA(VLOOKUP($B60,CPY!$B:$G,4,FALSE))=TRUE," ",VLOOKUP($B60,CPY!$B:$G,4,FALSE))</f>
        <v> </v>
      </c>
      <c r="F60" s="62"/>
      <c r="G60" s="75"/>
      <c r="H60" s="75"/>
      <c r="I60" s="62"/>
    </row>
    <row r="61" spans="1:9" x14ac:dyDescent="0.25">
      <c r="A61" s="62">
        <v>60</v>
      </c>
      <c r="B61" s="62"/>
      <c r="C61" s="68" t="str">
        <f>IF(ISNA(VLOOKUP($B61,CPY!$B:$G,2,FALSE))=TRUE," ",VLOOKUP($B61,CPY!$B:$G,2,FALSE))</f>
        <v> </v>
      </c>
      <c r="D61" s="50" t="str">
        <f>IF(ISNA(VLOOKUP($B61,CPY!$B:$G,3,FALSE))=TRUE," ",VLOOKUP($B61,CPY!$B:$G,3,FALSE))</f>
        <v> </v>
      </c>
      <c r="E61" s="65" t="str">
        <f>IF(ISNA(VLOOKUP($B61,CPY!$B:$G,4,FALSE))=TRUE," ",VLOOKUP($B61,CPY!$B:$G,4,FALSE))</f>
        <v> </v>
      </c>
      <c r="F61" s="62"/>
      <c r="G61" s="75"/>
      <c r="H61" s="75"/>
      <c r="I61" s="62"/>
    </row>
    <row r="62" spans="1:9" x14ac:dyDescent="0.25">
      <c r="A62" s="62">
        <v>61</v>
      </c>
      <c r="B62" s="62"/>
      <c r="C62" s="68" t="str">
        <f>IF(ISNA(VLOOKUP($B62,CPY!$B:$G,2,FALSE))=TRUE," ",VLOOKUP($B62,CPY!$B:$G,2,FALSE))</f>
        <v> </v>
      </c>
      <c r="D62" s="50" t="str">
        <f>IF(ISNA(VLOOKUP($B62,CPY!$B:$G,3,FALSE))=TRUE," ",VLOOKUP($B62,CPY!$B:$G,3,FALSE))</f>
        <v> </v>
      </c>
      <c r="E62" s="65" t="str">
        <f>IF(ISNA(VLOOKUP($B62,CPY!$B:$G,4,FALSE))=TRUE," ",VLOOKUP($B62,CPY!$B:$G,4,FALSE))</f>
        <v> </v>
      </c>
      <c r="F62" s="62"/>
      <c r="G62" s="75"/>
      <c r="H62" s="75"/>
      <c r="I62" s="62"/>
    </row>
    <row r="63" spans="1:9" x14ac:dyDescent="0.25">
      <c r="A63" s="62">
        <v>62</v>
      </c>
      <c r="B63" s="62"/>
      <c r="C63" s="68" t="str">
        <f>IF(ISNA(VLOOKUP($B63,CPY!$B:$G,2,FALSE))=TRUE," ",VLOOKUP($B63,CPY!$B:$G,2,FALSE))</f>
        <v> </v>
      </c>
      <c r="D63" s="50" t="str">
        <f>IF(ISNA(VLOOKUP($B63,CPY!$B:$G,3,FALSE))=TRUE," ",VLOOKUP($B63,CPY!$B:$G,3,FALSE))</f>
        <v> </v>
      </c>
      <c r="E63" s="65" t="str">
        <f>IF(ISNA(VLOOKUP($B63,CPY!$B:$G,4,FALSE))=TRUE," ",VLOOKUP($B63,CPY!$B:$G,4,FALSE))</f>
        <v> </v>
      </c>
      <c r="F63" s="62"/>
      <c r="G63" s="75"/>
      <c r="H63" s="75"/>
      <c r="I63" s="62"/>
    </row>
    <row r="64" spans="1:9" x14ac:dyDescent="0.25">
      <c r="A64" s="62">
        <v>63</v>
      </c>
      <c r="B64" s="62"/>
      <c r="C64" s="68" t="str">
        <f>IF(ISNA(VLOOKUP($B64,CPY!$B:$G,2,FALSE))=TRUE," ",VLOOKUP($B64,CPY!$B:$G,2,FALSE))</f>
        <v> </v>
      </c>
      <c r="D64" s="50" t="str">
        <f>IF(ISNA(VLOOKUP($B64,CPY!$B:$G,3,FALSE))=TRUE," ",VLOOKUP($B64,CPY!$B:$G,3,FALSE))</f>
        <v> </v>
      </c>
      <c r="E64" s="65" t="str">
        <f>IF(ISNA(VLOOKUP($B64,CPY!$B:$G,4,FALSE))=TRUE," ",VLOOKUP($B64,CPY!$B:$G,4,FALSE))</f>
        <v> </v>
      </c>
      <c r="F64" s="62"/>
      <c r="G64" s="75"/>
      <c r="H64" s="75"/>
      <c r="I64" s="62"/>
    </row>
    <row r="65" spans="1:9" x14ac:dyDescent="0.25">
      <c r="A65" s="62">
        <v>64</v>
      </c>
      <c r="B65" s="62"/>
      <c r="C65" s="68" t="str">
        <f>IF(ISNA(VLOOKUP($B65,CPY!$B:$G,2,FALSE))=TRUE," ",VLOOKUP($B65,CPY!$B:$G,2,FALSE))</f>
        <v> </v>
      </c>
      <c r="D65" s="50" t="str">
        <f>IF(ISNA(VLOOKUP($B65,CPY!$B:$G,3,FALSE))=TRUE," ",VLOOKUP($B65,CPY!$B:$G,3,FALSE))</f>
        <v> </v>
      </c>
      <c r="E65" s="65" t="str">
        <f>IF(ISNA(VLOOKUP($B65,CPY!$B:$G,4,FALSE))=TRUE," ",VLOOKUP($B65,CPY!$B:$G,4,FALSE))</f>
        <v> </v>
      </c>
      <c r="F65" s="62"/>
      <c r="G65" s="75"/>
      <c r="H65" s="75"/>
      <c r="I65" s="62"/>
    </row>
    <row r="66" spans="1:9" x14ac:dyDescent="0.25">
      <c r="A66" s="62">
        <v>65</v>
      </c>
      <c r="B66" s="62"/>
      <c r="C66" s="68" t="str">
        <f>IF(ISNA(VLOOKUP($B66,CPY!$B:$G,2,FALSE))=TRUE," ",VLOOKUP($B66,CPY!$B:$G,2,FALSE))</f>
        <v> </v>
      </c>
      <c r="D66" s="50" t="str">
        <f>IF(ISNA(VLOOKUP($B66,CPY!$B:$G,3,FALSE))=TRUE," ",VLOOKUP($B66,CPY!$B:$G,3,FALSE))</f>
        <v> </v>
      </c>
      <c r="E66" s="65" t="str">
        <f>IF(ISNA(VLOOKUP($B66,CPY!$B:$G,4,FALSE))=TRUE," ",VLOOKUP($B66,CPY!$B:$G,4,FALSE))</f>
        <v> </v>
      </c>
      <c r="F66" s="62"/>
      <c r="G66" s="75"/>
      <c r="H66" s="75"/>
      <c r="I66" s="62"/>
    </row>
    <row r="67" spans="1:9" x14ac:dyDescent="0.25">
      <c r="A67" s="62">
        <v>66</v>
      </c>
      <c r="B67" s="62"/>
      <c r="C67" s="68" t="str">
        <f>IF(ISNA(VLOOKUP($B67,CPY!$B:$G,2,FALSE))=TRUE," ",VLOOKUP($B67,CPY!$B:$G,2,FALSE))</f>
        <v> </v>
      </c>
      <c r="D67" s="50" t="str">
        <f>IF(ISNA(VLOOKUP($B67,CPY!$B:$G,3,FALSE))=TRUE," ",VLOOKUP($B67,CPY!$B:$G,3,FALSE))</f>
        <v> </v>
      </c>
      <c r="E67" s="65" t="str">
        <f>IF(ISNA(VLOOKUP($B67,CPY!$B:$G,4,FALSE))=TRUE," ",VLOOKUP($B67,CPY!$B:$G,4,FALSE))</f>
        <v> </v>
      </c>
      <c r="F67" s="62"/>
      <c r="G67" s="75"/>
      <c r="H67" s="75"/>
      <c r="I67" s="62"/>
    </row>
    <row r="68" spans="1:9" x14ac:dyDescent="0.25">
      <c r="A68" s="62">
        <v>67</v>
      </c>
      <c r="B68" s="62"/>
      <c r="C68" s="68" t="str">
        <f>IF(ISNA(VLOOKUP($B68,CPY!$B:$G,2,FALSE))=TRUE," ",VLOOKUP($B68,CPY!$B:$G,2,FALSE))</f>
        <v> </v>
      </c>
      <c r="D68" s="50" t="str">
        <f>IF(ISNA(VLOOKUP($B68,CPY!$B:$G,3,FALSE))=TRUE," ",VLOOKUP($B68,CPY!$B:$G,3,FALSE))</f>
        <v> </v>
      </c>
      <c r="E68" s="65" t="str">
        <f>IF(ISNA(VLOOKUP($B68,CPY!$B:$G,4,FALSE))=TRUE," ",VLOOKUP($B68,CPY!$B:$G,4,FALSE))</f>
        <v> </v>
      </c>
      <c r="F68" s="62"/>
      <c r="G68" s="75"/>
      <c r="H68" s="75"/>
      <c r="I68" s="62"/>
    </row>
    <row r="69" spans="1:9" x14ac:dyDescent="0.25">
      <c r="A69" s="62">
        <v>68</v>
      </c>
      <c r="B69" s="62"/>
      <c r="C69" s="68" t="str">
        <f>IF(ISNA(VLOOKUP($B69,CPY!$B:$G,2,FALSE))=TRUE," ",VLOOKUP($B69,CPY!$B:$G,2,FALSE))</f>
        <v> </v>
      </c>
      <c r="D69" s="50" t="str">
        <f>IF(ISNA(VLOOKUP($B69,CPY!$B:$G,3,FALSE))=TRUE," ",VLOOKUP($B69,CPY!$B:$G,3,FALSE))</f>
        <v> </v>
      </c>
      <c r="E69" s="65" t="str">
        <f>IF(ISNA(VLOOKUP($B69,CPY!$B:$G,4,FALSE))=TRUE," ",VLOOKUP($B69,CPY!$B:$G,4,FALSE))</f>
        <v> </v>
      </c>
      <c r="F69" s="62"/>
      <c r="G69" s="75"/>
      <c r="H69" s="75"/>
      <c r="I69" s="62"/>
    </row>
    <row r="70" spans="1:9" x14ac:dyDescent="0.25">
      <c r="A70" s="62">
        <v>69</v>
      </c>
      <c r="B70" s="62"/>
      <c r="C70" s="68" t="str">
        <f>IF(ISNA(VLOOKUP($B70,CPY!$B:$G,2,FALSE))=TRUE," ",VLOOKUP($B70,CPY!$B:$G,2,FALSE))</f>
        <v> </v>
      </c>
      <c r="D70" s="50" t="str">
        <f>IF(ISNA(VLOOKUP($B70,CPY!$B:$G,3,FALSE))=TRUE," ",VLOOKUP($B70,CPY!$B:$G,3,FALSE))</f>
        <v> </v>
      </c>
      <c r="E70" s="65" t="str">
        <f>IF(ISNA(VLOOKUP($B70,CPY!$B:$G,4,FALSE))=TRUE," ",VLOOKUP($B70,CPY!$B:$G,4,FALSE))</f>
        <v> </v>
      </c>
      <c r="F70" s="62"/>
      <c r="G70" s="75"/>
      <c r="H70" s="75"/>
      <c r="I70" s="62"/>
    </row>
    <row r="71" spans="1:9" x14ac:dyDescent="0.25">
      <c r="A71" s="62">
        <v>70</v>
      </c>
      <c r="B71" s="62"/>
      <c r="C71" s="68" t="str">
        <f>IF(ISNA(VLOOKUP($B71,CPY!$B:$G,2,FALSE))=TRUE," ",VLOOKUP($B71,CPY!$B:$G,2,FALSE))</f>
        <v> </v>
      </c>
      <c r="D71" s="50" t="str">
        <f>IF(ISNA(VLOOKUP($B71,CPY!$B:$G,3,FALSE))=TRUE," ",VLOOKUP($B71,CPY!$B:$G,3,FALSE))</f>
        <v> </v>
      </c>
      <c r="E71" s="65" t="str">
        <f>IF(ISNA(VLOOKUP($B71,CPY!$B:$G,4,FALSE))=TRUE," ",VLOOKUP($B71,CPY!$B:$G,4,FALSE))</f>
        <v> </v>
      </c>
      <c r="F71" s="62"/>
      <c r="G71" s="75"/>
      <c r="H71" s="75"/>
      <c r="I71" s="62"/>
    </row>
    <row r="72" spans="1:9" x14ac:dyDescent="0.25">
      <c r="A72" s="62">
        <v>71</v>
      </c>
      <c r="B72" s="62"/>
      <c r="C72" s="68" t="str">
        <f>IF(ISNA(VLOOKUP($B72,CPY!$B:$G,2,FALSE))=TRUE," ",VLOOKUP($B72,CPY!$B:$G,2,FALSE))</f>
        <v> </v>
      </c>
      <c r="D72" s="50" t="str">
        <f>IF(ISNA(VLOOKUP($B72,CPY!$B:$G,3,FALSE))=TRUE," ",VLOOKUP($B72,CPY!$B:$G,3,FALSE))</f>
        <v> </v>
      </c>
      <c r="E72" s="65" t="str">
        <f>IF(ISNA(VLOOKUP($B72,CPY!$B:$G,4,FALSE))=TRUE," ",VLOOKUP($B72,CPY!$B:$G,4,FALSE))</f>
        <v> </v>
      </c>
      <c r="F72" s="62"/>
      <c r="G72" s="75"/>
      <c r="H72" s="75"/>
      <c r="I72" s="62"/>
    </row>
    <row r="73" spans="1:9" x14ac:dyDescent="0.25">
      <c r="A73" s="62">
        <v>72</v>
      </c>
      <c r="B73" s="62"/>
      <c r="C73" s="68" t="str">
        <f>IF(ISNA(VLOOKUP($B73,CPY!$B:$G,2,FALSE))=TRUE," ",VLOOKUP($B73,CPY!$B:$G,2,FALSE))</f>
        <v> </v>
      </c>
      <c r="D73" s="50" t="str">
        <f>IF(ISNA(VLOOKUP($B73,CPY!$B:$G,3,FALSE))=TRUE," ",VLOOKUP($B73,CPY!$B:$G,3,FALSE))</f>
        <v> </v>
      </c>
      <c r="E73" s="65" t="str">
        <f>IF(ISNA(VLOOKUP($B73,CPY!$B:$G,4,FALSE))=TRUE," ",VLOOKUP($B73,CPY!$B:$G,4,FALSE))</f>
        <v> </v>
      </c>
      <c r="F73" s="62"/>
      <c r="G73" s="75"/>
      <c r="H73" s="75"/>
      <c r="I73" s="62"/>
    </row>
    <row r="74" spans="1:9" x14ac:dyDescent="0.25">
      <c r="A74" s="62">
        <v>73</v>
      </c>
      <c r="B74" s="62"/>
      <c r="C74" s="68" t="str">
        <f>IF(ISNA(VLOOKUP($B74,CPY!$B:$G,2,FALSE))=TRUE," ",VLOOKUP($B74,CPY!$B:$G,2,FALSE))</f>
        <v> </v>
      </c>
      <c r="D74" s="50" t="str">
        <f>IF(ISNA(VLOOKUP($B74,CPY!$B:$G,3,FALSE))=TRUE," ",VLOOKUP($B74,CPY!$B:$G,3,FALSE))</f>
        <v> </v>
      </c>
      <c r="E74" s="65" t="str">
        <f>IF(ISNA(VLOOKUP($B74,CPY!$B:$G,4,FALSE))=TRUE," ",VLOOKUP($B74,CPY!$B:$G,4,FALSE))</f>
        <v> </v>
      </c>
      <c r="F74" s="62"/>
      <c r="G74" s="75"/>
      <c r="H74" s="75"/>
      <c r="I74" s="62"/>
    </row>
    <row r="75" spans="1:9" x14ac:dyDescent="0.25">
      <c r="A75" s="62">
        <v>74</v>
      </c>
      <c r="B75" s="62"/>
      <c r="C75" s="68" t="str">
        <f>IF(ISNA(VLOOKUP($B75,CPY!$B:$G,2,FALSE))=TRUE," ",VLOOKUP($B75,CPY!$B:$G,2,FALSE))</f>
        <v> </v>
      </c>
      <c r="D75" s="50" t="str">
        <f>IF(ISNA(VLOOKUP($B75,CPY!$B:$G,3,FALSE))=TRUE," ",VLOOKUP($B75,CPY!$B:$G,3,FALSE))</f>
        <v> </v>
      </c>
      <c r="E75" s="65" t="str">
        <f>IF(ISNA(VLOOKUP($B75,CPY!$B:$G,4,FALSE))=TRUE," ",VLOOKUP($B75,CPY!$B:$G,4,FALSE))</f>
        <v> </v>
      </c>
      <c r="F75" s="62"/>
      <c r="G75" s="75"/>
      <c r="H75" s="75"/>
      <c r="I75" s="62"/>
    </row>
    <row r="76" spans="1:9" x14ac:dyDescent="0.25">
      <c r="A76" s="62">
        <v>75</v>
      </c>
      <c r="B76" s="62"/>
      <c r="C76" s="68" t="str">
        <f>IF(ISNA(VLOOKUP($B76,CPY!$B:$G,2,FALSE))=TRUE," ",VLOOKUP($B76,CPY!$B:$G,2,FALSE))</f>
        <v> </v>
      </c>
      <c r="D76" s="50" t="str">
        <f>IF(ISNA(VLOOKUP($B76,CPY!$B:$G,3,FALSE))=TRUE," ",VLOOKUP($B76,CPY!$B:$G,3,FALSE))</f>
        <v> </v>
      </c>
      <c r="E76" s="65" t="str">
        <f>IF(ISNA(VLOOKUP($B76,CPY!$B:$G,4,FALSE))=TRUE," ",VLOOKUP($B76,CPY!$B:$G,4,FALSE))</f>
        <v> </v>
      </c>
      <c r="F76" s="62"/>
      <c r="G76" s="75"/>
      <c r="H76" s="75"/>
      <c r="I76" s="62"/>
    </row>
    <row r="77" spans="1:9" x14ac:dyDescent="0.25">
      <c r="A77" s="62">
        <v>76</v>
      </c>
      <c r="B77" s="62"/>
      <c r="C77" s="68" t="str">
        <f>IF(ISNA(VLOOKUP($B77,CPY!$B:$G,2,FALSE))=TRUE," ",VLOOKUP($B77,CPY!$B:$G,2,FALSE))</f>
        <v> </v>
      </c>
      <c r="D77" s="50" t="str">
        <f>IF(ISNA(VLOOKUP($B77,CPY!$B:$G,3,FALSE))=TRUE," ",VLOOKUP($B77,CPY!$B:$G,3,FALSE))</f>
        <v> </v>
      </c>
      <c r="E77" s="65" t="str">
        <f>IF(ISNA(VLOOKUP($B77,CPY!$B:$G,4,FALSE))=TRUE," ",VLOOKUP($B77,CPY!$B:$G,4,FALSE))</f>
        <v> </v>
      </c>
      <c r="F77" s="62"/>
      <c r="G77" s="75"/>
      <c r="H77" s="75"/>
      <c r="I77" s="62"/>
    </row>
    <row r="78" spans="1:9" x14ac:dyDescent="0.25">
      <c r="A78" s="62">
        <v>77</v>
      </c>
      <c r="B78" s="62"/>
      <c r="C78" s="68" t="str">
        <f>IF(ISNA(VLOOKUP($B78,CPY!$B:$G,2,FALSE))=TRUE," ",VLOOKUP($B78,CPY!$B:$G,2,FALSE))</f>
        <v> </v>
      </c>
      <c r="D78" s="50" t="str">
        <f>IF(ISNA(VLOOKUP($B78,CPY!$B:$G,3,FALSE))=TRUE," ",VLOOKUP($B78,CPY!$B:$G,3,FALSE))</f>
        <v> </v>
      </c>
      <c r="E78" s="65" t="str">
        <f>IF(ISNA(VLOOKUP($B78,CPY!$B:$G,4,FALSE))=TRUE," ",VLOOKUP($B78,CPY!$B:$G,4,FALSE))</f>
        <v> </v>
      </c>
      <c r="F78" s="62"/>
      <c r="G78" s="75"/>
      <c r="H78" s="75"/>
      <c r="I78" s="62"/>
    </row>
    <row r="79" spans="1:9" x14ac:dyDescent="0.25">
      <c r="A79" s="62">
        <v>78</v>
      </c>
      <c r="B79" s="62"/>
      <c r="C79" s="68" t="str">
        <f>IF(ISNA(VLOOKUP($B79,CPY!$B:$G,2,FALSE))=TRUE," ",VLOOKUP($B79,CPY!$B:$G,2,FALSE))</f>
        <v> </v>
      </c>
      <c r="D79" s="50" t="str">
        <f>IF(ISNA(VLOOKUP($B79,CPY!$B:$G,3,FALSE))=TRUE," ",VLOOKUP($B79,CPY!$B:$G,3,FALSE))</f>
        <v> </v>
      </c>
      <c r="E79" s="65" t="str">
        <f>IF(ISNA(VLOOKUP($B79,CPY!$B:$G,4,FALSE))=TRUE," ",VLOOKUP($B79,CPY!$B:$G,4,FALSE))</f>
        <v> </v>
      </c>
      <c r="F79" s="62"/>
      <c r="G79" s="75"/>
      <c r="H79" s="75"/>
      <c r="I79" s="62"/>
    </row>
    <row r="80" spans="1:9" x14ac:dyDescent="0.25">
      <c r="A80" s="62">
        <v>79</v>
      </c>
      <c r="B80" s="62"/>
      <c r="C80" s="68" t="str">
        <f>IF(ISNA(VLOOKUP($B80,CPY!$B:$G,2,FALSE))=TRUE," ",VLOOKUP($B80,CPY!$B:$G,2,FALSE))</f>
        <v> </v>
      </c>
      <c r="D80" s="50" t="str">
        <f>IF(ISNA(VLOOKUP($B80,CPY!$B:$G,3,FALSE))=TRUE," ",VLOOKUP($B80,CPY!$B:$G,3,FALSE))</f>
        <v> </v>
      </c>
      <c r="E80" s="65" t="str">
        <f>IF(ISNA(VLOOKUP($B80,CPY!$B:$G,4,FALSE))=TRUE," ",VLOOKUP($B80,CPY!$B:$G,4,FALSE))</f>
        <v> </v>
      </c>
      <c r="F80" s="62"/>
      <c r="G80" s="75"/>
      <c r="H80" s="75"/>
      <c r="I80" s="62"/>
    </row>
    <row r="81" spans="1:9" x14ac:dyDescent="0.25">
      <c r="A81" s="62">
        <v>80</v>
      </c>
      <c r="B81" s="62"/>
      <c r="C81" s="68" t="str">
        <f>IF(ISNA(VLOOKUP($B81,CPY!$B:$G,2,FALSE))=TRUE," ",VLOOKUP($B81,CPY!$B:$G,2,FALSE))</f>
        <v> </v>
      </c>
      <c r="D81" s="50" t="str">
        <f>IF(ISNA(VLOOKUP($B81,CPY!$B:$G,3,FALSE))=TRUE," ",VLOOKUP($B81,CPY!$B:$G,3,FALSE))</f>
        <v> </v>
      </c>
      <c r="E81" s="65" t="str">
        <f>IF(ISNA(VLOOKUP($B81,CPY!$B:$G,4,FALSE))=TRUE," ",VLOOKUP($B81,CPY!$B:$G,4,FALSE))</f>
        <v> </v>
      </c>
      <c r="F81" s="62"/>
      <c r="G81" s="75"/>
      <c r="H81" s="75"/>
      <c r="I81" s="62"/>
    </row>
    <row r="82" spans="1:9" x14ac:dyDescent="0.25">
      <c r="A82" s="62">
        <v>81</v>
      </c>
      <c r="B82" s="62"/>
      <c r="C82" s="68" t="str">
        <f>IF(ISNA(VLOOKUP($B82,CPY!$B:$G,2,FALSE))=TRUE," ",VLOOKUP($B82,CPY!$B:$G,2,FALSE))</f>
        <v> </v>
      </c>
      <c r="D82" s="50" t="str">
        <f>IF(ISNA(VLOOKUP($B82,CPY!$B:$G,3,FALSE))=TRUE," ",VLOOKUP($B82,CPY!$B:$G,3,FALSE))</f>
        <v> </v>
      </c>
      <c r="E82" s="65" t="str">
        <f>IF(ISNA(VLOOKUP($B82,CPY!$B:$G,4,FALSE))=TRUE," ",VLOOKUP($B82,CPY!$B:$G,4,FALSE))</f>
        <v> </v>
      </c>
      <c r="F82" s="62"/>
      <c r="G82" s="75"/>
      <c r="H82" s="75"/>
      <c r="I82" s="62"/>
    </row>
    <row r="83" spans="1:9" x14ac:dyDescent="0.25">
      <c r="A83" s="62">
        <v>82</v>
      </c>
      <c r="B83" s="62"/>
      <c r="C83" s="68" t="str">
        <f>IF(ISNA(VLOOKUP($B83,CPY!$B:$G,2,FALSE))=TRUE," ",VLOOKUP($B83,CPY!$B:$G,2,FALSE))</f>
        <v> </v>
      </c>
      <c r="D83" s="50" t="str">
        <f>IF(ISNA(VLOOKUP($B83,CPY!$B:$G,3,FALSE))=TRUE," ",VLOOKUP($B83,CPY!$B:$G,3,FALSE))</f>
        <v> </v>
      </c>
      <c r="E83" s="65" t="str">
        <f>IF(ISNA(VLOOKUP($B83,CPY!$B:$G,4,FALSE))=TRUE," ",VLOOKUP($B83,CPY!$B:$G,4,FALSE))</f>
        <v> </v>
      </c>
      <c r="F83" s="62"/>
      <c r="G83" s="75"/>
      <c r="H83" s="75"/>
      <c r="I83" s="62"/>
    </row>
    <row r="84" spans="1:9" x14ac:dyDescent="0.25">
      <c r="A84" s="62">
        <v>83</v>
      </c>
      <c r="B84" s="62"/>
      <c r="C84" s="68" t="str">
        <f>IF(ISNA(VLOOKUP($B84,CPY!$B:$G,2,FALSE))=TRUE," ",VLOOKUP($B84,CPY!$B:$G,2,FALSE))</f>
        <v> </v>
      </c>
      <c r="D84" s="50" t="str">
        <f>IF(ISNA(VLOOKUP($B84,CPY!$B:$G,3,FALSE))=TRUE," ",VLOOKUP($B84,CPY!$B:$G,3,FALSE))</f>
        <v> </v>
      </c>
      <c r="E84" s="65" t="str">
        <f>IF(ISNA(VLOOKUP($B84,CPY!$B:$G,4,FALSE))=TRUE," ",VLOOKUP($B84,CPY!$B:$G,4,FALSE))</f>
        <v> </v>
      </c>
      <c r="F84" s="62"/>
      <c r="G84" s="75"/>
      <c r="H84" s="75"/>
      <c r="I84" s="62"/>
    </row>
    <row r="85" spans="1:9" x14ac:dyDescent="0.25">
      <c r="A85" s="62">
        <v>84</v>
      </c>
      <c r="B85" s="62"/>
      <c r="C85" s="68" t="str">
        <f>IF(ISNA(VLOOKUP($B85,CPY!$B:$G,2,FALSE))=TRUE," ",VLOOKUP($B85,CPY!$B:$G,2,FALSE))</f>
        <v> </v>
      </c>
      <c r="D85" s="50" t="str">
        <f>IF(ISNA(VLOOKUP($B85,CPY!$B:$G,3,FALSE))=TRUE," ",VLOOKUP($B85,CPY!$B:$G,3,FALSE))</f>
        <v> </v>
      </c>
      <c r="E85" s="65" t="str">
        <f>IF(ISNA(VLOOKUP($B85,CPY!$B:$G,4,FALSE))=TRUE," ",VLOOKUP($B85,CPY!$B:$G,4,FALSE))</f>
        <v> </v>
      </c>
      <c r="F85" s="62"/>
      <c r="G85" s="75"/>
      <c r="H85" s="75"/>
      <c r="I85" s="62"/>
    </row>
    <row r="86" spans="1:9" x14ac:dyDescent="0.25">
      <c r="A86" s="62">
        <v>85</v>
      </c>
      <c r="B86" s="62"/>
      <c r="C86" s="68" t="str">
        <f>IF(ISNA(VLOOKUP($B86,CPY!$B:$G,2,FALSE))=TRUE," ",VLOOKUP($B86,CPY!$B:$G,2,FALSE))</f>
        <v> </v>
      </c>
      <c r="D86" s="50" t="str">
        <f>IF(ISNA(VLOOKUP($B86,CPY!$B:$G,3,FALSE))=TRUE," ",VLOOKUP($B86,CPY!$B:$G,3,FALSE))</f>
        <v> </v>
      </c>
      <c r="E86" s="65" t="str">
        <f>IF(ISNA(VLOOKUP($B86,CPY!$B:$G,4,FALSE))=TRUE," ",VLOOKUP($B86,CPY!$B:$G,4,FALSE))</f>
        <v> </v>
      </c>
      <c r="F86" s="62"/>
      <c r="G86" s="75"/>
      <c r="H86" s="75"/>
      <c r="I86" s="62"/>
    </row>
    <row r="87" spans="1:9" x14ac:dyDescent="0.25">
      <c r="A87" s="62">
        <v>86</v>
      </c>
      <c r="B87" s="62"/>
      <c r="C87" s="68" t="str">
        <f>IF(ISNA(VLOOKUP($B87,CPY!$B:$G,2,FALSE))=TRUE," ",VLOOKUP($B87,CPY!$B:$G,2,FALSE))</f>
        <v> </v>
      </c>
      <c r="D87" s="50" t="str">
        <f>IF(ISNA(VLOOKUP($B87,CPY!$B:$G,3,FALSE))=TRUE," ",VLOOKUP($B87,CPY!$B:$G,3,FALSE))</f>
        <v> </v>
      </c>
      <c r="E87" s="65" t="str">
        <f>IF(ISNA(VLOOKUP($B87,CPY!$B:$G,4,FALSE))=TRUE," ",VLOOKUP($B87,CPY!$B:$G,4,FALSE))</f>
        <v> </v>
      </c>
      <c r="F87" s="62"/>
      <c r="G87" s="75"/>
      <c r="H87" s="75"/>
      <c r="I87" s="62"/>
    </row>
    <row r="88" spans="1:9" x14ac:dyDescent="0.25">
      <c r="A88" s="62">
        <v>87</v>
      </c>
      <c r="B88" s="62"/>
      <c r="C88" s="68" t="str">
        <f>IF(ISNA(VLOOKUP($B88,CPY!$B:$G,2,FALSE))=TRUE," ",VLOOKUP($B88,CPY!$B:$G,2,FALSE))</f>
        <v> </v>
      </c>
      <c r="D88" s="50" t="str">
        <f>IF(ISNA(VLOOKUP($B88,CPY!$B:$G,3,FALSE))=TRUE," ",VLOOKUP($B88,CPY!$B:$G,3,FALSE))</f>
        <v> </v>
      </c>
      <c r="E88" s="65" t="str">
        <f>IF(ISNA(VLOOKUP($B88,CPY!$B:$G,4,FALSE))=TRUE," ",VLOOKUP($B88,CPY!$B:$G,4,FALSE))</f>
        <v> </v>
      </c>
      <c r="F88" s="62"/>
      <c r="G88" s="75"/>
      <c r="H88" s="75"/>
      <c r="I88" s="62"/>
    </row>
    <row r="89" spans="1:9" x14ac:dyDescent="0.25">
      <c r="A89" s="62">
        <v>88</v>
      </c>
      <c r="B89" s="62"/>
      <c r="C89" s="68" t="str">
        <f>IF(ISNA(VLOOKUP($B89,CPY!$B:$G,2,FALSE))=TRUE," ",VLOOKUP($B89,CPY!$B:$G,2,FALSE))</f>
        <v> </v>
      </c>
      <c r="D89" s="50" t="str">
        <f>IF(ISNA(VLOOKUP($B89,CPY!$B:$G,3,FALSE))=TRUE," ",VLOOKUP($B89,CPY!$B:$G,3,FALSE))</f>
        <v> </v>
      </c>
      <c r="E89" s="65" t="str">
        <f>IF(ISNA(VLOOKUP($B89,CPY!$B:$G,4,FALSE))=TRUE," ",VLOOKUP($B89,CPY!$B:$G,4,FALSE))</f>
        <v> </v>
      </c>
      <c r="F89" s="62"/>
      <c r="G89" s="75"/>
      <c r="H89" s="75"/>
      <c r="I89" s="62"/>
    </row>
    <row r="90" spans="1:9" x14ac:dyDescent="0.25">
      <c r="A90" s="62">
        <v>89</v>
      </c>
      <c r="B90" s="62"/>
      <c r="C90" s="68" t="str">
        <f>IF(ISNA(VLOOKUP($B90,CPY!$B:$G,2,FALSE))=TRUE," ",VLOOKUP($B90,CPY!$B:$G,2,FALSE))</f>
        <v> </v>
      </c>
      <c r="D90" s="50" t="str">
        <f>IF(ISNA(VLOOKUP($B90,CPY!$B:$G,3,FALSE))=TRUE," ",VLOOKUP($B90,CPY!$B:$G,3,FALSE))</f>
        <v> </v>
      </c>
      <c r="E90" s="65" t="str">
        <f>IF(ISNA(VLOOKUP($B90,CPY!$B:$G,4,FALSE))=TRUE," ",VLOOKUP($B90,CPY!$B:$G,4,FALSE))</f>
        <v> </v>
      </c>
      <c r="F90" s="62"/>
      <c r="G90" s="75"/>
      <c r="H90" s="75"/>
      <c r="I90" s="62"/>
    </row>
    <row r="91" spans="1:9" x14ac:dyDescent="0.25">
      <c r="A91" s="62">
        <v>90</v>
      </c>
      <c r="B91" s="62"/>
      <c r="C91" s="68" t="str">
        <f>IF(ISNA(VLOOKUP($B91,CPY!$B:$G,2,FALSE))=TRUE," ",VLOOKUP($B91,CPY!$B:$G,2,FALSE))</f>
        <v> </v>
      </c>
      <c r="D91" s="50" t="str">
        <f>IF(ISNA(VLOOKUP($B91,CPY!$B:$G,3,FALSE))=TRUE," ",VLOOKUP($B91,CPY!$B:$G,3,FALSE))</f>
        <v> </v>
      </c>
      <c r="E91" s="65" t="str">
        <f>IF(ISNA(VLOOKUP($B91,CPY!$B:$G,4,FALSE))=TRUE," ",VLOOKUP($B91,CPY!$B:$G,4,FALSE))</f>
        <v> </v>
      </c>
      <c r="F91" s="62"/>
      <c r="G91" s="75"/>
      <c r="H91" s="75"/>
      <c r="I91" s="62"/>
    </row>
    <row r="92" spans="1:9" x14ac:dyDescent="0.25">
      <c r="A92" s="62">
        <v>91</v>
      </c>
      <c r="B92" s="62"/>
      <c r="C92" s="68" t="str">
        <f>IF(ISNA(VLOOKUP($B92,CPY!$B:$G,2,FALSE))=TRUE," ",VLOOKUP($B92,CPY!$B:$G,2,FALSE))</f>
        <v> </v>
      </c>
      <c r="D92" s="50" t="str">
        <f>IF(ISNA(VLOOKUP($B92,CPY!$B:$G,3,FALSE))=TRUE," ",VLOOKUP($B92,CPY!$B:$G,3,FALSE))</f>
        <v> </v>
      </c>
      <c r="E92" s="65" t="str">
        <f>IF(ISNA(VLOOKUP($B92,CPY!$B:$G,4,FALSE))=TRUE," ",VLOOKUP($B92,CPY!$B:$G,4,FALSE))</f>
        <v> </v>
      </c>
      <c r="F92" s="62"/>
      <c r="G92" s="75"/>
      <c r="H92" s="75"/>
      <c r="I92" s="62"/>
    </row>
    <row r="93" spans="1:9" x14ac:dyDescent="0.25">
      <c r="A93" s="62">
        <v>92</v>
      </c>
      <c r="B93" s="62"/>
      <c r="C93" s="68" t="str">
        <f>IF(ISNA(VLOOKUP($B93,CPY!$B:$G,2,FALSE))=TRUE," ",VLOOKUP($B93,CPY!$B:$G,2,FALSE))</f>
        <v> </v>
      </c>
      <c r="D93" s="50" t="str">
        <f>IF(ISNA(VLOOKUP($B93,CPY!$B:$G,3,FALSE))=TRUE," ",VLOOKUP($B93,CPY!$B:$G,3,FALSE))</f>
        <v> </v>
      </c>
      <c r="E93" s="65" t="str">
        <f>IF(ISNA(VLOOKUP($B93,CPY!$B:$G,4,FALSE))=TRUE," ",VLOOKUP($B93,CPY!$B:$G,4,FALSE))</f>
        <v> </v>
      </c>
      <c r="F93" s="62"/>
      <c r="G93" s="75"/>
      <c r="H93" s="75"/>
      <c r="I93" s="62"/>
    </row>
    <row r="94" spans="1:9" x14ac:dyDescent="0.25">
      <c r="A94" s="62">
        <v>93</v>
      </c>
      <c r="B94" s="62"/>
      <c r="C94" s="68" t="str">
        <f>IF(ISNA(VLOOKUP($B94,CPY!$B:$G,2,FALSE))=TRUE," ",VLOOKUP($B94,CPY!$B:$G,2,FALSE))</f>
        <v> </v>
      </c>
      <c r="D94" s="50" t="str">
        <f>IF(ISNA(VLOOKUP($B94,CPY!$B:$G,3,FALSE))=TRUE," ",VLOOKUP($B94,CPY!$B:$G,3,FALSE))</f>
        <v> </v>
      </c>
      <c r="E94" s="65" t="str">
        <f>IF(ISNA(VLOOKUP($B94,CPY!$B:$G,4,FALSE))=TRUE," ",VLOOKUP($B94,CPY!$B:$G,4,FALSE))</f>
        <v> </v>
      </c>
      <c r="F94" s="62"/>
      <c r="G94" s="75"/>
      <c r="H94" s="75"/>
      <c r="I94" s="62"/>
    </row>
    <row r="95" spans="1:9" x14ac:dyDescent="0.25">
      <c r="A95" s="62">
        <v>94</v>
      </c>
      <c r="B95" s="62"/>
      <c r="C95" s="68" t="str">
        <f>IF(ISNA(VLOOKUP($B95,CPY!$B:$G,2,FALSE))=TRUE," ",VLOOKUP($B95,CPY!$B:$G,2,FALSE))</f>
        <v> </v>
      </c>
      <c r="D95" s="50" t="str">
        <f>IF(ISNA(VLOOKUP($B95,CPY!$B:$G,3,FALSE))=TRUE," ",VLOOKUP($B95,CPY!$B:$G,3,FALSE))</f>
        <v> </v>
      </c>
      <c r="E95" s="65" t="str">
        <f>IF(ISNA(VLOOKUP($B95,CPY!$B:$G,4,FALSE))=TRUE," ",VLOOKUP($B95,CPY!$B:$G,4,FALSE))</f>
        <v> </v>
      </c>
      <c r="F95" s="62"/>
      <c r="G95" s="75"/>
      <c r="H95" s="75"/>
      <c r="I95" s="62"/>
    </row>
    <row r="96" spans="1:9" x14ac:dyDescent="0.25">
      <c r="A96" s="62">
        <v>95</v>
      </c>
      <c r="B96" s="62"/>
      <c r="C96" s="68" t="str">
        <f>IF(ISNA(VLOOKUP($B96,CPY!$B:$G,2,FALSE))=TRUE," ",VLOOKUP($B96,CPY!$B:$G,2,FALSE))</f>
        <v> </v>
      </c>
      <c r="D96" s="50" t="str">
        <f>IF(ISNA(VLOOKUP($B96,CPY!$B:$G,3,FALSE))=TRUE," ",VLOOKUP($B96,CPY!$B:$G,3,FALSE))</f>
        <v> </v>
      </c>
      <c r="E96" s="65" t="str">
        <f>IF(ISNA(VLOOKUP($B96,CPY!$B:$G,4,FALSE))=TRUE," ",VLOOKUP($B96,CPY!$B:$G,4,FALSE))</f>
        <v> </v>
      </c>
      <c r="F96" s="62"/>
      <c r="G96" s="75"/>
      <c r="H96" s="75"/>
      <c r="I96" s="62"/>
    </row>
    <row r="97" spans="1:9" x14ac:dyDescent="0.25">
      <c r="A97" s="62">
        <v>96</v>
      </c>
      <c r="B97" s="62"/>
      <c r="C97" s="68" t="str">
        <f>IF(ISNA(VLOOKUP($B97,CPY!$B:$G,2,FALSE))=TRUE," ",VLOOKUP($B97,CPY!$B:$G,2,FALSE))</f>
        <v> </v>
      </c>
      <c r="D97" s="50" t="str">
        <f>IF(ISNA(VLOOKUP($B97,CPY!$B:$G,3,FALSE))=TRUE," ",VLOOKUP($B97,CPY!$B:$G,3,FALSE))</f>
        <v> </v>
      </c>
      <c r="E97" s="65" t="str">
        <f>IF(ISNA(VLOOKUP($B97,CPY!$B:$G,4,FALSE))=TRUE," ",VLOOKUP($B97,CPY!$B:$G,4,FALSE))</f>
        <v> </v>
      </c>
      <c r="F97" s="62"/>
      <c r="G97" s="75"/>
      <c r="H97" s="75"/>
      <c r="I97" s="62"/>
    </row>
    <row r="98" spans="1:9" x14ac:dyDescent="0.25">
      <c r="A98" s="62">
        <v>97</v>
      </c>
      <c r="B98" s="62"/>
      <c r="C98" s="68" t="str">
        <f>IF(ISNA(VLOOKUP($B98,CPY!$B:$G,2,FALSE))=TRUE," ",VLOOKUP($B98,CPY!$B:$G,2,FALSE))</f>
        <v> </v>
      </c>
      <c r="D98" s="50" t="str">
        <f>IF(ISNA(VLOOKUP($B98,CPY!$B:$G,3,FALSE))=TRUE," ",VLOOKUP($B98,CPY!$B:$G,3,FALSE))</f>
        <v> </v>
      </c>
      <c r="E98" s="65" t="str">
        <f>IF(ISNA(VLOOKUP($B98,CPY!$B:$G,4,FALSE))=TRUE," ",VLOOKUP($B98,CPY!$B:$G,4,FALSE))</f>
        <v> </v>
      </c>
      <c r="F98" s="62"/>
      <c r="G98" s="75"/>
      <c r="H98" s="75"/>
      <c r="I98" s="62"/>
    </row>
    <row r="99" spans="1:9" x14ac:dyDescent="0.25">
      <c r="A99" s="62">
        <v>98</v>
      </c>
      <c r="B99" s="62"/>
      <c r="C99" s="68" t="str">
        <f>IF(ISNA(VLOOKUP($B99,CPY!$B:$G,2,FALSE))=TRUE," ",VLOOKUP($B99,CPY!$B:$G,2,FALSE))</f>
        <v> </v>
      </c>
      <c r="D99" s="50" t="str">
        <f>IF(ISNA(VLOOKUP($B99,CPY!$B:$G,3,FALSE))=TRUE," ",VLOOKUP($B99,CPY!$B:$G,3,FALSE))</f>
        <v> </v>
      </c>
      <c r="E99" s="65" t="str">
        <f>IF(ISNA(VLOOKUP($B99,CPY!$B:$G,4,FALSE))=TRUE," ",VLOOKUP($B99,CPY!$B:$G,4,FALSE))</f>
        <v> </v>
      </c>
      <c r="F99" s="62"/>
      <c r="G99" s="75"/>
      <c r="H99" s="75"/>
      <c r="I99" s="62"/>
    </row>
    <row r="100" spans="1:9" x14ac:dyDescent="0.25">
      <c r="A100" s="62">
        <v>99</v>
      </c>
      <c r="B100" s="62"/>
      <c r="C100" s="68" t="str">
        <f>IF(ISNA(VLOOKUP($B100,CPY!$B:$G,2,FALSE))=TRUE," ",VLOOKUP($B100,CPY!$B:$G,2,FALSE))</f>
        <v> </v>
      </c>
      <c r="D100" s="50" t="str">
        <f>IF(ISNA(VLOOKUP($B100,CPY!$B:$G,3,FALSE))=TRUE," ",VLOOKUP($B100,CPY!$B:$G,3,FALSE))</f>
        <v> </v>
      </c>
      <c r="E100" s="65" t="str">
        <f>IF(ISNA(VLOOKUP($B100,CPY!$B:$G,4,FALSE))=TRUE," ",VLOOKUP($B100,CPY!$B:$G,4,FALSE))</f>
        <v> </v>
      </c>
      <c r="F100" s="62"/>
      <c r="G100" s="75"/>
      <c r="H100" s="75"/>
      <c r="I100" s="62"/>
    </row>
    <row r="101" spans="1:9" x14ac:dyDescent="0.25">
      <c r="A101" s="62">
        <v>100</v>
      </c>
      <c r="B101" s="62"/>
      <c r="C101" s="68" t="str">
        <f>IF(ISNA(VLOOKUP($B101,CPY!$B:$G,2,FALSE))=TRUE," ",VLOOKUP($B101,CPY!$B:$G,2,FALSE))</f>
        <v> </v>
      </c>
      <c r="D101" s="50" t="str">
        <f>IF(ISNA(VLOOKUP($B101,CPY!$B:$G,3,FALSE))=TRUE," ",VLOOKUP($B101,CPY!$B:$G,3,FALSE))</f>
        <v> </v>
      </c>
      <c r="E101" s="65" t="str">
        <f>IF(ISNA(VLOOKUP($B101,CPY!$B:$G,4,FALSE))=TRUE," ",VLOOKUP($B101,CPY!$B:$G,4,FALSE))</f>
        <v> </v>
      </c>
      <c r="F101" s="62"/>
      <c r="G101" s="75"/>
      <c r="H101" s="75"/>
      <c r="I101" s="62"/>
    </row>
    <row r="102" spans="1:9" x14ac:dyDescent="0.25">
      <c r="A102" s="62">
        <v>101</v>
      </c>
      <c r="B102" s="62"/>
      <c r="C102" s="68" t="str">
        <f>IF(ISNA(VLOOKUP($B102,CPY!$B:$G,2,FALSE))=TRUE," ",VLOOKUP($B102,CPY!$B:$G,2,FALSE))</f>
        <v> </v>
      </c>
      <c r="D102" s="50" t="str">
        <f>IF(ISNA(VLOOKUP($B102,CPY!$B:$G,3,FALSE))=TRUE," ",VLOOKUP($B102,CPY!$B:$G,3,FALSE))</f>
        <v> </v>
      </c>
      <c r="E102" s="65" t="str">
        <f>IF(ISNA(VLOOKUP($B102,CPY!$B:$G,4,FALSE))=TRUE," ",VLOOKUP($B102,CPY!$B:$G,4,FALSE))</f>
        <v> </v>
      </c>
      <c r="F102" s="62"/>
      <c r="G102" s="75"/>
      <c r="H102" s="75"/>
      <c r="I102" s="62"/>
    </row>
    <row r="103" spans="1:9" x14ac:dyDescent="0.25">
      <c r="A103" s="62">
        <v>102</v>
      </c>
      <c r="B103" s="62"/>
      <c r="C103" s="68" t="str">
        <f>IF(ISNA(VLOOKUP($B103,CPY!$B:$G,2,FALSE))=TRUE," ",VLOOKUP($B103,CPY!$B:$G,2,FALSE))</f>
        <v> </v>
      </c>
      <c r="D103" s="50" t="str">
        <f>IF(ISNA(VLOOKUP($B103,CPY!$B:$G,3,FALSE))=TRUE," ",VLOOKUP($B103,CPY!$B:$G,3,FALSE))</f>
        <v> </v>
      </c>
      <c r="E103" s="65" t="str">
        <f>IF(ISNA(VLOOKUP($B103,CPY!$B:$G,4,FALSE))=TRUE," ",VLOOKUP($B103,CPY!$B:$G,4,FALSE))</f>
        <v> </v>
      </c>
      <c r="F103" s="62"/>
      <c r="G103" s="75"/>
      <c r="H103" s="75"/>
      <c r="I103" s="62"/>
    </row>
    <row r="104" spans="1:9" x14ac:dyDescent="0.25">
      <c r="A104" s="62">
        <v>103</v>
      </c>
      <c r="B104" s="62"/>
      <c r="C104" s="68" t="str">
        <f>IF(ISNA(VLOOKUP($B104,CPY!$B:$G,2,FALSE))=TRUE," ",VLOOKUP($B104,CPY!$B:$G,2,FALSE))</f>
        <v> </v>
      </c>
      <c r="D104" s="50" t="str">
        <f>IF(ISNA(VLOOKUP($B104,CPY!$B:$G,3,FALSE))=TRUE," ",VLOOKUP($B104,CPY!$B:$G,3,FALSE))</f>
        <v> </v>
      </c>
      <c r="E104" s="65" t="str">
        <f>IF(ISNA(VLOOKUP($B104,CPY!$B:$G,4,FALSE))=TRUE," ",VLOOKUP($B104,CPY!$B:$G,4,FALSE))</f>
        <v> </v>
      </c>
      <c r="F104" s="62"/>
      <c r="G104" s="75"/>
      <c r="H104" s="75"/>
      <c r="I104" s="62"/>
    </row>
    <row r="105" spans="1:9" x14ac:dyDescent="0.25">
      <c r="A105" s="62">
        <v>104</v>
      </c>
      <c r="B105" s="62"/>
      <c r="C105" s="68" t="str">
        <f>IF(ISNA(VLOOKUP($B105,CPY!$B:$G,2,FALSE))=TRUE," ",VLOOKUP($B105,CPY!$B:$G,2,FALSE))</f>
        <v> </v>
      </c>
      <c r="D105" s="50" t="str">
        <f>IF(ISNA(VLOOKUP($B105,CPY!$B:$G,3,FALSE))=TRUE," ",VLOOKUP($B105,CPY!$B:$G,3,FALSE))</f>
        <v> </v>
      </c>
      <c r="E105" s="65" t="str">
        <f>IF(ISNA(VLOOKUP($B105,CPY!$B:$G,4,FALSE))=TRUE," ",VLOOKUP($B105,CPY!$B:$G,4,FALSE))</f>
        <v> </v>
      </c>
      <c r="F105" s="62"/>
      <c r="G105" s="75"/>
      <c r="H105" s="75"/>
      <c r="I105" s="62"/>
    </row>
    <row r="106" spans="1:9" x14ac:dyDescent="0.25">
      <c r="A106" s="62">
        <v>105</v>
      </c>
      <c r="B106" s="62"/>
      <c r="C106" s="68" t="str">
        <f>IF(ISNA(VLOOKUP($B106,CPY!$B:$G,2,FALSE))=TRUE," ",VLOOKUP($B106,CPY!$B:$G,2,FALSE))</f>
        <v> </v>
      </c>
      <c r="D106" s="50" t="str">
        <f>IF(ISNA(VLOOKUP($B106,CPY!$B:$G,3,FALSE))=TRUE," ",VLOOKUP($B106,CPY!$B:$G,3,FALSE))</f>
        <v> </v>
      </c>
      <c r="E106" s="65" t="str">
        <f>IF(ISNA(VLOOKUP($B106,CPY!$B:$G,4,FALSE))=TRUE," ",VLOOKUP($B106,CPY!$B:$G,4,FALSE))</f>
        <v> </v>
      </c>
      <c r="F106" s="62"/>
      <c r="G106" s="75"/>
      <c r="H106" s="75"/>
      <c r="I106" s="62"/>
    </row>
    <row r="107" spans="1:9" x14ac:dyDescent="0.25">
      <c r="A107" s="62">
        <v>106</v>
      </c>
      <c r="B107" s="62"/>
      <c r="C107" s="68" t="str">
        <f>IF(ISNA(VLOOKUP($B107,CPY!$B:$G,2,FALSE))=TRUE," ",VLOOKUP($B107,CPY!$B:$G,2,FALSE))</f>
        <v> </v>
      </c>
      <c r="D107" s="50" t="str">
        <f>IF(ISNA(VLOOKUP($B107,CPY!$B:$G,3,FALSE))=TRUE," ",VLOOKUP($B107,CPY!$B:$G,3,FALSE))</f>
        <v> </v>
      </c>
      <c r="E107" s="65" t="str">
        <f>IF(ISNA(VLOOKUP($B107,CPY!$B:$G,4,FALSE))=TRUE," ",VLOOKUP($B107,CPY!$B:$G,4,FALSE))</f>
        <v> </v>
      </c>
      <c r="F107" s="62"/>
      <c r="G107" s="75"/>
      <c r="H107" s="75"/>
      <c r="I107" s="62"/>
    </row>
    <row r="108" spans="1:9" x14ac:dyDescent="0.25">
      <c r="A108" s="62">
        <v>107</v>
      </c>
      <c r="B108" s="62"/>
      <c r="C108" s="68" t="str">
        <f>IF(ISNA(VLOOKUP($B108,CPY!$B:$G,2,FALSE))=TRUE," ",VLOOKUP($B108,CPY!$B:$G,2,FALSE))</f>
        <v> </v>
      </c>
      <c r="D108" s="50" t="str">
        <f>IF(ISNA(VLOOKUP($B108,CPY!$B:$G,3,FALSE))=TRUE," ",VLOOKUP($B108,CPY!$B:$G,3,FALSE))</f>
        <v> </v>
      </c>
      <c r="E108" s="65" t="str">
        <f>IF(ISNA(VLOOKUP($B108,CPY!$B:$G,4,FALSE))=TRUE," ",VLOOKUP($B108,CPY!$B:$G,4,FALSE))</f>
        <v> </v>
      </c>
      <c r="F108" s="62"/>
      <c r="G108" s="75"/>
      <c r="H108" s="75"/>
      <c r="I108" s="62"/>
    </row>
    <row r="109" spans="1:9" x14ac:dyDescent="0.25">
      <c r="A109" s="62">
        <v>108</v>
      </c>
      <c r="B109" s="62"/>
      <c r="C109" s="68" t="str">
        <f>IF(ISNA(VLOOKUP($B109,CPY!$B:$G,2,FALSE))=TRUE," ",VLOOKUP($B109,CPY!$B:$G,2,FALSE))</f>
        <v> </v>
      </c>
      <c r="D109" s="50" t="str">
        <f>IF(ISNA(VLOOKUP($B109,CPY!$B:$G,3,FALSE))=TRUE," ",VLOOKUP($B109,CPY!$B:$G,3,FALSE))</f>
        <v> </v>
      </c>
      <c r="E109" s="65" t="str">
        <f>IF(ISNA(VLOOKUP($B109,CPY!$B:$G,4,FALSE))=TRUE," ",VLOOKUP($B109,CPY!$B:$G,4,FALSE))</f>
        <v> </v>
      </c>
      <c r="F109" s="62"/>
      <c r="G109" s="75"/>
      <c r="H109" s="75"/>
      <c r="I109" s="62"/>
    </row>
    <row r="110" spans="1:9" x14ac:dyDescent="0.25">
      <c r="A110" s="62">
        <v>109</v>
      </c>
      <c r="B110" s="62"/>
      <c r="C110" s="68" t="str">
        <f>IF(ISNA(VLOOKUP($B110,CPY!$B:$G,2,FALSE))=TRUE," ",VLOOKUP($B110,CPY!$B:$G,2,FALSE))</f>
        <v> </v>
      </c>
      <c r="D110" s="50" t="str">
        <f>IF(ISNA(VLOOKUP($B110,CPY!$B:$G,3,FALSE))=TRUE," ",VLOOKUP($B110,CPY!$B:$G,3,FALSE))</f>
        <v> </v>
      </c>
      <c r="E110" s="65" t="str">
        <f>IF(ISNA(VLOOKUP($B110,CPY!$B:$G,4,FALSE))=TRUE," ",VLOOKUP($B110,CPY!$B:$G,4,FALSE))</f>
        <v> </v>
      </c>
      <c r="F110" s="62"/>
      <c r="G110" s="75"/>
      <c r="H110" s="75"/>
      <c r="I110" s="62"/>
    </row>
    <row r="111" spans="1:9" x14ac:dyDescent="0.25">
      <c r="A111" s="62">
        <v>110</v>
      </c>
      <c r="B111" s="62"/>
      <c r="C111" s="68" t="str">
        <f>IF(ISNA(VLOOKUP($B111,CPY!$B:$G,2,FALSE))=TRUE," ",VLOOKUP($B111,CPY!$B:$G,2,FALSE))</f>
        <v> </v>
      </c>
      <c r="D111" s="50" t="str">
        <f>IF(ISNA(VLOOKUP($B111,CPY!$B:$G,3,FALSE))=TRUE," ",VLOOKUP($B111,CPY!$B:$G,3,FALSE))</f>
        <v> </v>
      </c>
      <c r="E111" s="65" t="str">
        <f>IF(ISNA(VLOOKUP($B111,CPY!$B:$G,4,FALSE))=TRUE," ",VLOOKUP($B111,CPY!$B:$G,4,FALSE))</f>
        <v> </v>
      </c>
      <c r="F111" s="62"/>
      <c r="G111" s="75"/>
      <c r="H111" s="75"/>
      <c r="I111" s="62"/>
    </row>
    <row r="112" spans="1:9" x14ac:dyDescent="0.25">
      <c r="A112" s="62">
        <v>111</v>
      </c>
      <c r="B112" s="62"/>
      <c r="C112" s="68" t="str">
        <f>IF(ISNA(VLOOKUP($B112,CPY!$B:$G,2,FALSE))=TRUE," ",VLOOKUP($B112,CPY!$B:$G,2,FALSE))</f>
        <v> </v>
      </c>
      <c r="D112" s="50" t="str">
        <f>IF(ISNA(VLOOKUP($B112,CPY!$B:$G,3,FALSE))=TRUE," ",VLOOKUP($B112,CPY!$B:$G,3,FALSE))</f>
        <v> </v>
      </c>
      <c r="E112" s="65" t="str">
        <f>IF(ISNA(VLOOKUP($B112,CPY!$B:$G,4,FALSE))=TRUE," ",VLOOKUP($B112,CPY!$B:$G,4,FALSE))</f>
        <v> </v>
      </c>
      <c r="F112" s="62"/>
      <c r="G112" s="75"/>
      <c r="H112" s="75"/>
      <c r="I112" s="62"/>
    </row>
    <row r="113" spans="1:9" x14ac:dyDescent="0.25">
      <c r="A113" s="62">
        <v>112</v>
      </c>
      <c r="B113" s="62"/>
      <c r="C113" s="68" t="str">
        <f>IF(ISNA(VLOOKUP($B113,CPY!$B:$G,2,FALSE))=TRUE," ",VLOOKUP($B113,CPY!$B:$G,2,FALSE))</f>
        <v> </v>
      </c>
      <c r="D113" s="50" t="str">
        <f>IF(ISNA(VLOOKUP($B113,CPY!$B:$G,3,FALSE))=TRUE," ",VLOOKUP($B113,CPY!$B:$G,3,FALSE))</f>
        <v> </v>
      </c>
      <c r="E113" s="65" t="str">
        <f>IF(ISNA(VLOOKUP($B113,CPY!$B:$G,4,FALSE))=TRUE," ",VLOOKUP($B113,CPY!$B:$G,4,FALSE))</f>
        <v> </v>
      </c>
      <c r="F113" s="62"/>
      <c r="G113" s="75"/>
      <c r="H113" s="75"/>
      <c r="I113" s="62"/>
    </row>
    <row r="114" spans="1:9" x14ac:dyDescent="0.25">
      <c r="A114" s="62">
        <v>113</v>
      </c>
      <c r="B114" s="62"/>
      <c r="C114" s="68" t="str">
        <f>IF(ISNA(VLOOKUP($B114,CPY!$B:$G,2,FALSE))=TRUE," ",VLOOKUP($B114,CPY!$B:$G,2,FALSE))</f>
        <v> </v>
      </c>
      <c r="D114" s="50" t="str">
        <f>IF(ISNA(VLOOKUP($B114,CPY!$B:$G,3,FALSE))=TRUE," ",VLOOKUP($B114,CPY!$B:$G,3,FALSE))</f>
        <v> </v>
      </c>
      <c r="E114" s="65" t="str">
        <f>IF(ISNA(VLOOKUP($B114,CPY!$B:$G,4,FALSE))=TRUE," ",VLOOKUP($B114,CPY!$B:$G,4,FALSE))</f>
        <v> </v>
      </c>
      <c r="F114" s="62"/>
      <c r="G114" s="75"/>
      <c r="H114" s="75"/>
      <c r="I114" s="62"/>
    </row>
    <row r="115" spans="1:9" x14ac:dyDescent="0.25">
      <c r="A115" s="62">
        <v>114</v>
      </c>
      <c r="B115" s="62"/>
      <c r="C115" s="68" t="str">
        <f>IF(ISNA(VLOOKUP($B115,CPY!$B:$G,2,FALSE))=TRUE," ",VLOOKUP($B115,CPY!$B:$G,2,FALSE))</f>
        <v> </v>
      </c>
      <c r="D115" s="50" t="str">
        <f>IF(ISNA(VLOOKUP($B115,CPY!$B:$G,3,FALSE))=TRUE," ",VLOOKUP($B115,CPY!$B:$G,3,FALSE))</f>
        <v> </v>
      </c>
      <c r="E115" s="65" t="str">
        <f>IF(ISNA(VLOOKUP($B115,CPY!$B:$G,4,FALSE))=TRUE," ",VLOOKUP($B115,CPY!$B:$G,4,FALSE))</f>
        <v> </v>
      </c>
      <c r="F115" s="62"/>
      <c r="G115" s="75"/>
      <c r="H115" s="75"/>
      <c r="I115" s="62"/>
    </row>
    <row r="116" spans="1:9" x14ac:dyDescent="0.25">
      <c r="A116" s="62">
        <v>115</v>
      </c>
      <c r="B116" s="62"/>
      <c r="C116" s="68" t="str">
        <f>IF(ISNA(VLOOKUP($B116,CPY!$B:$G,2,FALSE))=TRUE," ",VLOOKUP($B116,CPY!$B:$G,2,FALSE))</f>
        <v> </v>
      </c>
      <c r="D116" s="50" t="str">
        <f>IF(ISNA(VLOOKUP($B116,CPY!$B:$G,3,FALSE))=TRUE," ",VLOOKUP($B116,CPY!$B:$G,3,FALSE))</f>
        <v> </v>
      </c>
      <c r="E116" s="65" t="str">
        <f>IF(ISNA(VLOOKUP($B116,CPY!$B:$G,4,FALSE))=TRUE," ",VLOOKUP($B116,CPY!$B:$G,4,FALSE))</f>
        <v> </v>
      </c>
      <c r="F116" s="62"/>
      <c r="G116" s="75"/>
      <c r="H116" s="75"/>
      <c r="I116" s="62"/>
    </row>
    <row r="117" spans="1:9" x14ac:dyDescent="0.25">
      <c r="A117" s="62">
        <v>116</v>
      </c>
      <c r="B117" s="62"/>
      <c r="C117" s="68" t="str">
        <f>IF(ISNA(VLOOKUP($B117,CPY!$B:$G,2,FALSE))=TRUE," ",VLOOKUP($B117,CPY!$B:$G,2,FALSE))</f>
        <v> </v>
      </c>
      <c r="D117" s="50" t="str">
        <f>IF(ISNA(VLOOKUP($B117,CPY!$B:$G,3,FALSE))=TRUE," ",VLOOKUP($B117,CPY!$B:$G,3,FALSE))</f>
        <v> </v>
      </c>
      <c r="E117" s="65" t="str">
        <f>IF(ISNA(VLOOKUP($B117,CPY!$B:$G,4,FALSE))=TRUE," ",VLOOKUP($B117,CPY!$B:$G,4,FALSE))</f>
        <v> </v>
      </c>
      <c r="F117" s="62"/>
      <c r="G117" s="75"/>
      <c r="H117" s="75"/>
      <c r="I117" s="62"/>
    </row>
    <row r="118" spans="1:9" x14ac:dyDescent="0.25">
      <c r="A118" s="62">
        <v>117</v>
      </c>
      <c r="B118" s="62"/>
      <c r="C118" s="68" t="str">
        <f>IF(ISNA(VLOOKUP($B118,CPY!$B:$G,2,FALSE))=TRUE," ",VLOOKUP($B118,CPY!$B:$G,2,FALSE))</f>
        <v> </v>
      </c>
      <c r="D118" s="50" t="str">
        <f>IF(ISNA(VLOOKUP($B118,CPY!$B:$G,3,FALSE))=TRUE," ",VLOOKUP($B118,CPY!$B:$G,3,FALSE))</f>
        <v> </v>
      </c>
      <c r="E118" s="65" t="str">
        <f>IF(ISNA(VLOOKUP($B118,CPY!$B:$G,4,FALSE))=TRUE," ",VLOOKUP($B118,CPY!$B:$G,4,FALSE))</f>
        <v> </v>
      </c>
      <c r="F118" s="62"/>
      <c r="G118" s="75"/>
      <c r="H118" s="75"/>
      <c r="I118" s="62"/>
    </row>
    <row r="119" spans="1:9" x14ac:dyDescent="0.25">
      <c r="A119" s="62">
        <v>118</v>
      </c>
      <c r="B119" s="62"/>
      <c r="C119" s="68" t="str">
        <f>IF(ISNA(VLOOKUP($B119,CPY!$B:$G,2,FALSE))=TRUE," ",VLOOKUP($B119,CPY!$B:$G,2,FALSE))</f>
        <v> </v>
      </c>
      <c r="D119" s="50" t="str">
        <f>IF(ISNA(VLOOKUP($B119,CPY!$B:$G,3,FALSE))=TRUE," ",VLOOKUP($B119,CPY!$B:$G,3,FALSE))</f>
        <v> </v>
      </c>
      <c r="E119" s="65" t="str">
        <f>IF(ISNA(VLOOKUP($B119,CPY!$B:$G,4,FALSE))=TRUE," ",VLOOKUP($B119,CPY!$B:$G,4,FALSE))</f>
        <v> </v>
      </c>
      <c r="F119" s="62"/>
      <c r="G119" s="75"/>
      <c r="H119" s="75"/>
      <c r="I119" s="62"/>
    </row>
    <row r="120" spans="1:9" x14ac:dyDescent="0.25">
      <c r="A120" s="62">
        <v>119</v>
      </c>
      <c r="B120" s="62"/>
      <c r="C120" s="68" t="str">
        <f>IF(ISNA(VLOOKUP($B120,CPY!$B:$G,2,FALSE))=TRUE," ",VLOOKUP($B120,CPY!$B:$G,2,FALSE))</f>
        <v> </v>
      </c>
      <c r="D120" s="50" t="str">
        <f>IF(ISNA(VLOOKUP($B120,CPY!$B:$G,3,FALSE))=TRUE," ",VLOOKUP($B120,CPY!$B:$G,3,FALSE))</f>
        <v> </v>
      </c>
      <c r="E120" s="65" t="str">
        <f>IF(ISNA(VLOOKUP($B120,CPY!$B:$G,4,FALSE))=TRUE," ",VLOOKUP($B120,CPY!$B:$G,4,FALSE))</f>
        <v> </v>
      </c>
      <c r="F120" s="62"/>
      <c r="G120" s="75"/>
      <c r="H120" s="75"/>
      <c r="I120" s="62"/>
    </row>
    <row r="121" spans="1:9" x14ac:dyDescent="0.25">
      <c r="A121" s="62">
        <v>120</v>
      </c>
      <c r="B121" s="62"/>
      <c r="C121" s="68" t="str">
        <f>IF(ISNA(VLOOKUP($B121,CPY!$B:$G,2,FALSE))=TRUE," ",VLOOKUP($B121,CPY!$B:$G,2,FALSE))</f>
        <v> </v>
      </c>
      <c r="D121" s="50" t="str">
        <f>IF(ISNA(VLOOKUP($B121,CPY!$B:$G,3,FALSE))=TRUE," ",VLOOKUP($B121,CPY!$B:$G,3,FALSE))</f>
        <v> </v>
      </c>
      <c r="E121" s="65" t="str">
        <f>IF(ISNA(VLOOKUP($B121,CPY!$B:$G,4,FALSE))=TRUE," ",VLOOKUP($B121,CPY!$B:$G,4,FALSE))</f>
        <v> </v>
      </c>
      <c r="F121" s="62"/>
      <c r="G121" s="75"/>
      <c r="H121" s="75"/>
      <c r="I121" s="62"/>
    </row>
    <row r="122" spans="1:9" x14ac:dyDescent="0.25">
      <c r="A122" s="62">
        <v>121</v>
      </c>
      <c r="B122" s="62"/>
      <c r="C122" s="68" t="str">
        <f>IF(ISNA(VLOOKUP($B122,CPY!$B:$G,2,FALSE))=TRUE," ",VLOOKUP($B122,CPY!$B:$G,2,FALSE))</f>
        <v> </v>
      </c>
      <c r="D122" s="50" t="str">
        <f>IF(ISNA(VLOOKUP($B122,CPY!$B:$G,3,FALSE))=TRUE," ",VLOOKUP($B122,CPY!$B:$G,3,FALSE))</f>
        <v> </v>
      </c>
      <c r="E122" s="65" t="str">
        <f>IF(ISNA(VLOOKUP($B122,CPY!$B:$G,4,FALSE))=TRUE," ",VLOOKUP($B122,CPY!$B:$G,4,FALSE))</f>
        <v> </v>
      </c>
      <c r="F122" s="62"/>
      <c r="G122" s="75"/>
      <c r="H122" s="75"/>
      <c r="I122" s="62"/>
    </row>
    <row r="123" spans="1:9" x14ac:dyDescent="0.25">
      <c r="A123" s="62">
        <v>122</v>
      </c>
      <c r="B123" s="62"/>
      <c r="C123" s="68" t="str">
        <f>IF(ISNA(VLOOKUP($B123,CPY!$B:$G,2,FALSE))=TRUE," ",VLOOKUP($B123,CPY!$B:$G,2,FALSE))</f>
        <v> </v>
      </c>
      <c r="D123" s="50" t="str">
        <f>IF(ISNA(VLOOKUP($B123,CPY!$B:$G,3,FALSE))=TRUE," ",VLOOKUP($B123,CPY!$B:$G,3,FALSE))</f>
        <v> </v>
      </c>
      <c r="E123" s="65" t="str">
        <f>IF(ISNA(VLOOKUP($B123,CPY!$B:$G,4,FALSE))=TRUE," ",VLOOKUP($B123,CPY!$B:$G,4,FALSE))</f>
        <v> </v>
      </c>
      <c r="F123" s="62"/>
      <c r="G123" s="75"/>
      <c r="H123" s="75"/>
      <c r="I123" s="62"/>
    </row>
    <row r="124" spans="1:9" x14ac:dyDescent="0.25">
      <c r="A124" s="62">
        <v>123</v>
      </c>
      <c r="B124" s="62"/>
      <c r="C124" s="68" t="str">
        <f>IF(ISNA(VLOOKUP($B124,CPY!$B:$G,2,FALSE))=TRUE," ",VLOOKUP($B124,CPY!$B:$G,2,FALSE))</f>
        <v> </v>
      </c>
      <c r="D124" s="50" t="str">
        <f>IF(ISNA(VLOOKUP($B124,CPY!$B:$G,3,FALSE))=TRUE," ",VLOOKUP($B124,CPY!$B:$G,3,FALSE))</f>
        <v> </v>
      </c>
      <c r="E124" s="65" t="str">
        <f>IF(ISNA(VLOOKUP($B124,CPY!$B:$G,4,FALSE))=TRUE," ",VLOOKUP($B124,CPY!$B:$G,4,FALSE))</f>
        <v> </v>
      </c>
      <c r="F124" s="62"/>
      <c r="G124" s="75"/>
      <c r="H124" s="75"/>
      <c r="I124" s="62"/>
    </row>
    <row r="125" spans="1:9" x14ac:dyDescent="0.25">
      <c r="A125" s="62">
        <v>124</v>
      </c>
      <c r="B125" s="62"/>
      <c r="C125" s="68" t="str">
        <f>IF(ISNA(VLOOKUP($B125,CPY!$B:$G,2,FALSE))=TRUE," ",VLOOKUP($B125,CPY!$B:$G,2,FALSE))</f>
        <v> </v>
      </c>
      <c r="D125" s="50" t="str">
        <f>IF(ISNA(VLOOKUP($B125,CPY!$B:$G,3,FALSE))=TRUE," ",VLOOKUP($B125,CPY!$B:$G,3,FALSE))</f>
        <v> </v>
      </c>
      <c r="E125" s="65" t="str">
        <f>IF(ISNA(VLOOKUP($B125,CPY!$B:$G,4,FALSE))=TRUE," ",VLOOKUP($B125,CPY!$B:$G,4,FALSE))</f>
        <v> </v>
      </c>
      <c r="F125" s="62"/>
      <c r="G125" s="75"/>
      <c r="H125" s="75"/>
      <c r="I125" s="62"/>
    </row>
    <row r="126" spans="1:9" x14ac:dyDescent="0.25">
      <c r="A126" s="62">
        <v>125</v>
      </c>
      <c r="B126" s="62"/>
      <c r="C126" s="68" t="str">
        <f>IF(ISNA(VLOOKUP($B126,CPY!$B:$G,2,FALSE))=TRUE," ",VLOOKUP($B126,CPY!$B:$G,2,FALSE))</f>
        <v> </v>
      </c>
      <c r="D126" s="50" t="str">
        <f>IF(ISNA(VLOOKUP($B126,CPY!$B:$G,3,FALSE))=TRUE," ",VLOOKUP($B126,CPY!$B:$G,3,FALSE))</f>
        <v> </v>
      </c>
      <c r="E126" s="65" t="str">
        <f>IF(ISNA(VLOOKUP($B126,CPY!$B:$G,4,FALSE))=TRUE," ",VLOOKUP($B126,CPY!$B:$G,4,FALSE))</f>
        <v> </v>
      </c>
      <c r="F126" s="62"/>
      <c r="G126" s="75"/>
      <c r="H126" s="75"/>
      <c r="I126" s="62"/>
    </row>
    <row r="127" spans="1:9" x14ac:dyDescent="0.25">
      <c r="A127" s="62">
        <v>126</v>
      </c>
      <c r="B127" s="62"/>
      <c r="C127" s="68" t="str">
        <f>IF(ISNA(VLOOKUP($B127,CPY!$B:$G,2,FALSE))=TRUE," ",VLOOKUP($B127,CPY!$B:$G,2,FALSE))</f>
        <v> </v>
      </c>
      <c r="D127" s="50" t="str">
        <f>IF(ISNA(VLOOKUP($B127,CPY!$B:$G,3,FALSE))=TRUE," ",VLOOKUP($B127,CPY!$B:$G,3,FALSE))</f>
        <v> </v>
      </c>
      <c r="E127" s="65" t="str">
        <f>IF(ISNA(VLOOKUP($B127,CPY!$B:$G,4,FALSE))=TRUE," ",VLOOKUP($B127,CPY!$B:$G,4,FALSE))</f>
        <v> </v>
      </c>
      <c r="F127" s="62"/>
      <c r="G127" s="75"/>
      <c r="H127" s="75"/>
      <c r="I127" s="62"/>
    </row>
    <row r="128" spans="1:9" x14ac:dyDescent="0.25">
      <c r="A128" s="62">
        <v>127</v>
      </c>
      <c r="B128" s="62"/>
      <c r="C128" s="68" t="str">
        <f>IF(ISNA(VLOOKUP($B128,CPY!$B:$G,2,FALSE))=TRUE," ",VLOOKUP($B128,CPY!$B:$G,2,FALSE))</f>
        <v> </v>
      </c>
      <c r="D128" s="50" t="str">
        <f>IF(ISNA(VLOOKUP($B128,CPY!$B:$G,3,FALSE))=TRUE," ",VLOOKUP($B128,CPY!$B:$G,3,FALSE))</f>
        <v> </v>
      </c>
      <c r="E128" s="65" t="str">
        <f>IF(ISNA(VLOOKUP($B128,CPY!$B:$G,4,FALSE))=TRUE," ",VLOOKUP($B128,CPY!$B:$G,4,FALSE))</f>
        <v> </v>
      </c>
      <c r="F128" s="62"/>
      <c r="G128" s="75"/>
      <c r="H128" s="75"/>
      <c r="I128" s="62"/>
    </row>
    <row r="129" spans="1:9" x14ac:dyDescent="0.25">
      <c r="A129" s="62">
        <v>128</v>
      </c>
      <c r="B129" s="62"/>
      <c r="C129" s="68" t="str">
        <f>IF(ISNA(VLOOKUP($B129,CPY!$B:$G,2,FALSE))=TRUE," ",VLOOKUP($B129,CPY!$B:$G,2,FALSE))</f>
        <v> </v>
      </c>
      <c r="D129" s="50" t="str">
        <f>IF(ISNA(VLOOKUP($B129,CPY!$B:$G,3,FALSE))=TRUE," ",VLOOKUP($B129,CPY!$B:$G,3,FALSE))</f>
        <v> </v>
      </c>
      <c r="E129" s="65" t="str">
        <f>IF(ISNA(VLOOKUP($B129,CPY!$B:$G,4,FALSE))=TRUE," ",VLOOKUP($B129,CPY!$B:$G,4,FALSE))</f>
        <v> </v>
      </c>
      <c r="F129" s="62"/>
      <c r="G129" s="75"/>
      <c r="H129" s="75"/>
      <c r="I129" s="62"/>
    </row>
    <row r="130" spans="1:9" x14ac:dyDescent="0.25">
      <c r="A130" s="62">
        <v>129</v>
      </c>
      <c r="B130" s="62"/>
      <c r="C130" s="68" t="str">
        <f>IF(ISNA(VLOOKUP($B130,CPY!$B:$G,2,FALSE))=TRUE," ",VLOOKUP($B130,CPY!$B:$G,2,FALSE))</f>
        <v> </v>
      </c>
      <c r="D130" s="50" t="str">
        <f>IF(ISNA(VLOOKUP($B130,CPY!$B:$G,3,FALSE))=TRUE," ",VLOOKUP($B130,CPY!$B:$G,3,FALSE))</f>
        <v> </v>
      </c>
      <c r="E130" s="65" t="str">
        <f>IF(ISNA(VLOOKUP($B130,CPY!$B:$G,4,FALSE))=TRUE," ",VLOOKUP($B130,CPY!$B:$G,4,FALSE))</f>
        <v> </v>
      </c>
      <c r="F130" s="62"/>
      <c r="G130" s="75"/>
      <c r="H130" s="75"/>
      <c r="I130" s="62"/>
    </row>
    <row r="131" spans="1:9" x14ac:dyDescent="0.25">
      <c r="A131" s="62">
        <v>130</v>
      </c>
      <c r="B131" s="62"/>
      <c r="C131" s="68" t="str">
        <f>IF(ISNA(VLOOKUP($B131,CPY!$B:$G,2,FALSE))=TRUE," ",VLOOKUP($B131,CPY!$B:$G,2,FALSE))</f>
        <v> </v>
      </c>
      <c r="D131" s="50" t="str">
        <f>IF(ISNA(VLOOKUP($B131,CPY!$B:$G,3,FALSE))=TRUE," ",VLOOKUP($B131,CPY!$B:$G,3,FALSE))</f>
        <v> </v>
      </c>
      <c r="E131" s="65" t="str">
        <f>IF(ISNA(VLOOKUP($B131,CPY!$B:$G,4,FALSE))=TRUE," ",VLOOKUP($B131,CPY!$B:$G,4,FALSE))</f>
        <v> </v>
      </c>
      <c r="F131" s="62"/>
      <c r="G131" s="75"/>
      <c r="H131" s="75"/>
      <c r="I131" s="62"/>
    </row>
    <row r="132" spans="1:9" x14ac:dyDescent="0.25">
      <c r="A132" s="62">
        <v>131</v>
      </c>
      <c r="B132" s="62"/>
      <c r="C132" s="68" t="str">
        <f>IF(ISNA(VLOOKUP($B132,CPY!$B:$G,2,FALSE))=TRUE," ",VLOOKUP($B132,CPY!$B:$G,2,FALSE))</f>
        <v> </v>
      </c>
      <c r="D132" s="50" t="str">
        <f>IF(ISNA(VLOOKUP($B132,CPY!$B:$G,3,FALSE))=TRUE," ",VLOOKUP($B132,CPY!$B:$G,3,FALSE))</f>
        <v> </v>
      </c>
      <c r="E132" s="65" t="str">
        <f>IF(ISNA(VLOOKUP($B132,CPY!$B:$G,4,FALSE))=TRUE," ",VLOOKUP($B132,CPY!$B:$G,4,FALSE))</f>
        <v> </v>
      </c>
      <c r="F132" s="62"/>
      <c r="G132" s="75"/>
      <c r="H132" s="75"/>
      <c r="I132" s="62"/>
    </row>
    <row r="133" spans="1:9" x14ac:dyDescent="0.25">
      <c r="A133" s="62">
        <v>132</v>
      </c>
      <c r="B133" s="62"/>
      <c r="C133" s="68" t="str">
        <f>IF(ISNA(VLOOKUP($B133,CPY!$B:$G,2,FALSE))=TRUE," ",VLOOKUP($B133,CPY!$B:$G,2,FALSE))</f>
        <v> </v>
      </c>
      <c r="D133" s="50" t="str">
        <f>IF(ISNA(VLOOKUP($B133,CPY!$B:$G,3,FALSE))=TRUE," ",VLOOKUP($B133,CPY!$B:$G,3,FALSE))</f>
        <v> </v>
      </c>
      <c r="E133" s="65" t="str">
        <f>IF(ISNA(VLOOKUP($B133,CPY!$B:$G,4,FALSE))=TRUE," ",VLOOKUP($B133,CPY!$B:$G,4,FALSE))</f>
        <v> </v>
      </c>
      <c r="F133" s="62"/>
      <c r="G133" s="75"/>
      <c r="H133" s="75"/>
      <c r="I133" s="62"/>
    </row>
    <row r="134" spans="1:9" x14ac:dyDescent="0.25">
      <c r="A134" s="62">
        <v>133</v>
      </c>
      <c r="B134" s="62"/>
      <c r="C134" s="68" t="str">
        <f>IF(ISNA(VLOOKUP($B134,CPY!$B:$G,2,FALSE))=TRUE," ",VLOOKUP($B134,CPY!$B:$G,2,FALSE))</f>
        <v> </v>
      </c>
      <c r="D134" s="50" t="str">
        <f>IF(ISNA(VLOOKUP($B134,CPY!$B:$G,3,FALSE))=TRUE," ",VLOOKUP($B134,CPY!$B:$G,3,FALSE))</f>
        <v> </v>
      </c>
      <c r="E134" s="65" t="str">
        <f>IF(ISNA(VLOOKUP($B134,CPY!$B:$G,4,FALSE))=TRUE," ",VLOOKUP($B134,CPY!$B:$G,4,FALSE))</f>
        <v> </v>
      </c>
      <c r="F134" s="62"/>
      <c r="G134" s="75"/>
      <c r="H134" s="75"/>
      <c r="I134" s="62"/>
    </row>
    <row r="135" spans="1:9" x14ac:dyDescent="0.25">
      <c r="A135" s="62">
        <v>134</v>
      </c>
      <c r="B135" s="62"/>
      <c r="C135" s="68" t="str">
        <f>IF(ISNA(VLOOKUP($B135,CPY!$B:$G,2,FALSE))=TRUE," ",VLOOKUP($B135,CPY!$B:$G,2,FALSE))</f>
        <v> </v>
      </c>
      <c r="D135" s="50" t="str">
        <f>IF(ISNA(VLOOKUP($B135,CPY!$B:$G,3,FALSE))=TRUE," ",VLOOKUP($B135,CPY!$B:$G,3,FALSE))</f>
        <v> </v>
      </c>
      <c r="E135" s="65" t="str">
        <f>IF(ISNA(VLOOKUP($B135,CPY!$B:$G,4,FALSE))=TRUE," ",VLOOKUP($B135,CPY!$B:$G,4,FALSE))</f>
        <v> </v>
      </c>
      <c r="F135" s="62"/>
      <c r="G135" s="75"/>
      <c r="H135" s="75"/>
      <c r="I135" s="62"/>
    </row>
    <row r="136" spans="1:9" x14ac:dyDescent="0.25">
      <c r="A136" s="62">
        <v>135</v>
      </c>
      <c r="B136" s="62"/>
      <c r="C136" s="68" t="str">
        <f>IF(ISNA(VLOOKUP($B136,CPY!$B:$G,2,FALSE))=TRUE," ",VLOOKUP($B136,CPY!$B:$G,2,FALSE))</f>
        <v> </v>
      </c>
      <c r="D136" s="50" t="str">
        <f>IF(ISNA(VLOOKUP($B136,CPY!$B:$G,3,FALSE))=TRUE," ",VLOOKUP($B136,CPY!$B:$G,3,FALSE))</f>
        <v> </v>
      </c>
      <c r="E136" s="65" t="str">
        <f>IF(ISNA(VLOOKUP($B136,CPY!$B:$G,4,FALSE))=TRUE," ",VLOOKUP($B136,CPY!$B:$G,4,FALSE))</f>
        <v> </v>
      </c>
      <c r="F136" s="62"/>
      <c r="G136" s="75"/>
      <c r="H136" s="75"/>
      <c r="I136" s="62"/>
    </row>
    <row r="137" spans="1:9" x14ac:dyDescent="0.25">
      <c r="A137" s="62">
        <v>136</v>
      </c>
      <c r="B137" s="62"/>
      <c r="C137" s="68" t="str">
        <f>IF(ISNA(VLOOKUP($B137,CPY!$B:$G,2,FALSE))=TRUE," ",VLOOKUP($B137,CPY!$B:$G,2,FALSE))</f>
        <v> </v>
      </c>
      <c r="D137" s="50" t="str">
        <f>IF(ISNA(VLOOKUP($B137,CPY!$B:$G,3,FALSE))=TRUE," ",VLOOKUP($B137,CPY!$B:$G,3,FALSE))</f>
        <v> </v>
      </c>
      <c r="E137" s="65" t="str">
        <f>IF(ISNA(VLOOKUP($B137,CPY!$B:$G,4,FALSE))=TRUE," ",VLOOKUP($B137,CPY!$B:$G,4,FALSE))</f>
        <v> </v>
      </c>
      <c r="F137" s="62"/>
      <c r="G137" s="75"/>
      <c r="H137" s="75"/>
      <c r="I137" s="62"/>
    </row>
    <row r="138" spans="1:9" x14ac:dyDescent="0.25">
      <c r="A138" s="62">
        <v>137</v>
      </c>
      <c r="B138" s="62"/>
      <c r="C138" s="68" t="str">
        <f>IF(ISNA(VLOOKUP($B138,CPY!$B:$G,2,FALSE))=TRUE," ",VLOOKUP($B138,CPY!$B:$G,2,FALSE))</f>
        <v> </v>
      </c>
      <c r="D138" s="50" t="str">
        <f>IF(ISNA(VLOOKUP($B138,CPY!$B:$G,3,FALSE))=TRUE," ",VLOOKUP($B138,CPY!$B:$G,3,FALSE))</f>
        <v> </v>
      </c>
      <c r="E138" s="65" t="str">
        <f>IF(ISNA(VLOOKUP($B138,CPY!$B:$G,4,FALSE))=TRUE," ",VLOOKUP($B138,CPY!$B:$G,4,FALSE))</f>
        <v> </v>
      </c>
      <c r="F138" s="62"/>
      <c r="G138" s="75"/>
      <c r="H138" s="75"/>
      <c r="I138" s="62"/>
    </row>
    <row r="139" spans="1:9" x14ac:dyDescent="0.25">
      <c r="A139" s="62">
        <v>138</v>
      </c>
      <c r="B139" s="62"/>
      <c r="C139" s="68" t="str">
        <f>IF(ISNA(VLOOKUP($B139,CPY!$B:$G,2,FALSE))=TRUE," ",VLOOKUP($B139,CPY!$B:$G,2,FALSE))</f>
        <v> </v>
      </c>
      <c r="D139" s="50" t="str">
        <f>IF(ISNA(VLOOKUP($B139,CPY!$B:$G,3,FALSE))=TRUE," ",VLOOKUP($B139,CPY!$B:$G,3,FALSE))</f>
        <v> </v>
      </c>
      <c r="E139" s="65" t="str">
        <f>IF(ISNA(VLOOKUP($B139,CPY!$B:$G,4,FALSE))=TRUE," ",VLOOKUP($B139,CPY!$B:$G,4,FALSE))</f>
        <v> </v>
      </c>
      <c r="F139" s="62"/>
      <c r="G139" s="75"/>
      <c r="H139" s="75"/>
      <c r="I139" s="62"/>
    </row>
    <row r="140" spans="1:9" x14ac:dyDescent="0.25">
      <c r="A140" s="62">
        <v>139</v>
      </c>
      <c r="B140" s="62"/>
      <c r="C140" s="68" t="str">
        <f>IF(ISNA(VLOOKUP($B140,CPY!$B:$G,2,FALSE))=TRUE," ",VLOOKUP($B140,CPY!$B:$G,2,FALSE))</f>
        <v> </v>
      </c>
      <c r="D140" s="50" t="str">
        <f>IF(ISNA(VLOOKUP($B140,CPY!$B:$G,3,FALSE))=TRUE," ",VLOOKUP($B140,CPY!$B:$G,3,FALSE))</f>
        <v> </v>
      </c>
      <c r="E140" s="65" t="str">
        <f>IF(ISNA(VLOOKUP($B140,CPY!$B:$G,4,FALSE))=TRUE," ",VLOOKUP($B140,CPY!$B:$G,4,FALSE))</f>
        <v> </v>
      </c>
      <c r="F140" s="62"/>
      <c r="G140" s="75"/>
      <c r="H140" s="75"/>
      <c r="I140" s="62"/>
    </row>
    <row r="141" spans="1:9" x14ac:dyDescent="0.25">
      <c r="A141" s="62">
        <v>140</v>
      </c>
      <c r="B141" s="62"/>
      <c r="C141" s="68" t="str">
        <f>IF(ISNA(VLOOKUP($B141,CPY!$B:$G,2,FALSE))=TRUE," ",VLOOKUP($B141,CPY!$B:$G,2,FALSE))</f>
        <v> </v>
      </c>
      <c r="D141" s="50" t="str">
        <f>IF(ISNA(VLOOKUP($B141,CPY!$B:$G,3,FALSE))=TRUE," ",VLOOKUP($B141,CPY!$B:$G,3,FALSE))</f>
        <v> </v>
      </c>
      <c r="E141" s="65" t="str">
        <f>IF(ISNA(VLOOKUP($B141,CPY!$B:$G,4,FALSE))=TRUE," ",VLOOKUP($B141,CPY!$B:$G,4,FALSE))</f>
        <v> </v>
      </c>
      <c r="F141" s="62"/>
      <c r="G141" s="75"/>
      <c r="H141" s="75"/>
      <c r="I141" s="62"/>
    </row>
    <row r="142" spans="1:9" x14ac:dyDescent="0.25">
      <c r="A142" s="62">
        <v>141</v>
      </c>
      <c r="B142" s="62"/>
      <c r="C142" s="68" t="str">
        <f>IF(ISNA(VLOOKUP($B142,CPY!$B:$G,2,FALSE))=TRUE," ",VLOOKUP($B142,CPY!$B:$G,2,FALSE))</f>
        <v> </v>
      </c>
      <c r="D142" s="50" t="str">
        <f>IF(ISNA(VLOOKUP($B142,CPY!$B:$G,3,FALSE))=TRUE," ",VLOOKUP($B142,CPY!$B:$G,3,FALSE))</f>
        <v> </v>
      </c>
      <c r="E142" s="65" t="str">
        <f>IF(ISNA(VLOOKUP($B142,CPY!$B:$G,4,FALSE))=TRUE," ",VLOOKUP($B142,CPY!$B:$G,4,FALSE))</f>
        <v> </v>
      </c>
      <c r="F142" s="62"/>
      <c r="G142" s="75"/>
      <c r="H142" s="75"/>
      <c r="I142" s="62"/>
    </row>
    <row r="143" spans="1:9" x14ac:dyDescent="0.25">
      <c r="A143" s="62">
        <v>142</v>
      </c>
      <c r="B143" s="62"/>
      <c r="C143" s="68" t="str">
        <f>IF(ISNA(VLOOKUP($B143,CPY!$B:$G,2,FALSE))=TRUE," ",VLOOKUP($B143,CPY!$B:$G,2,FALSE))</f>
        <v> </v>
      </c>
      <c r="D143" s="50" t="str">
        <f>IF(ISNA(VLOOKUP($B143,CPY!$B:$G,3,FALSE))=TRUE," ",VLOOKUP($B143,CPY!$B:$G,3,FALSE))</f>
        <v> </v>
      </c>
      <c r="E143" s="65" t="str">
        <f>IF(ISNA(VLOOKUP($B143,CPY!$B:$G,4,FALSE))=TRUE," ",VLOOKUP($B143,CPY!$B:$G,4,FALSE))</f>
        <v> </v>
      </c>
      <c r="F143" s="62"/>
      <c r="G143" s="75"/>
      <c r="H143" s="75"/>
      <c r="I143" s="62"/>
    </row>
    <row r="144" spans="1:9" x14ac:dyDescent="0.25">
      <c r="A144" s="62">
        <v>143</v>
      </c>
      <c r="B144" s="62"/>
      <c r="C144" s="68" t="str">
        <f>IF(ISNA(VLOOKUP($B144,CPY!$B:$G,2,FALSE))=TRUE," ",VLOOKUP($B144,CPY!$B:$G,2,FALSE))</f>
        <v> </v>
      </c>
      <c r="D144" s="50" t="str">
        <f>IF(ISNA(VLOOKUP($B144,CPY!$B:$G,3,FALSE))=TRUE," ",VLOOKUP($B144,CPY!$B:$G,3,FALSE))</f>
        <v> </v>
      </c>
      <c r="E144" s="65" t="str">
        <f>IF(ISNA(VLOOKUP($B144,CPY!$B:$G,4,FALSE))=TRUE," ",VLOOKUP($B144,CPY!$B:$G,4,FALSE))</f>
        <v> </v>
      </c>
      <c r="F144" s="62"/>
      <c r="G144" s="75"/>
      <c r="H144" s="75"/>
      <c r="I144" s="62"/>
    </row>
    <row r="145" spans="1:9" x14ac:dyDescent="0.25">
      <c r="A145" s="62">
        <v>144</v>
      </c>
      <c r="B145" s="62"/>
      <c r="C145" s="68" t="str">
        <f>IF(ISNA(VLOOKUP($B145,CPY!$B:$G,2,FALSE))=TRUE," ",VLOOKUP($B145,CPY!$B:$G,2,FALSE))</f>
        <v> </v>
      </c>
      <c r="D145" s="50" t="str">
        <f>IF(ISNA(VLOOKUP($B145,CPY!$B:$G,3,FALSE))=TRUE," ",VLOOKUP($B145,CPY!$B:$G,3,FALSE))</f>
        <v> </v>
      </c>
      <c r="E145" s="65" t="str">
        <f>IF(ISNA(VLOOKUP($B145,CPY!$B:$G,4,FALSE))=TRUE," ",VLOOKUP($B145,CPY!$B:$G,4,FALSE))</f>
        <v> </v>
      </c>
      <c r="F145" s="62"/>
      <c r="G145" s="75"/>
      <c r="H145" s="75"/>
      <c r="I145" s="62"/>
    </row>
    <row r="146" spans="1:9" x14ac:dyDescent="0.25">
      <c r="A146" s="62">
        <v>145</v>
      </c>
      <c r="B146" s="62"/>
      <c r="C146" s="68" t="str">
        <f>IF(ISNA(VLOOKUP($B146,CPY!$B:$G,2,FALSE))=TRUE," ",VLOOKUP($B146,CPY!$B:$G,2,FALSE))</f>
        <v> </v>
      </c>
      <c r="D146" s="50" t="str">
        <f>IF(ISNA(VLOOKUP($B146,CPY!$B:$G,3,FALSE))=TRUE," ",VLOOKUP($B146,CPY!$B:$G,3,FALSE))</f>
        <v> </v>
      </c>
      <c r="E146" s="65" t="str">
        <f>IF(ISNA(VLOOKUP($B146,CPY!$B:$G,4,FALSE))=TRUE," ",VLOOKUP($B146,CPY!$B:$G,4,FALSE))</f>
        <v> </v>
      </c>
      <c r="F146" s="62"/>
      <c r="G146" s="75"/>
      <c r="H146" s="75"/>
      <c r="I146" s="62"/>
    </row>
    <row r="147" spans="1:9" x14ac:dyDescent="0.25">
      <c r="A147" s="62">
        <v>146</v>
      </c>
      <c r="B147" s="62"/>
      <c r="C147" s="68" t="str">
        <f>IF(ISNA(VLOOKUP($B147,CPY!$B:$G,2,FALSE))=TRUE," ",VLOOKUP($B147,CPY!$B:$G,2,FALSE))</f>
        <v> </v>
      </c>
      <c r="D147" s="50" t="str">
        <f>IF(ISNA(VLOOKUP($B147,CPY!$B:$G,3,FALSE))=TRUE," ",VLOOKUP($B147,CPY!$B:$G,3,FALSE))</f>
        <v> </v>
      </c>
      <c r="E147" s="65" t="str">
        <f>IF(ISNA(VLOOKUP($B147,CPY!$B:$G,4,FALSE))=TRUE," ",VLOOKUP($B147,CPY!$B:$G,4,FALSE))</f>
        <v> </v>
      </c>
      <c r="F147" s="62"/>
      <c r="G147" s="75"/>
      <c r="H147" s="75"/>
      <c r="I147" s="62"/>
    </row>
    <row r="148" spans="1:9" x14ac:dyDescent="0.25">
      <c r="A148" s="62">
        <v>147</v>
      </c>
      <c r="B148" s="62"/>
      <c r="C148" s="68" t="str">
        <f>IF(ISNA(VLOOKUP($B148,CPY!$B:$G,2,FALSE))=TRUE," ",VLOOKUP($B148,CPY!$B:$G,2,FALSE))</f>
        <v> </v>
      </c>
      <c r="D148" s="50" t="str">
        <f>IF(ISNA(VLOOKUP($B148,CPY!$B:$G,3,FALSE))=TRUE," ",VLOOKUP($B148,CPY!$B:$G,3,FALSE))</f>
        <v> </v>
      </c>
      <c r="E148" s="65" t="str">
        <f>IF(ISNA(VLOOKUP($B148,CPY!$B:$G,4,FALSE))=TRUE," ",VLOOKUP($B148,CPY!$B:$G,4,FALSE))</f>
        <v> </v>
      </c>
      <c r="F148" s="62"/>
      <c r="G148" s="75"/>
      <c r="H148" s="75"/>
      <c r="I148" s="62"/>
    </row>
    <row r="149" spans="1:9" x14ac:dyDescent="0.25">
      <c r="A149" s="62">
        <v>148</v>
      </c>
      <c r="B149" s="62"/>
      <c r="C149" s="68" t="str">
        <f>IF(ISNA(VLOOKUP($B149,CPY!$B:$G,2,FALSE))=TRUE," ",VLOOKUP($B149,CPY!$B:$G,2,FALSE))</f>
        <v> </v>
      </c>
      <c r="D149" s="50" t="str">
        <f>IF(ISNA(VLOOKUP($B149,CPY!$B:$G,3,FALSE))=TRUE," ",VLOOKUP($B149,CPY!$B:$G,3,FALSE))</f>
        <v> </v>
      </c>
      <c r="E149" s="65" t="str">
        <f>IF(ISNA(VLOOKUP($B149,CPY!$B:$G,4,FALSE))=TRUE," ",VLOOKUP($B149,CPY!$B:$G,4,FALSE))</f>
        <v> </v>
      </c>
      <c r="F149" s="62"/>
      <c r="G149" s="75"/>
      <c r="H149" s="75"/>
      <c r="I149" s="62"/>
    </row>
    <row r="150" spans="1:9" x14ac:dyDescent="0.25">
      <c r="A150" s="62">
        <v>149</v>
      </c>
      <c r="B150" s="62"/>
      <c r="C150" s="68" t="str">
        <f>IF(ISNA(VLOOKUP($B150,CPY!$B:$G,2,FALSE))=TRUE," ",VLOOKUP($B150,CPY!$B:$G,2,FALSE))</f>
        <v> </v>
      </c>
      <c r="D150" s="50" t="str">
        <f>IF(ISNA(VLOOKUP($B150,CPY!$B:$G,3,FALSE))=TRUE," ",VLOOKUP($B150,CPY!$B:$G,3,FALSE))</f>
        <v> </v>
      </c>
      <c r="E150" s="65" t="str">
        <f>IF(ISNA(VLOOKUP($B150,CPY!$B:$G,4,FALSE))=TRUE," ",VLOOKUP($B150,CPY!$B:$G,4,FALSE))</f>
        <v> </v>
      </c>
      <c r="F150" s="62"/>
      <c r="G150" s="75"/>
      <c r="H150" s="75"/>
      <c r="I150" s="62"/>
    </row>
    <row r="151" spans="1:9" x14ac:dyDescent="0.25">
      <c r="A151" s="62">
        <v>150</v>
      </c>
      <c r="B151" s="62"/>
      <c r="C151" s="68" t="str">
        <f>IF(ISNA(VLOOKUP($B151,CPY!$B:$G,2,FALSE))=TRUE," ",VLOOKUP($B151,CPY!$B:$G,2,FALSE))</f>
        <v> </v>
      </c>
      <c r="D151" s="50" t="str">
        <f>IF(ISNA(VLOOKUP($B151,CPY!$B:$G,3,FALSE))=TRUE," ",VLOOKUP($B151,CPY!$B:$G,3,FALSE))</f>
        <v> </v>
      </c>
      <c r="E151" s="65" t="str">
        <f>IF(ISNA(VLOOKUP($B151,CPY!$B:$G,4,FALSE))=TRUE," ",VLOOKUP($B151,CPY!$B:$G,4,FALSE))</f>
        <v> </v>
      </c>
      <c r="F151" s="62"/>
      <c r="G151" s="75"/>
      <c r="H151" s="75"/>
      <c r="I151" s="62"/>
    </row>
    <row r="152" spans="1:9" x14ac:dyDescent="0.25">
      <c r="A152" s="62">
        <v>151</v>
      </c>
      <c r="B152" s="62"/>
      <c r="C152" s="68" t="str">
        <f>IF(ISNA(VLOOKUP($B152,CPY!$B:$G,2,FALSE))=TRUE," ",VLOOKUP($B152,CPY!$B:$G,2,FALSE))</f>
        <v> </v>
      </c>
      <c r="D152" s="50" t="str">
        <f>IF(ISNA(VLOOKUP($B152,CPY!$B:$G,3,FALSE))=TRUE," ",VLOOKUP($B152,CPY!$B:$G,3,FALSE))</f>
        <v> </v>
      </c>
      <c r="E152" s="65" t="str">
        <f>IF(ISNA(VLOOKUP($B152,CPY!$B:$G,4,FALSE))=TRUE," ",VLOOKUP($B152,CPY!$B:$G,4,FALSE))</f>
        <v> </v>
      </c>
      <c r="F152" s="62"/>
      <c r="G152" s="75"/>
      <c r="H152" s="75"/>
      <c r="I152" s="62"/>
    </row>
    <row r="153" spans="1:9" x14ac:dyDescent="0.25">
      <c r="A153" s="62">
        <v>152</v>
      </c>
      <c r="B153" s="62"/>
      <c r="C153" s="68" t="str">
        <f>IF(ISNA(VLOOKUP($B153,CPY!$B:$G,2,FALSE))=TRUE," ",VLOOKUP($B153,CPY!$B:$G,2,FALSE))</f>
        <v> </v>
      </c>
      <c r="D153" s="50" t="str">
        <f>IF(ISNA(VLOOKUP($B153,CPY!$B:$G,3,FALSE))=TRUE," ",VLOOKUP($B153,CPY!$B:$G,3,FALSE))</f>
        <v> </v>
      </c>
      <c r="E153" s="65" t="str">
        <f>IF(ISNA(VLOOKUP($B153,CPY!$B:$G,4,FALSE))=TRUE," ",VLOOKUP($B153,CPY!$B:$G,4,FALSE))</f>
        <v> </v>
      </c>
      <c r="F153" s="62"/>
      <c r="G153" s="75"/>
      <c r="H153" s="75"/>
      <c r="I153" s="62"/>
    </row>
    <row r="154" spans="1:9" x14ac:dyDescent="0.25">
      <c r="A154" s="62">
        <v>153</v>
      </c>
      <c r="B154" s="62"/>
      <c r="C154" s="68" t="str">
        <f>IF(ISNA(VLOOKUP($B154,CPY!$B:$G,2,FALSE))=TRUE," ",VLOOKUP($B154,CPY!$B:$G,2,FALSE))</f>
        <v> </v>
      </c>
      <c r="D154" s="50" t="str">
        <f>IF(ISNA(VLOOKUP($B154,CPY!$B:$G,3,FALSE))=TRUE," ",VLOOKUP($B154,CPY!$B:$G,3,FALSE))</f>
        <v> </v>
      </c>
      <c r="E154" s="65" t="str">
        <f>IF(ISNA(VLOOKUP($B154,CPY!$B:$G,4,FALSE))=TRUE," ",VLOOKUP($B154,CPY!$B:$G,4,FALSE))</f>
        <v> </v>
      </c>
      <c r="F154" s="62"/>
      <c r="G154" s="75"/>
      <c r="H154" s="75"/>
      <c r="I154" s="62"/>
    </row>
    <row r="155" spans="1:9" x14ac:dyDescent="0.25">
      <c r="A155" s="62">
        <v>154</v>
      </c>
      <c r="B155" s="62"/>
      <c r="C155" s="68" t="str">
        <f>IF(ISNA(VLOOKUP($B155,CPY!$B:$G,2,FALSE))=TRUE," ",VLOOKUP($B155,CPY!$B:$G,2,FALSE))</f>
        <v> </v>
      </c>
      <c r="D155" s="50" t="str">
        <f>IF(ISNA(VLOOKUP($B155,CPY!$B:$G,3,FALSE))=TRUE," ",VLOOKUP($B155,CPY!$B:$G,3,FALSE))</f>
        <v> </v>
      </c>
      <c r="E155" s="65" t="str">
        <f>IF(ISNA(VLOOKUP($B155,CPY!$B:$G,4,FALSE))=TRUE," ",VLOOKUP($B155,CPY!$B:$G,4,FALSE))</f>
        <v> </v>
      </c>
      <c r="F155" s="62"/>
      <c r="G155" s="75"/>
      <c r="H155" s="75"/>
      <c r="I155" s="62"/>
    </row>
    <row r="156" spans="1:9" x14ac:dyDescent="0.25">
      <c r="A156" s="62">
        <v>155</v>
      </c>
      <c r="B156" s="62"/>
      <c r="C156" s="68" t="str">
        <f>IF(ISNA(VLOOKUP($B156,CPY!$B:$G,2,FALSE))=TRUE," ",VLOOKUP($B156,CPY!$B:$G,2,FALSE))</f>
        <v> </v>
      </c>
      <c r="D156" s="50" t="str">
        <f>IF(ISNA(VLOOKUP($B156,CPY!$B:$G,3,FALSE))=TRUE," ",VLOOKUP($B156,CPY!$B:$G,3,FALSE))</f>
        <v> </v>
      </c>
      <c r="E156" s="65" t="str">
        <f>IF(ISNA(VLOOKUP($B156,CPY!$B:$G,4,FALSE))=TRUE," ",VLOOKUP($B156,CPY!$B:$G,4,FALSE))</f>
        <v> </v>
      </c>
      <c r="F156" s="62"/>
      <c r="G156" s="75"/>
      <c r="H156" s="75"/>
      <c r="I156" s="62"/>
    </row>
    <row r="157" spans="1:9" x14ac:dyDescent="0.25">
      <c r="A157" s="62">
        <v>156</v>
      </c>
      <c r="B157" s="62"/>
      <c r="C157" s="68" t="str">
        <f>IF(ISNA(VLOOKUP($B157,CPY!$B:$G,2,FALSE))=TRUE," ",VLOOKUP($B157,CPY!$B:$G,2,FALSE))</f>
        <v> </v>
      </c>
      <c r="D157" s="50" t="str">
        <f>IF(ISNA(VLOOKUP($B157,CPY!$B:$G,3,FALSE))=TRUE," ",VLOOKUP($B157,CPY!$B:$G,3,FALSE))</f>
        <v> </v>
      </c>
      <c r="E157" s="65" t="str">
        <f>IF(ISNA(VLOOKUP($B157,CPY!$B:$G,4,FALSE))=TRUE," ",VLOOKUP($B157,CPY!$B:$G,4,FALSE))</f>
        <v> </v>
      </c>
      <c r="F157" s="62"/>
      <c r="G157" s="75"/>
      <c r="H157" s="75"/>
      <c r="I157" s="62"/>
    </row>
    <row r="158" spans="1:9" x14ac:dyDescent="0.25">
      <c r="A158" s="62">
        <v>157</v>
      </c>
      <c r="B158" s="62"/>
      <c r="C158" s="68" t="str">
        <f>IF(ISNA(VLOOKUP($B158,CPY!$B:$G,2,FALSE))=TRUE," ",VLOOKUP($B158,CPY!$B:$G,2,FALSE))</f>
        <v> </v>
      </c>
      <c r="D158" s="50" t="str">
        <f>IF(ISNA(VLOOKUP($B158,CPY!$B:$G,3,FALSE))=TRUE," ",VLOOKUP($B158,CPY!$B:$G,3,FALSE))</f>
        <v> </v>
      </c>
      <c r="E158" s="65" t="str">
        <f>IF(ISNA(VLOOKUP($B158,CPY!$B:$G,4,FALSE))=TRUE," ",VLOOKUP($B158,CPY!$B:$G,4,FALSE))</f>
        <v> </v>
      </c>
      <c r="F158" s="62"/>
      <c r="G158" s="75"/>
      <c r="H158" s="75"/>
      <c r="I158" s="62"/>
    </row>
    <row r="159" spans="1:9" x14ac:dyDescent="0.25">
      <c r="A159" s="62">
        <v>158</v>
      </c>
      <c r="B159" s="62"/>
      <c r="C159" s="68" t="str">
        <f>IF(ISNA(VLOOKUP($B159,CPY!$B:$G,2,FALSE))=TRUE," ",VLOOKUP($B159,CPY!$B:$G,2,FALSE))</f>
        <v> </v>
      </c>
      <c r="D159" s="50" t="str">
        <f>IF(ISNA(VLOOKUP($B159,CPY!$B:$G,3,FALSE))=TRUE," ",VLOOKUP($B159,CPY!$B:$G,3,FALSE))</f>
        <v> </v>
      </c>
      <c r="E159" s="65" t="str">
        <f>IF(ISNA(VLOOKUP($B159,CPY!$B:$G,4,FALSE))=TRUE," ",VLOOKUP($B159,CPY!$B:$G,4,FALSE))</f>
        <v> </v>
      </c>
      <c r="F159" s="62"/>
      <c r="G159" s="75"/>
      <c r="H159" s="75"/>
      <c r="I159" s="62"/>
    </row>
    <row r="160" spans="1:9" x14ac:dyDescent="0.25">
      <c r="A160" s="62">
        <v>159</v>
      </c>
      <c r="B160" s="62"/>
      <c r="C160" s="68" t="str">
        <f>IF(ISNA(VLOOKUP($B160,CPY!$B:$G,2,FALSE))=TRUE," ",VLOOKUP($B160,CPY!$B:$G,2,FALSE))</f>
        <v> </v>
      </c>
      <c r="D160" s="50" t="str">
        <f>IF(ISNA(VLOOKUP($B160,CPY!$B:$G,3,FALSE))=TRUE," ",VLOOKUP($B160,CPY!$B:$G,3,FALSE))</f>
        <v> </v>
      </c>
      <c r="E160" s="65" t="str">
        <f>IF(ISNA(VLOOKUP($B160,CPY!$B:$G,4,FALSE))=TRUE," ",VLOOKUP($B160,CPY!$B:$G,4,FALSE))</f>
        <v> </v>
      </c>
      <c r="F160" s="62"/>
      <c r="G160" s="75"/>
      <c r="H160" s="75"/>
      <c r="I160" s="62"/>
    </row>
    <row r="161" spans="1:9" x14ac:dyDescent="0.25">
      <c r="A161" s="62">
        <v>160</v>
      </c>
      <c r="B161" s="62"/>
      <c r="C161" s="68" t="str">
        <f>IF(ISNA(VLOOKUP($B161,CPY!$B:$G,2,FALSE))=TRUE," ",VLOOKUP($B161,CPY!$B:$G,2,FALSE))</f>
        <v> </v>
      </c>
      <c r="D161" s="50" t="str">
        <f>IF(ISNA(VLOOKUP($B161,CPY!$B:$G,3,FALSE))=TRUE," ",VLOOKUP($B161,CPY!$B:$G,3,FALSE))</f>
        <v> </v>
      </c>
      <c r="E161" s="65" t="str">
        <f>IF(ISNA(VLOOKUP($B161,CPY!$B:$G,4,FALSE))=TRUE," ",VLOOKUP($B161,CPY!$B:$G,4,FALSE))</f>
        <v> </v>
      </c>
      <c r="F161" s="62"/>
      <c r="G161" s="75"/>
      <c r="H161" s="75"/>
      <c r="I161" s="62"/>
    </row>
    <row r="162" spans="1:9" x14ac:dyDescent="0.25">
      <c r="A162" s="62">
        <v>161</v>
      </c>
      <c r="B162" s="62"/>
      <c r="C162" s="68" t="str">
        <f>IF(ISNA(VLOOKUP($B162,CPY!$B:$G,2,FALSE))=TRUE," ",VLOOKUP($B162,CPY!$B:$G,2,FALSE))</f>
        <v> </v>
      </c>
      <c r="D162" s="50" t="str">
        <f>IF(ISNA(VLOOKUP($B162,CPY!$B:$G,3,FALSE))=TRUE," ",VLOOKUP($B162,CPY!$B:$G,3,FALSE))</f>
        <v> </v>
      </c>
      <c r="E162" s="65" t="str">
        <f>IF(ISNA(VLOOKUP($B162,CPY!$B:$G,4,FALSE))=TRUE," ",VLOOKUP($B162,CPY!$B:$G,4,FALSE))</f>
        <v> </v>
      </c>
      <c r="F162" s="62"/>
      <c r="G162" s="75"/>
      <c r="H162" s="75"/>
      <c r="I162" s="62"/>
    </row>
    <row r="163" spans="1:9" x14ac:dyDescent="0.25">
      <c r="A163" s="62">
        <v>162</v>
      </c>
      <c r="B163" s="62"/>
      <c r="C163" s="68" t="str">
        <f>IF(ISNA(VLOOKUP($B163,CPY!$B:$G,2,FALSE))=TRUE," ",VLOOKUP($B163,CPY!$B:$G,2,FALSE))</f>
        <v> </v>
      </c>
      <c r="D163" s="50" t="str">
        <f>IF(ISNA(VLOOKUP($B163,CPY!$B:$G,3,FALSE))=TRUE," ",VLOOKUP($B163,CPY!$B:$G,3,FALSE))</f>
        <v> </v>
      </c>
      <c r="E163" s="65" t="str">
        <f>IF(ISNA(VLOOKUP($B163,CPY!$B:$G,4,FALSE))=TRUE," ",VLOOKUP($B163,CPY!$B:$G,4,FALSE))</f>
        <v> </v>
      </c>
      <c r="F163" s="62"/>
      <c r="G163" s="75"/>
      <c r="H163" s="75"/>
      <c r="I163" s="62"/>
    </row>
    <row r="164" spans="1:9" x14ac:dyDescent="0.25">
      <c r="A164" s="62">
        <v>163</v>
      </c>
      <c r="B164" s="62"/>
      <c r="C164" s="68" t="str">
        <f>IF(ISNA(VLOOKUP($B164,CPY!$B:$G,2,FALSE))=TRUE," ",VLOOKUP($B164,CPY!$B:$G,2,FALSE))</f>
        <v> </v>
      </c>
      <c r="D164" s="50" t="str">
        <f>IF(ISNA(VLOOKUP($B164,CPY!$B:$G,3,FALSE))=TRUE," ",VLOOKUP($B164,CPY!$B:$G,3,FALSE))</f>
        <v> </v>
      </c>
      <c r="E164" s="65" t="str">
        <f>IF(ISNA(VLOOKUP($B164,CPY!$B:$G,4,FALSE))=TRUE," ",VLOOKUP($B164,CPY!$B:$G,4,FALSE))</f>
        <v> </v>
      </c>
      <c r="F164" s="62"/>
      <c r="G164" s="75"/>
      <c r="H164" s="75"/>
      <c r="I164" s="62"/>
    </row>
    <row r="165" spans="1:9" x14ac:dyDescent="0.25">
      <c r="A165" s="62">
        <v>164</v>
      </c>
      <c r="B165" s="62"/>
      <c r="C165" s="68" t="str">
        <f>IF(ISNA(VLOOKUP($B165,CPY!$B:$G,2,FALSE))=TRUE," ",VLOOKUP($B165,CPY!$B:$G,2,FALSE))</f>
        <v> </v>
      </c>
      <c r="D165" s="50" t="str">
        <f>IF(ISNA(VLOOKUP($B165,CPY!$B:$G,3,FALSE))=TRUE," ",VLOOKUP($B165,CPY!$B:$G,3,FALSE))</f>
        <v> </v>
      </c>
      <c r="E165" s="65" t="str">
        <f>IF(ISNA(VLOOKUP($B165,CPY!$B:$G,4,FALSE))=TRUE," ",VLOOKUP($B165,CPY!$B:$G,4,FALSE))</f>
        <v> </v>
      </c>
      <c r="F165" s="62"/>
      <c r="G165" s="75"/>
      <c r="H165" s="75"/>
      <c r="I165" s="62"/>
    </row>
    <row r="166" spans="1:9" x14ac:dyDescent="0.25">
      <c r="A166" s="62">
        <v>165</v>
      </c>
      <c r="B166" s="62"/>
      <c r="C166" s="68" t="str">
        <f>IF(ISNA(VLOOKUP($B166,CPY!$B:$G,2,FALSE))=TRUE," ",VLOOKUP($B166,CPY!$B:$G,2,FALSE))</f>
        <v> </v>
      </c>
      <c r="D166" s="50" t="str">
        <f>IF(ISNA(VLOOKUP($B166,CPY!$B:$G,3,FALSE))=TRUE," ",VLOOKUP($B166,CPY!$B:$G,3,FALSE))</f>
        <v> </v>
      </c>
      <c r="E166" s="65" t="str">
        <f>IF(ISNA(VLOOKUP($B166,CPY!$B:$G,4,FALSE))=TRUE," ",VLOOKUP($B166,CPY!$B:$G,4,FALSE))</f>
        <v> </v>
      </c>
      <c r="F166" s="62"/>
      <c r="G166" s="75"/>
      <c r="H166" s="75"/>
      <c r="I166" s="62"/>
    </row>
    <row r="167" spans="1:9" x14ac:dyDescent="0.25">
      <c r="A167" s="62">
        <v>166</v>
      </c>
      <c r="B167" s="62"/>
      <c r="C167" s="68" t="str">
        <f>IF(ISNA(VLOOKUP($B167,CPY!$B:$G,2,FALSE))=TRUE," ",VLOOKUP($B167,CPY!$B:$G,2,FALSE))</f>
        <v> </v>
      </c>
      <c r="D167" s="50" t="str">
        <f>IF(ISNA(VLOOKUP($B167,CPY!$B:$G,3,FALSE))=TRUE," ",VLOOKUP($B167,CPY!$B:$G,3,FALSE))</f>
        <v> </v>
      </c>
      <c r="E167" s="65" t="str">
        <f>IF(ISNA(VLOOKUP($B167,CPY!$B:$G,4,FALSE))=TRUE," ",VLOOKUP($B167,CPY!$B:$G,4,FALSE))</f>
        <v> </v>
      </c>
      <c r="F167" s="62"/>
      <c r="G167" s="75"/>
      <c r="H167" s="75"/>
      <c r="I167" s="62"/>
    </row>
    <row r="168" spans="1:9" x14ac:dyDescent="0.25">
      <c r="A168" s="62">
        <v>167</v>
      </c>
      <c r="B168" s="62"/>
      <c r="C168" s="68" t="str">
        <f>IF(ISNA(VLOOKUP($B168,CPY!$B:$G,2,FALSE))=TRUE," ",VLOOKUP($B168,CPY!$B:$G,2,FALSE))</f>
        <v> </v>
      </c>
      <c r="D168" s="50" t="str">
        <f>IF(ISNA(VLOOKUP($B168,CPY!$B:$G,3,FALSE))=TRUE," ",VLOOKUP($B168,CPY!$B:$G,3,FALSE))</f>
        <v> </v>
      </c>
      <c r="E168" s="65" t="str">
        <f>IF(ISNA(VLOOKUP($B168,CPY!$B:$G,4,FALSE))=TRUE," ",VLOOKUP($B168,CPY!$B:$G,4,FALSE))</f>
        <v> </v>
      </c>
      <c r="F168" s="62"/>
      <c r="G168" s="75"/>
      <c r="H168" s="75"/>
      <c r="I168" s="62"/>
    </row>
    <row r="169" spans="1:9" x14ac:dyDescent="0.25">
      <c r="A169" s="62">
        <v>168</v>
      </c>
      <c r="B169" s="62"/>
      <c r="C169" s="68" t="str">
        <f>IF(ISNA(VLOOKUP($B169,CPY!$B:$G,2,FALSE))=TRUE," ",VLOOKUP($B169,CPY!$B:$G,2,FALSE))</f>
        <v> </v>
      </c>
      <c r="D169" s="50" t="str">
        <f>IF(ISNA(VLOOKUP($B169,CPY!$B:$G,3,FALSE))=TRUE," ",VLOOKUP($B169,CPY!$B:$G,3,FALSE))</f>
        <v> </v>
      </c>
      <c r="E169" s="65" t="str">
        <f>IF(ISNA(VLOOKUP($B169,CPY!$B:$G,4,FALSE))=TRUE," ",VLOOKUP($B169,CPY!$B:$G,4,FALSE))</f>
        <v> </v>
      </c>
      <c r="F169" s="62"/>
      <c r="G169" s="75"/>
      <c r="H169" s="75"/>
      <c r="I169" s="62"/>
    </row>
    <row r="170" spans="1:9" x14ac:dyDescent="0.25">
      <c r="A170" s="62">
        <v>169</v>
      </c>
      <c r="B170" s="62"/>
      <c r="C170" s="68" t="str">
        <f>IF(ISNA(VLOOKUP($B170,CPY!$B:$G,2,FALSE))=TRUE," ",VLOOKUP($B170,CPY!$B:$G,2,FALSE))</f>
        <v> </v>
      </c>
      <c r="D170" s="50" t="str">
        <f>IF(ISNA(VLOOKUP($B170,CPY!$B:$G,3,FALSE))=TRUE," ",VLOOKUP($B170,CPY!$B:$G,3,FALSE))</f>
        <v> </v>
      </c>
      <c r="E170" s="65" t="str">
        <f>IF(ISNA(VLOOKUP($B170,CPY!$B:$G,4,FALSE))=TRUE," ",VLOOKUP($B170,CPY!$B:$G,4,FALSE))</f>
        <v> </v>
      </c>
      <c r="F170" s="62"/>
      <c r="G170" s="75"/>
      <c r="H170" s="75"/>
      <c r="I170" s="62"/>
    </row>
    <row r="171" spans="1:9" x14ac:dyDescent="0.25">
      <c r="A171" s="62">
        <v>170</v>
      </c>
      <c r="B171" s="62"/>
      <c r="C171" s="68" t="str">
        <f>IF(ISNA(VLOOKUP($B171,CPY!$B:$G,2,FALSE))=TRUE," ",VLOOKUP($B171,CPY!$B:$G,2,FALSE))</f>
        <v> </v>
      </c>
      <c r="D171" s="50" t="str">
        <f>IF(ISNA(VLOOKUP($B171,CPY!$B:$G,3,FALSE))=TRUE," ",VLOOKUP($B171,CPY!$B:$G,3,FALSE))</f>
        <v> </v>
      </c>
      <c r="E171" s="65" t="str">
        <f>IF(ISNA(VLOOKUP($B171,CPY!$B:$G,4,FALSE))=TRUE," ",VLOOKUP($B171,CPY!$B:$G,4,FALSE))</f>
        <v> </v>
      </c>
      <c r="F171" s="62"/>
      <c r="G171" s="75"/>
      <c r="H171" s="75"/>
      <c r="I171" s="62"/>
    </row>
    <row r="172" spans="1:9" x14ac:dyDescent="0.25">
      <c r="A172" s="62">
        <v>171</v>
      </c>
      <c r="B172" s="62"/>
      <c r="C172" s="68" t="str">
        <f>IF(ISNA(VLOOKUP($B172,CPY!$B:$G,2,FALSE))=TRUE," ",VLOOKUP($B172,CPY!$B:$G,2,FALSE))</f>
        <v> </v>
      </c>
      <c r="D172" s="50" t="str">
        <f>IF(ISNA(VLOOKUP($B172,CPY!$B:$G,3,FALSE))=TRUE," ",VLOOKUP($B172,CPY!$B:$G,3,FALSE))</f>
        <v> </v>
      </c>
      <c r="E172" s="65" t="str">
        <f>IF(ISNA(VLOOKUP($B172,CPY!$B:$G,4,FALSE))=TRUE," ",VLOOKUP($B172,CPY!$B:$G,4,FALSE))</f>
        <v> </v>
      </c>
      <c r="F172" s="62"/>
      <c r="G172" s="75"/>
      <c r="H172" s="75"/>
      <c r="I172" s="62"/>
    </row>
    <row r="173" spans="1:9" x14ac:dyDescent="0.25">
      <c r="A173" s="62">
        <v>172</v>
      </c>
      <c r="B173" s="62"/>
      <c r="C173" s="68" t="str">
        <f>IF(ISNA(VLOOKUP($B173,CPY!$B:$G,2,FALSE))=TRUE," ",VLOOKUP($B173,CPY!$B:$G,2,FALSE))</f>
        <v> </v>
      </c>
      <c r="D173" s="50" t="str">
        <f>IF(ISNA(VLOOKUP($B173,CPY!$B:$G,3,FALSE))=TRUE," ",VLOOKUP($B173,CPY!$B:$G,3,FALSE))</f>
        <v> </v>
      </c>
      <c r="E173" s="65" t="str">
        <f>IF(ISNA(VLOOKUP($B173,CPY!$B:$G,4,FALSE))=TRUE," ",VLOOKUP($B173,CPY!$B:$G,4,FALSE))</f>
        <v> </v>
      </c>
      <c r="F173" s="62"/>
      <c r="G173" s="75"/>
      <c r="H173" s="75"/>
      <c r="I173" s="62"/>
    </row>
    <row r="174" spans="1:9" x14ac:dyDescent="0.25">
      <c r="A174" s="62">
        <v>173</v>
      </c>
      <c r="B174" s="62"/>
      <c r="C174" s="68" t="str">
        <f>IF(ISNA(VLOOKUP($B174,CPY!$B:$G,2,FALSE))=TRUE," ",VLOOKUP($B174,CPY!$B:$G,2,FALSE))</f>
        <v> </v>
      </c>
      <c r="D174" s="50" t="str">
        <f>IF(ISNA(VLOOKUP($B174,CPY!$B:$G,3,FALSE))=TRUE," ",VLOOKUP($B174,CPY!$B:$G,3,FALSE))</f>
        <v> </v>
      </c>
      <c r="E174" s="65" t="str">
        <f>IF(ISNA(VLOOKUP($B174,CPY!$B:$G,4,FALSE))=TRUE," ",VLOOKUP($B174,CPY!$B:$G,4,FALSE))</f>
        <v> </v>
      </c>
      <c r="F174" s="62"/>
      <c r="G174" s="75"/>
      <c r="H174" s="75"/>
      <c r="I174" s="62"/>
    </row>
    <row r="175" spans="1:9" x14ac:dyDescent="0.25">
      <c r="A175" s="62">
        <v>174</v>
      </c>
      <c r="B175" s="62"/>
      <c r="C175" s="68" t="str">
        <f>IF(ISNA(VLOOKUP($B175,CPY!$B:$G,2,FALSE))=TRUE," ",VLOOKUP($B175,CPY!$B:$G,2,FALSE))</f>
        <v> </v>
      </c>
      <c r="D175" s="50" t="str">
        <f>IF(ISNA(VLOOKUP($B175,CPY!$B:$G,3,FALSE))=TRUE," ",VLOOKUP($B175,CPY!$B:$G,3,FALSE))</f>
        <v> </v>
      </c>
      <c r="E175" s="65" t="str">
        <f>IF(ISNA(VLOOKUP($B175,CPY!$B:$G,4,FALSE))=TRUE," ",VLOOKUP($B175,CPY!$B:$G,4,FALSE))</f>
        <v> </v>
      </c>
      <c r="F175" s="62"/>
      <c r="G175" s="75"/>
      <c r="H175" s="75"/>
      <c r="I175" s="62"/>
    </row>
    <row r="176" spans="1:9" x14ac:dyDescent="0.25">
      <c r="A176" s="62">
        <v>175</v>
      </c>
      <c r="B176" s="62"/>
      <c r="C176" s="68" t="str">
        <f>IF(ISNA(VLOOKUP($B176,CPY!$B:$G,2,FALSE))=TRUE," ",VLOOKUP($B176,CPY!$B:$G,2,FALSE))</f>
        <v> </v>
      </c>
      <c r="D176" s="50" t="str">
        <f>IF(ISNA(VLOOKUP($B176,CPY!$B:$G,3,FALSE))=TRUE," ",VLOOKUP($B176,CPY!$B:$G,3,FALSE))</f>
        <v> </v>
      </c>
      <c r="E176" s="65" t="str">
        <f>IF(ISNA(VLOOKUP($B176,CPY!$B:$G,4,FALSE))=TRUE," ",VLOOKUP($B176,CPY!$B:$G,4,FALSE))</f>
        <v> </v>
      </c>
      <c r="F176" s="62"/>
      <c r="G176" s="75"/>
      <c r="H176" s="75"/>
      <c r="I176" s="62"/>
    </row>
    <row r="177" spans="1:9" x14ac:dyDescent="0.25">
      <c r="A177" s="62">
        <v>176</v>
      </c>
      <c r="B177" s="62"/>
      <c r="C177" s="68" t="str">
        <f>IF(ISNA(VLOOKUP($B177,CPY!$B:$G,2,FALSE))=TRUE," ",VLOOKUP($B177,CPY!$B:$G,2,FALSE))</f>
        <v> </v>
      </c>
      <c r="D177" s="50" t="str">
        <f>IF(ISNA(VLOOKUP($B177,CPY!$B:$G,3,FALSE))=TRUE," ",VLOOKUP($B177,CPY!$B:$G,3,FALSE))</f>
        <v> </v>
      </c>
      <c r="E177" s="65" t="str">
        <f>IF(ISNA(VLOOKUP($B177,CPY!$B:$G,4,FALSE))=TRUE," ",VLOOKUP($B177,CPY!$B:$G,4,FALSE))</f>
        <v> </v>
      </c>
      <c r="F177" s="62"/>
      <c r="G177" s="75"/>
      <c r="H177" s="75"/>
      <c r="I177" s="62"/>
    </row>
    <row r="178" spans="1:9" x14ac:dyDescent="0.25">
      <c r="A178" s="62">
        <v>177</v>
      </c>
      <c r="B178" s="62"/>
      <c r="C178" s="68" t="str">
        <f>IF(ISNA(VLOOKUP($B178,CPY!$B:$G,2,FALSE))=TRUE," ",VLOOKUP($B178,CPY!$B:$G,2,FALSE))</f>
        <v> </v>
      </c>
      <c r="D178" s="50" t="str">
        <f>IF(ISNA(VLOOKUP($B178,CPY!$B:$G,3,FALSE))=TRUE," ",VLOOKUP($B178,CPY!$B:$G,3,FALSE))</f>
        <v> </v>
      </c>
      <c r="E178" s="65" t="str">
        <f>IF(ISNA(VLOOKUP($B178,CPY!$B:$G,4,FALSE))=TRUE," ",VLOOKUP($B178,CPY!$B:$G,4,FALSE))</f>
        <v> </v>
      </c>
      <c r="F178" s="62"/>
      <c r="G178" s="75"/>
      <c r="H178" s="75"/>
      <c r="I178" s="62"/>
    </row>
    <row r="179" spans="1:9" x14ac:dyDescent="0.25">
      <c r="A179" s="62">
        <v>178</v>
      </c>
      <c r="B179" s="62"/>
      <c r="C179" s="68" t="str">
        <f>IF(ISNA(VLOOKUP($B179,CPY!$B:$G,2,FALSE))=TRUE," ",VLOOKUP($B179,CPY!$B:$G,2,FALSE))</f>
        <v> </v>
      </c>
      <c r="D179" s="50" t="str">
        <f>IF(ISNA(VLOOKUP($B179,CPY!$B:$G,3,FALSE))=TRUE," ",VLOOKUP($B179,CPY!$B:$G,3,FALSE))</f>
        <v> </v>
      </c>
      <c r="E179" s="65" t="str">
        <f>IF(ISNA(VLOOKUP($B179,CPY!$B:$G,4,FALSE))=TRUE," ",VLOOKUP($B179,CPY!$B:$G,4,FALSE))</f>
        <v> </v>
      </c>
      <c r="F179" s="62"/>
      <c r="G179" s="75"/>
      <c r="H179" s="75"/>
      <c r="I179" s="62"/>
    </row>
    <row r="180" spans="1:9" x14ac:dyDescent="0.25">
      <c r="A180" s="62">
        <v>179</v>
      </c>
      <c r="B180" s="62"/>
      <c r="C180" s="68" t="str">
        <f>IF(ISNA(VLOOKUP($B180,CPY!$B:$G,2,FALSE))=TRUE," ",VLOOKUP($B180,CPY!$B:$G,2,FALSE))</f>
        <v> </v>
      </c>
      <c r="D180" s="50" t="str">
        <f>IF(ISNA(VLOOKUP($B180,CPY!$B:$G,3,FALSE))=TRUE," ",VLOOKUP($B180,CPY!$B:$G,3,FALSE))</f>
        <v> </v>
      </c>
      <c r="E180" s="65" t="str">
        <f>IF(ISNA(VLOOKUP($B180,CPY!$B:$G,4,FALSE))=TRUE," ",VLOOKUP($B180,CPY!$B:$G,4,FALSE))</f>
        <v> </v>
      </c>
      <c r="F180" s="62"/>
      <c r="G180" s="75"/>
      <c r="H180" s="75"/>
      <c r="I180" s="62"/>
    </row>
    <row r="181" spans="1:9" x14ac:dyDescent="0.25">
      <c r="A181" s="62">
        <v>180</v>
      </c>
      <c r="B181" s="62"/>
      <c r="C181" s="68" t="str">
        <f>IF(ISNA(VLOOKUP($B181,CPY!$B:$G,2,FALSE))=TRUE," ",VLOOKUP($B181,CPY!$B:$G,2,FALSE))</f>
        <v> </v>
      </c>
      <c r="D181" s="50" t="str">
        <f>IF(ISNA(VLOOKUP($B181,CPY!$B:$G,3,FALSE))=TRUE," ",VLOOKUP($B181,CPY!$B:$G,3,FALSE))</f>
        <v> </v>
      </c>
      <c r="E181" s="65" t="str">
        <f>IF(ISNA(VLOOKUP($B181,CPY!$B:$G,4,FALSE))=TRUE," ",VLOOKUP($B181,CPY!$B:$G,4,FALSE))</f>
        <v> </v>
      </c>
      <c r="F181" s="62"/>
      <c r="G181" s="75"/>
      <c r="H181" s="75"/>
      <c r="I181" s="62"/>
    </row>
    <row r="182" spans="1:9" x14ac:dyDescent="0.25">
      <c r="A182" s="62">
        <v>181</v>
      </c>
      <c r="B182" s="62"/>
      <c r="C182" s="68" t="str">
        <f>IF(ISNA(VLOOKUP($B182,CPY!$B:$G,2,FALSE))=TRUE," ",VLOOKUP($B182,CPY!$B:$G,2,FALSE))</f>
        <v> </v>
      </c>
      <c r="D182" s="50" t="str">
        <f>IF(ISNA(VLOOKUP($B182,CPY!$B:$G,3,FALSE))=TRUE," ",VLOOKUP($B182,CPY!$B:$G,3,FALSE))</f>
        <v> </v>
      </c>
      <c r="E182" s="65" t="str">
        <f>IF(ISNA(VLOOKUP($B182,CPY!$B:$G,4,FALSE))=TRUE," ",VLOOKUP($B182,CPY!$B:$G,4,FALSE))</f>
        <v> </v>
      </c>
      <c r="F182" s="62"/>
      <c r="G182" s="75"/>
      <c r="H182" s="75"/>
      <c r="I182" s="62"/>
    </row>
    <row r="183" spans="1:9" x14ac:dyDescent="0.25">
      <c r="A183" s="62">
        <v>182</v>
      </c>
      <c r="B183" s="62"/>
      <c r="C183" s="68" t="str">
        <f>IF(ISNA(VLOOKUP($B183,CPY!$B:$G,2,FALSE))=TRUE," ",VLOOKUP($B183,CPY!$B:$G,2,FALSE))</f>
        <v> </v>
      </c>
      <c r="D183" s="50" t="str">
        <f>IF(ISNA(VLOOKUP($B183,CPY!$B:$G,3,FALSE))=TRUE," ",VLOOKUP($B183,CPY!$B:$G,3,FALSE))</f>
        <v> </v>
      </c>
      <c r="E183" s="65" t="str">
        <f>IF(ISNA(VLOOKUP($B183,CPY!$B:$G,4,FALSE))=TRUE," ",VLOOKUP($B183,CPY!$B:$G,4,FALSE))</f>
        <v> </v>
      </c>
      <c r="F183" s="62"/>
      <c r="G183" s="75"/>
      <c r="H183" s="75"/>
      <c r="I183" s="62"/>
    </row>
    <row r="184" spans="1:9" x14ac:dyDescent="0.25">
      <c r="A184" s="62">
        <v>183</v>
      </c>
      <c r="B184" s="62"/>
      <c r="C184" s="68" t="str">
        <f>IF(ISNA(VLOOKUP($B184,CPY!$B:$G,2,FALSE))=TRUE," ",VLOOKUP($B184,CPY!$B:$G,2,FALSE))</f>
        <v> </v>
      </c>
      <c r="D184" s="50" t="str">
        <f>IF(ISNA(VLOOKUP($B184,CPY!$B:$G,3,FALSE))=TRUE," ",VLOOKUP($B184,CPY!$B:$G,3,FALSE))</f>
        <v> </v>
      </c>
      <c r="E184" s="65" t="str">
        <f>IF(ISNA(VLOOKUP($B184,CPY!$B:$G,4,FALSE))=TRUE," ",VLOOKUP($B184,CPY!$B:$G,4,FALSE))</f>
        <v> </v>
      </c>
      <c r="F184" s="62"/>
      <c r="G184" s="75"/>
      <c r="H184" s="75"/>
      <c r="I184" s="62"/>
    </row>
    <row r="185" spans="1:9" x14ac:dyDescent="0.25">
      <c r="A185" s="62">
        <v>184</v>
      </c>
      <c r="B185" s="62"/>
      <c r="C185" s="68" t="str">
        <f>IF(ISNA(VLOOKUP($B185,CPY!$B:$G,2,FALSE))=TRUE," ",VLOOKUP($B185,CPY!$B:$G,2,FALSE))</f>
        <v> </v>
      </c>
      <c r="D185" s="50" t="str">
        <f>IF(ISNA(VLOOKUP($B185,CPY!$B:$G,3,FALSE))=TRUE," ",VLOOKUP($B185,CPY!$B:$G,3,FALSE))</f>
        <v> </v>
      </c>
      <c r="E185" s="65" t="str">
        <f>IF(ISNA(VLOOKUP($B185,CPY!$B:$G,4,FALSE))=TRUE," ",VLOOKUP($B185,CPY!$B:$G,4,FALSE))</f>
        <v> </v>
      </c>
      <c r="F185" s="62"/>
      <c r="G185" s="75"/>
      <c r="H185" s="75"/>
      <c r="I185" s="62"/>
    </row>
    <row r="186" spans="1:9" x14ac:dyDescent="0.25">
      <c r="A186" s="62">
        <v>185</v>
      </c>
      <c r="B186" s="62"/>
      <c r="C186" s="68" t="str">
        <f>IF(ISNA(VLOOKUP($B186,CPY!$B:$G,2,FALSE))=TRUE," ",VLOOKUP($B186,CPY!$B:$G,2,FALSE))</f>
        <v> </v>
      </c>
      <c r="D186" s="50" t="str">
        <f>IF(ISNA(VLOOKUP($B186,CPY!$B:$G,3,FALSE))=TRUE," ",VLOOKUP($B186,CPY!$B:$G,3,FALSE))</f>
        <v> </v>
      </c>
      <c r="E186" s="65" t="str">
        <f>IF(ISNA(VLOOKUP($B186,CPY!$B:$G,4,FALSE))=TRUE," ",VLOOKUP($B186,CPY!$B:$G,4,FALSE))</f>
        <v> </v>
      </c>
      <c r="F186" s="62"/>
      <c r="G186" s="75"/>
      <c r="H186" s="75"/>
      <c r="I186" s="62"/>
    </row>
    <row r="187" spans="1:9" x14ac:dyDescent="0.25">
      <c r="A187" s="62">
        <v>186</v>
      </c>
      <c r="B187" s="62"/>
      <c r="C187" s="68" t="str">
        <f>IF(ISNA(VLOOKUP($B187,CPY!$B:$G,2,FALSE))=TRUE," ",VLOOKUP($B187,CPY!$B:$G,2,FALSE))</f>
        <v> </v>
      </c>
      <c r="D187" s="50" t="str">
        <f>IF(ISNA(VLOOKUP($B187,CPY!$B:$G,3,FALSE))=TRUE," ",VLOOKUP($B187,CPY!$B:$G,3,FALSE))</f>
        <v> </v>
      </c>
      <c r="E187" s="65" t="str">
        <f>IF(ISNA(VLOOKUP($B187,CPY!$B:$G,4,FALSE))=TRUE," ",VLOOKUP($B187,CPY!$B:$G,4,FALSE))</f>
        <v> </v>
      </c>
      <c r="F187" s="62"/>
      <c r="G187" s="75"/>
      <c r="H187" s="75"/>
      <c r="I187" s="62"/>
    </row>
    <row r="188" spans="1:9" x14ac:dyDescent="0.25">
      <c r="A188" s="62">
        <v>187</v>
      </c>
      <c r="B188" s="62"/>
      <c r="C188" s="68" t="str">
        <f>IF(ISNA(VLOOKUP($B188,CPY!$B:$G,2,FALSE))=TRUE," ",VLOOKUP($B188,CPY!$B:$G,2,FALSE))</f>
        <v> </v>
      </c>
      <c r="D188" s="50" t="str">
        <f>IF(ISNA(VLOOKUP($B188,CPY!$B:$G,3,FALSE))=TRUE," ",VLOOKUP($B188,CPY!$B:$G,3,FALSE))</f>
        <v> </v>
      </c>
      <c r="E188" s="65" t="str">
        <f>IF(ISNA(VLOOKUP($B188,CPY!$B:$G,4,FALSE))=TRUE," ",VLOOKUP($B188,CPY!$B:$G,4,FALSE))</f>
        <v> </v>
      </c>
      <c r="F188" s="62"/>
      <c r="G188" s="75"/>
      <c r="H188" s="75"/>
      <c r="I188" s="62"/>
    </row>
    <row r="189" spans="1:9" x14ac:dyDescent="0.25">
      <c r="A189" s="62">
        <v>188</v>
      </c>
      <c r="B189" s="62"/>
      <c r="C189" s="68" t="str">
        <f>IF(ISNA(VLOOKUP($B189,CPY!$B:$G,2,FALSE))=TRUE," ",VLOOKUP($B189,CPY!$B:$G,2,FALSE))</f>
        <v> </v>
      </c>
      <c r="D189" s="50" t="str">
        <f>IF(ISNA(VLOOKUP($B189,CPY!$B:$G,3,FALSE))=TRUE," ",VLOOKUP($B189,CPY!$B:$G,3,FALSE))</f>
        <v> </v>
      </c>
      <c r="E189" s="65" t="str">
        <f>IF(ISNA(VLOOKUP($B189,CPY!$B:$G,4,FALSE))=TRUE," ",VLOOKUP($B189,CPY!$B:$G,4,FALSE))</f>
        <v> </v>
      </c>
      <c r="F189" s="62"/>
      <c r="G189" s="75"/>
      <c r="H189" s="75"/>
      <c r="I189" s="62"/>
    </row>
    <row r="190" spans="1:9" x14ac:dyDescent="0.25">
      <c r="A190" s="62">
        <v>189</v>
      </c>
      <c r="B190" s="62"/>
      <c r="C190" s="68" t="str">
        <f>IF(ISNA(VLOOKUP($B190,CPY!$B:$G,2,FALSE))=TRUE," ",VLOOKUP($B190,CPY!$B:$G,2,FALSE))</f>
        <v> </v>
      </c>
      <c r="D190" s="50" t="str">
        <f>IF(ISNA(VLOOKUP($B190,CPY!$B:$G,3,FALSE))=TRUE," ",VLOOKUP($B190,CPY!$B:$G,3,FALSE))</f>
        <v> </v>
      </c>
      <c r="E190" s="65" t="str">
        <f>IF(ISNA(VLOOKUP($B190,CPY!$B:$G,4,FALSE))=TRUE," ",VLOOKUP($B190,CPY!$B:$G,4,FALSE))</f>
        <v> </v>
      </c>
      <c r="F190" s="62"/>
      <c r="G190" s="75"/>
      <c r="H190" s="75"/>
      <c r="I190" s="62"/>
    </row>
    <row r="191" spans="1:9" x14ac:dyDescent="0.25">
      <c r="A191" s="62">
        <v>190</v>
      </c>
      <c r="B191" s="62"/>
      <c r="C191" s="68" t="str">
        <f>IF(ISNA(VLOOKUP($B191,CPY!$B:$G,2,FALSE))=TRUE," ",VLOOKUP($B191,CPY!$B:$G,2,FALSE))</f>
        <v> </v>
      </c>
      <c r="D191" s="50" t="str">
        <f>IF(ISNA(VLOOKUP($B191,CPY!$B:$G,3,FALSE))=TRUE," ",VLOOKUP($B191,CPY!$B:$G,3,FALSE))</f>
        <v> </v>
      </c>
      <c r="E191" s="65" t="str">
        <f>IF(ISNA(VLOOKUP($B191,CPY!$B:$G,4,FALSE))=TRUE," ",VLOOKUP($B191,CPY!$B:$G,4,FALSE))</f>
        <v> </v>
      </c>
      <c r="F191" s="62"/>
      <c r="G191" s="75"/>
      <c r="H191" s="75"/>
      <c r="I191" s="62"/>
    </row>
    <row r="192" spans="1:9" x14ac:dyDescent="0.25">
      <c r="A192" s="62">
        <v>191</v>
      </c>
      <c r="B192" s="62"/>
      <c r="C192" s="68" t="str">
        <f>IF(ISNA(VLOOKUP($B192,CPY!$B:$G,2,FALSE))=TRUE," ",VLOOKUP($B192,CPY!$B:$G,2,FALSE))</f>
        <v> </v>
      </c>
      <c r="D192" s="50" t="str">
        <f>IF(ISNA(VLOOKUP($B192,CPY!$B:$G,3,FALSE))=TRUE," ",VLOOKUP($B192,CPY!$B:$G,3,FALSE))</f>
        <v> </v>
      </c>
      <c r="E192" s="65" t="str">
        <f>IF(ISNA(VLOOKUP($B192,CPY!$B:$G,4,FALSE))=TRUE," ",VLOOKUP($B192,CPY!$B:$G,4,FALSE))</f>
        <v> </v>
      </c>
      <c r="F192" s="62"/>
      <c r="G192" s="75"/>
      <c r="H192" s="75"/>
      <c r="I192" s="62"/>
    </row>
    <row r="193" spans="1:9" x14ac:dyDescent="0.25">
      <c r="A193" s="62">
        <v>192</v>
      </c>
      <c r="B193" s="62"/>
      <c r="C193" s="68" t="str">
        <f>IF(ISNA(VLOOKUP($B193,CPY!$B:$G,2,FALSE))=TRUE," ",VLOOKUP($B193,CPY!$B:$G,2,FALSE))</f>
        <v> </v>
      </c>
      <c r="D193" s="50" t="str">
        <f>IF(ISNA(VLOOKUP($B193,CPY!$B:$G,3,FALSE))=TRUE," ",VLOOKUP($B193,CPY!$B:$G,3,FALSE))</f>
        <v> </v>
      </c>
      <c r="E193" s="65" t="str">
        <f>IF(ISNA(VLOOKUP($B193,CPY!$B:$G,4,FALSE))=TRUE," ",VLOOKUP($B193,CPY!$B:$G,4,FALSE))</f>
        <v> </v>
      </c>
      <c r="F193" s="62"/>
      <c r="G193" s="75"/>
      <c r="H193" s="75"/>
      <c r="I193" s="62"/>
    </row>
    <row r="194" spans="1:9" x14ac:dyDescent="0.25">
      <c r="A194" s="62">
        <v>193</v>
      </c>
      <c r="B194" s="62"/>
      <c r="C194" s="68" t="str">
        <f>IF(ISNA(VLOOKUP($B194,CPY!$B:$G,2,FALSE))=TRUE," ",VLOOKUP($B194,CPY!$B:$G,2,FALSE))</f>
        <v> </v>
      </c>
      <c r="D194" s="50" t="str">
        <f>IF(ISNA(VLOOKUP($B194,CPY!$B:$G,3,FALSE))=TRUE," ",VLOOKUP($B194,CPY!$B:$G,3,FALSE))</f>
        <v> </v>
      </c>
      <c r="E194" s="65" t="str">
        <f>IF(ISNA(VLOOKUP($B194,CPY!$B:$G,4,FALSE))=TRUE," ",VLOOKUP($B194,CPY!$B:$G,4,FALSE))</f>
        <v> </v>
      </c>
      <c r="F194" s="62"/>
      <c r="G194" s="75"/>
      <c r="H194" s="75"/>
      <c r="I194" s="62"/>
    </row>
    <row r="195" spans="1:9" x14ac:dyDescent="0.25">
      <c r="A195" s="62">
        <v>194</v>
      </c>
      <c r="B195" s="62"/>
      <c r="C195" s="68" t="str">
        <f>IF(ISNA(VLOOKUP($B195,CPY!$B:$G,2,FALSE))=TRUE," ",VLOOKUP($B195,CPY!$B:$G,2,FALSE))</f>
        <v> </v>
      </c>
      <c r="D195" s="50" t="str">
        <f>IF(ISNA(VLOOKUP($B195,CPY!$B:$G,3,FALSE))=TRUE," ",VLOOKUP($B195,CPY!$B:$G,3,FALSE))</f>
        <v> </v>
      </c>
      <c r="E195" s="65" t="str">
        <f>IF(ISNA(VLOOKUP($B195,CPY!$B:$G,4,FALSE))=TRUE," ",VLOOKUP($B195,CPY!$B:$G,4,FALSE))</f>
        <v> </v>
      </c>
      <c r="F195" s="62"/>
      <c r="G195" s="75"/>
      <c r="H195" s="75"/>
      <c r="I195" s="62"/>
    </row>
    <row r="196" spans="1:9" x14ac:dyDescent="0.25">
      <c r="A196" s="62">
        <v>195</v>
      </c>
      <c r="B196" s="62"/>
      <c r="C196" s="68" t="str">
        <f>IF(ISNA(VLOOKUP($B196,CPY!$B:$G,2,FALSE))=TRUE," ",VLOOKUP($B196,CPY!$B:$G,2,FALSE))</f>
        <v> </v>
      </c>
      <c r="D196" s="50" t="str">
        <f>IF(ISNA(VLOOKUP($B196,CPY!$B:$G,3,FALSE))=TRUE," ",VLOOKUP($B196,CPY!$B:$G,3,FALSE))</f>
        <v> </v>
      </c>
      <c r="E196" s="65" t="str">
        <f>IF(ISNA(VLOOKUP($B196,CPY!$B:$G,4,FALSE))=TRUE," ",VLOOKUP($B196,CPY!$B:$G,4,FALSE))</f>
        <v> </v>
      </c>
      <c r="F196" s="62"/>
      <c r="G196" s="75"/>
      <c r="H196" s="75"/>
      <c r="I196" s="62"/>
    </row>
    <row r="197" spans="1:9" x14ac:dyDescent="0.25">
      <c r="A197" s="62">
        <v>196</v>
      </c>
      <c r="B197" s="62"/>
      <c r="C197" s="68" t="str">
        <f>IF(ISNA(VLOOKUP($B197,CPY!$B:$G,2,FALSE))=TRUE," ",VLOOKUP($B197,CPY!$B:$G,2,FALSE))</f>
        <v> </v>
      </c>
      <c r="D197" s="50" t="str">
        <f>IF(ISNA(VLOOKUP($B197,CPY!$B:$G,3,FALSE))=TRUE," ",VLOOKUP($B197,CPY!$B:$G,3,FALSE))</f>
        <v> </v>
      </c>
      <c r="E197" s="65" t="str">
        <f>IF(ISNA(VLOOKUP($B197,CPY!$B:$G,4,FALSE))=TRUE," ",VLOOKUP($B197,CPY!$B:$G,4,FALSE))</f>
        <v> </v>
      </c>
      <c r="F197" s="62"/>
      <c r="G197" s="75"/>
      <c r="H197" s="75"/>
      <c r="I197" s="62"/>
    </row>
    <row r="198" spans="1:9" x14ac:dyDescent="0.25">
      <c r="A198" s="62">
        <v>197</v>
      </c>
      <c r="B198" s="62"/>
      <c r="C198" s="68" t="str">
        <f>IF(ISNA(VLOOKUP($B198,CPY!$B:$G,2,FALSE))=TRUE," ",VLOOKUP($B198,CPY!$B:$G,2,FALSE))</f>
        <v> </v>
      </c>
      <c r="D198" s="50" t="str">
        <f>IF(ISNA(VLOOKUP($B198,CPY!$B:$G,3,FALSE))=TRUE," ",VLOOKUP($B198,CPY!$B:$G,3,FALSE))</f>
        <v> </v>
      </c>
      <c r="E198" s="65" t="str">
        <f>IF(ISNA(VLOOKUP($B198,CPY!$B:$G,4,FALSE))=TRUE," ",VLOOKUP($B198,CPY!$B:$G,4,FALSE))</f>
        <v> </v>
      </c>
      <c r="F198" s="62"/>
      <c r="G198" s="75"/>
      <c r="H198" s="75"/>
      <c r="I198" s="62"/>
    </row>
    <row r="199" spans="1:9" x14ac:dyDescent="0.25">
      <c r="A199" s="62">
        <v>198</v>
      </c>
      <c r="B199" s="62"/>
      <c r="C199" s="68" t="str">
        <f>IF(ISNA(VLOOKUP($B199,CPY!$B:$G,2,FALSE))=TRUE," ",VLOOKUP($B199,CPY!$B:$G,2,FALSE))</f>
        <v> </v>
      </c>
      <c r="D199" s="50" t="str">
        <f>IF(ISNA(VLOOKUP($B199,CPY!$B:$G,3,FALSE))=TRUE," ",VLOOKUP($B199,CPY!$B:$G,3,FALSE))</f>
        <v> </v>
      </c>
      <c r="E199" s="65" t="str">
        <f>IF(ISNA(VLOOKUP($B199,CPY!$B:$G,4,FALSE))=TRUE," ",VLOOKUP($B199,CPY!$B:$G,4,FALSE))</f>
        <v> </v>
      </c>
      <c r="F199" s="62"/>
      <c r="G199" s="75"/>
      <c r="H199" s="75"/>
      <c r="I199" s="62"/>
    </row>
    <row r="200" spans="1:9" x14ac:dyDescent="0.25">
      <c r="A200" s="62">
        <v>199</v>
      </c>
      <c r="B200" s="62"/>
      <c r="C200" s="68" t="str">
        <f>IF(ISNA(VLOOKUP($B200,CPY!$B:$G,2,FALSE))=TRUE," ",VLOOKUP($B200,CPY!$B:$G,2,FALSE))</f>
        <v> </v>
      </c>
      <c r="D200" s="50" t="str">
        <f>IF(ISNA(VLOOKUP($B200,CPY!$B:$G,3,FALSE))=TRUE," ",VLOOKUP($B200,CPY!$B:$G,3,FALSE))</f>
        <v> </v>
      </c>
      <c r="E200" s="65" t="str">
        <f>IF(ISNA(VLOOKUP($B200,CPY!$B:$G,4,FALSE))=TRUE," ",VLOOKUP($B200,CPY!$B:$G,4,FALSE))</f>
        <v> </v>
      </c>
      <c r="F200" s="62"/>
      <c r="G200" s="75"/>
      <c r="H200" s="75"/>
      <c r="I200" s="62"/>
    </row>
    <row r="201" spans="1:9" x14ac:dyDescent="0.25">
      <c r="A201" s="62">
        <v>200</v>
      </c>
      <c r="B201" s="62"/>
      <c r="C201" s="68" t="str">
        <f>IF(ISNA(VLOOKUP($B201,CPY!$B:$G,2,FALSE))=TRUE," ",VLOOKUP($B201,CPY!$B:$G,2,FALSE))</f>
        <v> </v>
      </c>
      <c r="D201" s="50" t="str">
        <f>IF(ISNA(VLOOKUP($B201,CPY!$B:$G,3,FALSE))=TRUE," ",VLOOKUP($B201,CPY!$B:$G,3,FALSE))</f>
        <v> </v>
      </c>
      <c r="E201" s="65" t="str">
        <f>IF(ISNA(VLOOKUP($B201,CPY!$B:$G,4,FALSE))=TRUE," ",VLOOKUP($B201,CPY!$B:$G,4,FALSE))</f>
        <v> </v>
      </c>
      <c r="F201" s="62"/>
      <c r="G201" s="75"/>
      <c r="H201" s="75"/>
      <c r="I201" s="62"/>
    </row>
    <row r="202" spans="1:9" x14ac:dyDescent="0.25">
      <c r="A202" s="62">
        <v>201</v>
      </c>
      <c r="B202" s="62"/>
      <c r="C202" s="68" t="str">
        <f>IF(ISNA(VLOOKUP($B202,CPY!$B:$G,2,FALSE))=TRUE," ",VLOOKUP($B202,CPY!$B:$G,2,FALSE))</f>
        <v> </v>
      </c>
      <c r="D202" s="50" t="str">
        <f>IF(ISNA(VLOOKUP($B202,CPY!$B:$G,3,FALSE))=TRUE," ",VLOOKUP($B202,CPY!$B:$G,3,FALSE))</f>
        <v> </v>
      </c>
      <c r="E202" s="65" t="str">
        <f>IF(ISNA(VLOOKUP($B202,CPY!$B:$G,4,FALSE))=TRUE," ",VLOOKUP($B202,CPY!$B:$G,4,FALSE))</f>
        <v> </v>
      </c>
      <c r="F202" s="62"/>
      <c r="G202" s="75"/>
      <c r="H202" s="75"/>
      <c r="I202" s="62"/>
    </row>
    <row r="203" spans="1:9" x14ac:dyDescent="0.25">
      <c r="A203" s="62">
        <v>202</v>
      </c>
      <c r="B203" s="62"/>
      <c r="C203" s="68" t="str">
        <f>IF(ISNA(VLOOKUP($B203,CPY!$B:$G,2,FALSE))=TRUE," ",VLOOKUP($B203,CPY!$B:$G,2,FALSE))</f>
        <v> </v>
      </c>
      <c r="D203" s="50" t="str">
        <f>IF(ISNA(VLOOKUP($B203,CPY!$B:$G,3,FALSE))=TRUE," ",VLOOKUP($B203,CPY!$B:$G,3,FALSE))</f>
        <v> </v>
      </c>
      <c r="E203" s="65" t="str">
        <f>IF(ISNA(VLOOKUP($B203,CPY!$B:$G,4,FALSE))=TRUE," ",VLOOKUP($B203,CPY!$B:$G,4,FALSE))</f>
        <v> </v>
      </c>
      <c r="F203" s="62"/>
      <c r="G203" s="75"/>
      <c r="H203" s="75"/>
      <c r="I203" s="62"/>
    </row>
    <row r="204" spans="1:9" x14ac:dyDescent="0.25">
      <c r="A204" s="62">
        <v>203</v>
      </c>
      <c r="B204" s="62"/>
      <c r="C204" s="68" t="str">
        <f>IF(ISNA(VLOOKUP($B204,CPY!$B:$G,2,FALSE))=TRUE," ",VLOOKUP($B204,CPY!$B:$G,2,FALSE))</f>
        <v> </v>
      </c>
      <c r="D204" s="50" t="str">
        <f>IF(ISNA(VLOOKUP($B204,CPY!$B:$G,3,FALSE))=TRUE," ",VLOOKUP($B204,CPY!$B:$G,3,FALSE))</f>
        <v> </v>
      </c>
      <c r="E204" s="65" t="str">
        <f>IF(ISNA(VLOOKUP($B204,CPY!$B:$G,4,FALSE))=TRUE," ",VLOOKUP($B204,CPY!$B:$G,4,FALSE))</f>
        <v> </v>
      </c>
      <c r="F204" s="62"/>
      <c r="G204" s="75"/>
      <c r="H204" s="75"/>
      <c r="I204" s="62"/>
    </row>
    <row r="205" spans="1:9" x14ac:dyDescent="0.25">
      <c r="A205" s="62">
        <v>204</v>
      </c>
      <c r="B205" s="62"/>
      <c r="C205" s="68" t="str">
        <f>IF(ISNA(VLOOKUP($B205,CPY!$B:$G,2,FALSE))=TRUE," ",VLOOKUP($B205,CPY!$B:$G,2,FALSE))</f>
        <v> </v>
      </c>
      <c r="D205" s="50" t="str">
        <f>IF(ISNA(VLOOKUP($B205,CPY!$B:$G,3,FALSE))=TRUE," ",VLOOKUP($B205,CPY!$B:$G,3,FALSE))</f>
        <v> </v>
      </c>
      <c r="E205" s="65" t="str">
        <f>IF(ISNA(VLOOKUP($B205,CPY!$B:$G,4,FALSE))=TRUE," ",VLOOKUP($B205,CPY!$B:$G,4,FALSE))</f>
        <v> </v>
      </c>
      <c r="F205" s="62"/>
      <c r="G205" s="75"/>
      <c r="H205" s="75"/>
      <c r="I205" s="62"/>
    </row>
    <row r="206" spans="1:9" x14ac:dyDescent="0.25">
      <c r="A206" s="62">
        <v>205</v>
      </c>
      <c r="B206" s="62"/>
      <c r="C206" s="68" t="str">
        <f>IF(ISNA(VLOOKUP($B206,CPY!$B:$G,2,FALSE))=TRUE," ",VLOOKUP($B206,CPY!$B:$G,2,FALSE))</f>
        <v> </v>
      </c>
      <c r="D206" s="50" t="str">
        <f>IF(ISNA(VLOOKUP($B206,CPY!$B:$G,3,FALSE))=TRUE," ",VLOOKUP($B206,CPY!$B:$G,3,FALSE))</f>
        <v> </v>
      </c>
      <c r="E206" s="65" t="str">
        <f>IF(ISNA(VLOOKUP($B206,CPY!$B:$G,4,FALSE))=TRUE," ",VLOOKUP($B206,CPY!$B:$G,4,FALSE))</f>
        <v> </v>
      </c>
      <c r="F206" s="62"/>
      <c r="G206" s="75"/>
      <c r="H206" s="75"/>
      <c r="I206" s="62"/>
    </row>
    <row r="207" spans="1:9" x14ac:dyDescent="0.25">
      <c r="A207" s="62">
        <v>206</v>
      </c>
      <c r="B207" s="62"/>
      <c r="C207" s="68" t="str">
        <f>IF(ISNA(VLOOKUP($B207,CPY!$B:$G,2,FALSE))=TRUE," ",VLOOKUP($B207,CPY!$B:$G,2,FALSE))</f>
        <v> </v>
      </c>
      <c r="D207" s="50" t="str">
        <f>IF(ISNA(VLOOKUP($B207,CPY!$B:$G,3,FALSE))=TRUE," ",VLOOKUP($B207,CPY!$B:$G,3,FALSE))</f>
        <v> </v>
      </c>
      <c r="E207" s="65" t="str">
        <f>IF(ISNA(VLOOKUP($B207,CPY!$B:$G,4,FALSE))=TRUE," ",VLOOKUP($B207,CPY!$B:$G,4,FALSE))</f>
        <v> </v>
      </c>
      <c r="F207" s="62"/>
      <c r="G207" s="75"/>
      <c r="H207" s="75"/>
      <c r="I207" s="62"/>
    </row>
    <row r="208" spans="1:9" x14ac:dyDescent="0.25">
      <c r="A208" s="62">
        <v>207</v>
      </c>
      <c r="B208" s="62"/>
      <c r="C208" s="68" t="str">
        <f>IF(ISNA(VLOOKUP($B208,CPY!$B:$G,2,FALSE))=TRUE," ",VLOOKUP($B208,CPY!$B:$G,2,FALSE))</f>
        <v> </v>
      </c>
      <c r="D208" s="50" t="str">
        <f>IF(ISNA(VLOOKUP($B208,CPY!$B:$G,3,FALSE))=TRUE," ",VLOOKUP($B208,CPY!$B:$G,3,FALSE))</f>
        <v> </v>
      </c>
      <c r="E208" s="65" t="str">
        <f>IF(ISNA(VLOOKUP($B208,CPY!$B:$G,4,FALSE))=TRUE," ",VLOOKUP($B208,CPY!$B:$G,4,FALSE))</f>
        <v> </v>
      </c>
      <c r="F208" s="62"/>
      <c r="G208" s="75"/>
      <c r="H208" s="75"/>
      <c r="I208" s="62"/>
    </row>
    <row r="209" spans="1:9" x14ac:dyDescent="0.25">
      <c r="A209" s="62">
        <v>208</v>
      </c>
      <c r="B209" s="62"/>
      <c r="C209" s="68" t="str">
        <f>IF(ISNA(VLOOKUP($B209,CPY!$B:$G,2,FALSE))=TRUE," ",VLOOKUP($B209,CPY!$B:$G,2,FALSE))</f>
        <v> </v>
      </c>
      <c r="D209" s="50" t="str">
        <f>IF(ISNA(VLOOKUP($B209,CPY!$B:$G,3,FALSE))=TRUE," ",VLOOKUP($B209,CPY!$B:$G,3,FALSE))</f>
        <v> </v>
      </c>
      <c r="E209" s="65" t="str">
        <f>IF(ISNA(VLOOKUP($B209,CPY!$B:$G,4,FALSE))=TRUE," ",VLOOKUP($B209,CPY!$B:$G,4,FALSE))</f>
        <v> </v>
      </c>
      <c r="F209" s="62"/>
      <c r="G209" s="75"/>
      <c r="H209" s="75"/>
      <c r="I209" s="62"/>
    </row>
    <row r="210" spans="1:9" x14ac:dyDescent="0.25">
      <c r="A210" s="62">
        <v>209</v>
      </c>
      <c r="B210" s="62"/>
      <c r="C210" s="68" t="str">
        <f>IF(ISNA(VLOOKUP($B210,CPY!$B:$G,2,FALSE))=TRUE," ",VLOOKUP($B210,CPY!$B:$G,2,FALSE))</f>
        <v> </v>
      </c>
      <c r="D210" s="50" t="str">
        <f>IF(ISNA(VLOOKUP($B210,CPY!$B:$G,3,FALSE))=TRUE," ",VLOOKUP($B210,CPY!$B:$G,3,FALSE))</f>
        <v> </v>
      </c>
      <c r="E210" s="65" t="str">
        <f>IF(ISNA(VLOOKUP($B210,CPY!$B:$G,4,FALSE))=TRUE," ",VLOOKUP($B210,CPY!$B:$G,4,FALSE))</f>
        <v> </v>
      </c>
      <c r="F210" s="62"/>
      <c r="G210" s="75"/>
      <c r="H210" s="75"/>
      <c r="I210" s="62"/>
    </row>
    <row r="211" spans="1:9" x14ac:dyDescent="0.25">
      <c r="A211" s="62">
        <v>210</v>
      </c>
      <c r="B211" s="62"/>
      <c r="C211" s="68" t="str">
        <f>IF(ISNA(VLOOKUP($B211,CPY!$B:$G,2,FALSE))=TRUE," ",VLOOKUP($B211,CPY!$B:$G,2,FALSE))</f>
        <v> </v>
      </c>
      <c r="D211" s="50" t="str">
        <f>IF(ISNA(VLOOKUP($B211,CPY!$B:$G,3,FALSE))=TRUE," ",VLOOKUP($B211,CPY!$B:$G,3,FALSE))</f>
        <v> </v>
      </c>
      <c r="E211" s="65" t="str">
        <f>IF(ISNA(VLOOKUP($B211,CPY!$B:$G,4,FALSE))=TRUE," ",VLOOKUP($B211,CPY!$B:$G,4,FALSE))</f>
        <v> </v>
      </c>
      <c r="F211" s="62"/>
      <c r="G211" s="75"/>
      <c r="H211" s="75"/>
      <c r="I211" s="62"/>
    </row>
    <row r="212" spans="1:9" x14ac:dyDescent="0.25">
      <c r="A212" s="62">
        <v>211</v>
      </c>
      <c r="B212" s="62"/>
      <c r="C212" s="68" t="str">
        <f>IF(ISNA(VLOOKUP($B212,CPY!$B:$G,2,FALSE))=TRUE," ",VLOOKUP($B212,CPY!$B:$G,2,FALSE))</f>
        <v> </v>
      </c>
      <c r="D212" s="50" t="str">
        <f>IF(ISNA(VLOOKUP($B212,CPY!$B:$G,3,FALSE))=TRUE," ",VLOOKUP($B212,CPY!$B:$G,3,FALSE))</f>
        <v> </v>
      </c>
      <c r="E212" s="65" t="str">
        <f>IF(ISNA(VLOOKUP($B212,CPY!$B:$G,4,FALSE))=TRUE," ",VLOOKUP($B212,CPY!$B:$G,4,FALSE))</f>
        <v> </v>
      </c>
      <c r="F212" s="62"/>
      <c r="G212" s="75"/>
      <c r="H212" s="75"/>
      <c r="I212" s="62"/>
    </row>
    <row r="213" spans="1:9" x14ac:dyDescent="0.25">
      <c r="A213" s="62">
        <v>212</v>
      </c>
      <c r="B213" s="62"/>
      <c r="C213" s="68" t="str">
        <f>IF(ISNA(VLOOKUP($B213,CPY!$B:$G,2,FALSE))=TRUE," ",VLOOKUP($B213,CPY!$B:$G,2,FALSE))</f>
        <v> </v>
      </c>
      <c r="D213" s="50" t="str">
        <f>IF(ISNA(VLOOKUP($B213,CPY!$B:$G,3,FALSE))=TRUE," ",VLOOKUP($B213,CPY!$B:$G,3,FALSE))</f>
        <v> </v>
      </c>
      <c r="E213" s="65" t="str">
        <f>IF(ISNA(VLOOKUP($B213,CPY!$B:$G,4,FALSE))=TRUE," ",VLOOKUP($B213,CPY!$B:$G,4,FALSE))</f>
        <v> </v>
      </c>
      <c r="F213" s="62"/>
      <c r="G213" s="75"/>
      <c r="H213" s="75"/>
      <c r="I213" s="62"/>
    </row>
    <row r="214" spans="1:9" x14ac:dyDescent="0.25">
      <c r="A214" s="62">
        <v>213</v>
      </c>
      <c r="B214" s="62"/>
      <c r="C214" s="68" t="str">
        <f>IF(ISNA(VLOOKUP($B214,CPY!$B:$G,2,FALSE))=TRUE," ",VLOOKUP($B214,CPY!$B:$G,2,FALSE))</f>
        <v> </v>
      </c>
      <c r="D214" s="50" t="str">
        <f>IF(ISNA(VLOOKUP($B214,CPY!$B:$G,3,FALSE))=TRUE," ",VLOOKUP($B214,CPY!$B:$G,3,FALSE))</f>
        <v> </v>
      </c>
      <c r="E214" s="65" t="str">
        <f>IF(ISNA(VLOOKUP($B214,CPY!$B:$G,4,FALSE))=TRUE," ",VLOOKUP($B214,CPY!$B:$G,4,FALSE))</f>
        <v> </v>
      </c>
      <c r="F214" s="62"/>
      <c r="G214" s="75"/>
      <c r="H214" s="75"/>
      <c r="I214" s="62"/>
    </row>
    <row r="215" spans="1:9" x14ac:dyDescent="0.25">
      <c r="A215" s="62">
        <v>214</v>
      </c>
      <c r="B215" s="62"/>
      <c r="C215" s="68" t="str">
        <f>IF(ISNA(VLOOKUP($B215,CPY!$B:$G,2,FALSE))=TRUE," ",VLOOKUP($B215,CPY!$B:$G,2,FALSE))</f>
        <v> </v>
      </c>
      <c r="D215" s="50" t="str">
        <f>IF(ISNA(VLOOKUP($B215,CPY!$B:$G,3,FALSE))=TRUE," ",VLOOKUP($B215,CPY!$B:$G,3,FALSE))</f>
        <v> </v>
      </c>
      <c r="E215" s="65" t="str">
        <f>IF(ISNA(VLOOKUP($B215,CPY!$B:$G,4,FALSE))=TRUE," ",VLOOKUP($B215,CPY!$B:$G,4,FALSE))</f>
        <v> </v>
      </c>
      <c r="F215" s="62"/>
      <c r="G215" s="75"/>
      <c r="H215" s="75"/>
      <c r="I215" s="62"/>
    </row>
    <row r="216" spans="1:9" x14ac:dyDescent="0.25">
      <c r="A216" s="62">
        <v>215</v>
      </c>
      <c r="B216" s="62"/>
      <c r="C216" s="68" t="str">
        <f>IF(ISNA(VLOOKUP($B216,CPY!$B:$G,2,FALSE))=TRUE," ",VLOOKUP($B216,CPY!$B:$G,2,FALSE))</f>
        <v> </v>
      </c>
      <c r="D216" s="50" t="str">
        <f>IF(ISNA(VLOOKUP($B216,CPY!$B:$G,3,FALSE))=TRUE," ",VLOOKUP($B216,CPY!$B:$G,3,FALSE))</f>
        <v> </v>
      </c>
      <c r="E216" s="65" t="str">
        <f>IF(ISNA(VLOOKUP($B216,CPY!$B:$G,4,FALSE))=TRUE," ",VLOOKUP($B216,CPY!$B:$G,4,FALSE))</f>
        <v> </v>
      </c>
      <c r="F216" s="62"/>
      <c r="G216" s="75"/>
      <c r="H216" s="75"/>
      <c r="I216" s="62"/>
    </row>
    <row r="217" spans="1:9" x14ac:dyDescent="0.25">
      <c r="A217" s="62">
        <v>216</v>
      </c>
      <c r="B217" s="62"/>
      <c r="C217" s="68" t="str">
        <f>IF(ISNA(VLOOKUP($B217,CPY!$B:$G,2,FALSE))=TRUE," ",VLOOKUP($B217,CPY!$B:$G,2,FALSE))</f>
        <v> </v>
      </c>
      <c r="D217" s="50" t="str">
        <f>IF(ISNA(VLOOKUP($B217,CPY!$B:$G,3,FALSE))=TRUE," ",VLOOKUP($B217,CPY!$B:$G,3,FALSE))</f>
        <v> </v>
      </c>
      <c r="E217" s="65" t="str">
        <f>IF(ISNA(VLOOKUP($B217,CPY!$B:$G,4,FALSE))=TRUE," ",VLOOKUP($B217,CPY!$B:$G,4,FALSE))</f>
        <v> </v>
      </c>
      <c r="F217" s="62"/>
      <c r="G217" s="75"/>
      <c r="H217" s="75"/>
      <c r="I217" s="62"/>
    </row>
    <row r="218" spans="1:9" x14ac:dyDescent="0.25">
      <c r="A218" s="62">
        <v>217</v>
      </c>
      <c r="B218" s="62"/>
      <c r="C218" s="68" t="str">
        <f>IF(ISNA(VLOOKUP($B218,CPY!$B:$G,2,FALSE))=TRUE," ",VLOOKUP($B218,CPY!$B:$G,2,FALSE))</f>
        <v> </v>
      </c>
      <c r="D218" s="50" t="str">
        <f>IF(ISNA(VLOOKUP($B218,CPY!$B:$G,3,FALSE))=TRUE," ",VLOOKUP($B218,CPY!$B:$G,3,FALSE))</f>
        <v> </v>
      </c>
      <c r="E218" s="65" t="str">
        <f>IF(ISNA(VLOOKUP($B218,CPY!$B:$G,4,FALSE))=TRUE," ",VLOOKUP($B218,CPY!$B:$G,4,FALSE))</f>
        <v> </v>
      </c>
      <c r="F218" s="62"/>
      <c r="G218" s="75"/>
      <c r="H218" s="75"/>
      <c r="I218" s="62"/>
    </row>
    <row r="219" spans="1:9" x14ac:dyDescent="0.25">
      <c r="A219" s="62">
        <v>218</v>
      </c>
      <c r="B219" s="62"/>
      <c r="C219" s="68" t="str">
        <f>IF(ISNA(VLOOKUP($B219,CPY!$B:$G,2,FALSE))=TRUE," ",VLOOKUP($B219,CPY!$B:$G,2,FALSE))</f>
        <v> </v>
      </c>
      <c r="D219" s="50" t="str">
        <f>IF(ISNA(VLOOKUP($B219,CPY!$B:$G,3,FALSE))=TRUE," ",VLOOKUP($B219,CPY!$B:$G,3,FALSE))</f>
        <v> </v>
      </c>
      <c r="E219" s="65" t="str">
        <f>IF(ISNA(VLOOKUP($B219,CPY!$B:$G,4,FALSE))=TRUE," ",VLOOKUP($B219,CPY!$B:$G,4,FALSE))</f>
        <v> </v>
      </c>
      <c r="F219" s="62"/>
      <c r="G219" s="75"/>
      <c r="H219" s="75"/>
      <c r="I219" s="62"/>
    </row>
    <row r="220" spans="1:9" x14ac:dyDescent="0.25">
      <c r="A220" s="62">
        <v>219</v>
      </c>
      <c r="B220" s="62"/>
      <c r="C220" s="68" t="str">
        <f>IF(ISNA(VLOOKUP($B220,CPY!$B:$G,2,FALSE))=TRUE," ",VLOOKUP($B220,CPY!$B:$G,2,FALSE))</f>
        <v> </v>
      </c>
      <c r="D220" s="50" t="str">
        <f>IF(ISNA(VLOOKUP($B220,CPY!$B:$G,3,FALSE))=TRUE," ",VLOOKUP($B220,CPY!$B:$G,3,FALSE))</f>
        <v> </v>
      </c>
      <c r="E220" s="65" t="str">
        <f>IF(ISNA(VLOOKUP($B220,CPY!$B:$G,4,FALSE))=TRUE," ",VLOOKUP($B220,CPY!$B:$G,4,FALSE))</f>
        <v> </v>
      </c>
      <c r="F220" s="62"/>
      <c r="G220" s="75"/>
      <c r="H220" s="75"/>
      <c r="I220" s="62"/>
    </row>
    <row r="221" spans="1:9" x14ac:dyDescent="0.25">
      <c r="A221" s="62">
        <v>220</v>
      </c>
      <c r="B221" s="62"/>
      <c r="C221" s="68" t="str">
        <f>IF(ISNA(VLOOKUP($B221,CPY!$B:$G,2,FALSE))=TRUE," ",VLOOKUP($B221,CPY!$B:$G,2,FALSE))</f>
        <v> </v>
      </c>
      <c r="D221" s="50" t="str">
        <f>IF(ISNA(VLOOKUP($B221,CPY!$B:$G,3,FALSE))=TRUE," ",VLOOKUP($B221,CPY!$B:$G,3,FALSE))</f>
        <v> </v>
      </c>
      <c r="E221" s="65" t="str">
        <f>IF(ISNA(VLOOKUP($B221,CPY!$B:$G,4,FALSE))=TRUE," ",VLOOKUP($B221,CPY!$B:$G,4,FALSE))</f>
        <v> </v>
      </c>
      <c r="F221" s="62"/>
      <c r="G221" s="75"/>
      <c r="H221" s="75"/>
      <c r="I221" s="62"/>
    </row>
    <row r="222" spans="1:9" x14ac:dyDescent="0.25">
      <c r="A222" s="62">
        <v>221</v>
      </c>
      <c r="B222" s="62"/>
      <c r="C222" s="68" t="str">
        <f>IF(ISNA(VLOOKUP($B222,CPY!$B:$G,2,FALSE))=TRUE," ",VLOOKUP($B222,CPY!$B:$G,2,FALSE))</f>
        <v> </v>
      </c>
      <c r="D222" s="50" t="str">
        <f>IF(ISNA(VLOOKUP($B222,CPY!$B:$G,3,FALSE))=TRUE," ",VLOOKUP($B222,CPY!$B:$G,3,FALSE))</f>
        <v> </v>
      </c>
      <c r="E222" s="65" t="str">
        <f>IF(ISNA(VLOOKUP($B222,CPY!$B:$G,4,FALSE))=TRUE," ",VLOOKUP($B222,CPY!$B:$G,4,FALSE))</f>
        <v> </v>
      </c>
      <c r="F222" s="62"/>
      <c r="G222" s="75"/>
      <c r="H222" s="75"/>
      <c r="I222" s="62"/>
    </row>
    <row r="223" spans="1:9" x14ac:dyDescent="0.25">
      <c r="A223" s="62">
        <v>222</v>
      </c>
      <c r="B223" s="62"/>
      <c r="C223" s="68" t="str">
        <f>IF(ISNA(VLOOKUP($B223,CPY!$B:$G,2,FALSE))=TRUE," ",VLOOKUP($B223,CPY!$B:$G,2,FALSE))</f>
        <v> </v>
      </c>
      <c r="D223" s="50" t="str">
        <f>IF(ISNA(VLOOKUP($B223,CPY!$B:$G,3,FALSE))=TRUE," ",VLOOKUP($B223,CPY!$B:$G,3,FALSE))</f>
        <v> </v>
      </c>
      <c r="E223" s="65" t="str">
        <f>IF(ISNA(VLOOKUP($B223,CPY!$B:$G,4,FALSE))=TRUE," ",VLOOKUP($B223,CPY!$B:$G,4,FALSE))</f>
        <v> </v>
      </c>
      <c r="F223" s="62"/>
      <c r="G223" s="75"/>
      <c r="H223" s="75"/>
      <c r="I223" s="62"/>
    </row>
    <row r="224" spans="1:9" x14ac:dyDescent="0.25">
      <c r="A224" s="62">
        <v>223</v>
      </c>
      <c r="B224" s="62"/>
      <c r="C224" s="68" t="str">
        <f>IF(ISNA(VLOOKUP($B224,CPY!$B:$G,2,FALSE))=TRUE," ",VLOOKUP($B224,CPY!$B:$G,2,FALSE))</f>
        <v> </v>
      </c>
      <c r="D224" s="50" t="str">
        <f>IF(ISNA(VLOOKUP($B224,CPY!$B:$G,3,FALSE))=TRUE," ",VLOOKUP($B224,CPY!$B:$G,3,FALSE))</f>
        <v> </v>
      </c>
      <c r="E224" s="65" t="str">
        <f>IF(ISNA(VLOOKUP($B224,CPY!$B:$G,4,FALSE))=TRUE," ",VLOOKUP($B224,CPY!$B:$G,4,FALSE))</f>
        <v> </v>
      </c>
      <c r="F224" s="62"/>
      <c r="G224" s="75"/>
      <c r="H224" s="75"/>
      <c r="I224" s="62"/>
    </row>
    <row r="225" spans="1:9" x14ac:dyDescent="0.25">
      <c r="A225" s="62">
        <v>224</v>
      </c>
      <c r="B225" s="62"/>
      <c r="C225" s="68" t="str">
        <f>IF(ISNA(VLOOKUP($B225,CPY!$B:$G,2,FALSE))=TRUE," ",VLOOKUP($B225,CPY!$B:$G,2,FALSE))</f>
        <v> </v>
      </c>
      <c r="D225" s="50" t="str">
        <f>IF(ISNA(VLOOKUP($B225,CPY!$B:$G,3,FALSE))=TRUE," ",VLOOKUP($B225,CPY!$B:$G,3,FALSE))</f>
        <v> </v>
      </c>
      <c r="E225" s="65" t="str">
        <f>IF(ISNA(VLOOKUP($B225,CPY!$B:$G,4,FALSE))=TRUE," ",VLOOKUP($B225,CPY!$B:$G,4,FALSE))</f>
        <v> </v>
      </c>
      <c r="F225" s="62"/>
      <c r="G225" s="75"/>
      <c r="H225" s="75"/>
      <c r="I225" s="62"/>
    </row>
    <row r="226" spans="1:9" x14ac:dyDescent="0.25">
      <c r="A226" s="62">
        <v>225</v>
      </c>
      <c r="B226" s="62"/>
      <c r="C226" s="68" t="str">
        <f>IF(ISNA(VLOOKUP($B226,CPY!$B:$G,2,FALSE))=TRUE," ",VLOOKUP($B226,CPY!$B:$G,2,FALSE))</f>
        <v> </v>
      </c>
      <c r="D226" s="50" t="str">
        <f>IF(ISNA(VLOOKUP($B226,CPY!$B:$G,3,FALSE))=TRUE," ",VLOOKUP($B226,CPY!$B:$G,3,FALSE))</f>
        <v> </v>
      </c>
      <c r="E226" s="65" t="str">
        <f>IF(ISNA(VLOOKUP($B226,CPY!$B:$G,4,FALSE))=TRUE," ",VLOOKUP($B226,CPY!$B:$G,4,FALSE))</f>
        <v> </v>
      </c>
      <c r="F226" s="62"/>
      <c r="G226" s="75"/>
      <c r="H226" s="75"/>
      <c r="I226" s="62"/>
    </row>
    <row r="227" spans="1:9" x14ac:dyDescent="0.25">
      <c r="A227" s="62">
        <v>226</v>
      </c>
      <c r="B227" s="62"/>
      <c r="C227" s="68" t="str">
        <f>IF(ISNA(VLOOKUP($B227,CPY!$B:$G,2,FALSE))=TRUE," ",VLOOKUP($B227,CPY!$B:$G,2,FALSE))</f>
        <v> </v>
      </c>
      <c r="D227" s="50" t="str">
        <f>IF(ISNA(VLOOKUP($B227,CPY!$B:$G,3,FALSE))=TRUE," ",VLOOKUP($B227,CPY!$B:$G,3,FALSE))</f>
        <v> </v>
      </c>
      <c r="E227" s="65" t="str">
        <f>IF(ISNA(VLOOKUP($B227,CPY!$B:$G,4,FALSE))=TRUE," ",VLOOKUP($B227,CPY!$B:$G,4,FALSE))</f>
        <v> </v>
      </c>
      <c r="F227" s="62"/>
      <c r="G227" s="75"/>
      <c r="H227" s="75"/>
      <c r="I227" s="62"/>
    </row>
    <row r="228" spans="1:9" x14ac:dyDescent="0.25">
      <c r="A228" s="62">
        <v>227</v>
      </c>
      <c r="B228" s="62"/>
      <c r="C228" s="68" t="str">
        <f>IF(ISNA(VLOOKUP($B228,CPY!$B:$G,2,FALSE))=TRUE," ",VLOOKUP($B228,CPY!$B:$G,2,FALSE))</f>
        <v> </v>
      </c>
      <c r="D228" s="50" t="str">
        <f>IF(ISNA(VLOOKUP($B228,CPY!$B:$G,3,FALSE))=TRUE," ",VLOOKUP($B228,CPY!$B:$G,3,FALSE))</f>
        <v> </v>
      </c>
      <c r="E228" s="65" t="str">
        <f>IF(ISNA(VLOOKUP($B228,CPY!$B:$G,4,FALSE))=TRUE," ",VLOOKUP($B228,CPY!$B:$G,4,FALSE))</f>
        <v> </v>
      </c>
      <c r="F228" s="62"/>
      <c r="G228" s="75"/>
      <c r="H228" s="75"/>
      <c r="I228" s="62"/>
    </row>
    <row r="229" spans="1:9" x14ac:dyDescent="0.25">
      <c r="A229" s="62">
        <v>228</v>
      </c>
      <c r="B229" s="62"/>
      <c r="C229" s="68" t="str">
        <f>IF(ISNA(VLOOKUP($B229,CPY!$B:$G,2,FALSE))=TRUE," ",VLOOKUP($B229,CPY!$B:$G,2,FALSE))</f>
        <v> </v>
      </c>
      <c r="D229" s="50" t="str">
        <f>IF(ISNA(VLOOKUP($B229,CPY!$B:$G,3,FALSE))=TRUE," ",VLOOKUP($B229,CPY!$B:$G,3,FALSE))</f>
        <v> </v>
      </c>
      <c r="E229" s="65" t="str">
        <f>IF(ISNA(VLOOKUP($B229,CPY!$B:$G,4,FALSE))=TRUE," ",VLOOKUP($B229,CPY!$B:$G,4,FALSE))</f>
        <v> </v>
      </c>
      <c r="F229" s="62"/>
      <c r="G229" s="75"/>
      <c r="H229" s="75"/>
      <c r="I229" s="62"/>
    </row>
    <row r="230" spans="1:9" x14ac:dyDescent="0.25">
      <c r="A230" s="62">
        <v>229</v>
      </c>
      <c r="B230" s="62"/>
      <c r="C230" s="68" t="str">
        <f>IF(ISNA(VLOOKUP($B230,CPY!$B:$G,2,FALSE))=TRUE," ",VLOOKUP($B230,CPY!$B:$G,2,FALSE))</f>
        <v> </v>
      </c>
      <c r="D230" s="50" t="str">
        <f>IF(ISNA(VLOOKUP($B230,CPY!$B:$G,3,FALSE))=TRUE," ",VLOOKUP($B230,CPY!$B:$G,3,FALSE))</f>
        <v> </v>
      </c>
      <c r="E230" s="65" t="str">
        <f>IF(ISNA(VLOOKUP($B230,CPY!$B:$G,4,FALSE))=TRUE," ",VLOOKUP($B230,CPY!$B:$G,4,FALSE))</f>
        <v> </v>
      </c>
      <c r="F230" s="62"/>
      <c r="G230" s="75"/>
      <c r="H230" s="75"/>
      <c r="I230" s="62"/>
    </row>
    <row r="231" spans="1:9" x14ac:dyDescent="0.25">
      <c r="A231" s="62">
        <v>230</v>
      </c>
      <c r="B231" s="62"/>
      <c r="C231" s="68" t="str">
        <f>IF(ISNA(VLOOKUP($B231,CPY!$B:$G,2,FALSE))=TRUE," ",VLOOKUP($B231,CPY!$B:$G,2,FALSE))</f>
        <v> </v>
      </c>
      <c r="D231" s="50" t="str">
        <f>IF(ISNA(VLOOKUP($B231,CPY!$B:$G,3,FALSE))=TRUE," ",VLOOKUP($B231,CPY!$B:$G,3,FALSE))</f>
        <v> </v>
      </c>
      <c r="E231" s="65" t="str">
        <f>IF(ISNA(VLOOKUP($B231,CPY!$B:$G,4,FALSE))=TRUE," ",VLOOKUP($B231,CPY!$B:$G,4,FALSE))</f>
        <v> </v>
      </c>
      <c r="F231" s="62"/>
      <c r="G231" s="75"/>
      <c r="H231" s="75"/>
      <c r="I231" s="62"/>
    </row>
    <row r="232" spans="1:9" x14ac:dyDescent="0.25">
      <c r="A232" s="62">
        <v>231</v>
      </c>
      <c r="B232" s="62"/>
      <c r="C232" s="68" t="str">
        <f>IF(ISNA(VLOOKUP($B232,CPY!$B:$G,2,FALSE))=TRUE," ",VLOOKUP($B232,CPY!$B:$G,2,FALSE))</f>
        <v> </v>
      </c>
      <c r="D232" s="50" t="str">
        <f>IF(ISNA(VLOOKUP($B232,CPY!$B:$G,3,FALSE))=TRUE," ",VLOOKUP($B232,CPY!$B:$G,3,FALSE))</f>
        <v> </v>
      </c>
      <c r="E232" s="65" t="str">
        <f>IF(ISNA(VLOOKUP($B232,CPY!$B:$G,4,FALSE))=TRUE," ",VLOOKUP($B232,CPY!$B:$G,4,FALSE))</f>
        <v> </v>
      </c>
      <c r="F232" s="62"/>
      <c r="G232" s="75"/>
      <c r="H232" s="75"/>
      <c r="I232" s="62"/>
    </row>
    <row r="233" spans="1:9" x14ac:dyDescent="0.25">
      <c r="A233" s="62">
        <v>232</v>
      </c>
      <c r="B233" s="62"/>
      <c r="C233" s="68" t="str">
        <f>IF(ISNA(VLOOKUP($B233,CPY!$B:$G,2,FALSE))=TRUE," ",VLOOKUP($B233,CPY!$B:$G,2,FALSE))</f>
        <v> </v>
      </c>
      <c r="D233" s="50" t="str">
        <f>IF(ISNA(VLOOKUP($B233,CPY!$B:$G,3,FALSE))=TRUE," ",VLOOKUP($B233,CPY!$B:$G,3,FALSE))</f>
        <v> </v>
      </c>
      <c r="E233" s="65" t="str">
        <f>IF(ISNA(VLOOKUP($B233,CPY!$B:$G,4,FALSE))=TRUE," ",VLOOKUP($B233,CPY!$B:$G,4,FALSE))</f>
        <v> </v>
      </c>
      <c r="F233" s="62"/>
      <c r="G233" s="75"/>
      <c r="H233" s="75"/>
      <c r="I233" s="62"/>
    </row>
    <row r="234" spans="1:9" x14ac:dyDescent="0.25">
      <c r="A234" s="62">
        <v>233</v>
      </c>
      <c r="B234" s="62"/>
      <c r="C234" s="68" t="str">
        <f>IF(ISNA(VLOOKUP($B234,CPY!$B:$G,2,FALSE))=TRUE," ",VLOOKUP($B234,CPY!$B:$G,2,FALSE))</f>
        <v> </v>
      </c>
      <c r="D234" s="50" t="str">
        <f>IF(ISNA(VLOOKUP($B234,CPY!$B:$G,3,FALSE))=TRUE," ",VLOOKUP($B234,CPY!$B:$G,3,FALSE))</f>
        <v> </v>
      </c>
      <c r="E234" s="65" t="str">
        <f>IF(ISNA(VLOOKUP($B234,CPY!$B:$G,4,FALSE))=TRUE," ",VLOOKUP($B234,CPY!$B:$G,4,FALSE))</f>
        <v> </v>
      </c>
      <c r="F234" s="62"/>
      <c r="G234" s="75"/>
      <c r="H234" s="75"/>
      <c r="I234" s="62"/>
    </row>
    <row r="235" spans="1:9" x14ac:dyDescent="0.25">
      <c r="A235" s="62">
        <v>234</v>
      </c>
      <c r="B235" s="62"/>
      <c r="C235" s="68" t="str">
        <f>IF(ISNA(VLOOKUP($B235,CPY!$B:$G,2,FALSE))=TRUE," ",VLOOKUP($B235,CPY!$B:$G,2,FALSE))</f>
        <v> </v>
      </c>
      <c r="D235" s="50" t="str">
        <f>IF(ISNA(VLOOKUP($B235,CPY!$B:$G,3,FALSE))=TRUE," ",VLOOKUP($B235,CPY!$B:$G,3,FALSE))</f>
        <v> </v>
      </c>
      <c r="E235" s="65" t="str">
        <f>IF(ISNA(VLOOKUP($B235,CPY!$B:$G,4,FALSE))=TRUE," ",VLOOKUP($B235,CPY!$B:$G,4,FALSE))</f>
        <v> </v>
      </c>
      <c r="F235" s="62"/>
      <c r="G235" s="75"/>
      <c r="H235" s="75"/>
      <c r="I235" s="62"/>
    </row>
    <row r="236" spans="1:9" x14ac:dyDescent="0.25">
      <c r="A236" s="62">
        <v>235</v>
      </c>
      <c r="B236" s="62"/>
      <c r="C236" s="68" t="str">
        <f>IF(ISNA(VLOOKUP($B236,CPY!$B:$G,2,FALSE))=TRUE," ",VLOOKUP($B236,CPY!$B:$G,2,FALSE))</f>
        <v> </v>
      </c>
      <c r="D236" s="50" t="str">
        <f>IF(ISNA(VLOOKUP($B236,CPY!$B:$G,3,FALSE))=TRUE," ",VLOOKUP($B236,CPY!$B:$G,3,FALSE))</f>
        <v> </v>
      </c>
      <c r="E236" s="65" t="str">
        <f>IF(ISNA(VLOOKUP($B236,CPY!$B:$G,4,FALSE))=TRUE," ",VLOOKUP($B236,CPY!$B:$G,4,FALSE))</f>
        <v> </v>
      </c>
      <c r="F236" s="62"/>
      <c r="G236" s="75"/>
      <c r="H236" s="75"/>
      <c r="I236" s="62"/>
    </row>
    <row r="237" spans="1:9" x14ac:dyDescent="0.25">
      <c r="A237" s="62">
        <v>236</v>
      </c>
      <c r="B237" s="62"/>
      <c r="C237" s="68" t="str">
        <f>IF(ISNA(VLOOKUP($B237,CPY!$B:$G,2,FALSE))=TRUE," ",VLOOKUP($B237,CPY!$B:$G,2,FALSE))</f>
        <v> </v>
      </c>
      <c r="D237" s="50" t="str">
        <f>IF(ISNA(VLOOKUP($B237,CPY!$B:$G,3,FALSE))=TRUE," ",VLOOKUP($B237,CPY!$B:$G,3,FALSE))</f>
        <v> </v>
      </c>
      <c r="E237" s="65" t="str">
        <f>IF(ISNA(VLOOKUP($B237,CPY!$B:$G,4,FALSE))=TRUE," ",VLOOKUP($B237,CPY!$B:$G,4,FALSE))</f>
        <v> </v>
      </c>
      <c r="F237" s="62"/>
      <c r="G237" s="75"/>
      <c r="H237" s="75"/>
      <c r="I237" s="62"/>
    </row>
    <row r="238" spans="1:9" x14ac:dyDescent="0.25">
      <c r="A238" s="62">
        <v>237</v>
      </c>
      <c r="B238" s="62"/>
      <c r="C238" s="68" t="str">
        <f>IF(ISNA(VLOOKUP($B238,CPY!$B:$G,2,FALSE))=TRUE," ",VLOOKUP($B238,CPY!$B:$G,2,FALSE))</f>
        <v> </v>
      </c>
      <c r="D238" s="50" t="str">
        <f>IF(ISNA(VLOOKUP($B238,CPY!$B:$G,3,FALSE))=TRUE," ",VLOOKUP($B238,CPY!$B:$G,3,FALSE))</f>
        <v> </v>
      </c>
      <c r="E238" s="65" t="str">
        <f>IF(ISNA(VLOOKUP($B238,CPY!$B:$G,4,FALSE))=TRUE," ",VLOOKUP($B238,CPY!$B:$G,4,FALSE))</f>
        <v> </v>
      </c>
      <c r="F238" s="62"/>
      <c r="G238" s="75"/>
      <c r="H238" s="75"/>
      <c r="I238" s="62"/>
    </row>
    <row r="239" spans="1:9" x14ac:dyDescent="0.25">
      <c r="A239" s="62">
        <v>238</v>
      </c>
      <c r="B239" s="62"/>
      <c r="C239" s="68" t="str">
        <f>IF(ISNA(VLOOKUP($B239,CPY!$B:$G,2,FALSE))=TRUE," ",VLOOKUP($B239,CPY!$B:$G,2,FALSE))</f>
        <v> </v>
      </c>
      <c r="D239" s="50" t="str">
        <f>IF(ISNA(VLOOKUP($B239,CPY!$B:$G,3,FALSE))=TRUE," ",VLOOKUP($B239,CPY!$B:$G,3,FALSE))</f>
        <v> </v>
      </c>
      <c r="E239" s="65" t="str">
        <f>IF(ISNA(VLOOKUP($B239,CPY!$B:$G,4,FALSE))=TRUE," ",VLOOKUP($B239,CPY!$B:$G,4,FALSE))</f>
        <v> </v>
      </c>
      <c r="F239" s="62"/>
      <c r="G239" s="75"/>
      <c r="H239" s="75"/>
      <c r="I239" s="62"/>
    </row>
    <row r="240" spans="1:9" x14ac:dyDescent="0.25">
      <c r="A240" s="62">
        <v>239</v>
      </c>
      <c r="B240" s="62"/>
      <c r="C240" s="68" t="str">
        <f>IF(ISNA(VLOOKUP($B240,CPY!$B:$G,2,FALSE))=TRUE," ",VLOOKUP($B240,CPY!$B:$G,2,FALSE))</f>
        <v> </v>
      </c>
      <c r="D240" s="50" t="str">
        <f>IF(ISNA(VLOOKUP($B240,CPY!$B:$G,3,FALSE))=TRUE," ",VLOOKUP($B240,CPY!$B:$G,3,FALSE))</f>
        <v> </v>
      </c>
      <c r="E240" s="65" t="str">
        <f>IF(ISNA(VLOOKUP($B240,CPY!$B:$G,4,FALSE))=TRUE," ",VLOOKUP($B240,CPY!$B:$G,4,FALSE))</f>
        <v> </v>
      </c>
      <c r="F240" s="62"/>
      <c r="G240" s="75"/>
      <c r="H240" s="75"/>
      <c r="I240" s="62"/>
    </row>
    <row r="241" spans="1:9" x14ac:dyDescent="0.25">
      <c r="A241" s="62">
        <v>240</v>
      </c>
      <c r="B241" s="62"/>
      <c r="C241" s="68" t="str">
        <f>IF(ISNA(VLOOKUP($B241,CPY!$B:$G,2,FALSE))=TRUE," ",VLOOKUP($B241,CPY!$B:$G,2,FALSE))</f>
        <v> </v>
      </c>
      <c r="D241" s="50" t="str">
        <f>IF(ISNA(VLOOKUP($B241,CPY!$B:$G,3,FALSE))=TRUE," ",VLOOKUP($B241,CPY!$B:$G,3,FALSE))</f>
        <v> </v>
      </c>
      <c r="E241" s="65" t="str">
        <f>IF(ISNA(VLOOKUP($B241,CPY!$B:$G,4,FALSE))=TRUE," ",VLOOKUP($B241,CPY!$B:$G,4,FALSE))</f>
        <v> </v>
      </c>
      <c r="F241" s="62"/>
      <c r="G241" s="75"/>
      <c r="H241" s="75"/>
      <c r="I241" s="62"/>
    </row>
    <row r="242" spans="1:9" x14ac:dyDescent="0.25">
      <c r="A242" s="62">
        <v>241</v>
      </c>
      <c r="B242" s="62"/>
      <c r="C242" s="68" t="str">
        <f>IF(ISNA(VLOOKUP($B242,CPY!$B:$G,2,FALSE))=TRUE," ",VLOOKUP($B242,CPY!$B:$G,2,FALSE))</f>
        <v> </v>
      </c>
      <c r="D242" s="50" t="str">
        <f>IF(ISNA(VLOOKUP($B242,CPY!$B:$G,3,FALSE))=TRUE," ",VLOOKUP($B242,CPY!$B:$G,3,FALSE))</f>
        <v> </v>
      </c>
      <c r="E242" s="65" t="str">
        <f>IF(ISNA(VLOOKUP($B242,CPY!$B:$G,4,FALSE))=TRUE," ",VLOOKUP($B242,CPY!$B:$G,4,FALSE))</f>
        <v> </v>
      </c>
      <c r="F242" s="62"/>
      <c r="G242" s="75"/>
      <c r="H242" s="75"/>
      <c r="I242" s="62"/>
    </row>
    <row r="243" spans="1:9" x14ac:dyDescent="0.25">
      <c r="A243" s="62">
        <v>242</v>
      </c>
      <c r="B243" s="62"/>
      <c r="C243" s="68" t="str">
        <f>IF(ISNA(VLOOKUP($B243,CPY!$B:$G,2,FALSE))=TRUE," ",VLOOKUP($B243,CPY!$B:$G,2,FALSE))</f>
        <v> </v>
      </c>
      <c r="D243" s="50" t="str">
        <f>IF(ISNA(VLOOKUP($B243,CPY!$B:$G,3,FALSE))=TRUE," ",VLOOKUP($B243,CPY!$B:$G,3,FALSE))</f>
        <v> </v>
      </c>
      <c r="E243" s="65" t="str">
        <f>IF(ISNA(VLOOKUP($B243,CPY!$B:$G,4,FALSE))=TRUE," ",VLOOKUP($B243,CPY!$B:$G,4,FALSE))</f>
        <v> </v>
      </c>
      <c r="F243" s="62"/>
      <c r="G243" s="75"/>
      <c r="H243" s="75"/>
      <c r="I243" s="62"/>
    </row>
    <row r="244" spans="1:9" x14ac:dyDescent="0.25">
      <c r="A244" s="62">
        <v>243</v>
      </c>
      <c r="B244" s="62"/>
      <c r="C244" s="68" t="str">
        <f>IF(ISNA(VLOOKUP($B244,CPY!$B:$G,2,FALSE))=TRUE," ",VLOOKUP($B244,CPY!$B:$G,2,FALSE))</f>
        <v> </v>
      </c>
      <c r="D244" s="50" t="str">
        <f>IF(ISNA(VLOOKUP($B244,CPY!$B:$G,3,FALSE))=TRUE," ",VLOOKUP($B244,CPY!$B:$G,3,FALSE))</f>
        <v> </v>
      </c>
      <c r="E244" s="65" t="str">
        <f>IF(ISNA(VLOOKUP($B244,CPY!$B:$G,4,FALSE))=TRUE," ",VLOOKUP($B244,CPY!$B:$G,4,FALSE))</f>
        <v> </v>
      </c>
      <c r="F244" s="62"/>
      <c r="G244" s="75"/>
      <c r="H244" s="75"/>
      <c r="I244" s="62"/>
    </row>
    <row r="245" spans="1:9" x14ac:dyDescent="0.25">
      <c r="A245" s="62">
        <v>244</v>
      </c>
      <c r="B245" s="62"/>
      <c r="C245" s="68" t="str">
        <f>IF(ISNA(VLOOKUP($B245,CPY!$B:$G,2,FALSE))=TRUE," ",VLOOKUP($B245,CPY!$B:$G,2,FALSE))</f>
        <v> </v>
      </c>
      <c r="D245" s="50" t="str">
        <f>IF(ISNA(VLOOKUP($B245,CPY!$B:$G,3,FALSE))=TRUE," ",VLOOKUP($B245,CPY!$B:$G,3,FALSE))</f>
        <v> </v>
      </c>
      <c r="E245" s="65" t="str">
        <f>IF(ISNA(VLOOKUP($B245,CPY!$B:$G,4,FALSE))=TRUE," ",VLOOKUP($B245,CPY!$B:$G,4,FALSE))</f>
        <v> </v>
      </c>
      <c r="F245" s="62"/>
      <c r="G245" s="75"/>
      <c r="H245" s="75"/>
      <c r="I245" s="62"/>
    </row>
    <row r="246" spans="1:9" x14ac:dyDescent="0.25">
      <c r="A246" s="62">
        <v>245</v>
      </c>
      <c r="B246" s="62"/>
      <c r="C246" s="68" t="str">
        <f>IF(ISNA(VLOOKUP($B246,CPY!$B:$G,2,FALSE))=TRUE," ",VLOOKUP($B246,CPY!$B:$G,2,FALSE))</f>
        <v> </v>
      </c>
      <c r="D246" s="50" t="str">
        <f>IF(ISNA(VLOOKUP($B246,CPY!$B:$G,3,FALSE))=TRUE," ",VLOOKUP($B246,CPY!$B:$G,3,FALSE))</f>
        <v> </v>
      </c>
      <c r="E246" s="65" t="str">
        <f>IF(ISNA(VLOOKUP($B246,CPY!$B:$G,4,FALSE))=TRUE," ",VLOOKUP($B246,CPY!$B:$G,4,FALSE))</f>
        <v> </v>
      </c>
      <c r="F246" s="62"/>
      <c r="G246" s="75"/>
      <c r="H246" s="75"/>
      <c r="I246" s="62"/>
    </row>
    <row r="247" spans="1:9" x14ac:dyDescent="0.25">
      <c r="A247" s="62">
        <v>246</v>
      </c>
      <c r="B247" s="62"/>
      <c r="C247" s="68" t="str">
        <f>IF(ISNA(VLOOKUP($B247,CPY!$B:$G,2,FALSE))=TRUE," ",VLOOKUP($B247,CPY!$B:$G,2,FALSE))</f>
        <v> </v>
      </c>
      <c r="D247" s="50" t="str">
        <f>IF(ISNA(VLOOKUP($B247,CPY!$B:$G,3,FALSE))=TRUE," ",VLOOKUP($B247,CPY!$B:$G,3,FALSE))</f>
        <v> </v>
      </c>
      <c r="E247" s="65" t="str">
        <f>IF(ISNA(VLOOKUP($B247,CPY!$B:$G,4,FALSE))=TRUE," ",VLOOKUP($B247,CPY!$B:$G,4,FALSE))</f>
        <v> </v>
      </c>
      <c r="F247" s="62"/>
      <c r="G247" s="75"/>
      <c r="H247" s="75"/>
      <c r="I247" s="62"/>
    </row>
    <row r="248" spans="1:9" x14ac:dyDescent="0.25">
      <c r="A248" s="62">
        <v>247</v>
      </c>
      <c r="B248" s="62"/>
      <c r="C248" s="68" t="str">
        <f>IF(ISNA(VLOOKUP($B248,CPY!$B:$G,2,FALSE))=TRUE," ",VLOOKUP($B248,CPY!$B:$G,2,FALSE))</f>
        <v> </v>
      </c>
      <c r="D248" s="50" t="str">
        <f>IF(ISNA(VLOOKUP($B248,CPY!$B:$G,3,FALSE))=TRUE," ",VLOOKUP($B248,CPY!$B:$G,3,FALSE))</f>
        <v> </v>
      </c>
      <c r="E248" s="65" t="str">
        <f>IF(ISNA(VLOOKUP($B248,CPY!$B:$G,4,FALSE))=TRUE," ",VLOOKUP($B248,CPY!$B:$G,4,FALSE))</f>
        <v> </v>
      </c>
      <c r="F248" s="62"/>
      <c r="G248" s="75"/>
      <c r="H248" s="75"/>
      <c r="I248" s="62"/>
    </row>
    <row r="249" spans="1:9" x14ac:dyDescent="0.25">
      <c r="A249" s="62">
        <v>248</v>
      </c>
      <c r="B249" s="62"/>
      <c r="C249" s="68" t="str">
        <f>IF(ISNA(VLOOKUP($B249,CPY!$B:$G,2,FALSE))=TRUE," ",VLOOKUP($B249,CPY!$B:$G,2,FALSE))</f>
        <v> </v>
      </c>
      <c r="D249" s="50" t="str">
        <f>IF(ISNA(VLOOKUP($B249,CPY!$B:$G,3,FALSE))=TRUE," ",VLOOKUP($B249,CPY!$B:$G,3,FALSE))</f>
        <v> </v>
      </c>
      <c r="E249" s="65" t="str">
        <f>IF(ISNA(VLOOKUP($B249,CPY!$B:$G,4,FALSE))=TRUE," ",VLOOKUP($B249,CPY!$B:$G,4,FALSE))</f>
        <v> </v>
      </c>
      <c r="F249" s="62"/>
      <c r="G249" s="75"/>
      <c r="H249" s="75"/>
      <c r="I249" s="62"/>
    </row>
    <row r="250" spans="1:9" x14ac:dyDescent="0.25">
      <c r="A250" s="62">
        <v>249</v>
      </c>
      <c r="B250" s="62"/>
      <c r="C250" s="68" t="str">
        <f>IF(ISNA(VLOOKUP($B250,CPY!$B:$G,2,FALSE))=TRUE," ",VLOOKUP($B250,CPY!$B:$G,2,FALSE))</f>
        <v> </v>
      </c>
      <c r="D250" s="50" t="str">
        <f>IF(ISNA(VLOOKUP($B250,CPY!$B:$G,3,FALSE))=TRUE," ",VLOOKUP($B250,CPY!$B:$G,3,FALSE))</f>
        <v> </v>
      </c>
      <c r="E250" s="65" t="str">
        <f>IF(ISNA(VLOOKUP($B250,CPY!$B:$G,4,FALSE))=TRUE," ",VLOOKUP($B250,CPY!$B:$G,4,FALSE))</f>
        <v> </v>
      </c>
      <c r="F250" s="62"/>
      <c r="G250" s="75"/>
      <c r="H250" s="75"/>
      <c r="I250" s="62"/>
    </row>
    <row r="251" spans="1:9" x14ac:dyDescent="0.25">
      <c r="A251" s="62">
        <v>250</v>
      </c>
      <c r="B251" s="62"/>
      <c r="C251" s="68" t="str">
        <f>IF(ISNA(VLOOKUP($B251,CPY!$B:$G,2,FALSE))=TRUE," ",VLOOKUP($B251,CPY!$B:$G,2,FALSE))</f>
        <v> </v>
      </c>
      <c r="D251" s="50" t="str">
        <f>IF(ISNA(VLOOKUP($B251,CPY!$B:$G,3,FALSE))=TRUE," ",VLOOKUP($B251,CPY!$B:$G,3,FALSE))</f>
        <v> </v>
      </c>
      <c r="E251" s="65" t="str">
        <f>IF(ISNA(VLOOKUP($B251,CPY!$B:$G,4,FALSE))=TRUE," ",VLOOKUP($B251,CPY!$B:$G,4,FALSE))</f>
        <v> </v>
      </c>
      <c r="F251" s="62"/>
      <c r="G251" s="75"/>
      <c r="H251" s="75"/>
      <c r="I251" s="62"/>
    </row>
    <row r="252" spans="1:9" x14ac:dyDescent="0.25">
      <c r="A252" s="62">
        <v>251</v>
      </c>
      <c r="B252" s="62"/>
      <c r="C252" s="68" t="str">
        <f>IF(ISNA(VLOOKUP($B252,CPY!$B:$G,2,FALSE))=TRUE," ",VLOOKUP($B252,CPY!$B:$G,2,FALSE))</f>
        <v> </v>
      </c>
      <c r="D252" s="50" t="str">
        <f>IF(ISNA(VLOOKUP($B252,CPY!$B:$G,3,FALSE))=TRUE," ",VLOOKUP($B252,CPY!$B:$G,3,FALSE))</f>
        <v> </v>
      </c>
      <c r="E252" s="65" t="str">
        <f>IF(ISNA(VLOOKUP($B252,CPY!$B:$G,4,FALSE))=TRUE," ",VLOOKUP($B252,CPY!$B:$G,4,FALSE))</f>
        <v> </v>
      </c>
      <c r="F252" s="62"/>
      <c r="G252" s="75"/>
      <c r="H252" s="75"/>
      <c r="I252" s="62"/>
    </row>
    <row r="253" spans="1:9" x14ac:dyDescent="0.25">
      <c r="A253" s="62">
        <v>252</v>
      </c>
      <c r="B253" s="62"/>
      <c r="C253" s="68" t="str">
        <f>IF(ISNA(VLOOKUP($B253,CPY!$B:$G,2,FALSE))=TRUE," ",VLOOKUP($B253,CPY!$B:$G,2,FALSE))</f>
        <v> </v>
      </c>
      <c r="D253" s="50" t="str">
        <f>IF(ISNA(VLOOKUP($B253,CPY!$B:$G,3,FALSE))=TRUE," ",VLOOKUP($B253,CPY!$B:$G,3,FALSE))</f>
        <v> </v>
      </c>
      <c r="E253" s="65" t="str">
        <f>IF(ISNA(VLOOKUP($B253,CPY!$B:$G,4,FALSE))=TRUE," ",VLOOKUP($B253,CPY!$B:$G,4,FALSE))</f>
        <v> </v>
      </c>
      <c r="F253" s="62"/>
      <c r="G253" s="75"/>
      <c r="H253" s="75"/>
      <c r="I253" s="62"/>
    </row>
    <row r="254" spans="1:9" x14ac:dyDescent="0.25">
      <c r="A254" s="62">
        <v>253</v>
      </c>
      <c r="B254" s="62"/>
      <c r="C254" s="68" t="str">
        <f>IF(ISNA(VLOOKUP($B254,CPY!$B:$G,2,FALSE))=TRUE," ",VLOOKUP($B254,CPY!$B:$G,2,FALSE))</f>
        <v> </v>
      </c>
      <c r="D254" s="50" t="str">
        <f>IF(ISNA(VLOOKUP($B254,CPY!$B:$G,3,FALSE))=TRUE," ",VLOOKUP($B254,CPY!$B:$G,3,FALSE))</f>
        <v> </v>
      </c>
      <c r="E254" s="65" t="str">
        <f>IF(ISNA(VLOOKUP($B254,CPY!$B:$G,4,FALSE))=TRUE," ",VLOOKUP($B254,CPY!$B:$G,4,FALSE))</f>
        <v> </v>
      </c>
      <c r="F254" s="62"/>
      <c r="G254" s="75"/>
      <c r="H254" s="75"/>
      <c r="I254" s="62"/>
    </row>
    <row r="255" spans="1:9" x14ac:dyDescent="0.25">
      <c r="A255" s="62">
        <v>254</v>
      </c>
      <c r="B255" s="62"/>
      <c r="C255" s="68" t="str">
        <f>IF(ISNA(VLOOKUP($B255,CPY!$B:$G,2,FALSE))=TRUE," ",VLOOKUP($B255,CPY!$B:$G,2,FALSE))</f>
        <v> </v>
      </c>
      <c r="D255" s="50" t="str">
        <f>IF(ISNA(VLOOKUP($B255,CPY!$B:$G,3,FALSE))=TRUE," ",VLOOKUP($B255,CPY!$B:$G,3,FALSE))</f>
        <v> </v>
      </c>
      <c r="E255" s="65" t="str">
        <f>IF(ISNA(VLOOKUP($B255,CPY!$B:$G,4,FALSE))=TRUE," ",VLOOKUP($B255,CPY!$B:$G,4,FALSE))</f>
        <v> </v>
      </c>
      <c r="F255" s="62"/>
      <c r="G255" s="75"/>
      <c r="H255" s="75"/>
      <c r="I255" s="62"/>
    </row>
    <row r="256" spans="1:9" x14ac:dyDescent="0.25">
      <c r="A256" s="62">
        <v>255</v>
      </c>
      <c r="B256" s="62"/>
      <c r="C256" s="68" t="str">
        <f>IF(ISNA(VLOOKUP($B256,CPY!$B:$G,2,FALSE))=TRUE," ",VLOOKUP($B256,CPY!$B:$G,2,FALSE))</f>
        <v> </v>
      </c>
      <c r="D256" s="50" t="str">
        <f>IF(ISNA(VLOOKUP($B256,CPY!$B:$G,3,FALSE))=TRUE," ",VLOOKUP($B256,CPY!$B:$G,3,FALSE))</f>
        <v> </v>
      </c>
      <c r="E256" s="65" t="str">
        <f>IF(ISNA(VLOOKUP($B256,CPY!$B:$G,4,FALSE))=TRUE," ",VLOOKUP($B256,CPY!$B:$G,4,FALSE))</f>
        <v> </v>
      </c>
      <c r="F256" s="62"/>
      <c r="G256" s="75"/>
      <c r="H256" s="75"/>
      <c r="I256" s="62"/>
    </row>
    <row r="257" spans="1:9" x14ac:dyDescent="0.25">
      <c r="A257" s="62">
        <v>256</v>
      </c>
      <c r="B257" s="62"/>
      <c r="C257" s="68" t="str">
        <f>IF(ISNA(VLOOKUP($B257,CPY!$B:$G,2,FALSE))=TRUE," ",VLOOKUP($B257,CPY!$B:$G,2,FALSE))</f>
        <v> </v>
      </c>
      <c r="D257" s="50" t="str">
        <f>IF(ISNA(VLOOKUP($B257,CPY!$B:$G,3,FALSE))=TRUE," ",VLOOKUP($B257,CPY!$B:$G,3,FALSE))</f>
        <v> </v>
      </c>
      <c r="E257" s="65" t="str">
        <f>IF(ISNA(VLOOKUP($B257,CPY!$B:$G,4,FALSE))=TRUE," ",VLOOKUP($B257,CPY!$B:$G,4,FALSE))</f>
        <v> </v>
      </c>
      <c r="F257" s="62"/>
      <c r="G257" s="75"/>
      <c r="H257" s="75"/>
      <c r="I257" s="62"/>
    </row>
    <row r="258" spans="1:9" x14ac:dyDescent="0.25">
      <c r="A258" s="62">
        <v>257</v>
      </c>
      <c r="B258" s="62"/>
      <c r="C258" s="68" t="str">
        <f>IF(ISNA(VLOOKUP($B258,CPY!$B:$G,2,FALSE))=TRUE," ",VLOOKUP($B258,CPY!$B:$G,2,FALSE))</f>
        <v> </v>
      </c>
      <c r="D258" s="50" t="str">
        <f>IF(ISNA(VLOOKUP($B258,CPY!$B:$G,3,FALSE))=TRUE," ",VLOOKUP($B258,CPY!$B:$G,3,FALSE))</f>
        <v> </v>
      </c>
      <c r="E258" s="65" t="str">
        <f>IF(ISNA(VLOOKUP($B258,CPY!$B:$G,4,FALSE))=TRUE," ",VLOOKUP($B258,CPY!$B:$G,4,FALSE))</f>
        <v> </v>
      </c>
      <c r="F258" s="62"/>
      <c r="G258" s="75"/>
      <c r="H258" s="75"/>
      <c r="I258" s="62"/>
    </row>
    <row r="259" spans="1:9" x14ac:dyDescent="0.25">
      <c r="A259" s="62">
        <v>258</v>
      </c>
      <c r="B259" s="62"/>
      <c r="C259" s="68" t="str">
        <f>IF(ISNA(VLOOKUP($B259,CPY!$B:$G,2,FALSE))=TRUE," ",VLOOKUP($B259,CPY!$B:$G,2,FALSE))</f>
        <v> </v>
      </c>
      <c r="D259" s="50" t="str">
        <f>IF(ISNA(VLOOKUP($B259,CPY!$B:$G,3,FALSE))=TRUE," ",VLOOKUP($B259,CPY!$B:$G,3,FALSE))</f>
        <v> </v>
      </c>
      <c r="E259" s="65" t="str">
        <f>IF(ISNA(VLOOKUP($B259,CPY!$B:$G,4,FALSE))=TRUE," ",VLOOKUP($B259,CPY!$B:$G,4,FALSE))</f>
        <v> </v>
      </c>
      <c r="F259" s="62"/>
      <c r="G259" s="75"/>
      <c r="H259" s="75"/>
      <c r="I259" s="62"/>
    </row>
    <row r="260" spans="1:9" x14ac:dyDescent="0.25">
      <c r="A260" s="62">
        <v>259</v>
      </c>
      <c r="B260" s="62"/>
      <c r="C260" s="68" t="str">
        <f>IF(ISNA(VLOOKUP($B260,CPY!$B:$G,2,FALSE))=TRUE," ",VLOOKUP($B260,CPY!$B:$G,2,FALSE))</f>
        <v> </v>
      </c>
      <c r="D260" s="50" t="str">
        <f>IF(ISNA(VLOOKUP($B260,CPY!$B:$G,3,FALSE))=TRUE," ",VLOOKUP($B260,CPY!$B:$G,3,FALSE))</f>
        <v> </v>
      </c>
      <c r="E260" s="65" t="str">
        <f>IF(ISNA(VLOOKUP($B260,CPY!$B:$G,4,FALSE))=TRUE," ",VLOOKUP($B260,CPY!$B:$G,4,FALSE))</f>
        <v> </v>
      </c>
      <c r="F260" s="62"/>
      <c r="G260" s="75"/>
      <c r="H260" s="75"/>
      <c r="I260" s="62"/>
    </row>
    <row r="261" spans="1:9" x14ac:dyDescent="0.25">
      <c r="A261" s="62">
        <v>260</v>
      </c>
      <c r="B261" s="62"/>
      <c r="C261" s="68" t="str">
        <f>IF(ISNA(VLOOKUP($B261,CPY!$B:$G,2,FALSE))=TRUE," ",VLOOKUP($B261,CPY!$B:$G,2,FALSE))</f>
        <v> </v>
      </c>
      <c r="D261" s="50" t="str">
        <f>IF(ISNA(VLOOKUP($B261,CPY!$B:$G,3,FALSE))=TRUE," ",VLOOKUP($B261,CPY!$B:$G,3,FALSE))</f>
        <v> </v>
      </c>
      <c r="E261" s="65" t="str">
        <f>IF(ISNA(VLOOKUP($B261,CPY!$B:$G,4,FALSE))=TRUE," ",VLOOKUP($B261,CPY!$B:$G,4,FALSE))</f>
        <v> </v>
      </c>
      <c r="F261" s="62"/>
      <c r="G261" s="75"/>
      <c r="H261" s="75"/>
      <c r="I261" s="62"/>
    </row>
    <row r="262" spans="1:9" x14ac:dyDescent="0.25">
      <c r="A262" s="62">
        <v>261</v>
      </c>
      <c r="B262" s="62"/>
      <c r="C262" s="68" t="str">
        <f>IF(ISNA(VLOOKUP($B262,CPY!$B:$G,2,FALSE))=TRUE," ",VLOOKUP($B262,CPY!$B:$G,2,FALSE))</f>
        <v> </v>
      </c>
      <c r="D262" s="50" t="str">
        <f>IF(ISNA(VLOOKUP($B262,CPY!$B:$G,3,FALSE))=TRUE," ",VLOOKUP($B262,CPY!$B:$G,3,FALSE))</f>
        <v> </v>
      </c>
      <c r="E262" s="65" t="str">
        <f>IF(ISNA(VLOOKUP($B262,CPY!$B:$G,4,FALSE))=TRUE," ",VLOOKUP($B262,CPY!$B:$G,4,FALSE))</f>
        <v> </v>
      </c>
      <c r="F262" s="62"/>
      <c r="G262" s="75"/>
      <c r="H262" s="75"/>
      <c r="I262" s="62"/>
    </row>
    <row r="263" spans="1:9" x14ac:dyDescent="0.25">
      <c r="A263" s="62">
        <v>262</v>
      </c>
      <c r="B263" s="62"/>
      <c r="C263" s="68" t="str">
        <f>IF(ISNA(VLOOKUP($B263,CPY!$B:$G,2,FALSE))=TRUE," ",VLOOKUP($B263,CPY!$B:$G,2,FALSE))</f>
        <v> </v>
      </c>
      <c r="D263" s="50" t="str">
        <f>IF(ISNA(VLOOKUP($B263,CPY!$B:$G,3,FALSE))=TRUE," ",VLOOKUP($B263,CPY!$B:$G,3,FALSE))</f>
        <v> </v>
      </c>
      <c r="E263" s="65" t="str">
        <f>IF(ISNA(VLOOKUP($B263,CPY!$B:$G,4,FALSE))=TRUE," ",VLOOKUP($B263,CPY!$B:$G,4,FALSE))</f>
        <v> </v>
      </c>
      <c r="F263" s="62"/>
      <c r="G263" s="75"/>
      <c r="H263" s="75"/>
      <c r="I263" s="62"/>
    </row>
    <row r="264" spans="1:9" x14ac:dyDescent="0.25">
      <c r="A264" s="62">
        <v>263</v>
      </c>
      <c r="B264" s="62"/>
      <c r="C264" s="68" t="str">
        <f>IF(ISNA(VLOOKUP($B264,CPY!$B:$G,2,FALSE))=TRUE," ",VLOOKUP($B264,CPY!$B:$G,2,FALSE))</f>
        <v> </v>
      </c>
      <c r="D264" s="50" t="str">
        <f>IF(ISNA(VLOOKUP($B264,CPY!$B:$G,3,FALSE))=TRUE," ",VLOOKUP($B264,CPY!$B:$G,3,FALSE))</f>
        <v> </v>
      </c>
      <c r="E264" s="65" t="str">
        <f>IF(ISNA(VLOOKUP($B264,CPY!$B:$G,4,FALSE))=TRUE," ",VLOOKUP($B264,CPY!$B:$G,4,FALSE))</f>
        <v> </v>
      </c>
      <c r="F264" s="62"/>
      <c r="G264" s="75"/>
      <c r="H264" s="75"/>
      <c r="I264" s="62"/>
    </row>
    <row r="265" spans="1:9" x14ac:dyDescent="0.25">
      <c r="A265" s="62">
        <v>264</v>
      </c>
      <c r="B265" s="62"/>
      <c r="C265" s="68" t="str">
        <f>IF(ISNA(VLOOKUP($B265,CPY!$B:$G,2,FALSE))=TRUE," ",VLOOKUP($B265,CPY!$B:$G,2,FALSE))</f>
        <v> </v>
      </c>
      <c r="D265" s="50" t="str">
        <f>IF(ISNA(VLOOKUP($B265,CPY!$B:$G,3,FALSE))=TRUE," ",VLOOKUP($B265,CPY!$B:$G,3,FALSE))</f>
        <v> </v>
      </c>
      <c r="E265" s="65" t="str">
        <f>IF(ISNA(VLOOKUP($B265,CPY!$B:$G,4,FALSE))=TRUE," ",VLOOKUP($B265,CPY!$B:$G,4,FALSE))</f>
        <v> </v>
      </c>
      <c r="F265" s="62"/>
      <c r="G265" s="75"/>
      <c r="H265" s="75"/>
      <c r="I265" s="62"/>
    </row>
    <row r="266" spans="1:9" x14ac:dyDescent="0.25">
      <c r="A266" s="62">
        <v>265</v>
      </c>
      <c r="B266" s="62"/>
      <c r="C266" s="68" t="str">
        <f>IF(ISNA(VLOOKUP($B266,CPY!$B:$G,2,FALSE))=TRUE," ",VLOOKUP($B266,CPY!$B:$G,2,FALSE))</f>
        <v> </v>
      </c>
      <c r="D266" s="50" t="str">
        <f>IF(ISNA(VLOOKUP($B266,CPY!$B:$G,3,FALSE))=TRUE," ",VLOOKUP($B266,CPY!$B:$G,3,FALSE))</f>
        <v> </v>
      </c>
      <c r="E266" s="65" t="str">
        <f>IF(ISNA(VLOOKUP($B266,CPY!$B:$G,4,FALSE))=TRUE," ",VLOOKUP($B266,CPY!$B:$G,4,FALSE))</f>
        <v> </v>
      </c>
      <c r="F266" s="62"/>
      <c r="G266" s="75"/>
      <c r="H266" s="75"/>
      <c r="I266" s="62"/>
    </row>
    <row r="267" spans="1:9" x14ac:dyDescent="0.25">
      <c r="A267" s="62">
        <v>266</v>
      </c>
      <c r="B267" s="62"/>
      <c r="C267" s="68" t="str">
        <f>IF(ISNA(VLOOKUP($B267,CPY!$B:$G,2,FALSE))=TRUE," ",VLOOKUP($B267,CPY!$B:$G,2,FALSE))</f>
        <v> </v>
      </c>
      <c r="D267" s="50" t="str">
        <f>IF(ISNA(VLOOKUP($B267,CPY!$B:$G,3,FALSE))=TRUE," ",VLOOKUP($B267,CPY!$B:$G,3,FALSE))</f>
        <v> </v>
      </c>
      <c r="E267" s="65" t="str">
        <f>IF(ISNA(VLOOKUP($B267,CPY!$B:$G,4,FALSE))=TRUE," ",VLOOKUP($B267,CPY!$B:$G,4,FALSE))</f>
        <v> </v>
      </c>
      <c r="F267" s="62"/>
      <c r="G267" s="75"/>
      <c r="H267" s="75"/>
      <c r="I267" s="62"/>
    </row>
    <row r="268" spans="1:9" x14ac:dyDescent="0.25">
      <c r="A268" s="62">
        <v>267</v>
      </c>
      <c r="B268" s="62"/>
      <c r="C268" s="68" t="str">
        <f>IF(ISNA(VLOOKUP($B268,CPY!$B:$G,2,FALSE))=TRUE," ",VLOOKUP($B268,CPY!$B:$G,2,FALSE))</f>
        <v> </v>
      </c>
      <c r="D268" s="50" t="str">
        <f>IF(ISNA(VLOOKUP($B268,CPY!$B:$G,3,FALSE))=TRUE," ",VLOOKUP($B268,CPY!$B:$G,3,FALSE))</f>
        <v> </v>
      </c>
      <c r="E268" s="65" t="str">
        <f>IF(ISNA(VLOOKUP($B268,CPY!$B:$G,4,FALSE))=TRUE," ",VLOOKUP($B268,CPY!$B:$G,4,FALSE))</f>
        <v> </v>
      </c>
      <c r="F268" s="62"/>
      <c r="G268" s="75"/>
      <c r="H268" s="75"/>
      <c r="I268" s="62"/>
    </row>
    <row r="269" spans="1:9" x14ac:dyDescent="0.25">
      <c r="A269" s="62">
        <v>268</v>
      </c>
      <c r="B269" s="62"/>
      <c r="C269" s="68" t="str">
        <f>IF(ISNA(VLOOKUP($B269,CPY!$B:$G,2,FALSE))=TRUE," ",VLOOKUP($B269,CPY!$B:$G,2,FALSE))</f>
        <v> </v>
      </c>
      <c r="D269" s="50" t="str">
        <f>IF(ISNA(VLOOKUP($B269,CPY!$B:$G,3,FALSE))=TRUE," ",VLOOKUP($B269,CPY!$B:$G,3,FALSE))</f>
        <v> </v>
      </c>
      <c r="E269" s="65" t="str">
        <f>IF(ISNA(VLOOKUP($B269,CPY!$B:$G,4,FALSE))=TRUE," ",VLOOKUP($B269,CPY!$B:$G,4,FALSE))</f>
        <v> </v>
      </c>
      <c r="F269" s="62"/>
      <c r="G269" s="75"/>
      <c r="H269" s="75"/>
      <c r="I269" s="62"/>
    </row>
    <row r="270" spans="1:9" x14ac:dyDescent="0.25">
      <c r="A270" s="62">
        <v>269</v>
      </c>
      <c r="B270" s="62"/>
      <c r="C270" s="68" t="str">
        <f>IF(ISNA(VLOOKUP($B270,CPY!$B:$G,2,FALSE))=TRUE," ",VLOOKUP($B270,CPY!$B:$G,2,FALSE))</f>
        <v> </v>
      </c>
      <c r="D270" s="50" t="str">
        <f>IF(ISNA(VLOOKUP($B270,CPY!$B:$G,3,FALSE))=TRUE," ",VLOOKUP($B270,CPY!$B:$G,3,FALSE))</f>
        <v> </v>
      </c>
      <c r="E270" s="65" t="str">
        <f>IF(ISNA(VLOOKUP($B270,CPY!$B:$G,4,FALSE))=TRUE," ",VLOOKUP($B270,CPY!$B:$G,4,FALSE))</f>
        <v> </v>
      </c>
      <c r="F270" s="62"/>
      <c r="G270" s="75"/>
      <c r="H270" s="75"/>
      <c r="I270" s="62"/>
    </row>
    <row r="271" spans="1:9" x14ac:dyDescent="0.25">
      <c r="A271" s="62">
        <v>270</v>
      </c>
      <c r="B271" s="62"/>
      <c r="C271" s="68" t="str">
        <f>IF(ISNA(VLOOKUP($B271,CPY!$B:$G,2,FALSE))=TRUE," ",VLOOKUP($B271,CPY!$B:$G,2,FALSE))</f>
        <v> </v>
      </c>
      <c r="D271" s="50" t="str">
        <f>IF(ISNA(VLOOKUP($B271,CPY!$B:$G,3,FALSE))=TRUE," ",VLOOKUP($B271,CPY!$B:$G,3,FALSE))</f>
        <v> </v>
      </c>
      <c r="E271" s="65" t="str">
        <f>IF(ISNA(VLOOKUP($B271,CPY!$B:$G,4,FALSE))=TRUE," ",VLOOKUP($B271,CPY!$B:$G,4,FALSE))</f>
        <v> </v>
      </c>
      <c r="F271" s="62"/>
      <c r="G271" s="75"/>
      <c r="H271" s="75"/>
      <c r="I271" s="62"/>
    </row>
    <row r="272" spans="1:9" x14ac:dyDescent="0.25">
      <c r="A272" s="62">
        <v>271</v>
      </c>
      <c r="B272" s="62"/>
      <c r="C272" s="68" t="str">
        <f>IF(ISNA(VLOOKUP($B272,CPY!$B:$G,2,FALSE))=TRUE," ",VLOOKUP($B272,CPY!$B:$G,2,FALSE))</f>
        <v> </v>
      </c>
      <c r="D272" s="50" t="str">
        <f>IF(ISNA(VLOOKUP($B272,CPY!$B:$G,3,FALSE))=TRUE," ",VLOOKUP($B272,CPY!$B:$G,3,FALSE))</f>
        <v> </v>
      </c>
      <c r="E272" s="65" t="str">
        <f>IF(ISNA(VLOOKUP($B272,CPY!$B:$G,4,FALSE))=TRUE," ",VLOOKUP($B272,CPY!$B:$G,4,FALSE))</f>
        <v> </v>
      </c>
      <c r="F272" s="62"/>
      <c r="G272" s="75"/>
      <c r="H272" s="75"/>
      <c r="I272" s="62"/>
    </row>
    <row r="273" spans="1:9" x14ac:dyDescent="0.25">
      <c r="A273" s="62">
        <v>272</v>
      </c>
      <c r="B273" s="62"/>
      <c r="C273" s="68" t="str">
        <f>IF(ISNA(VLOOKUP($B273,CPY!$B:$G,2,FALSE))=TRUE," ",VLOOKUP($B273,CPY!$B:$G,2,FALSE))</f>
        <v> </v>
      </c>
      <c r="D273" s="50" t="str">
        <f>IF(ISNA(VLOOKUP($B273,CPY!$B:$G,3,FALSE))=TRUE," ",VLOOKUP($B273,CPY!$B:$G,3,FALSE))</f>
        <v> </v>
      </c>
      <c r="E273" s="65" t="str">
        <f>IF(ISNA(VLOOKUP($B273,CPY!$B:$G,4,FALSE))=TRUE," ",VLOOKUP($B273,CPY!$B:$G,4,FALSE))</f>
        <v> </v>
      </c>
      <c r="F273" s="62"/>
      <c r="G273" s="75"/>
      <c r="H273" s="75"/>
      <c r="I273" s="62"/>
    </row>
    <row r="274" spans="1:9" x14ac:dyDescent="0.25">
      <c r="A274" s="62">
        <v>273</v>
      </c>
      <c r="B274" s="62"/>
      <c r="C274" s="68" t="str">
        <f>IF(ISNA(VLOOKUP($B274,CPY!$B:$G,2,FALSE))=TRUE," ",VLOOKUP($B274,CPY!$B:$G,2,FALSE))</f>
        <v> </v>
      </c>
      <c r="D274" s="50" t="str">
        <f>IF(ISNA(VLOOKUP($B274,CPY!$B:$G,3,FALSE))=TRUE," ",VLOOKUP($B274,CPY!$B:$G,3,FALSE))</f>
        <v> </v>
      </c>
      <c r="E274" s="65" t="str">
        <f>IF(ISNA(VLOOKUP($B274,CPY!$B:$G,4,FALSE))=TRUE," ",VLOOKUP($B274,CPY!$B:$G,4,FALSE))</f>
        <v> </v>
      </c>
      <c r="F274" s="62"/>
      <c r="G274" s="75"/>
      <c r="H274" s="75"/>
      <c r="I274" s="62"/>
    </row>
    <row r="275" spans="1:9" x14ac:dyDescent="0.25">
      <c r="A275" s="62">
        <v>274</v>
      </c>
      <c r="B275" s="62"/>
      <c r="C275" s="68" t="str">
        <f>IF(ISNA(VLOOKUP($B275,CPY!$B:$G,2,FALSE))=TRUE," ",VLOOKUP($B275,CPY!$B:$G,2,FALSE))</f>
        <v> </v>
      </c>
      <c r="D275" s="50" t="str">
        <f>IF(ISNA(VLOOKUP($B275,CPY!$B:$G,3,FALSE))=TRUE," ",VLOOKUP($B275,CPY!$B:$G,3,FALSE))</f>
        <v> </v>
      </c>
      <c r="E275" s="65" t="str">
        <f>IF(ISNA(VLOOKUP($B275,CPY!$B:$G,4,FALSE))=TRUE," ",VLOOKUP($B275,CPY!$B:$G,4,FALSE))</f>
        <v> </v>
      </c>
      <c r="F275" s="62"/>
      <c r="G275" s="75"/>
      <c r="H275" s="75"/>
      <c r="I275" s="62"/>
    </row>
    <row r="276" spans="1:9" x14ac:dyDescent="0.25">
      <c r="A276" s="62">
        <v>275</v>
      </c>
      <c r="B276" s="62"/>
      <c r="C276" s="68" t="str">
        <f>IF(ISNA(VLOOKUP($B276,CPY!$B:$G,2,FALSE))=TRUE," ",VLOOKUP($B276,CPY!$B:$G,2,FALSE))</f>
        <v> </v>
      </c>
      <c r="D276" s="50" t="str">
        <f>IF(ISNA(VLOOKUP($B276,CPY!$B:$G,3,FALSE))=TRUE," ",VLOOKUP($B276,CPY!$B:$G,3,FALSE))</f>
        <v> </v>
      </c>
      <c r="E276" s="65" t="str">
        <f>IF(ISNA(VLOOKUP($B276,CPY!$B:$G,4,FALSE))=TRUE," ",VLOOKUP($B276,CPY!$B:$G,4,FALSE))</f>
        <v> </v>
      </c>
      <c r="F276" s="62"/>
      <c r="G276" s="75"/>
      <c r="H276" s="75"/>
      <c r="I276" s="62"/>
    </row>
    <row r="277" spans="1:9" x14ac:dyDescent="0.25">
      <c r="A277" s="62">
        <v>276</v>
      </c>
      <c r="B277" s="62"/>
      <c r="C277" s="68" t="str">
        <f>IF(ISNA(VLOOKUP($B277,CPY!$B:$G,2,FALSE))=TRUE," ",VLOOKUP($B277,CPY!$B:$G,2,FALSE))</f>
        <v> </v>
      </c>
      <c r="D277" s="50" t="str">
        <f>IF(ISNA(VLOOKUP($B277,CPY!$B:$G,3,FALSE))=TRUE," ",VLOOKUP($B277,CPY!$B:$G,3,FALSE))</f>
        <v> </v>
      </c>
      <c r="E277" s="65" t="str">
        <f>IF(ISNA(VLOOKUP($B277,CPY!$B:$G,4,FALSE))=TRUE," ",VLOOKUP($B277,CPY!$B:$G,4,FALSE))</f>
        <v> </v>
      </c>
      <c r="F277" s="62"/>
      <c r="G277" s="75"/>
      <c r="H277" s="75"/>
      <c r="I277" s="62"/>
    </row>
    <row r="278" spans="1:9" x14ac:dyDescent="0.25">
      <c r="A278" s="62">
        <v>277</v>
      </c>
      <c r="B278" s="62"/>
      <c r="C278" s="68" t="str">
        <f>IF(ISNA(VLOOKUP($B278,CPY!$B:$G,2,FALSE))=TRUE," ",VLOOKUP($B278,CPY!$B:$G,2,FALSE))</f>
        <v> </v>
      </c>
      <c r="D278" s="50" t="str">
        <f>IF(ISNA(VLOOKUP($B278,CPY!$B:$G,3,FALSE))=TRUE," ",VLOOKUP($B278,CPY!$B:$G,3,FALSE))</f>
        <v> </v>
      </c>
      <c r="E278" s="65" t="str">
        <f>IF(ISNA(VLOOKUP($B278,CPY!$B:$G,4,FALSE))=TRUE," ",VLOOKUP($B278,CPY!$B:$G,4,FALSE))</f>
        <v> </v>
      </c>
      <c r="F278" s="62"/>
      <c r="G278" s="75"/>
      <c r="H278" s="75"/>
      <c r="I278" s="62"/>
    </row>
    <row r="279" spans="1:9" x14ac:dyDescent="0.25">
      <c r="A279" s="62">
        <v>278</v>
      </c>
      <c r="B279" s="62"/>
      <c r="C279" s="68" t="str">
        <f>IF(ISNA(VLOOKUP($B279,CPY!$B:$G,2,FALSE))=TRUE," ",VLOOKUP($B279,CPY!$B:$G,2,FALSE))</f>
        <v> </v>
      </c>
      <c r="D279" s="50" t="str">
        <f>IF(ISNA(VLOOKUP($B279,CPY!$B:$G,3,FALSE))=TRUE," ",VLOOKUP($B279,CPY!$B:$G,3,FALSE))</f>
        <v> </v>
      </c>
      <c r="E279" s="65" t="str">
        <f>IF(ISNA(VLOOKUP($B279,CPY!$B:$G,4,FALSE))=TRUE," ",VLOOKUP($B279,CPY!$B:$G,4,FALSE))</f>
        <v> </v>
      </c>
      <c r="F279" s="62"/>
      <c r="G279" s="75"/>
      <c r="H279" s="75"/>
      <c r="I279" s="62"/>
    </row>
    <row r="280" spans="1:9" x14ac:dyDescent="0.25">
      <c r="A280" s="62">
        <v>279</v>
      </c>
      <c r="B280" s="62"/>
      <c r="C280" s="68" t="str">
        <f>IF(ISNA(VLOOKUP($B280,CPY!$B:$G,2,FALSE))=TRUE," ",VLOOKUP($B280,CPY!$B:$G,2,FALSE))</f>
        <v> </v>
      </c>
      <c r="D280" s="50" t="str">
        <f>IF(ISNA(VLOOKUP($B280,CPY!$B:$G,3,FALSE))=TRUE," ",VLOOKUP($B280,CPY!$B:$G,3,FALSE))</f>
        <v> </v>
      </c>
      <c r="E280" s="65" t="str">
        <f>IF(ISNA(VLOOKUP($B280,CPY!$B:$G,4,FALSE))=TRUE," ",VLOOKUP($B280,CPY!$B:$G,4,FALSE))</f>
        <v> </v>
      </c>
      <c r="F280" s="62"/>
      <c r="G280" s="75"/>
      <c r="H280" s="75"/>
      <c r="I280" s="62"/>
    </row>
    <row r="281" spans="1:9" x14ac:dyDescent="0.25">
      <c r="A281" s="62">
        <v>280</v>
      </c>
      <c r="B281" s="62"/>
      <c r="C281" s="68" t="str">
        <f>IF(ISNA(VLOOKUP($B281,CPY!$B:$G,2,FALSE))=TRUE," ",VLOOKUP($B281,CPY!$B:$G,2,FALSE))</f>
        <v> </v>
      </c>
      <c r="D281" s="50" t="str">
        <f>IF(ISNA(VLOOKUP($B281,CPY!$B:$G,3,FALSE))=TRUE," ",VLOOKUP($B281,CPY!$B:$G,3,FALSE))</f>
        <v> </v>
      </c>
      <c r="E281" s="65" t="str">
        <f>IF(ISNA(VLOOKUP($B281,CPY!$B:$G,4,FALSE))=TRUE," ",VLOOKUP($B281,CPY!$B:$G,4,FALSE))</f>
        <v> </v>
      </c>
      <c r="F281" s="62"/>
      <c r="G281" s="75"/>
      <c r="H281" s="75"/>
      <c r="I281" s="62"/>
    </row>
    <row r="282" spans="1:9" x14ac:dyDescent="0.25">
      <c r="A282" s="62">
        <v>281</v>
      </c>
      <c r="B282" s="62"/>
      <c r="C282" s="68" t="str">
        <f>IF(ISNA(VLOOKUP($B282,CPY!$B:$G,2,FALSE))=TRUE," ",VLOOKUP($B282,CPY!$B:$G,2,FALSE))</f>
        <v> </v>
      </c>
      <c r="D282" s="50" t="str">
        <f>IF(ISNA(VLOOKUP($B282,CPY!$B:$G,3,FALSE))=TRUE," ",VLOOKUP($B282,CPY!$B:$G,3,FALSE))</f>
        <v> </v>
      </c>
      <c r="E282" s="65" t="str">
        <f>IF(ISNA(VLOOKUP($B282,CPY!$B:$G,4,FALSE))=TRUE," ",VLOOKUP($B282,CPY!$B:$G,4,FALSE))</f>
        <v> </v>
      </c>
      <c r="F282" s="62"/>
      <c r="G282" s="75"/>
      <c r="H282" s="75"/>
      <c r="I282" s="62"/>
    </row>
    <row r="283" spans="1:9" x14ac:dyDescent="0.25">
      <c r="A283" s="62">
        <v>282</v>
      </c>
      <c r="B283" s="62"/>
      <c r="C283" s="68" t="str">
        <f>IF(ISNA(VLOOKUP($B283,CPY!$B:$G,2,FALSE))=TRUE," ",VLOOKUP($B283,CPY!$B:$G,2,FALSE))</f>
        <v> </v>
      </c>
      <c r="D283" s="50" t="str">
        <f>IF(ISNA(VLOOKUP($B283,CPY!$B:$G,3,FALSE))=TRUE," ",VLOOKUP($B283,CPY!$B:$G,3,FALSE))</f>
        <v> </v>
      </c>
      <c r="E283" s="65" t="str">
        <f>IF(ISNA(VLOOKUP($B283,CPY!$B:$G,4,FALSE))=TRUE," ",VLOOKUP($B283,CPY!$B:$G,4,FALSE))</f>
        <v> </v>
      </c>
      <c r="F283" s="62"/>
      <c r="G283" s="75"/>
      <c r="H283" s="75"/>
      <c r="I283" s="62"/>
    </row>
    <row r="284" spans="1:9" x14ac:dyDescent="0.25">
      <c r="A284" s="62">
        <v>283</v>
      </c>
      <c r="B284" s="62"/>
      <c r="C284" s="68" t="str">
        <f>IF(ISNA(VLOOKUP($B284,CPY!$B:$G,2,FALSE))=TRUE," ",VLOOKUP($B284,CPY!$B:$G,2,FALSE))</f>
        <v> </v>
      </c>
      <c r="D284" s="50" t="str">
        <f>IF(ISNA(VLOOKUP($B284,CPY!$B:$G,3,FALSE))=TRUE," ",VLOOKUP($B284,CPY!$B:$G,3,FALSE))</f>
        <v> </v>
      </c>
      <c r="E284" s="65" t="str">
        <f>IF(ISNA(VLOOKUP($B284,CPY!$B:$G,4,FALSE))=TRUE," ",VLOOKUP($B284,CPY!$B:$G,4,FALSE))</f>
        <v> </v>
      </c>
      <c r="F284" s="62"/>
      <c r="G284" s="75"/>
      <c r="H284" s="75"/>
      <c r="I284" s="62"/>
    </row>
    <row r="285" spans="1:9" x14ac:dyDescent="0.25">
      <c r="A285" s="62">
        <v>284</v>
      </c>
      <c r="B285" s="62"/>
      <c r="C285" s="68" t="str">
        <f>IF(ISNA(VLOOKUP($B285,CPY!$B:$G,2,FALSE))=TRUE," ",VLOOKUP($B285,CPY!$B:$G,2,FALSE))</f>
        <v> </v>
      </c>
      <c r="D285" s="50" t="str">
        <f>IF(ISNA(VLOOKUP($B285,CPY!$B:$G,3,FALSE))=TRUE," ",VLOOKUP($B285,CPY!$B:$G,3,FALSE))</f>
        <v> </v>
      </c>
      <c r="E285" s="65" t="str">
        <f>IF(ISNA(VLOOKUP($B285,CPY!$B:$G,4,FALSE))=TRUE," ",VLOOKUP($B285,CPY!$B:$G,4,FALSE))</f>
        <v> </v>
      </c>
      <c r="F285" s="62"/>
      <c r="G285" s="75"/>
      <c r="H285" s="75"/>
      <c r="I285" s="62"/>
    </row>
    <row r="286" spans="1:9" x14ac:dyDescent="0.25">
      <c r="A286" s="62">
        <v>285</v>
      </c>
      <c r="B286" s="62"/>
      <c r="C286" s="68" t="str">
        <f>IF(ISNA(VLOOKUP($B286,CPY!$B:$G,2,FALSE))=TRUE," ",VLOOKUP($B286,CPY!$B:$G,2,FALSE))</f>
        <v> </v>
      </c>
      <c r="D286" s="50" t="str">
        <f>IF(ISNA(VLOOKUP($B286,CPY!$B:$G,3,FALSE))=TRUE," ",VLOOKUP($B286,CPY!$B:$G,3,FALSE))</f>
        <v> </v>
      </c>
      <c r="E286" s="65" t="str">
        <f>IF(ISNA(VLOOKUP($B286,CPY!$B:$G,4,FALSE))=TRUE," ",VLOOKUP($B286,CPY!$B:$G,4,FALSE))</f>
        <v> </v>
      </c>
      <c r="F286" s="62"/>
      <c r="G286" s="75"/>
      <c r="H286" s="75"/>
      <c r="I286" s="62"/>
    </row>
    <row r="287" spans="1:9" x14ac:dyDescent="0.25">
      <c r="A287" s="62">
        <v>286</v>
      </c>
      <c r="B287" s="62"/>
      <c r="C287" s="68" t="str">
        <f>IF(ISNA(VLOOKUP($B287,CPY!$B:$G,2,FALSE))=TRUE," ",VLOOKUP($B287,CPY!$B:$G,2,FALSE))</f>
        <v> </v>
      </c>
      <c r="D287" s="50" t="str">
        <f>IF(ISNA(VLOOKUP($B287,CPY!$B:$G,3,FALSE))=TRUE," ",VLOOKUP($B287,CPY!$B:$G,3,FALSE))</f>
        <v> </v>
      </c>
      <c r="E287" s="65" t="str">
        <f>IF(ISNA(VLOOKUP($B287,CPY!$B:$G,4,FALSE))=TRUE," ",VLOOKUP($B287,CPY!$B:$G,4,FALSE))</f>
        <v> </v>
      </c>
      <c r="F287" s="62"/>
      <c r="G287" s="75"/>
      <c r="H287" s="75"/>
      <c r="I287" s="62"/>
    </row>
    <row r="288" spans="1:9" x14ac:dyDescent="0.25">
      <c r="A288" s="62">
        <v>287</v>
      </c>
      <c r="B288" s="62"/>
      <c r="C288" s="68" t="str">
        <f>IF(ISNA(VLOOKUP($B288,CPY!$B:$G,2,FALSE))=TRUE," ",VLOOKUP($B288,CPY!$B:$G,2,FALSE))</f>
        <v> </v>
      </c>
      <c r="D288" s="50" t="str">
        <f>IF(ISNA(VLOOKUP($B288,CPY!$B:$G,3,FALSE))=TRUE," ",VLOOKUP($B288,CPY!$B:$G,3,FALSE))</f>
        <v> </v>
      </c>
      <c r="E288" s="65" t="str">
        <f>IF(ISNA(VLOOKUP($B288,CPY!$B:$G,4,FALSE))=TRUE," ",VLOOKUP($B288,CPY!$B:$G,4,FALSE))</f>
        <v> </v>
      </c>
      <c r="F288" s="62"/>
      <c r="G288" s="75"/>
      <c r="H288" s="75"/>
      <c r="I288" s="62"/>
    </row>
    <row r="289" spans="1:9" x14ac:dyDescent="0.25">
      <c r="A289" s="62">
        <v>288</v>
      </c>
      <c r="B289" s="62"/>
      <c r="C289" s="68" t="str">
        <f>IF(ISNA(VLOOKUP($B289,CPY!$B:$G,2,FALSE))=TRUE," ",VLOOKUP($B289,CPY!$B:$G,2,FALSE))</f>
        <v> </v>
      </c>
      <c r="D289" s="50" t="str">
        <f>IF(ISNA(VLOOKUP($B289,CPY!$B:$G,3,FALSE))=TRUE," ",VLOOKUP($B289,CPY!$B:$G,3,FALSE))</f>
        <v> </v>
      </c>
      <c r="E289" s="65" t="str">
        <f>IF(ISNA(VLOOKUP($B289,CPY!$B:$G,4,FALSE))=TRUE," ",VLOOKUP($B289,CPY!$B:$G,4,FALSE))</f>
        <v> </v>
      </c>
      <c r="F289" s="62"/>
      <c r="G289" s="75"/>
      <c r="H289" s="75"/>
      <c r="I289" s="62"/>
    </row>
    <row r="290" spans="1:9" x14ac:dyDescent="0.25">
      <c r="A290" s="62">
        <v>289</v>
      </c>
      <c r="B290" s="62"/>
      <c r="C290" s="68" t="str">
        <f>IF(ISNA(VLOOKUP($B290,CPY!$B:$G,2,FALSE))=TRUE," ",VLOOKUP($B290,CPY!$B:$G,2,FALSE))</f>
        <v> </v>
      </c>
      <c r="D290" s="50" t="str">
        <f>IF(ISNA(VLOOKUP($B290,CPY!$B:$G,3,FALSE))=TRUE," ",VLOOKUP($B290,CPY!$B:$G,3,FALSE))</f>
        <v> </v>
      </c>
      <c r="E290" s="65" t="str">
        <f>IF(ISNA(VLOOKUP($B290,CPY!$B:$G,4,FALSE))=TRUE," ",VLOOKUP($B290,CPY!$B:$G,4,FALSE))</f>
        <v> </v>
      </c>
      <c r="F290" s="62"/>
      <c r="G290" s="75"/>
      <c r="H290" s="75"/>
      <c r="I290" s="62"/>
    </row>
    <row r="291" spans="1:9" x14ac:dyDescent="0.25">
      <c r="A291" s="62">
        <v>290</v>
      </c>
      <c r="B291" s="62"/>
      <c r="C291" s="68" t="str">
        <f>IF(ISNA(VLOOKUP($B291,CPY!$B:$G,2,FALSE))=TRUE," ",VLOOKUP($B291,CPY!$B:$G,2,FALSE))</f>
        <v> </v>
      </c>
      <c r="D291" s="50" t="str">
        <f>IF(ISNA(VLOOKUP($B291,CPY!$B:$G,3,FALSE))=TRUE," ",VLOOKUP($B291,CPY!$B:$G,3,FALSE))</f>
        <v> </v>
      </c>
      <c r="E291" s="65" t="str">
        <f>IF(ISNA(VLOOKUP($B291,CPY!$B:$G,4,FALSE))=TRUE," ",VLOOKUP($B291,CPY!$B:$G,4,FALSE))</f>
        <v> </v>
      </c>
      <c r="F291" s="62"/>
      <c r="G291" s="75"/>
      <c r="H291" s="75"/>
      <c r="I291" s="62"/>
    </row>
    <row r="292" spans="1:9" x14ac:dyDescent="0.25">
      <c r="A292" s="62">
        <v>291</v>
      </c>
      <c r="B292" s="62"/>
      <c r="C292" s="68" t="str">
        <f>IF(ISNA(VLOOKUP($B292,CPY!$B:$G,2,FALSE))=TRUE," ",VLOOKUP($B292,CPY!$B:$G,2,FALSE))</f>
        <v> </v>
      </c>
      <c r="D292" s="50" t="str">
        <f>IF(ISNA(VLOOKUP($B292,CPY!$B:$G,3,FALSE))=TRUE," ",VLOOKUP($B292,CPY!$B:$G,3,FALSE))</f>
        <v> </v>
      </c>
      <c r="E292" s="65" t="str">
        <f>IF(ISNA(VLOOKUP($B292,CPY!$B:$G,4,FALSE))=TRUE," ",VLOOKUP($B292,CPY!$B:$G,4,FALSE))</f>
        <v> </v>
      </c>
      <c r="F292" s="62"/>
      <c r="G292" s="75"/>
      <c r="H292" s="75"/>
      <c r="I292" s="62"/>
    </row>
    <row r="293" spans="1:9" x14ac:dyDescent="0.25">
      <c r="A293" s="62">
        <v>292</v>
      </c>
      <c r="B293" s="62"/>
      <c r="C293" s="68" t="str">
        <f>IF(ISNA(VLOOKUP($B293,CPY!$B:$G,2,FALSE))=TRUE," ",VLOOKUP($B293,CPY!$B:$G,2,FALSE))</f>
        <v> </v>
      </c>
      <c r="D293" s="50" t="str">
        <f>IF(ISNA(VLOOKUP($B293,CPY!$B:$G,3,FALSE))=TRUE," ",VLOOKUP($B293,CPY!$B:$G,3,FALSE))</f>
        <v> </v>
      </c>
      <c r="E293" s="65" t="str">
        <f>IF(ISNA(VLOOKUP($B293,CPY!$B:$G,4,FALSE))=TRUE," ",VLOOKUP($B293,CPY!$B:$G,4,FALSE))</f>
        <v> </v>
      </c>
      <c r="F293" s="62"/>
      <c r="G293" s="75"/>
      <c r="H293" s="75"/>
      <c r="I293" s="62"/>
    </row>
    <row r="294" spans="1:9" x14ac:dyDescent="0.25">
      <c r="A294" s="62">
        <v>293</v>
      </c>
      <c r="B294" s="62"/>
      <c r="C294" s="68" t="str">
        <f>IF(ISNA(VLOOKUP($B294,CPY!$B:$G,2,FALSE))=TRUE," ",VLOOKUP($B294,CPY!$B:$G,2,FALSE))</f>
        <v> </v>
      </c>
      <c r="D294" s="50" t="str">
        <f>IF(ISNA(VLOOKUP($B294,CPY!$B:$G,3,FALSE))=TRUE," ",VLOOKUP($B294,CPY!$B:$G,3,FALSE))</f>
        <v> </v>
      </c>
      <c r="E294" s="65" t="str">
        <f>IF(ISNA(VLOOKUP($B294,CPY!$B:$G,4,FALSE))=TRUE," ",VLOOKUP($B294,CPY!$B:$G,4,FALSE))</f>
        <v> </v>
      </c>
      <c r="F294" s="62"/>
      <c r="G294" s="75"/>
      <c r="H294" s="75"/>
      <c r="I294" s="62"/>
    </row>
    <row r="295" spans="1:9" x14ac:dyDescent="0.25">
      <c r="A295" s="62">
        <v>294</v>
      </c>
      <c r="B295" s="62"/>
      <c r="C295" s="68" t="str">
        <f>IF(ISNA(VLOOKUP($B295,CPY!$B:$G,2,FALSE))=TRUE," ",VLOOKUP($B295,CPY!$B:$G,2,FALSE))</f>
        <v> </v>
      </c>
      <c r="D295" s="50" t="str">
        <f>IF(ISNA(VLOOKUP($B295,CPY!$B:$G,3,FALSE))=TRUE," ",VLOOKUP($B295,CPY!$B:$G,3,FALSE))</f>
        <v> </v>
      </c>
      <c r="E295" s="65" t="str">
        <f>IF(ISNA(VLOOKUP($B295,CPY!$B:$G,4,FALSE))=TRUE," ",VLOOKUP($B295,CPY!$B:$G,4,FALSE))</f>
        <v> </v>
      </c>
      <c r="F295" s="62"/>
      <c r="G295" s="75"/>
      <c r="H295" s="75"/>
      <c r="I295" s="62"/>
    </row>
    <row r="296" spans="1:9" x14ac:dyDescent="0.25">
      <c r="A296" s="62">
        <v>295</v>
      </c>
      <c r="B296" s="62"/>
      <c r="C296" s="68" t="str">
        <f>IF(ISNA(VLOOKUP($B296,CPY!$B:$G,2,FALSE))=TRUE," ",VLOOKUP($B296,CPY!$B:$G,2,FALSE))</f>
        <v> </v>
      </c>
      <c r="D296" s="50" t="str">
        <f>IF(ISNA(VLOOKUP($B296,CPY!$B:$G,3,FALSE))=TRUE," ",VLOOKUP($B296,CPY!$B:$G,3,FALSE))</f>
        <v> </v>
      </c>
      <c r="E296" s="65" t="str">
        <f>IF(ISNA(VLOOKUP($B296,CPY!$B:$G,4,FALSE))=TRUE," ",VLOOKUP($B296,CPY!$B:$G,4,FALSE))</f>
        <v> </v>
      </c>
      <c r="F296" s="62"/>
      <c r="G296" s="75"/>
      <c r="H296" s="75"/>
      <c r="I296" s="62"/>
    </row>
    <row r="297" spans="1:9" x14ac:dyDescent="0.25">
      <c r="A297" s="62">
        <v>296</v>
      </c>
      <c r="B297" s="62"/>
      <c r="C297" s="68" t="str">
        <f>IF(ISNA(VLOOKUP($B297,CPY!$B:$G,2,FALSE))=TRUE," ",VLOOKUP($B297,CPY!$B:$G,2,FALSE))</f>
        <v> </v>
      </c>
      <c r="D297" s="50" t="str">
        <f>IF(ISNA(VLOOKUP($B297,CPY!$B:$G,3,FALSE))=TRUE," ",VLOOKUP($B297,CPY!$B:$G,3,FALSE))</f>
        <v> </v>
      </c>
      <c r="E297" s="65" t="str">
        <f>IF(ISNA(VLOOKUP($B297,CPY!$B:$G,4,FALSE))=TRUE," ",VLOOKUP($B297,CPY!$B:$G,4,FALSE))</f>
        <v> </v>
      </c>
      <c r="F297" s="62"/>
      <c r="G297" s="75"/>
      <c r="H297" s="75"/>
      <c r="I297" s="62"/>
    </row>
    <row r="298" spans="1:9" x14ac:dyDescent="0.25">
      <c r="A298" s="62">
        <v>297</v>
      </c>
      <c r="B298" s="62"/>
      <c r="C298" s="68" t="str">
        <f>IF(ISNA(VLOOKUP($B298,CPY!$B:$G,2,FALSE))=TRUE," ",VLOOKUP($B298,CPY!$B:$G,2,FALSE))</f>
        <v> </v>
      </c>
      <c r="D298" s="50" t="str">
        <f>IF(ISNA(VLOOKUP($B298,CPY!$B:$G,3,FALSE))=TRUE," ",VLOOKUP($B298,CPY!$B:$G,3,FALSE))</f>
        <v> </v>
      </c>
      <c r="E298" s="65" t="str">
        <f>IF(ISNA(VLOOKUP($B298,CPY!$B:$G,4,FALSE))=TRUE," ",VLOOKUP($B298,CPY!$B:$G,4,FALSE))</f>
        <v> </v>
      </c>
      <c r="F298" s="62"/>
      <c r="G298" s="75"/>
      <c r="H298" s="75"/>
      <c r="I298" s="62"/>
    </row>
    <row r="299" spans="1:9" x14ac:dyDescent="0.25">
      <c r="A299" s="62">
        <v>298</v>
      </c>
      <c r="B299" s="62"/>
      <c r="C299" s="68" t="str">
        <f>IF(ISNA(VLOOKUP($B299,CPY!$B:$G,2,FALSE))=TRUE," ",VLOOKUP($B299,CPY!$B:$G,2,FALSE))</f>
        <v> </v>
      </c>
      <c r="D299" s="50" t="str">
        <f>IF(ISNA(VLOOKUP($B299,CPY!$B:$G,3,FALSE))=TRUE," ",VLOOKUP($B299,CPY!$B:$G,3,FALSE))</f>
        <v> </v>
      </c>
      <c r="E299" s="65" t="str">
        <f>IF(ISNA(VLOOKUP($B299,CPY!$B:$G,4,FALSE))=TRUE," ",VLOOKUP($B299,CPY!$B:$G,4,FALSE))</f>
        <v> </v>
      </c>
      <c r="F299" s="62"/>
      <c r="G299" s="75"/>
      <c r="H299" s="75"/>
      <c r="I299" s="62"/>
    </row>
    <row r="300" spans="1:9" x14ac:dyDescent="0.25">
      <c r="A300" s="62">
        <v>299</v>
      </c>
      <c r="B300" s="62"/>
      <c r="C300" s="68" t="str">
        <f>IF(ISNA(VLOOKUP($B300,CPY!$B:$G,2,FALSE))=TRUE," ",VLOOKUP($B300,CPY!$B:$G,2,FALSE))</f>
        <v> </v>
      </c>
      <c r="D300" s="50" t="str">
        <f>IF(ISNA(VLOOKUP($B300,CPY!$B:$G,3,FALSE))=TRUE," ",VLOOKUP($B300,CPY!$B:$G,3,FALSE))</f>
        <v> </v>
      </c>
      <c r="E300" s="65" t="str">
        <f>IF(ISNA(VLOOKUP($B300,CPY!$B:$G,4,FALSE))=TRUE," ",VLOOKUP($B300,CPY!$B:$G,4,FALSE))</f>
        <v> </v>
      </c>
      <c r="F300" s="62"/>
      <c r="G300" s="75"/>
      <c r="H300" s="75"/>
      <c r="I300" s="62"/>
    </row>
    <row r="301" spans="1:9" x14ac:dyDescent="0.25">
      <c r="A301" s="62">
        <v>300</v>
      </c>
      <c r="B301" s="62"/>
      <c r="C301" s="68" t="str">
        <f>IF(ISNA(VLOOKUP($B301,CPY!$B:$G,2,FALSE))=TRUE," ",VLOOKUP($B301,CPY!$B:$G,2,FALSE))</f>
        <v> </v>
      </c>
      <c r="D301" s="50" t="str">
        <f>IF(ISNA(VLOOKUP($B301,CPY!$B:$G,3,FALSE))=TRUE," ",VLOOKUP($B301,CPY!$B:$G,3,FALSE))</f>
        <v> </v>
      </c>
      <c r="E301" s="65" t="str">
        <f>IF(ISNA(VLOOKUP($B301,CPY!$B:$G,4,FALSE))=TRUE," ",VLOOKUP($B301,CPY!$B:$G,4,FALSE))</f>
        <v> </v>
      </c>
      <c r="F301" s="62"/>
      <c r="G301" s="75"/>
      <c r="H301" s="75"/>
      <c r="I301" s="62"/>
    </row>
    <row r="302" spans="1:9" x14ac:dyDescent="0.25">
      <c r="A302" s="62">
        <v>301</v>
      </c>
      <c r="B302" s="62"/>
      <c r="C302" s="68" t="str">
        <f>IF(ISNA(VLOOKUP($B302,CPY!$B:$G,2,FALSE))=TRUE," ",VLOOKUP($B302,CPY!$B:$G,2,FALSE))</f>
        <v> </v>
      </c>
      <c r="D302" s="50" t="str">
        <f>IF(ISNA(VLOOKUP($B302,CPY!$B:$G,3,FALSE))=TRUE," ",VLOOKUP($B302,CPY!$B:$G,3,FALSE))</f>
        <v> </v>
      </c>
      <c r="E302" s="65" t="str">
        <f>IF(ISNA(VLOOKUP($B302,CPY!$B:$G,4,FALSE))=TRUE," ",VLOOKUP($B302,CPY!$B:$G,4,FALSE))</f>
        <v> </v>
      </c>
      <c r="F302" s="62"/>
      <c r="G302" s="75"/>
      <c r="H302" s="75"/>
      <c r="I302" s="62"/>
    </row>
    <row r="303" spans="1:9" x14ac:dyDescent="0.25">
      <c r="A303" s="62">
        <v>302</v>
      </c>
      <c r="B303" s="62"/>
      <c r="C303" s="68" t="str">
        <f>IF(ISNA(VLOOKUP($B303,CPY!$B:$G,2,FALSE))=TRUE," ",VLOOKUP($B303,CPY!$B:$G,2,FALSE))</f>
        <v> </v>
      </c>
      <c r="D303" s="50" t="str">
        <f>IF(ISNA(VLOOKUP($B303,CPY!$B:$G,3,FALSE))=TRUE," ",VLOOKUP($B303,CPY!$B:$G,3,FALSE))</f>
        <v> </v>
      </c>
      <c r="E303" s="65" t="str">
        <f>IF(ISNA(VLOOKUP($B303,CPY!$B:$G,4,FALSE))=TRUE," ",VLOOKUP($B303,CPY!$B:$G,4,FALSE))</f>
        <v> </v>
      </c>
      <c r="F303" s="62"/>
      <c r="G303" s="75"/>
      <c r="H303" s="75"/>
      <c r="I303" s="62"/>
    </row>
    <row r="304" spans="1:9" x14ac:dyDescent="0.25">
      <c r="A304" s="62">
        <v>303</v>
      </c>
      <c r="B304" s="62"/>
      <c r="C304" s="68" t="str">
        <f>IF(ISNA(VLOOKUP($B304,CPY!$B:$G,2,FALSE))=TRUE," ",VLOOKUP($B304,CPY!$B:$G,2,FALSE))</f>
        <v> </v>
      </c>
      <c r="D304" s="50" t="str">
        <f>IF(ISNA(VLOOKUP($B304,CPY!$B:$G,3,FALSE))=TRUE," ",VLOOKUP($B304,CPY!$B:$G,3,FALSE))</f>
        <v> </v>
      </c>
      <c r="E304" s="65" t="str">
        <f>IF(ISNA(VLOOKUP($B304,CPY!$B:$G,4,FALSE))=TRUE," ",VLOOKUP($B304,CPY!$B:$G,4,FALSE))</f>
        <v> </v>
      </c>
      <c r="F304" s="62"/>
      <c r="G304" s="75"/>
      <c r="H304" s="75"/>
      <c r="I304" s="62"/>
    </row>
    <row r="305" spans="1:9" x14ac:dyDescent="0.25">
      <c r="A305" s="62">
        <v>304</v>
      </c>
      <c r="B305" s="62"/>
      <c r="C305" s="68" t="str">
        <f>IF(ISNA(VLOOKUP($B305,CPY!$B:$G,2,FALSE))=TRUE," ",VLOOKUP($B305,CPY!$B:$G,2,FALSE))</f>
        <v> </v>
      </c>
      <c r="D305" s="50" t="str">
        <f>IF(ISNA(VLOOKUP($B305,CPY!$B:$G,3,FALSE))=TRUE," ",VLOOKUP($B305,CPY!$B:$G,3,FALSE))</f>
        <v> </v>
      </c>
      <c r="E305" s="65" t="str">
        <f>IF(ISNA(VLOOKUP($B305,CPY!$B:$G,4,FALSE))=TRUE," ",VLOOKUP($B305,CPY!$B:$G,4,FALSE))</f>
        <v> </v>
      </c>
      <c r="F305" s="62"/>
      <c r="G305" s="75"/>
      <c r="H305" s="75"/>
      <c r="I305" s="62"/>
    </row>
    <row r="306" spans="1:9" x14ac:dyDescent="0.25">
      <c r="A306" s="62">
        <v>305</v>
      </c>
      <c r="B306" s="62"/>
      <c r="C306" s="68" t="str">
        <f>IF(ISNA(VLOOKUP($B306,CPY!$B:$G,2,FALSE))=TRUE," ",VLOOKUP($B306,CPY!$B:$G,2,FALSE))</f>
        <v> </v>
      </c>
      <c r="D306" s="50" t="str">
        <f>IF(ISNA(VLOOKUP($B306,CPY!$B:$G,3,FALSE))=TRUE," ",VLOOKUP($B306,CPY!$B:$G,3,FALSE))</f>
        <v> </v>
      </c>
      <c r="E306" s="65" t="str">
        <f>IF(ISNA(VLOOKUP($B306,CPY!$B:$G,4,FALSE))=TRUE," ",VLOOKUP($B306,CPY!$B:$G,4,FALSE))</f>
        <v> </v>
      </c>
      <c r="F306" s="62"/>
      <c r="G306" s="75"/>
      <c r="H306" s="75"/>
      <c r="I306" s="62"/>
    </row>
    <row r="307" spans="1:9" x14ac:dyDescent="0.25">
      <c r="A307" s="62">
        <v>306</v>
      </c>
      <c r="B307" s="62"/>
      <c r="C307" s="68" t="str">
        <f>IF(ISNA(VLOOKUP($B307,CPY!$B:$G,2,FALSE))=TRUE," ",VLOOKUP($B307,CPY!$B:$G,2,FALSE))</f>
        <v> </v>
      </c>
      <c r="D307" s="50" t="str">
        <f>IF(ISNA(VLOOKUP($B307,CPY!$B:$G,3,FALSE))=TRUE," ",VLOOKUP($B307,CPY!$B:$G,3,FALSE))</f>
        <v> </v>
      </c>
      <c r="E307" s="65" t="str">
        <f>IF(ISNA(VLOOKUP($B307,CPY!$B:$G,4,FALSE))=TRUE," ",VLOOKUP($B307,CPY!$B:$G,4,FALSE))</f>
        <v> </v>
      </c>
      <c r="F307" s="62"/>
      <c r="G307" s="75"/>
      <c r="H307" s="75"/>
      <c r="I307" s="62"/>
    </row>
    <row r="308" spans="1:9" x14ac:dyDescent="0.25">
      <c r="A308" s="62">
        <v>307</v>
      </c>
      <c r="B308" s="62"/>
      <c r="C308" s="68" t="str">
        <f>IF(ISNA(VLOOKUP($B308,CPY!$B:$G,2,FALSE))=TRUE," ",VLOOKUP($B308,CPY!$B:$G,2,FALSE))</f>
        <v> </v>
      </c>
      <c r="D308" s="50" t="str">
        <f>IF(ISNA(VLOOKUP($B308,CPY!$B:$G,3,FALSE))=TRUE," ",VLOOKUP($B308,CPY!$B:$G,3,FALSE))</f>
        <v> </v>
      </c>
      <c r="E308" s="65" t="str">
        <f>IF(ISNA(VLOOKUP($B308,CPY!$B:$G,4,FALSE))=TRUE," ",VLOOKUP($B308,CPY!$B:$G,4,FALSE))</f>
        <v> </v>
      </c>
      <c r="F308" s="62"/>
      <c r="G308" s="75"/>
      <c r="H308" s="75"/>
      <c r="I308" s="62"/>
    </row>
    <row r="309" spans="1:9" x14ac:dyDescent="0.25">
      <c r="A309" s="62">
        <v>308</v>
      </c>
      <c r="B309" s="62"/>
      <c r="C309" s="68" t="str">
        <f>IF(ISNA(VLOOKUP($B309,CPY!$B:$G,2,FALSE))=TRUE," ",VLOOKUP($B309,CPY!$B:$G,2,FALSE))</f>
        <v> </v>
      </c>
      <c r="D309" s="50" t="str">
        <f>IF(ISNA(VLOOKUP($B309,CPY!$B:$G,3,FALSE))=TRUE," ",VLOOKUP($B309,CPY!$B:$G,3,FALSE))</f>
        <v> </v>
      </c>
      <c r="E309" s="65" t="str">
        <f>IF(ISNA(VLOOKUP($B309,CPY!$B:$G,4,FALSE))=TRUE," ",VLOOKUP($B309,CPY!$B:$G,4,FALSE))</f>
        <v> </v>
      </c>
      <c r="F309" s="62"/>
      <c r="G309" s="75"/>
      <c r="H309" s="75"/>
      <c r="I309" s="62"/>
    </row>
    <row r="310" spans="1:9" x14ac:dyDescent="0.25">
      <c r="A310" s="62">
        <v>309</v>
      </c>
      <c r="B310" s="62"/>
      <c r="C310" s="68" t="str">
        <f>IF(ISNA(VLOOKUP($B310,CPY!$B:$G,2,FALSE))=TRUE," ",VLOOKUP($B310,CPY!$B:$G,2,FALSE))</f>
        <v> </v>
      </c>
      <c r="D310" s="50" t="str">
        <f>IF(ISNA(VLOOKUP($B310,CPY!$B:$G,3,FALSE))=TRUE," ",VLOOKUP($B310,CPY!$B:$G,3,FALSE))</f>
        <v> </v>
      </c>
      <c r="E310" s="65" t="str">
        <f>IF(ISNA(VLOOKUP($B310,CPY!$B:$G,4,FALSE))=TRUE," ",VLOOKUP($B310,CPY!$B:$G,4,FALSE))</f>
        <v> </v>
      </c>
      <c r="F310" s="62"/>
      <c r="G310" s="75"/>
      <c r="H310" s="75"/>
      <c r="I310" s="62"/>
    </row>
    <row r="311" spans="1:9" x14ac:dyDescent="0.25">
      <c r="A311" s="62">
        <v>310</v>
      </c>
      <c r="B311" s="62"/>
      <c r="C311" s="68" t="str">
        <f>IF(ISNA(VLOOKUP($B311,CPY!$B:$G,2,FALSE))=TRUE," ",VLOOKUP($B311,CPY!$B:$G,2,FALSE))</f>
        <v> </v>
      </c>
      <c r="D311" s="50" t="str">
        <f>IF(ISNA(VLOOKUP($B311,CPY!$B:$G,3,FALSE))=TRUE," ",VLOOKUP($B311,CPY!$B:$G,3,FALSE))</f>
        <v> </v>
      </c>
      <c r="E311" s="65" t="str">
        <f>IF(ISNA(VLOOKUP($B311,CPY!$B:$G,4,FALSE))=TRUE," ",VLOOKUP($B311,CPY!$B:$G,4,FALSE))</f>
        <v> </v>
      </c>
      <c r="F311" s="62"/>
      <c r="G311" s="75"/>
      <c r="H311" s="75"/>
      <c r="I311" s="62"/>
    </row>
    <row r="312" spans="1:9" x14ac:dyDescent="0.25">
      <c r="A312" s="62">
        <v>311</v>
      </c>
      <c r="B312" s="62"/>
      <c r="C312" s="68" t="str">
        <f>IF(ISNA(VLOOKUP($B312,CPY!$B:$G,2,FALSE))=TRUE," ",VLOOKUP($B312,CPY!$B:$G,2,FALSE))</f>
        <v> </v>
      </c>
      <c r="D312" s="50" t="str">
        <f>IF(ISNA(VLOOKUP($B312,CPY!$B:$G,3,FALSE))=TRUE," ",VLOOKUP($B312,CPY!$B:$G,3,FALSE))</f>
        <v> </v>
      </c>
      <c r="E312" s="65" t="str">
        <f>IF(ISNA(VLOOKUP($B312,CPY!$B:$G,4,FALSE))=TRUE," ",VLOOKUP($B312,CPY!$B:$G,4,FALSE))</f>
        <v> </v>
      </c>
      <c r="F312" s="62"/>
      <c r="G312" s="75"/>
      <c r="H312" s="75"/>
      <c r="I312" s="62"/>
    </row>
    <row r="313" spans="1:9" x14ac:dyDescent="0.25">
      <c r="A313" s="62">
        <v>312</v>
      </c>
      <c r="B313" s="62"/>
      <c r="C313" s="68" t="str">
        <f>IF(ISNA(VLOOKUP($B313,CPY!$B:$G,2,FALSE))=TRUE," ",VLOOKUP($B313,CPY!$B:$G,2,FALSE))</f>
        <v> </v>
      </c>
      <c r="D313" s="50" t="str">
        <f>IF(ISNA(VLOOKUP($B313,CPY!$B:$G,3,FALSE))=TRUE," ",VLOOKUP($B313,CPY!$B:$G,3,FALSE))</f>
        <v> </v>
      </c>
      <c r="E313" s="65" t="str">
        <f>IF(ISNA(VLOOKUP($B313,CPY!$B:$G,4,FALSE))=TRUE," ",VLOOKUP($B313,CPY!$B:$G,4,FALSE))</f>
        <v> </v>
      </c>
      <c r="F313" s="62"/>
      <c r="G313" s="75"/>
      <c r="H313" s="75"/>
      <c r="I313" s="62"/>
    </row>
    <row r="314" spans="1:9" x14ac:dyDescent="0.25">
      <c r="A314" s="62">
        <v>313</v>
      </c>
      <c r="B314" s="62"/>
      <c r="C314" s="68" t="str">
        <f>IF(ISNA(VLOOKUP($B314,CPY!$B:$G,2,FALSE))=TRUE," ",VLOOKUP($B314,CPY!$B:$G,2,FALSE))</f>
        <v> </v>
      </c>
      <c r="D314" s="50" t="str">
        <f>IF(ISNA(VLOOKUP($B314,CPY!$B:$G,3,FALSE))=TRUE," ",VLOOKUP($B314,CPY!$B:$G,3,FALSE))</f>
        <v> </v>
      </c>
      <c r="E314" s="65" t="str">
        <f>IF(ISNA(VLOOKUP($B314,CPY!$B:$G,4,FALSE))=TRUE," ",VLOOKUP($B314,CPY!$B:$G,4,FALSE))</f>
        <v> </v>
      </c>
      <c r="F314" s="62"/>
      <c r="G314" s="75"/>
      <c r="H314" s="75"/>
      <c r="I314" s="62"/>
    </row>
    <row r="315" spans="1:9" x14ac:dyDescent="0.25">
      <c r="A315" s="62">
        <v>314</v>
      </c>
      <c r="B315" s="62"/>
      <c r="C315" s="68" t="str">
        <f>IF(ISNA(VLOOKUP($B315,CPY!$B:$G,2,FALSE))=TRUE," ",VLOOKUP($B315,CPY!$B:$G,2,FALSE))</f>
        <v> </v>
      </c>
      <c r="D315" s="50" t="str">
        <f>IF(ISNA(VLOOKUP($B315,CPY!$B:$G,3,FALSE))=TRUE," ",VLOOKUP($B315,CPY!$B:$G,3,FALSE))</f>
        <v> </v>
      </c>
      <c r="E315" s="65" t="str">
        <f>IF(ISNA(VLOOKUP($B315,CPY!$B:$G,4,FALSE))=TRUE," ",VLOOKUP($B315,CPY!$B:$G,4,FALSE))</f>
        <v> </v>
      </c>
      <c r="F315" s="62"/>
      <c r="G315" s="75"/>
      <c r="H315" s="75"/>
      <c r="I315" s="62"/>
    </row>
    <row r="316" spans="1:9" x14ac:dyDescent="0.25">
      <c r="A316" s="62">
        <v>315</v>
      </c>
      <c r="B316" s="62"/>
      <c r="C316" s="68" t="str">
        <f>IF(ISNA(VLOOKUP($B316,CPY!$B:$G,2,FALSE))=TRUE," ",VLOOKUP($B316,CPY!$B:$G,2,FALSE))</f>
        <v> </v>
      </c>
      <c r="D316" s="50" t="str">
        <f>IF(ISNA(VLOOKUP($B316,CPY!$B:$G,3,FALSE))=TRUE," ",VLOOKUP($B316,CPY!$B:$G,3,FALSE))</f>
        <v> </v>
      </c>
      <c r="E316" s="65" t="str">
        <f>IF(ISNA(VLOOKUP($B316,CPY!$B:$G,4,FALSE))=TRUE," ",VLOOKUP($B316,CPY!$B:$G,4,FALSE))</f>
        <v> </v>
      </c>
      <c r="F316" s="62"/>
      <c r="G316" s="75"/>
      <c r="H316" s="75"/>
      <c r="I316" s="62"/>
    </row>
    <row r="317" spans="1:9" x14ac:dyDescent="0.25">
      <c r="A317" s="62">
        <v>316</v>
      </c>
      <c r="B317" s="62"/>
      <c r="C317" s="68" t="str">
        <f>IF(ISNA(VLOOKUP($B317,CPY!$B:$G,2,FALSE))=TRUE," ",VLOOKUP($B317,CPY!$B:$G,2,FALSE))</f>
        <v> </v>
      </c>
      <c r="D317" s="50" t="str">
        <f>IF(ISNA(VLOOKUP($B317,CPY!$B:$G,3,FALSE))=TRUE," ",VLOOKUP($B317,CPY!$B:$G,3,FALSE))</f>
        <v> </v>
      </c>
      <c r="E317" s="65" t="str">
        <f>IF(ISNA(VLOOKUP($B317,CPY!$B:$G,4,FALSE))=TRUE," ",VLOOKUP($B317,CPY!$B:$G,4,FALSE))</f>
        <v> </v>
      </c>
      <c r="F317" s="62"/>
      <c r="G317" s="75"/>
      <c r="H317" s="75"/>
      <c r="I317" s="62"/>
    </row>
    <row r="318" spans="1:9" x14ac:dyDescent="0.25">
      <c r="A318" s="62">
        <v>317</v>
      </c>
      <c r="B318" s="62"/>
      <c r="C318" s="68" t="str">
        <f>IF(ISNA(VLOOKUP($B318,CPY!$B:$G,2,FALSE))=TRUE," ",VLOOKUP($B318,CPY!$B:$G,2,FALSE))</f>
        <v> </v>
      </c>
      <c r="D318" s="50" t="str">
        <f>IF(ISNA(VLOOKUP($B318,CPY!$B:$G,3,FALSE))=TRUE," ",VLOOKUP($B318,CPY!$B:$G,3,FALSE))</f>
        <v> </v>
      </c>
      <c r="E318" s="65" t="str">
        <f>IF(ISNA(VLOOKUP($B318,CPY!$B:$G,4,FALSE))=TRUE," ",VLOOKUP($B318,CPY!$B:$G,4,FALSE))</f>
        <v> </v>
      </c>
      <c r="F318" s="62"/>
      <c r="G318" s="75"/>
      <c r="H318" s="75"/>
      <c r="I318" s="62"/>
    </row>
    <row r="319" spans="1:9" x14ac:dyDescent="0.25">
      <c r="A319" s="62">
        <v>318</v>
      </c>
      <c r="B319" s="62"/>
      <c r="C319" s="68" t="str">
        <f>IF(ISNA(VLOOKUP($B319,CPY!$B:$G,2,FALSE))=TRUE," ",VLOOKUP($B319,CPY!$B:$G,2,FALSE))</f>
        <v> </v>
      </c>
      <c r="D319" s="50" t="str">
        <f>IF(ISNA(VLOOKUP($B319,CPY!$B:$G,3,FALSE))=TRUE," ",VLOOKUP($B319,CPY!$B:$G,3,FALSE))</f>
        <v> </v>
      </c>
      <c r="E319" s="65" t="str">
        <f>IF(ISNA(VLOOKUP($B319,CPY!$B:$G,4,FALSE))=TRUE," ",VLOOKUP($B319,CPY!$B:$G,4,FALSE))</f>
        <v> </v>
      </c>
      <c r="F319" s="62"/>
      <c r="G319" s="75"/>
      <c r="H319" s="75"/>
      <c r="I319" s="62"/>
    </row>
    <row r="320" spans="1:9" x14ac:dyDescent="0.25">
      <c r="A320" s="62">
        <v>319</v>
      </c>
      <c r="B320" s="62"/>
      <c r="C320" s="68" t="str">
        <f>IF(ISNA(VLOOKUP($B320,CPY!$B:$G,2,FALSE))=TRUE," ",VLOOKUP($B320,CPY!$B:$G,2,FALSE))</f>
        <v> </v>
      </c>
      <c r="D320" s="50" t="str">
        <f>IF(ISNA(VLOOKUP($B320,CPY!$B:$G,3,FALSE))=TRUE," ",VLOOKUP($B320,CPY!$B:$G,3,FALSE))</f>
        <v> </v>
      </c>
      <c r="E320" s="65" t="str">
        <f>IF(ISNA(VLOOKUP($B320,CPY!$B:$G,4,FALSE))=TRUE," ",VLOOKUP($B320,CPY!$B:$G,4,FALSE))</f>
        <v> </v>
      </c>
      <c r="F320" s="62"/>
      <c r="G320" s="75"/>
      <c r="H320" s="75"/>
      <c r="I320" s="62"/>
    </row>
    <row r="321" spans="1:9" x14ac:dyDescent="0.25">
      <c r="A321" s="62">
        <v>320</v>
      </c>
      <c r="B321" s="62"/>
      <c r="C321" s="68" t="str">
        <f>IF(ISNA(VLOOKUP($B321,CPY!$B:$G,2,FALSE))=TRUE," ",VLOOKUP($B321,CPY!$B:$G,2,FALSE))</f>
        <v> </v>
      </c>
      <c r="D321" s="50" t="str">
        <f>IF(ISNA(VLOOKUP($B321,CPY!$B:$G,3,FALSE))=TRUE," ",VLOOKUP($B321,CPY!$B:$G,3,FALSE))</f>
        <v> </v>
      </c>
      <c r="E321" s="65" t="str">
        <f>IF(ISNA(VLOOKUP($B321,CPY!$B:$G,4,FALSE))=TRUE," ",VLOOKUP($B321,CPY!$B:$G,4,FALSE))</f>
        <v> </v>
      </c>
      <c r="F321" s="62"/>
      <c r="G321" s="75"/>
      <c r="H321" s="75"/>
      <c r="I321" s="62"/>
    </row>
    <row r="322" spans="1:9" x14ac:dyDescent="0.25">
      <c r="A322" s="62">
        <v>321</v>
      </c>
      <c r="B322" s="62"/>
      <c r="C322" s="68" t="str">
        <f>IF(ISNA(VLOOKUP($B322,CPY!$B:$G,2,FALSE))=TRUE," ",VLOOKUP($B322,CPY!$B:$G,2,FALSE))</f>
        <v> </v>
      </c>
      <c r="D322" s="50" t="str">
        <f>IF(ISNA(VLOOKUP($B322,CPY!$B:$G,3,FALSE))=TRUE," ",VLOOKUP($B322,CPY!$B:$G,3,FALSE))</f>
        <v> </v>
      </c>
      <c r="E322" s="65" t="str">
        <f>IF(ISNA(VLOOKUP($B322,CPY!$B:$G,4,FALSE))=TRUE," ",VLOOKUP($B322,CPY!$B:$G,4,FALSE))</f>
        <v> </v>
      </c>
      <c r="F322" s="62"/>
      <c r="G322" s="75"/>
      <c r="H322" s="75"/>
      <c r="I322" s="62"/>
    </row>
    <row r="323" spans="1:9" x14ac:dyDescent="0.25">
      <c r="A323" s="62">
        <v>322</v>
      </c>
      <c r="B323" s="62"/>
      <c r="C323" s="68" t="str">
        <f>IF(ISNA(VLOOKUP($B323,CPY!$B:$G,2,FALSE))=TRUE," ",VLOOKUP($B323,CPY!$B:$G,2,FALSE))</f>
        <v> </v>
      </c>
      <c r="D323" s="50" t="str">
        <f>IF(ISNA(VLOOKUP($B323,CPY!$B:$G,3,FALSE))=TRUE," ",VLOOKUP($B323,CPY!$B:$G,3,FALSE))</f>
        <v> </v>
      </c>
      <c r="E323" s="65" t="str">
        <f>IF(ISNA(VLOOKUP($B323,CPY!$B:$G,4,FALSE))=TRUE," ",VLOOKUP($B323,CPY!$B:$G,4,FALSE))</f>
        <v> </v>
      </c>
      <c r="F323" s="62"/>
      <c r="G323" s="75"/>
      <c r="H323" s="75"/>
      <c r="I323" s="62"/>
    </row>
    <row r="324" spans="1:9" x14ac:dyDescent="0.25">
      <c r="A324" s="62">
        <v>323</v>
      </c>
      <c r="B324" s="62"/>
      <c r="C324" s="68" t="str">
        <f>IF(ISNA(VLOOKUP($B324,CPY!$B:$G,2,FALSE))=TRUE," ",VLOOKUP($B324,CPY!$B:$G,2,FALSE))</f>
        <v> </v>
      </c>
      <c r="D324" s="50" t="str">
        <f>IF(ISNA(VLOOKUP($B324,CPY!$B:$G,3,FALSE))=TRUE," ",VLOOKUP($B324,CPY!$B:$G,3,FALSE))</f>
        <v> </v>
      </c>
      <c r="E324" s="65" t="str">
        <f>IF(ISNA(VLOOKUP($B324,CPY!$B:$G,4,FALSE))=TRUE," ",VLOOKUP($B324,CPY!$B:$G,4,FALSE))</f>
        <v> </v>
      </c>
      <c r="F324" s="62"/>
      <c r="G324" s="75"/>
      <c r="H324" s="75"/>
      <c r="I324" s="62"/>
    </row>
    <row r="325" spans="1:9" x14ac:dyDescent="0.25">
      <c r="A325" s="62">
        <v>324</v>
      </c>
      <c r="B325" s="62"/>
      <c r="C325" s="68" t="str">
        <f>IF(ISNA(VLOOKUP($B325,CPY!$B:$G,2,FALSE))=TRUE," ",VLOOKUP($B325,CPY!$B:$G,2,FALSE))</f>
        <v> </v>
      </c>
      <c r="D325" s="50" t="str">
        <f>IF(ISNA(VLOOKUP($B325,CPY!$B:$G,3,FALSE))=TRUE," ",VLOOKUP($B325,CPY!$B:$G,3,FALSE))</f>
        <v> </v>
      </c>
      <c r="E325" s="65" t="str">
        <f>IF(ISNA(VLOOKUP($B325,CPY!$B:$G,4,FALSE))=TRUE," ",VLOOKUP($B325,CPY!$B:$G,4,FALSE))</f>
        <v> </v>
      </c>
      <c r="F325" s="62"/>
      <c r="G325" s="75"/>
      <c r="H325" s="75"/>
      <c r="I325" s="62"/>
    </row>
    <row r="326" spans="1:9" x14ac:dyDescent="0.25">
      <c r="A326" s="62">
        <v>325</v>
      </c>
      <c r="B326" s="62"/>
      <c r="C326" s="68" t="str">
        <f>IF(ISNA(VLOOKUP($B326,CPY!$B:$G,2,FALSE))=TRUE," ",VLOOKUP($B326,CPY!$B:$G,2,FALSE))</f>
        <v> </v>
      </c>
      <c r="D326" s="50" t="str">
        <f>IF(ISNA(VLOOKUP($B326,CPY!$B:$G,3,FALSE))=TRUE," ",VLOOKUP($B326,CPY!$B:$G,3,FALSE))</f>
        <v> </v>
      </c>
      <c r="E326" s="65" t="str">
        <f>IF(ISNA(VLOOKUP($B326,CPY!$B:$G,4,FALSE))=TRUE," ",VLOOKUP($B326,CPY!$B:$G,4,FALSE))</f>
        <v> </v>
      </c>
      <c r="F326" s="62"/>
      <c r="G326" s="75"/>
      <c r="H326" s="75"/>
      <c r="I326" s="62"/>
    </row>
    <row r="327" spans="1:9" x14ac:dyDescent="0.25">
      <c r="A327" s="62">
        <v>326</v>
      </c>
      <c r="B327" s="62"/>
      <c r="C327" s="68" t="str">
        <f>IF(ISNA(VLOOKUP($B327,CPY!$B:$G,2,FALSE))=TRUE," ",VLOOKUP($B327,CPY!$B:$G,2,FALSE))</f>
        <v> </v>
      </c>
      <c r="D327" s="50" t="str">
        <f>IF(ISNA(VLOOKUP($B327,CPY!$B:$G,3,FALSE))=TRUE," ",VLOOKUP($B327,CPY!$B:$G,3,FALSE))</f>
        <v> </v>
      </c>
      <c r="E327" s="65" t="str">
        <f>IF(ISNA(VLOOKUP($B327,CPY!$B:$G,4,FALSE))=TRUE," ",VLOOKUP($B327,CPY!$B:$G,4,FALSE))</f>
        <v> </v>
      </c>
      <c r="F327" s="62"/>
      <c r="G327" s="75"/>
      <c r="H327" s="75"/>
      <c r="I327" s="62"/>
    </row>
    <row r="328" spans="1:9" x14ac:dyDescent="0.25">
      <c r="A328" s="62">
        <v>327</v>
      </c>
      <c r="B328" s="62"/>
      <c r="C328" s="68" t="str">
        <f>IF(ISNA(VLOOKUP($B328,CPY!$B:$G,2,FALSE))=TRUE," ",VLOOKUP($B328,CPY!$B:$G,2,FALSE))</f>
        <v> </v>
      </c>
      <c r="D328" s="50" t="str">
        <f>IF(ISNA(VLOOKUP($B328,CPY!$B:$G,3,FALSE))=TRUE," ",VLOOKUP($B328,CPY!$B:$G,3,FALSE))</f>
        <v> </v>
      </c>
      <c r="E328" s="65" t="str">
        <f>IF(ISNA(VLOOKUP($B328,CPY!$B:$G,4,FALSE))=TRUE," ",VLOOKUP($B328,CPY!$B:$G,4,FALSE))</f>
        <v> </v>
      </c>
      <c r="F328" s="62"/>
      <c r="G328" s="75"/>
      <c r="H328" s="75"/>
      <c r="I328" s="62"/>
    </row>
    <row r="329" spans="1:9" x14ac:dyDescent="0.25">
      <c r="A329" s="62">
        <v>328</v>
      </c>
      <c r="B329" s="62"/>
      <c r="C329" s="68" t="str">
        <f>IF(ISNA(VLOOKUP($B329,CPY!$B:$G,2,FALSE))=TRUE," ",VLOOKUP($B329,CPY!$B:$G,2,FALSE))</f>
        <v> </v>
      </c>
      <c r="D329" s="50" t="str">
        <f>IF(ISNA(VLOOKUP($B329,CPY!$B:$G,3,FALSE))=TRUE," ",VLOOKUP($B329,CPY!$B:$G,3,FALSE))</f>
        <v> </v>
      </c>
      <c r="E329" s="65" t="str">
        <f>IF(ISNA(VLOOKUP($B329,CPY!$B:$G,4,FALSE))=TRUE," ",VLOOKUP($B329,CPY!$B:$G,4,FALSE))</f>
        <v> </v>
      </c>
      <c r="F329" s="62"/>
      <c r="G329" s="75"/>
      <c r="H329" s="75"/>
      <c r="I329" s="62"/>
    </row>
    <row r="330" spans="1:9" x14ac:dyDescent="0.25">
      <c r="A330" s="62">
        <v>329</v>
      </c>
      <c r="B330" s="62"/>
      <c r="C330" s="68" t="str">
        <f>IF(ISNA(VLOOKUP($B330,CPY!$B:$G,2,FALSE))=TRUE," ",VLOOKUP($B330,CPY!$B:$G,2,FALSE))</f>
        <v> </v>
      </c>
      <c r="D330" s="50" t="str">
        <f>IF(ISNA(VLOOKUP($B330,CPY!$B:$G,3,FALSE))=TRUE," ",VLOOKUP($B330,CPY!$B:$G,3,FALSE))</f>
        <v> </v>
      </c>
      <c r="E330" s="65" t="str">
        <f>IF(ISNA(VLOOKUP($B330,CPY!$B:$G,4,FALSE))=TRUE," ",VLOOKUP($B330,CPY!$B:$G,4,FALSE))</f>
        <v> </v>
      </c>
      <c r="F330" s="62"/>
      <c r="G330" s="75"/>
      <c r="H330" s="75"/>
      <c r="I330" s="62"/>
    </row>
    <row r="331" spans="1:9" x14ac:dyDescent="0.25">
      <c r="A331" s="62">
        <v>330</v>
      </c>
      <c r="B331" s="62"/>
      <c r="C331" s="68" t="str">
        <f>IF(ISNA(VLOOKUP($B331,CPY!$B:$G,2,FALSE))=TRUE," ",VLOOKUP($B331,CPY!$B:$G,2,FALSE))</f>
        <v> </v>
      </c>
      <c r="D331" s="50" t="str">
        <f>IF(ISNA(VLOOKUP($B331,CPY!$B:$G,3,FALSE))=TRUE," ",VLOOKUP($B331,CPY!$B:$G,3,FALSE))</f>
        <v> </v>
      </c>
      <c r="E331" s="65" t="str">
        <f>IF(ISNA(VLOOKUP($B331,CPY!$B:$G,4,FALSE))=TRUE," ",VLOOKUP($B331,CPY!$B:$G,4,FALSE))</f>
        <v> </v>
      </c>
      <c r="F331" s="62"/>
      <c r="G331" s="75"/>
      <c r="H331" s="75"/>
      <c r="I331" s="62"/>
    </row>
    <row r="332" spans="1:9" x14ac:dyDescent="0.25">
      <c r="A332" s="62">
        <v>331</v>
      </c>
      <c r="B332" s="62"/>
      <c r="C332" s="68" t="str">
        <f>IF(ISNA(VLOOKUP($B332,CPY!$B:$G,2,FALSE))=TRUE," ",VLOOKUP($B332,CPY!$B:$G,2,FALSE))</f>
        <v> </v>
      </c>
      <c r="D332" s="50" t="str">
        <f>IF(ISNA(VLOOKUP($B332,CPY!$B:$G,3,FALSE))=TRUE," ",VLOOKUP($B332,CPY!$B:$G,3,FALSE))</f>
        <v> </v>
      </c>
      <c r="E332" s="65" t="str">
        <f>IF(ISNA(VLOOKUP($B332,CPY!$B:$G,4,FALSE))=TRUE," ",VLOOKUP($B332,CPY!$B:$G,4,FALSE))</f>
        <v> </v>
      </c>
      <c r="F332" s="62"/>
      <c r="G332" s="75"/>
      <c r="H332" s="75"/>
      <c r="I332" s="62"/>
    </row>
    <row r="333" spans="1:9" x14ac:dyDescent="0.25">
      <c r="A333" s="62">
        <v>332</v>
      </c>
      <c r="B333" s="62"/>
      <c r="C333" s="68" t="str">
        <f>IF(ISNA(VLOOKUP($B333,CPY!$B:$G,2,FALSE))=TRUE," ",VLOOKUP($B333,CPY!$B:$G,2,FALSE))</f>
        <v> </v>
      </c>
      <c r="D333" s="50" t="str">
        <f>IF(ISNA(VLOOKUP($B333,CPY!$B:$G,3,FALSE))=TRUE," ",VLOOKUP($B333,CPY!$B:$G,3,FALSE))</f>
        <v> </v>
      </c>
      <c r="E333" s="65" t="str">
        <f>IF(ISNA(VLOOKUP($B333,CPY!$B:$G,4,FALSE))=TRUE," ",VLOOKUP($B333,CPY!$B:$G,4,FALSE))</f>
        <v> </v>
      </c>
      <c r="F333" s="62"/>
      <c r="G333" s="75"/>
      <c r="H333" s="75"/>
      <c r="I333" s="62"/>
    </row>
    <row r="334" spans="1:9" x14ac:dyDescent="0.25">
      <c r="A334" s="62">
        <v>333</v>
      </c>
      <c r="B334" s="62"/>
      <c r="C334" s="68" t="str">
        <f>IF(ISNA(VLOOKUP($B334,CPY!$B:$G,2,FALSE))=TRUE," ",VLOOKUP($B334,CPY!$B:$G,2,FALSE))</f>
        <v> </v>
      </c>
      <c r="D334" s="50" t="str">
        <f>IF(ISNA(VLOOKUP($B334,CPY!$B:$G,3,FALSE))=TRUE," ",VLOOKUP($B334,CPY!$B:$G,3,FALSE))</f>
        <v> </v>
      </c>
      <c r="E334" s="65" t="str">
        <f>IF(ISNA(VLOOKUP($B334,CPY!$B:$G,4,FALSE))=TRUE," ",VLOOKUP($B334,CPY!$B:$G,4,FALSE))</f>
        <v> </v>
      </c>
      <c r="F334" s="62"/>
      <c r="G334" s="75"/>
      <c r="H334" s="75"/>
      <c r="I334" s="62"/>
    </row>
    <row r="335" spans="1:9" x14ac:dyDescent="0.25">
      <c r="A335" s="62">
        <v>334</v>
      </c>
      <c r="B335" s="62"/>
      <c r="C335" s="68" t="str">
        <f>IF(ISNA(VLOOKUP($B335,CPY!$B:$G,2,FALSE))=TRUE," ",VLOOKUP($B335,CPY!$B:$G,2,FALSE))</f>
        <v> </v>
      </c>
      <c r="D335" s="50" t="str">
        <f>IF(ISNA(VLOOKUP($B335,CPY!$B:$G,3,FALSE))=TRUE," ",VLOOKUP($B335,CPY!$B:$G,3,FALSE))</f>
        <v> </v>
      </c>
      <c r="E335" s="65" t="str">
        <f>IF(ISNA(VLOOKUP($B335,CPY!$B:$G,4,FALSE))=TRUE," ",VLOOKUP($B335,CPY!$B:$G,4,FALSE))</f>
        <v> </v>
      </c>
      <c r="F335" s="62"/>
      <c r="G335" s="75"/>
      <c r="H335" s="75"/>
      <c r="I335" s="62"/>
    </row>
    <row r="336" spans="1:9" x14ac:dyDescent="0.25">
      <c r="A336" s="62">
        <v>335</v>
      </c>
      <c r="B336" s="62"/>
      <c r="C336" s="68" t="str">
        <f>IF(ISNA(VLOOKUP($B336,CPY!$B:$G,2,FALSE))=TRUE," ",VLOOKUP($B336,CPY!$B:$G,2,FALSE))</f>
        <v> </v>
      </c>
      <c r="D336" s="50" t="str">
        <f>IF(ISNA(VLOOKUP($B336,CPY!$B:$G,3,FALSE))=TRUE," ",VLOOKUP($B336,CPY!$B:$G,3,FALSE))</f>
        <v> </v>
      </c>
      <c r="E336" s="65" t="str">
        <f>IF(ISNA(VLOOKUP($B336,CPY!$B:$G,4,FALSE))=TRUE," ",VLOOKUP($B336,CPY!$B:$G,4,FALSE))</f>
        <v> </v>
      </c>
      <c r="F336" s="62"/>
      <c r="G336" s="75"/>
      <c r="H336" s="75"/>
      <c r="I336" s="62"/>
    </row>
    <row r="337" spans="1:9" x14ac:dyDescent="0.25">
      <c r="A337" s="62">
        <v>336</v>
      </c>
      <c r="B337" s="62"/>
      <c r="C337" s="68" t="str">
        <f>IF(ISNA(VLOOKUP($B337,CPY!$B:$G,2,FALSE))=TRUE," ",VLOOKUP($B337,CPY!$B:$G,2,FALSE))</f>
        <v> </v>
      </c>
      <c r="D337" s="50" t="str">
        <f>IF(ISNA(VLOOKUP($B337,CPY!$B:$G,3,FALSE))=TRUE," ",VLOOKUP($B337,CPY!$B:$G,3,FALSE))</f>
        <v> </v>
      </c>
      <c r="E337" s="65" t="str">
        <f>IF(ISNA(VLOOKUP($B337,CPY!$B:$G,4,FALSE))=TRUE," ",VLOOKUP($B337,CPY!$B:$G,4,FALSE))</f>
        <v> </v>
      </c>
      <c r="F337" s="62"/>
      <c r="G337" s="75"/>
      <c r="H337" s="75"/>
      <c r="I337" s="62"/>
    </row>
    <row r="338" spans="1:9" x14ac:dyDescent="0.25">
      <c r="A338" s="62">
        <v>337</v>
      </c>
      <c r="B338" s="62"/>
      <c r="C338" s="68" t="str">
        <f>IF(ISNA(VLOOKUP($B338,CPY!$B:$G,2,FALSE))=TRUE," ",VLOOKUP($B338,CPY!$B:$G,2,FALSE))</f>
        <v> </v>
      </c>
      <c r="D338" s="50" t="str">
        <f>IF(ISNA(VLOOKUP($B338,CPY!$B:$G,3,FALSE))=TRUE," ",VLOOKUP($B338,CPY!$B:$G,3,FALSE))</f>
        <v> </v>
      </c>
      <c r="E338" s="65" t="str">
        <f>IF(ISNA(VLOOKUP($B338,CPY!$B:$G,4,FALSE))=TRUE," ",VLOOKUP($B338,CPY!$B:$G,4,FALSE))</f>
        <v> </v>
      </c>
      <c r="F338" s="62"/>
      <c r="G338" s="75"/>
      <c r="H338" s="75"/>
      <c r="I338" s="62"/>
    </row>
    <row r="339" spans="1:9" x14ac:dyDescent="0.25">
      <c r="A339" s="62">
        <v>338</v>
      </c>
      <c r="B339" s="62"/>
      <c r="C339" s="68" t="str">
        <f>IF(ISNA(VLOOKUP($B339,CPY!$B:$G,2,FALSE))=TRUE," ",VLOOKUP($B339,CPY!$B:$G,2,FALSE))</f>
        <v> </v>
      </c>
      <c r="D339" s="50" t="str">
        <f>IF(ISNA(VLOOKUP($B339,CPY!$B:$G,3,FALSE))=TRUE," ",VLOOKUP($B339,CPY!$B:$G,3,FALSE))</f>
        <v> </v>
      </c>
      <c r="E339" s="65" t="str">
        <f>IF(ISNA(VLOOKUP($B339,CPY!$B:$G,4,FALSE))=TRUE," ",VLOOKUP($B339,CPY!$B:$G,4,FALSE))</f>
        <v> </v>
      </c>
      <c r="F339" s="62"/>
      <c r="G339" s="75"/>
      <c r="H339" s="75"/>
      <c r="I339" s="62"/>
    </row>
    <row r="340" spans="1:9" x14ac:dyDescent="0.25">
      <c r="A340" s="62">
        <v>339</v>
      </c>
      <c r="B340" s="62"/>
      <c r="C340" s="68" t="str">
        <f>IF(ISNA(VLOOKUP($B340,CPY!$B:$G,2,FALSE))=TRUE," ",VLOOKUP($B340,CPY!$B:$G,2,FALSE))</f>
        <v> </v>
      </c>
      <c r="D340" s="50" t="str">
        <f>IF(ISNA(VLOOKUP($B340,CPY!$B:$G,3,FALSE))=TRUE," ",VLOOKUP($B340,CPY!$B:$G,3,FALSE))</f>
        <v> </v>
      </c>
      <c r="E340" s="65" t="str">
        <f>IF(ISNA(VLOOKUP($B340,CPY!$B:$G,4,FALSE))=TRUE," ",VLOOKUP($B340,CPY!$B:$G,4,FALSE))</f>
        <v> </v>
      </c>
      <c r="F340" s="62"/>
      <c r="G340" s="75"/>
      <c r="H340" s="75"/>
      <c r="I340" s="62"/>
    </row>
    <row r="341" spans="1:9" x14ac:dyDescent="0.25">
      <c r="A341" s="62">
        <v>340</v>
      </c>
      <c r="B341" s="62"/>
      <c r="C341" s="68" t="str">
        <f>IF(ISNA(VLOOKUP($B341,CPY!$B:$G,2,FALSE))=TRUE," ",VLOOKUP($B341,CPY!$B:$G,2,FALSE))</f>
        <v> </v>
      </c>
      <c r="D341" s="50" t="str">
        <f>IF(ISNA(VLOOKUP($B341,CPY!$B:$G,3,FALSE))=TRUE," ",VLOOKUP($B341,CPY!$B:$G,3,FALSE))</f>
        <v> </v>
      </c>
      <c r="E341" s="65" t="str">
        <f>IF(ISNA(VLOOKUP($B341,CPY!$B:$G,4,FALSE))=TRUE," ",VLOOKUP($B341,CPY!$B:$G,4,FALSE))</f>
        <v> </v>
      </c>
      <c r="F341" s="62"/>
      <c r="G341" s="75"/>
      <c r="H341" s="75"/>
      <c r="I341" s="62"/>
    </row>
    <row r="342" spans="1:9" x14ac:dyDescent="0.25">
      <c r="A342" s="62">
        <v>341</v>
      </c>
      <c r="B342" s="62"/>
      <c r="C342" s="68" t="str">
        <f>IF(ISNA(VLOOKUP($B342,CPY!$B:$G,2,FALSE))=TRUE," ",VLOOKUP($B342,CPY!$B:$G,2,FALSE))</f>
        <v> </v>
      </c>
      <c r="D342" s="50" t="str">
        <f>IF(ISNA(VLOOKUP($B342,CPY!$B:$G,3,FALSE))=TRUE," ",VLOOKUP($B342,CPY!$B:$G,3,FALSE))</f>
        <v> </v>
      </c>
      <c r="E342" s="65" t="str">
        <f>IF(ISNA(VLOOKUP($B342,CPY!$B:$G,4,FALSE))=TRUE," ",VLOOKUP($B342,CPY!$B:$G,4,FALSE))</f>
        <v> </v>
      </c>
      <c r="F342" s="62"/>
      <c r="G342" s="75"/>
      <c r="H342" s="75"/>
      <c r="I342" s="62"/>
    </row>
    <row r="343" spans="1:9" x14ac:dyDescent="0.25">
      <c r="A343" s="62">
        <v>342</v>
      </c>
      <c r="B343" s="62"/>
      <c r="C343" s="68" t="str">
        <f>IF(ISNA(VLOOKUP($B343,CPY!$B:$G,2,FALSE))=TRUE," ",VLOOKUP($B343,CPY!$B:$G,2,FALSE))</f>
        <v> </v>
      </c>
      <c r="D343" s="50" t="str">
        <f>IF(ISNA(VLOOKUP($B343,CPY!$B:$G,3,FALSE))=TRUE," ",VLOOKUP($B343,CPY!$B:$G,3,FALSE))</f>
        <v> </v>
      </c>
      <c r="E343" s="65" t="str">
        <f>IF(ISNA(VLOOKUP($B343,CPY!$B:$G,4,FALSE))=TRUE," ",VLOOKUP($B343,CPY!$B:$G,4,FALSE))</f>
        <v> </v>
      </c>
      <c r="F343" s="62"/>
      <c r="G343" s="75"/>
      <c r="H343" s="75"/>
      <c r="I343" s="62"/>
    </row>
    <row r="344" spans="1:9" x14ac:dyDescent="0.25">
      <c r="A344" s="62">
        <v>343</v>
      </c>
      <c r="B344" s="62"/>
      <c r="C344" s="68" t="str">
        <f>IF(ISNA(VLOOKUP($B344,CPY!$B:$G,2,FALSE))=TRUE," ",VLOOKUP($B344,CPY!$B:$G,2,FALSE))</f>
        <v> </v>
      </c>
      <c r="D344" s="50" t="str">
        <f>IF(ISNA(VLOOKUP($B344,CPY!$B:$G,3,FALSE))=TRUE," ",VLOOKUP($B344,CPY!$B:$G,3,FALSE))</f>
        <v> </v>
      </c>
      <c r="E344" s="65" t="str">
        <f>IF(ISNA(VLOOKUP($B344,CPY!$B:$G,4,FALSE))=TRUE," ",VLOOKUP($B344,CPY!$B:$G,4,FALSE))</f>
        <v> </v>
      </c>
      <c r="F344" s="62"/>
      <c r="G344" s="75"/>
      <c r="H344" s="75"/>
      <c r="I344" s="62"/>
    </row>
    <row r="345" spans="1:9" x14ac:dyDescent="0.25">
      <c r="A345" s="62">
        <v>344</v>
      </c>
      <c r="B345" s="62"/>
      <c r="C345" s="68" t="str">
        <f>IF(ISNA(VLOOKUP($B345,CPY!$B:$G,2,FALSE))=TRUE," ",VLOOKUP($B345,CPY!$B:$G,2,FALSE))</f>
        <v> </v>
      </c>
      <c r="D345" s="50" t="str">
        <f>IF(ISNA(VLOOKUP($B345,CPY!$B:$G,3,FALSE))=TRUE," ",VLOOKUP($B345,CPY!$B:$G,3,FALSE))</f>
        <v> </v>
      </c>
      <c r="E345" s="65" t="str">
        <f>IF(ISNA(VLOOKUP($B345,CPY!$B:$G,4,FALSE))=TRUE," ",VLOOKUP($B345,CPY!$B:$G,4,FALSE))</f>
        <v> </v>
      </c>
      <c r="F345" s="62"/>
      <c r="G345" s="75"/>
      <c r="H345" s="75"/>
      <c r="I345" s="62"/>
    </row>
    <row r="346" spans="1:9" x14ac:dyDescent="0.25">
      <c r="A346" s="62">
        <v>345</v>
      </c>
      <c r="B346" s="62"/>
      <c r="C346" s="68" t="str">
        <f>IF(ISNA(VLOOKUP($B346,CPY!$B:$G,2,FALSE))=TRUE," ",VLOOKUP($B346,CPY!$B:$G,2,FALSE))</f>
        <v> </v>
      </c>
      <c r="D346" s="50" t="str">
        <f>IF(ISNA(VLOOKUP($B346,CPY!$B:$G,3,FALSE))=TRUE," ",VLOOKUP($B346,CPY!$B:$G,3,FALSE))</f>
        <v> </v>
      </c>
      <c r="E346" s="65" t="str">
        <f>IF(ISNA(VLOOKUP($B346,CPY!$B:$G,4,FALSE))=TRUE," ",VLOOKUP($B346,CPY!$B:$G,4,FALSE))</f>
        <v> </v>
      </c>
      <c r="F346" s="62"/>
      <c r="G346" s="75"/>
      <c r="H346" s="75"/>
      <c r="I346" s="62"/>
    </row>
    <row r="347" spans="1:9" x14ac:dyDescent="0.25">
      <c r="A347" s="62">
        <v>346</v>
      </c>
      <c r="B347" s="62"/>
      <c r="C347" s="68" t="str">
        <f>IF(ISNA(VLOOKUP($B347,CPY!$B:$G,2,FALSE))=TRUE," ",VLOOKUP($B347,CPY!$B:$G,2,FALSE))</f>
        <v> </v>
      </c>
      <c r="D347" s="50" t="str">
        <f>IF(ISNA(VLOOKUP($B347,CPY!$B:$G,3,FALSE))=TRUE," ",VLOOKUP($B347,CPY!$B:$G,3,FALSE))</f>
        <v> </v>
      </c>
      <c r="E347" s="65" t="str">
        <f>IF(ISNA(VLOOKUP($B347,CPY!$B:$G,4,FALSE))=TRUE," ",VLOOKUP($B347,CPY!$B:$G,4,FALSE))</f>
        <v> </v>
      </c>
      <c r="F347" s="62"/>
      <c r="G347" s="75"/>
      <c r="H347" s="75"/>
      <c r="I347" s="62"/>
    </row>
    <row r="348" spans="1:9" x14ac:dyDescent="0.25">
      <c r="A348" s="62">
        <v>347</v>
      </c>
      <c r="B348" s="62"/>
      <c r="C348" s="68" t="str">
        <f>IF(ISNA(VLOOKUP($B348,CPY!$B:$G,2,FALSE))=TRUE," ",VLOOKUP($B348,CPY!$B:$G,2,FALSE))</f>
        <v> </v>
      </c>
      <c r="D348" s="50" t="str">
        <f>IF(ISNA(VLOOKUP($B348,CPY!$B:$G,3,FALSE))=TRUE," ",VLOOKUP($B348,CPY!$B:$G,3,FALSE))</f>
        <v> </v>
      </c>
      <c r="E348" s="65" t="str">
        <f>IF(ISNA(VLOOKUP($B348,CPY!$B:$G,4,FALSE))=TRUE," ",VLOOKUP($B348,CPY!$B:$G,4,FALSE))</f>
        <v> </v>
      </c>
      <c r="F348" s="62"/>
      <c r="G348" s="75"/>
      <c r="H348" s="75"/>
      <c r="I348" s="62"/>
    </row>
    <row r="349" spans="1:9" x14ac:dyDescent="0.25">
      <c r="A349" s="62">
        <v>348</v>
      </c>
      <c r="B349" s="62"/>
      <c r="C349" s="68" t="str">
        <f>IF(ISNA(VLOOKUP($B349,CPY!$B:$G,2,FALSE))=TRUE," ",VLOOKUP($B349,CPY!$B:$G,2,FALSE))</f>
        <v> </v>
      </c>
      <c r="D349" s="50" t="str">
        <f>IF(ISNA(VLOOKUP($B349,CPY!$B:$G,3,FALSE))=TRUE," ",VLOOKUP($B349,CPY!$B:$G,3,FALSE))</f>
        <v> </v>
      </c>
      <c r="E349" s="65" t="str">
        <f>IF(ISNA(VLOOKUP($B349,CPY!$B:$G,4,FALSE))=TRUE," ",VLOOKUP($B349,CPY!$B:$G,4,FALSE))</f>
        <v> </v>
      </c>
      <c r="F349" s="62"/>
      <c r="G349" s="75"/>
      <c r="H349" s="75"/>
      <c r="I349" s="62"/>
    </row>
    <row r="350" spans="1:9" x14ac:dyDescent="0.25">
      <c r="A350" s="62">
        <v>349</v>
      </c>
      <c r="B350" s="62"/>
      <c r="C350" s="68" t="str">
        <f>IF(ISNA(VLOOKUP($B350,CPY!$B:$G,2,FALSE))=TRUE," ",VLOOKUP($B350,CPY!$B:$G,2,FALSE))</f>
        <v> </v>
      </c>
      <c r="D350" s="50" t="str">
        <f>IF(ISNA(VLOOKUP($B350,CPY!$B:$G,3,FALSE))=TRUE," ",VLOOKUP($B350,CPY!$B:$G,3,FALSE))</f>
        <v> </v>
      </c>
      <c r="E350" s="65" t="str">
        <f>IF(ISNA(VLOOKUP($B350,CPY!$B:$G,4,FALSE))=TRUE," ",VLOOKUP($B350,CPY!$B:$G,4,FALSE))</f>
        <v> </v>
      </c>
      <c r="F350" s="62"/>
      <c r="G350" s="75"/>
      <c r="H350" s="75"/>
      <c r="I350" s="62"/>
    </row>
    <row r="351" spans="1:9" x14ac:dyDescent="0.25">
      <c r="A351" s="62">
        <v>350</v>
      </c>
      <c r="B351" s="62"/>
      <c r="C351" s="68" t="str">
        <f>IF(ISNA(VLOOKUP($B351,CPY!$B:$G,2,FALSE))=TRUE," ",VLOOKUP($B351,CPY!$B:$G,2,FALSE))</f>
        <v> </v>
      </c>
      <c r="D351" s="50" t="str">
        <f>IF(ISNA(VLOOKUP($B351,CPY!$B:$G,3,FALSE))=TRUE," ",VLOOKUP($B351,CPY!$B:$G,3,FALSE))</f>
        <v> </v>
      </c>
      <c r="E351" s="65" t="str">
        <f>IF(ISNA(VLOOKUP($B351,CPY!$B:$G,4,FALSE))=TRUE," ",VLOOKUP($B351,CPY!$B:$G,4,FALSE))</f>
        <v> </v>
      </c>
      <c r="F351" s="62"/>
      <c r="G351" s="75"/>
      <c r="H351" s="75"/>
      <c r="I351" s="62"/>
    </row>
    <row r="352" spans="1:9" x14ac:dyDescent="0.25">
      <c r="A352" s="62">
        <v>351</v>
      </c>
      <c r="B352" s="62"/>
      <c r="C352" s="68" t="str">
        <f>IF(ISNA(VLOOKUP($B352,CPY!$B:$G,2,FALSE))=TRUE," ",VLOOKUP($B352,CPY!$B:$G,2,FALSE))</f>
        <v> </v>
      </c>
      <c r="D352" s="50" t="str">
        <f>IF(ISNA(VLOOKUP($B352,CPY!$B:$G,3,FALSE))=TRUE," ",VLOOKUP($B352,CPY!$B:$G,3,FALSE))</f>
        <v> </v>
      </c>
      <c r="E352" s="65" t="str">
        <f>IF(ISNA(VLOOKUP($B352,CPY!$B:$G,4,FALSE))=TRUE," ",VLOOKUP($B352,CPY!$B:$G,4,FALSE))</f>
        <v> </v>
      </c>
      <c r="F352" s="62"/>
      <c r="G352" s="75"/>
      <c r="H352" s="75"/>
      <c r="I352" s="62"/>
    </row>
    <row r="353" spans="1:9" x14ac:dyDescent="0.25">
      <c r="A353" s="62">
        <v>352</v>
      </c>
      <c r="B353" s="62"/>
      <c r="C353" s="68" t="str">
        <f>IF(ISNA(VLOOKUP($B353,CPY!$B:$G,2,FALSE))=TRUE," ",VLOOKUP($B353,CPY!$B:$G,2,FALSE))</f>
        <v> </v>
      </c>
      <c r="D353" s="50" t="str">
        <f>IF(ISNA(VLOOKUP($B353,CPY!$B:$G,3,FALSE))=TRUE," ",VLOOKUP($B353,CPY!$B:$G,3,FALSE))</f>
        <v> </v>
      </c>
      <c r="E353" s="65" t="str">
        <f>IF(ISNA(VLOOKUP($B353,CPY!$B:$G,4,FALSE))=TRUE," ",VLOOKUP($B353,CPY!$B:$G,4,FALSE))</f>
        <v> </v>
      </c>
      <c r="F353" s="62"/>
      <c r="G353" s="75"/>
      <c r="H353" s="75"/>
      <c r="I353" s="62"/>
    </row>
    <row r="354" spans="1:9" x14ac:dyDescent="0.25">
      <c r="A354" s="62">
        <v>353</v>
      </c>
      <c r="B354" s="62"/>
      <c r="C354" s="68" t="str">
        <f>IF(ISNA(VLOOKUP($B354,CPY!$B:$G,2,FALSE))=TRUE," ",VLOOKUP($B354,CPY!$B:$G,2,FALSE))</f>
        <v> </v>
      </c>
      <c r="D354" s="50" t="str">
        <f>IF(ISNA(VLOOKUP($B354,CPY!$B:$G,3,FALSE))=TRUE," ",VLOOKUP($B354,CPY!$B:$G,3,FALSE))</f>
        <v> </v>
      </c>
      <c r="E354" s="65" t="str">
        <f>IF(ISNA(VLOOKUP($B354,CPY!$B:$G,4,FALSE))=TRUE," ",VLOOKUP($B354,CPY!$B:$G,4,FALSE))</f>
        <v> </v>
      </c>
      <c r="F354" s="62"/>
      <c r="G354" s="75"/>
      <c r="H354" s="75"/>
      <c r="I354" s="62"/>
    </row>
    <row r="355" spans="1:9" x14ac:dyDescent="0.25">
      <c r="A355" s="62">
        <v>354</v>
      </c>
      <c r="B355" s="62"/>
      <c r="C355" s="68" t="str">
        <f>IF(ISNA(VLOOKUP($B355,CPY!$B:$G,2,FALSE))=TRUE," ",VLOOKUP($B355,CPY!$B:$G,2,FALSE))</f>
        <v> </v>
      </c>
      <c r="D355" s="50" t="str">
        <f>IF(ISNA(VLOOKUP($B355,CPY!$B:$G,3,FALSE))=TRUE," ",VLOOKUP($B355,CPY!$B:$G,3,FALSE))</f>
        <v> </v>
      </c>
      <c r="E355" s="65" t="str">
        <f>IF(ISNA(VLOOKUP($B355,CPY!$B:$G,4,FALSE))=TRUE," ",VLOOKUP($B355,CPY!$B:$G,4,FALSE))</f>
        <v> </v>
      </c>
      <c r="F355" s="62"/>
      <c r="G355" s="75"/>
      <c r="H355" s="75"/>
      <c r="I355" s="62"/>
    </row>
    <row r="356" spans="1:9" x14ac:dyDescent="0.25">
      <c r="A356" s="62">
        <v>355</v>
      </c>
      <c r="B356" s="62"/>
      <c r="C356" s="68" t="str">
        <f>IF(ISNA(VLOOKUP($B356,CPY!$B:$G,2,FALSE))=TRUE," ",VLOOKUP($B356,CPY!$B:$G,2,FALSE))</f>
        <v> </v>
      </c>
      <c r="D356" s="50" t="str">
        <f>IF(ISNA(VLOOKUP($B356,CPY!$B:$G,3,FALSE))=TRUE," ",VLOOKUP($B356,CPY!$B:$G,3,FALSE))</f>
        <v> </v>
      </c>
      <c r="E356" s="65" t="str">
        <f>IF(ISNA(VLOOKUP($B356,CPY!$B:$G,4,FALSE))=TRUE," ",VLOOKUP($B356,CPY!$B:$G,4,FALSE))</f>
        <v> </v>
      </c>
      <c r="F356" s="62"/>
      <c r="G356" s="75"/>
      <c r="H356" s="75"/>
      <c r="I356" s="62"/>
    </row>
    <row r="357" spans="1:9" x14ac:dyDescent="0.25">
      <c r="A357" s="62">
        <v>356</v>
      </c>
      <c r="B357" s="62"/>
      <c r="C357" s="68" t="str">
        <f>IF(ISNA(VLOOKUP($B357,CPY!$B:$G,2,FALSE))=TRUE," ",VLOOKUP($B357,CPY!$B:$G,2,FALSE))</f>
        <v> </v>
      </c>
      <c r="D357" s="50" t="str">
        <f>IF(ISNA(VLOOKUP($B357,CPY!$B:$G,3,FALSE))=TRUE," ",VLOOKUP($B357,CPY!$B:$G,3,FALSE))</f>
        <v> </v>
      </c>
      <c r="E357" s="65" t="str">
        <f>IF(ISNA(VLOOKUP($B357,CPY!$B:$G,4,FALSE))=TRUE," ",VLOOKUP($B357,CPY!$B:$G,4,FALSE))</f>
        <v> </v>
      </c>
      <c r="F357" s="62"/>
      <c r="G357" s="75"/>
      <c r="H357" s="75"/>
      <c r="I357" s="62"/>
    </row>
    <row r="358" spans="1:9" x14ac:dyDescent="0.25">
      <c r="A358" s="62">
        <v>357</v>
      </c>
      <c r="B358" s="62"/>
      <c r="C358" s="68" t="str">
        <f>IF(ISNA(VLOOKUP($B358,CPY!$B:$G,2,FALSE))=TRUE," ",VLOOKUP($B358,CPY!$B:$G,2,FALSE))</f>
        <v> </v>
      </c>
      <c r="D358" s="50" t="str">
        <f>IF(ISNA(VLOOKUP($B358,CPY!$B:$G,3,FALSE))=TRUE," ",VLOOKUP($B358,CPY!$B:$G,3,FALSE))</f>
        <v> </v>
      </c>
      <c r="E358" s="65" t="str">
        <f>IF(ISNA(VLOOKUP($B358,CPY!$B:$G,4,FALSE))=TRUE," ",VLOOKUP($B358,CPY!$B:$G,4,FALSE))</f>
        <v> </v>
      </c>
      <c r="F358" s="62"/>
      <c r="G358" s="75"/>
      <c r="H358" s="75"/>
      <c r="I358" s="62"/>
    </row>
    <row r="359" spans="1:9" x14ac:dyDescent="0.25">
      <c r="A359" s="62">
        <v>358</v>
      </c>
      <c r="B359" s="62"/>
      <c r="C359" s="68" t="str">
        <f>IF(ISNA(VLOOKUP($B359,CPY!$B:$G,2,FALSE))=TRUE," ",VLOOKUP($B359,CPY!$B:$G,2,FALSE))</f>
        <v> </v>
      </c>
      <c r="D359" s="50" t="str">
        <f>IF(ISNA(VLOOKUP($B359,CPY!$B:$G,3,FALSE))=TRUE," ",VLOOKUP($B359,CPY!$B:$G,3,FALSE))</f>
        <v> </v>
      </c>
      <c r="E359" s="65" t="str">
        <f>IF(ISNA(VLOOKUP($B359,CPY!$B:$G,4,FALSE))=TRUE," ",VLOOKUP($B359,CPY!$B:$G,4,FALSE))</f>
        <v> </v>
      </c>
      <c r="F359" s="62"/>
      <c r="G359" s="75"/>
      <c r="H359" s="75"/>
      <c r="I359" s="62"/>
    </row>
    <row r="360" spans="1:9" x14ac:dyDescent="0.25">
      <c r="A360" s="62">
        <v>359</v>
      </c>
      <c r="B360" s="62"/>
      <c r="C360" s="68" t="str">
        <f>IF(ISNA(VLOOKUP($B360,CPY!$B:$G,2,FALSE))=TRUE," ",VLOOKUP($B360,CPY!$B:$G,2,FALSE))</f>
        <v> </v>
      </c>
      <c r="D360" s="50" t="str">
        <f>IF(ISNA(VLOOKUP($B360,CPY!$B:$G,3,FALSE))=TRUE," ",VLOOKUP($B360,CPY!$B:$G,3,FALSE))</f>
        <v> </v>
      </c>
      <c r="E360" s="65" t="str">
        <f>IF(ISNA(VLOOKUP($B360,CPY!$B:$G,4,FALSE))=TRUE," ",VLOOKUP($B360,CPY!$B:$G,4,FALSE))</f>
        <v> </v>
      </c>
      <c r="F360" s="62"/>
      <c r="G360" s="75"/>
      <c r="H360" s="75"/>
      <c r="I360" s="62"/>
    </row>
    <row r="361" spans="1:9" x14ac:dyDescent="0.25">
      <c r="A361" s="62">
        <v>360</v>
      </c>
      <c r="B361" s="62"/>
      <c r="C361" s="68" t="str">
        <f>IF(ISNA(VLOOKUP($B361,CPY!$B:$G,2,FALSE))=TRUE," ",VLOOKUP($B361,CPY!$B:$G,2,FALSE))</f>
        <v> </v>
      </c>
      <c r="D361" s="50" t="str">
        <f>IF(ISNA(VLOOKUP($B361,CPY!$B:$G,3,FALSE))=TRUE," ",VLOOKUP($B361,CPY!$B:$G,3,FALSE))</f>
        <v> </v>
      </c>
      <c r="E361" s="65" t="str">
        <f>IF(ISNA(VLOOKUP($B361,CPY!$B:$G,4,FALSE))=TRUE," ",VLOOKUP($B361,CPY!$B:$G,4,FALSE))</f>
        <v> </v>
      </c>
      <c r="F361" s="62"/>
      <c r="G361" s="75"/>
      <c r="H361" s="75"/>
      <c r="I361" s="62"/>
    </row>
    <row r="362" spans="1:9" x14ac:dyDescent="0.25">
      <c r="A362" s="62">
        <v>361</v>
      </c>
      <c r="B362" s="62"/>
      <c r="C362" s="68" t="str">
        <f>IF(ISNA(VLOOKUP($B362,CPY!$B:$G,2,FALSE))=TRUE," ",VLOOKUP($B362,CPY!$B:$G,2,FALSE))</f>
        <v> </v>
      </c>
      <c r="D362" s="50" t="str">
        <f>IF(ISNA(VLOOKUP($B362,CPY!$B:$G,3,FALSE))=TRUE," ",VLOOKUP($B362,CPY!$B:$G,3,FALSE))</f>
        <v> </v>
      </c>
      <c r="E362" s="65" t="str">
        <f>IF(ISNA(VLOOKUP($B362,CPY!$B:$G,4,FALSE))=TRUE," ",VLOOKUP($B362,CPY!$B:$G,4,FALSE))</f>
        <v> </v>
      </c>
      <c r="F362" s="62"/>
      <c r="G362" s="75"/>
      <c r="H362" s="75"/>
      <c r="I362" s="62"/>
    </row>
    <row r="363" spans="1:9" x14ac:dyDescent="0.25">
      <c r="A363" s="62">
        <v>362</v>
      </c>
      <c r="B363" s="62"/>
      <c r="C363" s="68" t="str">
        <f>IF(ISNA(VLOOKUP($B363,CPY!$B:$G,2,FALSE))=TRUE," ",VLOOKUP($B363,CPY!$B:$G,2,FALSE))</f>
        <v> </v>
      </c>
      <c r="D363" s="50" t="str">
        <f>IF(ISNA(VLOOKUP($B363,CPY!$B:$G,3,FALSE))=TRUE," ",VLOOKUP($B363,CPY!$B:$G,3,FALSE))</f>
        <v> </v>
      </c>
      <c r="E363" s="65" t="str">
        <f>IF(ISNA(VLOOKUP($B363,CPY!$B:$G,4,FALSE))=TRUE," ",VLOOKUP($B363,CPY!$B:$G,4,FALSE))</f>
        <v> </v>
      </c>
      <c r="F363" s="62"/>
      <c r="G363" s="75"/>
      <c r="H363" s="75"/>
      <c r="I363" s="62"/>
    </row>
    <row r="364" spans="1:9" x14ac:dyDescent="0.25">
      <c r="A364" s="62">
        <v>363</v>
      </c>
      <c r="B364" s="62"/>
      <c r="C364" s="68" t="str">
        <f>IF(ISNA(VLOOKUP($B364,CPY!$B:$G,2,FALSE))=TRUE," ",VLOOKUP($B364,CPY!$B:$G,2,FALSE))</f>
        <v> </v>
      </c>
      <c r="D364" s="50" t="str">
        <f>IF(ISNA(VLOOKUP($B364,CPY!$B:$G,3,FALSE))=TRUE," ",VLOOKUP($B364,CPY!$B:$G,3,FALSE))</f>
        <v> </v>
      </c>
      <c r="E364" s="65" t="str">
        <f>IF(ISNA(VLOOKUP($B364,CPY!$B:$G,4,FALSE))=TRUE," ",VLOOKUP($B364,CPY!$B:$G,4,FALSE))</f>
        <v> </v>
      </c>
      <c r="F364" s="62"/>
      <c r="G364" s="75"/>
      <c r="H364" s="75"/>
      <c r="I364" s="62"/>
    </row>
    <row r="365" spans="1:9" x14ac:dyDescent="0.25">
      <c r="A365" s="62">
        <v>364</v>
      </c>
      <c r="B365" s="62"/>
      <c r="C365" s="68" t="str">
        <f>IF(ISNA(VLOOKUP($B365,CPY!$B:$G,2,FALSE))=TRUE," ",VLOOKUP($B365,CPY!$B:$G,2,FALSE))</f>
        <v> </v>
      </c>
      <c r="D365" s="50" t="str">
        <f>IF(ISNA(VLOOKUP($B365,CPY!$B:$G,3,FALSE))=TRUE," ",VLOOKUP($B365,CPY!$B:$G,3,FALSE))</f>
        <v> </v>
      </c>
      <c r="E365" s="65" t="str">
        <f>IF(ISNA(VLOOKUP($B365,CPY!$B:$G,4,FALSE))=TRUE," ",VLOOKUP($B365,CPY!$B:$G,4,FALSE))</f>
        <v> </v>
      </c>
      <c r="F365" s="62"/>
      <c r="G365" s="75"/>
      <c r="H365" s="75"/>
      <c r="I365" s="62"/>
    </row>
    <row r="366" spans="1:9" x14ac:dyDescent="0.25">
      <c r="A366" s="62">
        <v>365</v>
      </c>
      <c r="B366" s="62"/>
      <c r="C366" s="68" t="str">
        <f>IF(ISNA(VLOOKUP($B366,CPY!$B:$G,2,FALSE))=TRUE," ",VLOOKUP($B366,CPY!$B:$G,2,FALSE))</f>
        <v> </v>
      </c>
      <c r="D366" s="50" t="str">
        <f>IF(ISNA(VLOOKUP($B366,CPY!$B:$G,3,FALSE))=TRUE," ",VLOOKUP($B366,CPY!$B:$G,3,FALSE))</f>
        <v> </v>
      </c>
      <c r="E366" s="65" t="str">
        <f>IF(ISNA(VLOOKUP($B366,CPY!$B:$G,4,FALSE))=TRUE," ",VLOOKUP($B366,CPY!$B:$G,4,FALSE))</f>
        <v> </v>
      </c>
      <c r="F366" s="62"/>
      <c r="G366" s="75"/>
      <c r="H366" s="75"/>
      <c r="I366" s="62"/>
    </row>
    <row r="367" spans="1:9" x14ac:dyDescent="0.25">
      <c r="A367" s="62">
        <v>366</v>
      </c>
      <c r="B367" s="62"/>
      <c r="C367" s="68" t="str">
        <f>IF(ISNA(VLOOKUP($B367,CPY!$B:$G,2,FALSE))=TRUE," ",VLOOKUP($B367,CPY!$B:$G,2,FALSE))</f>
        <v> </v>
      </c>
      <c r="D367" s="50" t="str">
        <f>IF(ISNA(VLOOKUP($B367,CPY!$B:$G,3,FALSE))=TRUE," ",VLOOKUP($B367,CPY!$B:$G,3,FALSE))</f>
        <v> </v>
      </c>
      <c r="E367" s="65" t="str">
        <f>IF(ISNA(VLOOKUP($B367,CPY!$B:$G,4,FALSE))=TRUE," ",VLOOKUP($B367,CPY!$B:$G,4,FALSE))</f>
        <v> </v>
      </c>
      <c r="F367" s="62"/>
      <c r="G367" s="75"/>
      <c r="H367" s="75"/>
      <c r="I367" s="62"/>
    </row>
    <row r="368" spans="1:9" x14ac:dyDescent="0.25">
      <c r="A368" s="62">
        <v>367</v>
      </c>
      <c r="B368" s="62"/>
      <c r="C368" s="68" t="str">
        <f>IF(ISNA(VLOOKUP($B368,CPY!$B:$G,2,FALSE))=TRUE," ",VLOOKUP($B368,CPY!$B:$G,2,FALSE))</f>
        <v> </v>
      </c>
      <c r="D368" s="50" t="str">
        <f>IF(ISNA(VLOOKUP($B368,CPY!$B:$G,3,FALSE))=TRUE," ",VLOOKUP($B368,CPY!$B:$G,3,FALSE))</f>
        <v> </v>
      </c>
      <c r="E368" s="65" t="str">
        <f>IF(ISNA(VLOOKUP($B368,CPY!$B:$G,4,FALSE))=TRUE," ",VLOOKUP($B368,CPY!$B:$G,4,FALSE))</f>
        <v> </v>
      </c>
      <c r="F368" s="62"/>
      <c r="G368" s="75"/>
      <c r="H368" s="75"/>
      <c r="I368" s="62"/>
    </row>
    <row r="369" spans="1:9" x14ac:dyDescent="0.25">
      <c r="A369" s="62">
        <v>368</v>
      </c>
      <c r="B369" s="62"/>
      <c r="C369" s="68" t="str">
        <f>IF(ISNA(VLOOKUP($B369,CPY!$B:$G,2,FALSE))=TRUE," ",VLOOKUP($B369,CPY!$B:$G,2,FALSE))</f>
        <v> </v>
      </c>
      <c r="D369" s="50" t="str">
        <f>IF(ISNA(VLOOKUP($B369,CPY!$B:$G,3,FALSE))=TRUE," ",VLOOKUP($B369,CPY!$B:$G,3,FALSE))</f>
        <v> </v>
      </c>
      <c r="E369" s="65" t="str">
        <f>IF(ISNA(VLOOKUP($B369,CPY!$B:$G,4,FALSE))=TRUE," ",VLOOKUP($B369,CPY!$B:$G,4,FALSE))</f>
        <v> </v>
      </c>
      <c r="F369" s="62"/>
      <c r="G369" s="75"/>
      <c r="H369" s="75"/>
      <c r="I369" s="62"/>
    </row>
    <row r="370" spans="1:9" x14ac:dyDescent="0.25">
      <c r="A370" s="62">
        <v>369</v>
      </c>
      <c r="B370" s="62"/>
      <c r="C370" s="68" t="str">
        <f>IF(ISNA(VLOOKUP($B370,CPY!$B:$G,2,FALSE))=TRUE," ",VLOOKUP($B370,CPY!$B:$G,2,FALSE))</f>
        <v> </v>
      </c>
      <c r="D370" s="50" t="str">
        <f>IF(ISNA(VLOOKUP($B370,CPY!$B:$G,3,FALSE))=TRUE," ",VLOOKUP($B370,CPY!$B:$G,3,FALSE))</f>
        <v> </v>
      </c>
      <c r="E370" s="65" t="str">
        <f>IF(ISNA(VLOOKUP($B370,CPY!$B:$G,4,FALSE))=TRUE," ",VLOOKUP($B370,CPY!$B:$G,4,FALSE))</f>
        <v> </v>
      </c>
      <c r="F370" s="62"/>
      <c r="G370" s="75"/>
      <c r="H370" s="75"/>
      <c r="I370" s="62"/>
    </row>
    <row r="371" spans="1:9" x14ac:dyDescent="0.25">
      <c r="A371" s="62">
        <v>370</v>
      </c>
      <c r="B371" s="62"/>
      <c r="C371" s="68" t="str">
        <f>IF(ISNA(VLOOKUP($B371,CPY!$B:$G,2,FALSE))=TRUE," ",VLOOKUP($B371,CPY!$B:$G,2,FALSE))</f>
        <v> </v>
      </c>
      <c r="D371" s="50" t="str">
        <f>IF(ISNA(VLOOKUP($B371,CPY!$B:$G,3,FALSE))=TRUE," ",VLOOKUP($B371,CPY!$B:$G,3,FALSE))</f>
        <v> </v>
      </c>
      <c r="E371" s="65" t="str">
        <f>IF(ISNA(VLOOKUP($B371,CPY!$B:$G,4,FALSE))=TRUE," ",VLOOKUP($B371,CPY!$B:$G,4,FALSE))</f>
        <v> </v>
      </c>
      <c r="F371" s="62"/>
      <c r="G371" s="75"/>
      <c r="H371" s="75"/>
      <c r="I371" s="62"/>
    </row>
    <row r="372" spans="1:9" x14ac:dyDescent="0.25">
      <c r="A372" s="62">
        <v>371</v>
      </c>
      <c r="B372" s="62"/>
      <c r="C372" s="68" t="str">
        <f>IF(ISNA(VLOOKUP($B372,CPY!$B:$G,2,FALSE))=TRUE," ",VLOOKUP($B372,CPY!$B:$G,2,FALSE))</f>
        <v> </v>
      </c>
      <c r="D372" s="50" t="str">
        <f>IF(ISNA(VLOOKUP($B372,CPY!$B:$G,3,FALSE))=TRUE," ",VLOOKUP($B372,CPY!$B:$G,3,FALSE))</f>
        <v> </v>
      </c>
      <c r="E372" s="65" t="str">
        <f>IF(ISNA(VLOOKUP($B372,CPY!$B:$G,4,FALSE))=TRUE," ",VLOOKUP($B372,CPY!$B:$G,4,FALSE))</f>
        <v> </v>
      </c>
      <c r="F372" s="62"/>
      <c r="G372" s="75"/>
      <c r="H372" s="75"/>
      <c r="I372" s="62"/>
    </row>
    <row r="373" spans="1:9" x14ac:dyDescent="0.25">
      <c r="A373" s="62">
        <v>372</v>
      </c>
      <c r="B373" s="62"/>
      <c r="C373" s="68" t="str">
        <f>IF(ISNA(VLOOKUP($B373,CPY!$B:$G,2,FALSE))=TRUE," ",VLOOKUP($B373,CPY!$B:$G,2,FALSE))</f>
        <v> </v>
      </c>
      <c r="D373" s="50" t="str">
        <f>IF(ISNA(VLOOKUP($B373,CPY!$B:$G,3,FALSE))=TRUE," ",VLOOKUP($B373,CPY!$B:$G,3,FALSE))</f>
        <v> </v>
      </c>
      <c r="E373" s="65" t="str">
        <f>IF(ISNA(VLOOKUP($B373,CPY!$B:$G,4,FALSE))=TRUE," ",VLOOKUP($B373,CPY!$B:$G,4,FALSE))</f>
        <v> </v>
      </c>
      <c r="F373" s="62"/>
      <c r="G373" s="75"/>
      <c r="H373" s="75"/>
      <c r="I373" s="62"/>
    </row>
    <row r="374" spans="1:9" x14ac:dyDescent="0.25">
      <c r="A374" s="62">
        <v>373</v>
      </c>
      <c r="B374" s="62"/>
      <c r="C374" s="68" t="str">
        <f>IF(ISNA(VLOOKUP($B374,CPY!$B:$G,2,FALSE))=TRUE," ",VLOOKUP($B374,CPY!$B:$G,2,FALSE))</f>
        <v> </v>
      </c>
      <c r="D374" s="50" t="str">
        <f>IF(ISNA(VLOOKUP($B374,CPY!$B:$G,3,FALSE))=TRUE," ",VLOOKUP($B374,CPY!$B:$G,3,FALSE))</f>
        <v> </v>
      </c>
      <c r="E374" s="65" t="str">
        <f>IF(ISNA(VLOOKUP($B374,CPY!$B:$G,4,FALSE))=TRUE," ",VLOOKUP($B374,CPY!$B:$G,4,FALSE))</f>
        <v> </v>
      </c>
      <c r="F374" s="62"/>
      <c r="G374" s="75"/>
      <c r="H374" s="75"/>
      <c r="I374" s="62"/>
    </row>
    <row r="375" spans="1:9" x14ac:dyDescent="0.25">
      <c r="A375" s="62">
        <v>374</v>
      </c>
      <c r="B375" s="62"/>
      <c r="C375" s="68" t="str">
        <f>IF(ISNA(VLOOKUP($B375,CPY!$B:$G,2,FALSE))=TRUE," ",VLOOKUP($B375,CPY!$B:$G,2,FALSE))</f>
        <v> </v>
      </c>
      <c r="D375" s="50" t="str">
        <f>IF(ISNA(VLOOKUP($B375,CPY!$B:$G,3,FALSE))=TRUE," ",VLOOKUP($B375,CPY!$B:$G,3,FALSE))</f>
        <v> </v>
      </c>
      <c r="E375" s="65" t="str">
        <f>IF(ISNA(VLOOKUP($B375,CPY!$B:$G,4,FALSE))=TRUE," ",VLOOKUP($B375,CPY!$B:$G,4,FALSE))</f>
        <v> </v>
      </c>
      <c r="F375" s="62"/>
      <c r="G375" s="75"/>
      <c r="H375" s="75"/>
      <c r="I375" s="62"/>
    </row>
    <row r="376" spans="1:9" x14ac:dyDescent="0.25">
      <c r="A376" s="62">
        <v>375</v>
      </c>
      <c r="B376" s="62"/>
      <c r="C376" s="68" t="str">
        <f>IF(ISNA(VLOOKUP($B376,CPY!$B:$G,2,FALSE))=TRUE," ",VLOOKUP($B376,CPY!$B:$G,2,FALSE))</f>
        <v> </v>
      </c>
      <c r="D376" s="50" t="str">
        <f>IF(ISNA(VLOOKUP($B376,CPY!$B:$G,3,FALSE))=TRUE," ",VLOOKUP($B376,CPY!$B:$G,3,FALSE))</f>
        <v> </v>
      </c>
      <c r="E376" s="65" t="str">
        <f>IF(ISNA(VLOOKUP($B376,CPY!$B:$G,4,FALSE))=TRUE," ",VLOOKUP($B376,CPY!$B:$G,4,FALSE))</f>
        <v> </v>
      </c>
      <c r="F376" s="62"/>
      <c r="G376" s="75"/>
      <c r="H376" s="75"/>
      <c r="I376" s="62"/>
    </row>
    <row r="377" spans="1:9" x14ac:dyDescent="0.25">
      <c r="A377" s="62">
        <v>376</v>
      </c>
      <c r="B377" s="62"/>
      <c r="C377" s="68" t="str">
        <f>IF(ISNA(VLOOKUP($B377,CPY!$B:$G,2,FALSE))=TRUE," ",VLOOKUP($B377,CPY!$B:$G,2,FALSE))</f>
        <v> </v>
      </c>
      <c r="D377" s="50" t="str">
        <f>IF(ISNA(VLOOKUP($B377,CPY!$B:$G,3,FALSE))=TRUE," ",VLOOKUP($B377,CPY!$B:$G,3,FALSE))</f>
        <v> </v>
      </c>
      <c r="E377" s="65" t="str">
        <f>IF(ISNA(VLOOKUP($B377,CPY!$B:$G,4,FALSE))=TRUE," ",VLOOKUP($B377,CPY!$B:$G,4,FALSE))</f>
        <v> </v>
      </c>
      <c r="F377" s="62"/>
      <c r="G377" s="75"/>
      <c r="H377" s="75"/>
      <c r="I377" s="62"/>
    </row>
    <row r="378" spans="1:9" x14ac:dyDescent="0.25">
      <c r="A378" s="62">
        <v>377</v>
      </c>
      <c r="B378" s="62"/>
      <c r="C378" s="68" t="str">
        <f>IF(ISNA(VLOOKUP($B378,CPY!$B:$G,2,FALSE))=TRUE," ",VLOOKUP($B378,CPY!$B:$G,2,FALSE))</f>
        <v> </v>
      </c>
      <c r="D378" s="50" t="str">
        <f>IF(ISNA(VLOOKUP($B378,CPY!$B:$G,3,FALSE))=TRUE," ",VLOOKUP($B378,CPY!$B:$G,3,FALSE))</f>
        <v> </v>
      </c>
      <c r="E378" s="65" t="str">
        <f>IF(ISNA(VLOOKUP($B378,CPY!$B:$G,4,FALSE))=TRUE," ",VLOOKUP($B378,CPY!$B:$G,4,FALSE))</f>
        <v> </v>
      </c>
      <c r="F378" s="62"/>
      <c r="G378" s="75"/>
      <c r="H378" s="75"/>
      <c r="I378" s="62"/>
    </row>
    <row r="379" spans="1:9" x14ac:dyDescent="0.25">
      <c r="A379" s="62">
        <v>378</v>
      </c>
      <c r="B379" s="62"/>
      <c r="C379" s="68" t="str">
        <f>IF(ISNA(VLOOKUP($B379,CPY!$B:$G,2,FALSE))=TRUE," ",VLOOKUP($B379,CPY!$B:$G,2,FALSE))</f>
        <v> </v>
      </c>
      <c r="D379" s="50" t="str">
        <f>IF(ISNA(VLOOKUP($B379,CPY!$B:$G,3,FALSE))=TRUE," ",VLOOKUP($B379,CPY!$B:$G,3,FALSE))</f>
        <v> </v>
      </c>
      <c r="E379" s="65" t="str">
        <f>IF(ISNA(VLOOKUP($B379,CPY!$B:$G,4,FALSE))=TRUE," ",VLOOKUP($B379,CPY!$B:$G,4,FALSE))</f>
        <v> </v>
      </c>
      <c r="F379" s="62"/>
      <c r="G379" s="75"/>
      <c r="H379" s="75"/>
      <c r="I379" s="62"/>
    </row>
    <row r="380" spans="1:9" x14ac:dyDescent="0.25">
      <c r="A380" s="62">
        <v>379</v>
      </c>
      <c r="B380" s="62"/>
      <c r="C380" s="68" t="str">
        <f>IF(ISNA(VLOOKUP($B380,CPY!$B:$G,2,FALSE))=TRUE," ",VLOOKUP($B380,CPY!$B:$G,2,FALSE))</f>
        <v> </v>
      </c>
      <c r="D380" s="50" t="str">
        <f>IF(ISNA(VLOOKUP($B380,CPY!$B:$G,3,FALSE))=TRUE," ",VLOOKUP($B380,CPY!$B:$G,3,FALSE))</f>
        <v> </v>
      </c>
      <c r="E380" s="65" t="str">
        <f>IF(ISNA(VLOOKUP($B380,CPY!$B:$G,4,FALSE))=TRUE," ",VLOOKUP($B380,CPY!$B:$G,4,FALSE))</f>
        <v> </v>
      </c>
      <c r="F380" s="62"/>
      <c r="G380" s="75"/>
      <c r="H380" s="75"/>
      <c r="I380" s="62"/>
    </row>
    <row r="381" spans="1:9" x14ac:dyDescent="0.25">
      <c r="A381" s="62">
        <v>380</v>
      </c>
      <c r="B381" s="62"/>
      <c r="C381" s="68" t="str">
        <f>IF(ISNA(VLOOKUP($B381,CPY!$B:$G,2,FALSE))=TRUE," ",VLOOKUP($B381,CPY!$B:$G,2,FALSE))</f>
        <v> </v>
      </c>
      <c r="D381" s="50" t="str">
        <f>IF(ISNA(VLOOKUP($B381,CPY!$B:$G,3,FALSE))=TRUE," ",VLOOKUP($B381,CPY!$B:$G,3,FALSE))</f>
        <v> </v>
      </c>
      <c r="E381" s="65" t="str">
        <f>IF(ISNA(VLOOKUP($B381,CPY!$B:$G,4,FALSE))=TRUE," ",VLOOKUP($B381,CPY!$B:$G,4,FALSE))</f>
        <v> </v>
      </c>
      <c r="F381" s="62"/>
      <c r="G381" s="75"/>
      <c r="H381" s="75"/>
      <c r="I381" s="62"/>
    </row>
    <row r="382" spans="1:9" x14ac:dyDescent="0.25">
      <c r="A382" s="62">
        <v>381</v>
      </c>
      <c r="B382" s="62"/>
      <c r="C382" s="68" t="str">
        <f>IF(ISNA(VLOOKUP($B382,CPY!$B:$G,2,FALSE))=TRUE," ",VLOOKUP($B382,CPY!$B:$G,2,FALSE))</f>
        <v> </v>
      </c>
      <c r="D382" s="50" t="str">
        <f>IF(ISNA(VLOOKUP($B382,CPY!$B:$G,3,FALSE))=TRUE," ",VLOOKUP($B382,CPY!$B:$G,3,FALSE))</f>
        <v> </v>
      </c>
      <c r="E382" s="65" t="str">
        <f>IF(ISNA(VLOOKUP($B382,CPY!$B:$G,4,FALSE))=TRUE," ",VLOOKUP($B382,CPY!$B:$G,4,FALSE))</f>
        <v> </v>
      </c>
      <c r="F382" s="62"/>
      <c r="G382" s="75"/>
      <c r="H382" s="75"/>
      <c r="I382" s="62"/>
    </row>
    <row r="383" spans="1:9" x14ac:dyDescent="0.25">
      <c r="A383" s="62">
        <v>382</v>
      </c>
      <c r="B383" s="62"/>
      <c r="C383" s="68" t="str">
        <f>IF(ISNA(VLOOKUP($B383,CPY!$B:$G,2,FALSE))=TRUE," ",VLOOKUP($B383,CPY!$B:$G,2,FALSE))</f>
        <v> </v>
      </c>
      <c r="D383" s="50" t="str">
        <f>IF(ISNA(VLOOKUP($B383,CPY!$B:$G,3,FALSE))=TRUE," ",VLOOKUP($B383,CPY!$B:$G,3,FALSE))</f>
        <v> </v>
      </c>
      <c r="E383" s="65" t="str">
        <f>IF(ISNA(VLOOKUP($B383,CPY!$B:$G,4,FALSE))=TRUE," ",VLOOKUP($B383,CPY!$B:$G,4,FALSE))</f>
        <v> </v>
      </c>
      <c r="F383" s="62"/>
      <c r="G383" s="75"/>
      <c r="H383" s="75"/>
      <c r="I383" s="62"/>
    </row>
    <row r="384" spans="1:9" x14ac:dyDescent="0.25">
      <c r="A384" s="62">
        <v>383</v>
      </c>
      <c r="B384" s="62"/>
      <c r="C384" s="68" t="str">
        <f>IF(ISNA(VLOOKUP($B384,CPY!$B:$G,2,FALSE))=TRUE," ",VLOOKUP($B384,CPY!$B:$G,2,FALSE))</f>
        <v> </v>
      </c>
      <c r="D384" s="50" t="str">
        <f>IF(ISNA(VLOOKUP($B384,CPY!$B:$G,3,FALSE))=TRUE," ",VLOOKUP($B384,CPY!$B:$G,3,FALSE))</f>
        <v> </v>
      </c>
      <c r="E384" s="65" t="str">
        <f>IF(ISNA(VLOOKUP($B384,CPY!$B:$G,4,FALSE))=TRUE," ",VLOOKUP($B384,CPY!$B:$G,4,FALSE))</f>
        <v> </v>
      </c>
      <c r="F384" s="62"/>
      <c r="G384" s="75"/>
      <c r="H384" s="75"/>
      <c r="I384" s="62"/>
    </row>
    <row r="385" spans="1:9" x14ac:dyDescent="0.25">
      <c r="A385" s="62">
        <v>384</v>
      </c>
      <c r="B385" s="62"/>
      <c r="C385" s="68" t="str">
        <f>IF(ISNA(VLOOKUP($B385,CPY!$B:$G,2,FALSE))=TRUE," ",VLOOKUP($B385,CPY!$B:$G,2,FALSE))</f>
        <v> </v>
      </c>
      <c r="D385" s="50" t="str">
        <f>IF(ISNA(VLOOKUP($B385,CPY!$B:$G,3,FALSE))=TRUE," ",VLOOKUP($B385,CPY!$B:$G,3,FALSE))</f>
        <v> </v>
      </c>
      <c r="E385" s="65" t="str">
        <f>IF(ISNA(VLOOKUP($B385,CPY!$B:$G,4,FALSE))=TRUE," ",VLOOKUP($B385,CPY!$B:$G,4,FALSE))</f>
        <v> </v>
      </c>
      <c r="F385" s="62"/>
      <c r="G385" s="75"/>
      <c r="H385" s="75"/>
      <c r="I385" s="62"/>
    </row>
    <row r="386" spans="1:9" x14ac:dyDescent="0.25">
      <c r="A386" s="62">
        <v>385</v>
      </c>
      <c r="B386" s="62"/>
      <c r="C386" s="68" t="str">
        <f>IF(ISNA(VLOOKUP($B386,CPY!$B:$G,2,FALSE))=TRUE," ",VLOOKUP($B386,CPY!$B:$G,2,FALSE))</f>
        <v> </v>
      </c>
      <c r="D386" s="50" t="str">
        <f>IF(ISNA(VLOOKUP($B386,CPY!$B:$G,3,FALSE))=TRUE," ",VLOOKUP($B386,CPY!$B:$G,3,FALSE))</f>
        <v> </v>
      </c>
      <c r="E386" s="65" t="str">
        <f>IF(ISNA(VLOOKUP($B386,CPY!$B:$G,4,FALSE))=TRUE," ",VLOOKUP($B386,CPY!$B:$G,4,FALSE))</f>
        <v> </v>
      </c>
      <c r="F386" s="62"/>
      <c r="G386" s="75"/>
      <c r="H386" s="75"/>
      <c r="I386" s="62"/>
    </row>
    <row r="387" spans="1:9" x14ac:dyDescent="0.25">
      <c r="A387" s="62">
        <v>386</v>
      </c>
      <c r="B387" s="62"/>
      <c r="C387" s="68" t="str">
        <f>IF(ISNA(VLOOKUP($B387,CPY!$B:$G,2,FALSE))=TRUE," ",VLOOKUP($B387,CPY!$B:$G,2,FALSE))</f>
        <v> </v>
      </c>
      <c r="D387" s="50" t="str">
        <f>IF(ISNA(VLOOKUP($B387,CPY!$B:$G,3,FALSE))=TRUE," ",VLOOKUP($B387,CPY!$B:$G,3,FALSE))</f>
        <v> </v>
      </c>
      <c r="E387" s="65" t="str">
        <f>IF(ISNA(VLOOKUP($B387,CPY!$B:$G,4,FALSE))=TRUE," ",VLOOKUP($B387,CPY!$B:$G,4,FALSE))</f>
        <v> </v>
      </c>
      <c r="F387" s="62"/>
      <c r="G387" s="75"/>
      <c r="H387" s="75"/>
      <c r="I387" s="62"/>
    </row>
    <row r="388" spans="1:9" x14ac:dyDescent="0.25">
      <c r="A388" s="62">
        <v>387</v>
      </c>
      <c r="B388" s="62"/>
      <c r="C388" s="68" t="str">
        <f>IF(ISNA(VLOOKUP($B388,CPY!$B:$G,2,FALSE))=TRUE," ",VLOOKUP($B388,CPY!$B:$G,2,FALSE))</f>
        <v> </v>
      </c>
      <c r="D388" s="50" t="str">
        <f>IF(ISNA(VLOOKUP($B388,CPY!$B:$G,3,FALSE))=TRUE," ",VLOOKUP($B388,CPY!$B:$G,3,FALSE))</f>
        <v> </v>
      </c>
      <c r="E388" s="65" t="str">
        <f>IF(ISNA(VLOOKUP($B388,CPY!$B:$G,4,FALSE))=TRUE," ",VLOOKUP($B388,CPY!$B:$G,4,FALSE))</f>
        <v> </v>
      </c>
      <c r="F388" s="62"/>
      <c r="G388" s="75"/>
      <c r="H388" s="75"/>
      <c r="I388" s="62"/>
    </row>
    <row r="389" spans="1:9" x14ac:dyDescent="0.25">
      <c r="A389" s="62">
        <v>388</v>
      </c>
      <c r="B389" s="62"/>
      <c r="C389" s="68" t="str">
        <f>IF(ISNA(VLOOKUP($B389,CPY!$B:$G,2,FALSE))=TRUE," ",VLOOKUP($B389,CPY!$B:$G,2,FALSE))</f>
        <v> </v>
      </c>
      <c r="D389" s="50" t="str">
        <f>IF(ISNA(VLOOKUP($B389,CPY!$B:$G,3,FALSE))=TRUE," ",VLOOKUP($B389,CPY!$B:$G,3,FALSE))</f>
        <v> </v>
      </c>
      <c r="E389" s="65" t="str">
        <f>IF(ISNA(VLOOKUP($B389,CPY!$B:$G,4,FALSE))=TRUE," ",VLOOKUP($B389,CPY!$B:$G,4,FALSE))</f>
        <v> </v>
      </c>
      <c r="F389" s="62"/>
      <c r="G389" s="75"/>
      <c r="H389" s="75"/>
      <c r="I389" s="62"/>
    </row>
    <row r="390" spans="1:9" x14ac:dyDescent="0.25">
      <c r="A390" s="62">
        <v>389</v>
      </c>
      <c r="B390" s="62"/>
      <c r="C390" s="68" t="str">
        <f>IF(ISNA(VLOOKUP($B390,CPY!$B:$G,2,FALSE))=TRUE," ",VLOOKUP($B390,CPY!$B:$G,2,FALSE))</f>
        <v> </v>
      </c>
      <c r="D390" s="50" t="str">
        <f>IF(ISNA(VLOOKUP($B390,CPY!$B:$G,3,FALSE))=TRUE," ",VLOOKUP($B390,CPY!$B:$G,3,FALSE))</f>
        <v> </v>
      </c>
      <c r="E390" s="65" t="str">
        <f>IF(ISNA(VLOOKUP($B390,CPY!$B:$G,4,FALSE))=TRUE," ",VLOOKUP($B390,CPY!$B:$G,4,FALSE))</f>
        <v> </v>
      </c>
      <c r="F390" s="62"/>
      <c r="G390" s="75"/>
      <c r="H390" s="75"/>
      <c r="I390" s="62"/>
    </row>
    <row r="391" spans="1:9" x14ac:dyDescent="0.25">
      <c r="A391" s="62">
        <v>390</v>
      </c>
      <c r="B391" s="62"/>
      <c r="C391" s="68" t="str">
        <f>IF(ISNA(VLOOKUP($B391,CPY!$B:$G,2,FALSE))=TRUE," ",VLOOKUP($B391,CPY!$B:$G,2,FALSE))</f>
        <v> </v>
      </c>
      <c r="D391" s="50" t="str">
        <f>IF(ISNA(VLOOKUP($B391,CPY!$B:$G,3,FALSE))=TRUE," ",VLOOKUP($B391,CPY!$B:$G,3,FALSE))</f>
        <v> </v>
      </c>
      <c r="E391" s="65" t="str">
        <f>IF(ISNA(VLOOKUP($B391,CPY!$B:$G,4,FALSE))=TRUE," ",VLOOKUP($B391,CPY!$B:$G,4,FALSE))</f>
        <v> </v>
      </c>
      <c r="F391" s="62"/>
      <c r="G391" s="75"/>
      <c r="H391" s="75"/>
      <c r="I391" s="62"/>
    </row>
    <row r="392" spans="1:9" x14ac:dyDescent="0.25">
      <c r="A392" s="62">
        <v>391</v>
      </c>
      <c r="B392" s="62"/>
      <c r="C392" s="68" t="str">
        <f>IF(ISNA(VLOOKUP($B392,CPY!$B:$G,2,FALSE))=TRUE," ",VLOOKUP($B392,CPY!$B:$G,2,FALSE))</f>
        <v> </v>
      </c>
      <c r="D392" s="50" t="str">
        <f>IF(ISNA(VLOOKUP($B392,CPY!$B:$G,3,FALSE))=TRUE," ",VLOOKUP($B392,CPY!$B:$G,3,FALSE))</f>
        <v> </v>
      </c>
      <c r="E392" s="65" t="str">
        <f>IF(ISNA(VLOOKUP($B392,CPY!$B:$G,4,FALSE))=TRUE," ",VLOOKUP($B392,CPY!$B:$G,4,FALSE))</f>
        <v> </v>
      </c>
      <c r="F392" s="62"/>
      <c r="G392" s="75"/>
      <c r="H392" s="75"/>
      <c r="I392" s="62"/>
    </row>
    <row r="393" spans="1:9" x14ac:dyDescent="0.25">
      <c r="A393" s="62">
        <v>392</v>
      </c>
      <c r="B393" s="62"/>
      <c r="C393" s="68" t="str">
        <f>IF(ISNA(VLOOKUP($B393,CPY!$B:$G,2,FALSE))=TRUE," ",VLOOKUP($B393,CPY!$B:$G,2,FALSE))</f>
        <v> </v>
      </c>
      <c r="D393" s="50" t="str">
        <f>IF(ISNA(VLOOKUP($B393,CPY!$B:$G,3,FALSE))=TRUE," ",VLOOKUP($B393,CPY!$B:$G,3,FALSE))</f>
        <v> </v>
      </c>
      <c r="E393" s="65" t="str">
        <f>IF(ISNA(VLOOKUP($B393,CPY!$B:$G,4,FALSE))=TRUE," ",VLOOKUP($B393,CPY!$B:$G,4,FALSE))</f>
        <v> </v>
      </c>
      <c r="F393" s="62"/>
      <c r="G393" s="75"/>
      <c r="H393" s="75"/>
      <c r="I393" s="62"/>
    </row>
    <row r="394" spans="1:9" x14ac:dyDescent="0.25">
      <c r="A394" s="62">
        <v>393</v>
      </c>
      <c r="B394" s="62"/>
      <c r="C394" s="68" t="str">
        <f>IF(ISNA(VLOOKUP($B394,CPY!$B:$G,2,FALSE))=TRUE," ",VLOOKUP($B394,CPY!$B:$G,2,FALSE))</f>
        <v> </v>
      </c>
      <c r="D394" s="50" t="str">
        <f>IF(ISNA(VLOOKUP($B394,CPY!$B:$G,3,FALSE))=TRUE," ",VLOOKUP($B394,CPY!$B:$G,3,FALSE))</f>
        <v> </v>
      </c>
      <c r="E394" s="65" t="str">
        <f>IF(ISNA(VLOOKUP($B394,CPY!$B:$G,4,FALSE))=TRUE," ",VLOOKUP($B394,CPY!$B:$G,4,FALSE))</f>
        <v> </v>
      </c>
      <c r="F394" s="62"/>
      <c r="G394" s="75"/>
      <c r="H394" s="75"/>
      <c r="I394" s="62"/>
    </row>
    <row r="395" spans="1:9" x14ac:dyDescent="0.25">
      <c r="A395" s="62">
        <v>394</v>
      </c>
      <c r="B395" s="62"/>
      <c r="C395" s="68" t="str">
        <f>IF(ISNA(VLOOKUP($B395,CPY!$B:$G,2,FALSE))=TRUE," ",VLOOKUP($B395,CPY!$B:$G,2,FALSE))</f>
        <v> </v>
      </c>
      <c r="D395" s="50" t="str">
        <f>IF(ISNA(VLOOKUP($B395,CPY!$B:$G,3,FALSE))=TRUE," ",VLOOKUP($B395,CPY!$B:$G,3,FALSE))</f>
        <v> </v>
      </c>
      <c r="E395" s="65" t="str">
        <f>IF(ISNA(VLOOKUP($B395,CPY!$B:$G,4,FALSE))=TRUE," ",VLOOKUP($B395,CPY!$B:$G,4,FALSE))</f>
        <v> </v>
      </c>
      <c r="F395" s="62"/>
      <c r="G395" s="75"/>
      <c r="H395" s="75"/>
      <c r="I395" s="62"/>
    </row>
    <row r="396" spans="1:9" x14ac:dyDescent="0.25">
      <c r="A396" s="62">
        <v>395</v>
      </c>
      <c r="B396" s="62"/>
      <c r="C396" s="68" t="str">
        <f>IF(ISNA(VLOOKUP($B396,CPY!$B:$G,2,FALSE))=TRUE," ",VLOOKUP($B396,CPY!$B:$G,2,FALSE))</f>
        <v> </v>
      </c>
      <c r="D396" s="50" t="str">
        <f>IF(ISNA(VLOOKUP($B396,CPY!$B:$G,3,FALSE))=TRUE," ",VLOOKUP($B396,CPY!$B:$G,3,FALSE))</f>
        <v> </v>
      </c>
      <c r="E396" s="65" t="str">
        <f>IF(ISNA(VLOOKUP($B396,CPY!$B:$G,4,FALSE))=TRUE," ",VLOOKUP($B396,CPY!$B:$G,4,FALSE))</f>
        <v> </v>
      </c>
      <c r="F396" s="62"/>
      <c r="G396" s="75"/>
      <c r="H396" s="75"/>
      <c r="I396" s="62"/>
    </row>
    <row r="397" spans="1:9" x14ac:dyDescent="0.25">
      <c r="A397" s="62">
        <v>396</v>
      </c>
      <c r="B397" s="62"/>
      <c r="C397" s="68" t="str">
        <f>IF(ISNA(VLOOKUP($B397,CPY!$B:$G,2,FALSE))=TRUE," ",VLOOKUP($B397,CPY!$B:$G,2,FALSE))</f>
        <v> </v>
      </c>
      <c r="D397" s="50" t="str">
        <f>IF(ISNA(VLOOKUP($B397,CPY!$B:$G,3,FALSE))=TRUE," ",VLOOKUP($B397,CPY!$B:$G,3,FALSE))</f>
        <v> </v>
      </c>
      <c r="E397" s="65" t="str">
        <f>IF(ISNA(VLOOKUP($B397,CPY!$B:$G,4,FALSE))=TRUE," ",VLOOKUP($B397,CPY!$B:$G,4,FALSE))</f>
        <v> </v>
      </c>
      <c r="F397" s="62"/>
      <c r="G397" s="75"/>
      <c r="H397" s="75"/>
      <c r="I397" s="62"/>
    </row>
    <row r="398" spans="1:9" x14ac:dyDescent="0.25">
      <c r="A398" s="62">
        <v>397</v>
      </c>
      <c r="B398" s="62"/>
      <c r="C398" s="68" t="str">
        <f>IF(ISNA(VLOOKUP($B398,CPY!$B:$G,2,FALSE))=TRUE," ",VLOOKUP($B398,CPY!$B:$G,2,FALSE))</f>
        <v> </v>
      </c>
      <c r="D398" s="50" t="str">
        <f>IF(ISNA(VLOOKUP($B398,CPY!$B:$G,3,FALSE))=TRUE," ",VLOOKUP($B398,CPY!$B:$G,3,FALSE))</f>
        <v> </v>
      </c>
      <c r="E398" s="65" t="str">
        <f>IF(ISNA(VLOOKUP($B398,CPY!$B:$G,4,FALSE))=TRUE," ",VLOOKUP($B398,CPY!$B:$G,4,FALSE))</f>
        <v> </v>
      </c>
      <c r="F398" s="62"/>
      <c r="G398" s="75"/>
      <c r="H398" s="75"/>
      <c r="I398" s="62"/>
    </row>
    <row r="399" spans="1:9" x14ac:dyDescent="0.25">
      <c r="A399" s="62">
        <v>398</v>
      </c>
      <c r="B399" s="62"/>
      <c r="C399" s="68" t="str">
        <f>IF(ISNA(VLOOKUP($B399,CPY!$B:$G,2,FALSE))=TRUE," ",VLOOKUP($B399,CPY!$B:$G,2,FALSE))</f>
        <v> </v>
      </c>
      <c r="D399" s="50" t="str">
        <f>IF(ISNA(VLOOKUP($B399,CPY!$B:$G,3,FALSE))=TRUE," ",VLOOKUP($B399,CPY!$B:$G,3,FALSE))</f>
        <v> </v>
      </c>
      <c r="E399" s="65" t="str">
        <f>IF(ISNA(VLOOKUP($B399,CPY!$B:$G,4,FALSE))=TRUE," ",VLOOKUP($B399,CPY!$B:$G,4,FALSE))</f>
        <v> </v>
      </c>
      <c r="F399" s="62"/>
      <c r="G399" s="75"/>
      <c r="H399" s="75"/>
      <c r="I399" s="62"/>
    </row>
    <row r="400" spans="1:9" x14ac:dyDescent="0.25">
      <c r="A400" s="62">
        <v>399</v>
      </c>
      <c r="B400" s="62"/>
      <c r="C400" s="68" t="str">
        <f>IF(ISNA(VLOOKUP($B400,CPY!$B:$G,2,FALSE))=TRUE," ",VLOOKUP($B400,CPY!$B:$G,2,FALSE))</f>
        <v> </v>
      </c>
      <c r="D400" s="50" t="str">
        <f>IF(ISNA(VLOOKUP($B400,CPY!$B:$G,3,FALSE))=TRUE," ",VLOOKUP($B400,CPY!$B:$G,3,FALSE))</f>
        <v> </v>
      </c>
      <c r="E400" s="65" t="str">
        <f>IF(ISNA(VLOOKUP($B400,CPY!$B:$G,4,FALSE))=TRUE," ",VLOOKUP($B400,CPY!$B:$G,4,FALSE))</f>
        <v> </v>
      </c>
      <c r="F400" s="62"/>
      <c r="G400" s="75"/>
      <c r="H400" s="75"/>
      <c r="I400" s="62"/>
    </row>
    <row r="401" spans="1:9" x14ac:dyDescent="0.25">
      <c r="A401" s="62">
        <v>400</v>
      </c>
      <c r="B401" s="62"/>
      <c r="C401" s="68" t="str">
        <f>IF(ISNA(VLOOKUP($B401,CPY!$B:$G,2,FALSE))=TRUE," ",VLOOKUP($B401,CPY!$B:$G,2,FALSE))</f>
        <v> </v>
      </c>
      <c r="D401" s="50" t="str">
        <f>IF(ISNA(VLOOKUP($B401,CPY!$B:$G,3,FALSE))=TRUE," ",VLOOKUP($B401,CPY!$B:$G,3,FALSE))</f>
        <v> </v>
      </c>
      <c r="E401" s="65" t="str">
        <f>IF(ISNA(VLOOKUP($B401,CPY!$B:$G,4,FALSE))=TRUE," ",VLOOKUP($B401,CPY!$B:$G,4,FALSE))</f>
        <v> </v>
      </c>
      <c r="F401" s="62"/>
      <c r="G401" s="75"/>
      <c r="H401" s="75"/>
      <c r="I401" s="62"/>
    </row>
    <row r="402" spans="1:9" x14ac:dyDescent="0.25">
      <c r="A402" s="62">
        <v>401</v>
      </c>
      <c r="B402" s="62"/>
      <c r="C402" s="68" t="str">
        <f>IF(ISNA(VLOOKUP($B402,CPY!$B:$G,2,FALSE))=TRUE," ",VLOOKUP($B402,CPY!$B:$G,2,FALSE))</f>
        <v> </v>
      </c>
      <c r="D402" s="50" t="str">
        <f>IF(ISNA(VLOOKUP($B402,CPY!$B:$G,3,FALSE))=TRUE," ",VLOOKUP($B402,CPY!$B:$G,3,FALSE))</f>
        <v> </v>
      </c>
      <c r="E402" s="65" t="str">
        <f>IF(ISNA(VLOOKUP($B402,CPY!$B:$G,4,FALSE))=TRUE," ",VLOOKUP($B402,CPY!$B:$G,4,FALSE))</f>
        <v> </v>
      </c>
      <c r="F402" s="62"/>
      <c r="G402" s="75"/>
      <c r="H402" s="75"/>
      <c r="I402" s="62"/>
    </row>
    <row r="403" spans="1:9" x14ac:dyDescent="0.25">
      <c r="A403" s="62">
        <v>402</v>
      </c>
      <c r="B403" s="62"/>
      <c r="C403" s="68" t="str">
        <f>IF(ISNA(VLOOKUP($B403,CPY!$B:$G,2,FALSE))=TRUE," ",VLOOKUP($B403,CPY!$B:$G,2,FALSE))</f>
        <v> </v>
      </c>
      <c r="D403" s="50" t="str">
        <f>IF(ISNA(VLOOKUP($B403,CPY!$B:$G,3,FALSE))=TRUE," ",VLOOKUP($B403,CPY!$B:$G,3,FALSE))</f>
        <v> </v>
      </c>
      <c r="E403" s="65" t="str">
        <f>IF(ISNA(VLOOKUP($B403,CPY!$B:$G,4,FALSE))=TRUE," ",VLOOKUP($B403,CPY!$B:$G,4,FALSE))</f>
        <v> </v>
      </c>
      <c r="F403" s="62"/>
      <c r="G403" s="75"/>
      <c r="H403" s="75"/>
      <c r="I403" s="62"/>
    </row>
    <row r="404" spans="1:9" x14ac:dyDescent="0.25">
      <c r="A404" s="62">
        <v>403</v>
      </c>
      <c r="B404" s="62"/>
      <c r="C404" s="68" t="str">
        <f>IF(ISNA(VLOOKUP($B404,CPY!$B:$G,2,FALSE))=TRUE," ",VLOOKUP($B404,CPY!$B:$G,2,FALSE))</f>
        <v> </v>
      </c>
      <c r="D404" s="50" t="str">
        <f>IF(ISNA(VLOOKUP($B404,CPY!$B:$G,3,FALSE))=TRUE," ",VLOOKUP($B404,CPY!$B:$G,3,FALSE))</f>
        <v> </v>
      </c>
      <c r="E404" s="65" t="str">
        <f>IF(ISNA(VLOOKUP($B404,CPY!$B:$G,4,FALSE))=TRUE," ",VLOOKUP($B404,CPY!$B:$G,4,FALSE))</f>
        <v> </v>
      </c>
      <c r="F404" s="62"/>
      <c r="G404" s="75"/>
      <c r="H404" s="75"/>
      <c r="I404" s="62"/>
    </row>
    <row r="405" spans="1:9" x14ac:dyDescent="0.25">
      <c r="A405" s="62">
        <v>404</v>
      </c>
      <c r="B405" s="62"/>
      <c r="C405" s="68" t="str">
        <f>IF(ISNA(VLOOKUP($B405,CPY!$B:$G,2,FALSE))=TRUE," ",VLOOKUP($B405,CPY!$B:$G,2,FALSE))</f>
        <v> </v>
      </c>
      <c r="D405" s="50" t="str">
        <f>IF(ISNA(VLOOKUP($B405,CPY!$B:$G,3,FALSE))=TRUE," ",VLOOKUP($B405,CPY!$B:$G,3,FALSE))</f>
        <v> </v>
      </c>
      <c r="E405" s="65" t="str">
        <f>IF(ISNA(VLOOKUP($B405,CPY!$B:$G,4,FALSE))=TRUE," ",VLOOKUP($B405,CPY!$B:$G,4,FALSE))</f>
        <v> </v>
      </c>
      <c r="F405" s="62"/>
      <c r="G405" s="75"/>
      <c r="H405" s="75"/>
      <c r="I405" s="62"/>
    </row>
    <row r="406" spans="1:9" x14ac:dyDescent="0.25">
      <c r="A406" s="62">
        <v>405</v>
      </c>
      <c r="B406" s="62"/>
      <c r="C406" s="68" t="str">
        <f>IF(ISNA(VLOOKUP($B406,CPY!$B:$G,2,FALSE))=TRUE," ",VLOOKUP($B406,CPY!$B:$G,2,FALSE))</f>
        <v> </v>
      </c>
      <c r="D406" s="50" t="str">
        <f>IF(ISNA(VLOOKUP($B406,CPY!$B:$G,3,FALSE))=TRUE," ",VLOOKUP($B406,CPY!$B:$G,3,FALSE))</f>
        <v> </v>
      </c>
      <c r="E406" s="65" t="str">
        <f>IF(ISNA(VLOOKUP($B406,CPY!$B:$G,4,FALSE))=TRUE," ",VLOOKUP($B406,CPY!$B:$G,4,FALSE))</f>
        <v> </v>
      </c>
      <c r="F406" s="62"/>
      <c r="G406" s="75"/>
      <c r="H406" s="75"/>
      <c r="I406" s="62"/>
    </row>
    <row r="407" spans="1:9" x14ac:dyDescent="0.25">
      <c r="A407" s="62">
        <v>406</v>
      </c>
      <c r="B407" s="62"/>
      <c r="C407" s="68" t="str">
        <f>IF(ISNA(VLOOKUP($B407,CPY!$B:$G,2,FALSE))=TRUE," ",VLOOKUP($B407,CPY!$B:$G,2,FALSE))</f>
        <v> </v>
      </c>
      <c r="D407" s="50" t="str">
        <f>IF(ISNA(VLOOKUP($B407,CPY!$B:$G,3,FALSE))=TRUE," ",VLOOKUP($B407,CPY!$B:$G,3,FALSE))</f>
        <v> </v>
      </c>
      <c r="E407" s="65" t="str">
        <f>IF(ISNA(VLOOKUP($B407,CPY!$B:$G,4,FALSE))=TRUE," ",VLOOKUP($B407,CPY!$B:$G,4,FALSE))</f>
        <v> </v>
      </c>
      <c r="F407" s="62"/>
      <c r="G407" s="75"/>
      <c r="H407" s="75"/>
      <c r="I407" s="62"/>
    </row>
    <row r="408" spans="1:9" x14ac:dyDescent="0.25">
      <c r="A408" s="62">
        <v>407</v>
      </c>
      <c r="B408" s="62"/>
      <c r="C408" s="68" t="str">
        <f>IF(ISNA(VLOOKUP($B408,CPY!$B:$G,2,FALSE))=TRUE," ",VLOOKUP($B408,CPY!$B:$G,2,FALSE))</f>
        <v> </v>
      </c>
      <c r="D408" s="50" t="str">
        <f>IF(ISNA(VLOOKUP($B408,CPY!$B:$G,3,FALSE))=TRUE," ",VLOOKUP($B408,CPY!$B:$G,3,FALSE))</f>
        <v> </v>
      </c>
      <c r="E408" s="65" t="str">
        <f>IF(ISNA(VLOOKUP($B408,CPY!$B:$G,4,FALSE))=TRUE," ",VLOOKUP($B408,CPY!$B:$G,4,FALSE))</f>
        <v> </v>
      </c>
      <c r="F408" s="62"/>
      <c r="G408" s="75"/>
      <c r="H408" s="75"/>
      <c r="I408" s="62"/>
    </row>
    <row r="409" spans="1:9" x14ac:dyDescent="0.25">
      <c r="A409" s="62">
        <v>408</v>
      </c>
      <c r="B409" s="62"/>
      <c r="C409" s="68" t="str">
        <f>IF(ISNA(VLOOKUP($B409,CPY!$B:$G,2,FALSE))=TRUE," ",VLOOKUP($B409,CPY!$B:$G,2,FALSE))</f>
        <v> </v>
      </c>
      <c r="D409" s="50" t="str">
        <f>IF(ISNA(VLOOKUP($B409,CPY!$B:$G,3,FALSE))=TRUE," ",VLOOKUP($B409,CPY!$B:$G,3,FALSE))</f>
        <v> </v>
      </c>
      <c r="E409" s="65" t="str">
        <f>IF(ISNA(VLOOKUP($B409,CPY!$B:$G,4,FALSE))=TRUE," ",VLOOKUP($B409,CPY!$B:$G,4,FALSE))</f>
        <v> </v>
      </c>
      <c r="F409" s="62"/>
      <c r="G409" s="75"/>
      <c r="H409" s="75"/>
      <c r="I409" s="62"/>
    </row>
    <row r="410" spans="1:9" x14ac:dyDescent="0.25">
      <c r="A410" s="62">
        <v>409</v>
      </c>
      <c r="B410" s="62"/>
      <c r="C410" s="68" t="str">
        <f>IF(ISNA(VLOOKUP($B410,CPY!$B:$G,2,FALSE))=TRUE," ",VLOOKUP($B410,CPY!$B:$G,2,FALSE))</f>
        <v> </v>
      </c>
      <c r="D410" s="50" t="str">
        <f>IF(ISNA(VLOOKUP($B410,CPY!$B:$G,3,FALSE))=TRUE," ",VLOOKUP($B410,CPY!$B:$G,3,FALSE))</f>
        <v> </v>
      </c>
      <c r="E410" s="65" t="str">
        <f>IF(ISNA(VLOOKUP($B410,CPY!$B:$G,4,FALSE))=TRUE," ",VLOOKUP($B410,CPY!$B:$G,4,FALSE))</f>
        <v> </v>
      </c>
      <c r="F410" s="62"/>
      <c r="G410" s="75"/>
      <c r="H410" s="75"/>
      <c r="I410" s="62"/>
    </row>
    <row r="411" spans="1:9" x14ac:dyDescent="0.25">
      <c r="A411" s="62">
        <v>410</v>
      </c>
      <c r="B411" s="62"/>
      <c r="C411" s="68" t="str">
        <f>IF(ISNA(VLOOKUP($B411,CPY!$B:$G,2,FALSE))=TRUE," ",VLOOKUP($B411,CPY!$B:$G,2,FALSE))</f>
        <v> </v>
      </c>
      <c r="D411" s="50" t="str">
        <f>IF(ISNA(VLOOKUP($B411,CPY!$B:$G,3,FALSE))=TRUE," ",VLOOKUP($B411,CPY!$B:$G,3,FALSE))</f>
        <v> </v>
      </c>
      <c r="E411" s="65" t="str">
        <f>IF(ISNA(VLOOKUP($B411,CPY!$B:$G,4,FALSE))=TRUE," ",VLOOKUP($B411,CPY!$B:$G,4,FALSE))</f>
        <v> </v>
      </c>
      <c r="F411" s="62"/>
      <c r="G411" s="75"/>
      <c r="H411" s="75"/>
      <c r="I411" s="62"/>
    </row>
    <row r="412" spans="1:9" x14ac:dyDescent="0.25">
      <c r="A412" s="62">
        <v>411</v>
      </c>
      <c r="B412" s="62"/>
      <c r="C412" s="68" t="str">
        <f>IF(ISNA(VLOOKUP($B412,CPY!$B:$G,2,FALSE))=TRUE," ",VLOOKUP($B412,CPY!$B:$G,2,FALSE))</f>
        <v> </v>
      </c>
      <c r="D412" s="50" t="str">
        <f>IF(ISNA(VLOOKUP($B412,CPY!$B:$G,3,FALSE))=TRUE," ",VLOOKUP($B412,CPY!$B:$G,3,FALSE))</f>
        <v> </v>
      </c>
      <c r="E412" s="65" t="str">
        <f>IF(ISNA(VLOOKUP($B412,CPY!$B:$G,4,FALSE))=TRUE," ",VLOOKUP($B412,CPY!$B:$G,4,FALSE))</f>
        <v> </v>
      </c>
      <c r="F412" s="62"/>
      <c r="G412" s="75"/>
      <c r="H412" s="75"/>
      <c r="I412" s="62"/>
    </row>
    <row r="413" spans="1:9" x14ac:dyDescent="0.25">
      <c r="A413" s="62">
        <v>412</v>
      </c>
      <c r="B413" s="62"/>
      <c r="C413" s="68" t="str">
        <f>IF(ISNA(VLOOKUP($B413,CPY!$B:$G,2,FALSE))=TRUE," ",VLOOKUP($B413,CPY!$B:$G,2,FALSE))</f>
        <v> </v>
      </c>
      <c r="D413" s="50" t="str">
        <f>IF(ISNA(VLOOKUP($B413,CPY!$B:$G,3,FALSE))=TRUE," ",VLOOKUP($B413,CPY!$B:$G,3,FALSE))</f>
        <v> </v>
      </c>
      <c r="E413" s="65" t="str">
        <f>IF(ISNA(VLOOKUP($B413,CPY!$B:$G,4,FALSE))=TRUE," ",VLOOKUP($B413,CPY!$B:$G,4,FALSE))</f>
        <v> </v>
      </c>
      <c r="F413" s="62"/>
      <c r="G413" s="75"/>
      <c r="H413" s="75"/>
      <c r="I413" s="62"/>
    </row>
    <row r="414" spans="1:9" x14ac:dyDescent="0.25">
      <c r="A414" s="62">
        <v>413</v>
      </c>
      <c r="B414" s="62"/>
      <c r="C414" s="68" t="str">
        <f>IF(ISNA(VLOOKUP($B414,CPY!$B:$G,2,FALSE))=TRUE," ",VLOOKUP($B414,CPY!$B:$G,2,FALSE))</f>
        <v> </v>
      </c>
      <c r="D414" s="50" t="str">
        <f>IF(ISNA(VLOOKUP($B414,CPY!$B:$G,3,FALSE))=TRUE," ",VLOOKUP($B414,CPY!$B:$G,3,FALSE))</f>
        <v> </v>
      </c>
      <c r="E414" s="65" t="str">
        <f>IF(ISNA(VLOOKUP($B414,CPY!$B:$G,4,FALSE))=TRUE," ",VLOOKUP($B414,CPY!$B:$G,4,FALSE))</f>
        <v> </v>
      </c>
      <c r="F414" s="62"/>
      <c r="G414" s="75"/>
      <c r="H414" s="75"/>
      <c r="I414" s="62"/>
    </row>
    <row r="415" spans="1:9" x14ac:dyDescent="0.25">
      <c r="A415" s="62">
        <v>414</v>
      </c>
      <c r="B415" s="62"/>
      <c r="C415" s="68" t="str">
        <f>IF(ISNA(VLOOKUP($B415,CPY!$B:$G,2,FALSE))=TRUE," ",VLOOKUP($B415,CPY!$B:$G,2,FALSE))</f>
        <v> </v>
      </c>
      <c r="D415" s="50" t="str">
        <f>IF(ISNA(VLOOKUP($B415,CPY!$B:$G,3,FALSE))=TRUE," ",VLOOKUP($B415,CPY!$B:$G,3,FALSE))</f>
        <v> </v>
      </c>
      <c r="E415" s="65" t="str">
        <f>IF(ISNA(VLOOKUP($B415,CPY!$B:$G,4,FALSE))=TRUE," ",VLOOKUP($B415,CPY!$B:$G,4,FALSE))</f>
        <v> </v>
      </c>
      <c r="F415" s="62"/>
      <c r="G415" s="75"/>
      <c r="H415" s="75"/>
      <c r="I415" s="62"/>
    </row>
    <row r="416" spans="1:9" x14ac:dyDescent="0.25">
      <c r="A416" s="62">
        <v>415</v>
      </c>
      <c r="B416" s="62"/>
      <c r="C416" s="68" t="str">
        <f>IF(ISNA(VLOOKUP($B416,CPY!$B:$G,2,FALSE))=TRUE," ",VLOOKUP($B416,CPY!$B:$G,2,FALSE))</f>
        <v> </v>
      </c>
      <c r="D416" s="50" t="str">
        <f>IF(ISNA(VLOOKUP($B416,CPY!$B:$G,3,FALSE))=TRUE," ",VLOOKUP($B416,CPY!$B:$G,3,FALSE))</f>
        <v> </v>
      </c>
      <c r="E416" s="65" t="str">
        <f>IF(ISNA(VLOOKUP($B416,CPY!$B:$G,4,FALSE))=TRUE," ",VLOOKUP($B416,CPY!$B:$G,4,FALSE))</f>
        <v> </v>
      </c>
      <c r="F416" s="62"/>
      <c r="G416" s="75"/>
      <c r="H416" s="75"/>
      <c r="I416" s="62"/>
    </row>
    <row r="417" spans="1:9" x14ac:dyDescent="0.25">
      <c r="A417" s="62">
        <v>416</v>
      </c>
      <c r="B417" s="62"/>
      <c r="C417" s="68" t="str">
        <f>IF(ISNA(VLOOKUP($B417,CPY!$B:$G,2,FALSE))=TRUE," ",VLOOKUP($B417,CPY!$B:$G,2,FALSE))</f>
        <v> </v>
      </c>
      <c r="D417" s="50" t="str">
        <f>IF(ISNA(VLOOKUP($B417,CPY!$B:$G,3,FALSE))=TRUE," ",VLOOKUP($B417,CPY!$B:$G,3,FALSE))</f>
        <v> </v>
      </c>
      <c r="E417" s="65" t="str">
        <f>IF(ISNA(VLOOKUP($B417,CPY!$B:$G,4,FALSE))=TRUE," ",VLOOKUP($B417,CPY!$B:$G,4,FALSE))</f>
        <v> </v>
      </c>
      <c r="F417" s="62"/>
      <c r="G417" s="75"/>
      <c r="H417" s="75"/>
      <c r="I417" s="62"/>
    </row>
    <row r="418" spans="1:9" x14ac:dyDescent="0.25">
      <c r="A418" s="62">
        <v>417</v>
      </c>
      <c r="B418" s="62"/>
      <c r="C418" s="68" t="str">
        <f>IF(ISNA(VLOOKUP($B418,CPY!$B:$G,2,FALSE))=TRUE," ",VLOOKUP($B418,CPY!$B:$G,2,FALSE))</f>
        <v> </v>
      </c>
      <c r="D418" s="50" t="str">
        <f>IF(ISNA(VLOOKUP($B418,CPY!$B:$G,3,FALSE))=TRUE," ",VLOOKUP($B418,CPY!$B:$G,3,FALSE))</f>
        <v> </v>
      </c>
      <c r="E418" s="65" t="str">
        <f>IF(ISNA(VLOOKUP($B418,CPY!$B:$G,4,FALSE))=TRUE," ",VLOOKUP($B418,CPY!$B:$G,4,FALSE))</f>
        <v> </v>
      </c>
      <c r="F418" s="62"/>
      <c r="G418" s="75"/>
      <c r="H418" s="75"/>
      <c r="I418" s="62"/>
    </row>
    <row r="419" spans="1:9" x14ac:dyDescent="0.25">
      <c r="A419" s="62">
        <v>418</v>
      </c>
      <c r="B419" s="62"/>
      <c r="C419" s="68" t="str">
        <f>IF(ISNA(VLOOKUP($B419,CPY!$B:$G,2,FALSE))=TRUE," ",VLOOKUP($B419,CPY!$B:$G,2,FALSE))</f>
        <v> </v>
      </c>
      <c r="D419" s="50" t="str">
        <f>IF(ISNA(VLOOKUP($B419,CPY!$B:$G,3,FALSE))=TRUE," ",VLOOKUP($B419,CPY!$B:$G,3,FALSE))</f>
        <v> </v>
      </c>
      <c r="E419" s="65" t="str">
        <f>IF(ISNA(VLOOKUP($B419,CPY!$B:$G,4,FALSE))=TRUE," ",VLOOKUP($B419,CPY!$B:$G,4,FALSE))</f>
        <v> </v>
      </c>
      <c r="F419" s="62"/>
      <c r="G419" s="75"/>
      <c r="H419" s="75"/>
      <c r="I419" s="62"/>
    </row>
    <row r="420" spans="1:9" x14ac:dyDescent="0.25">
      <c r="A420" s="62">
        <v>419</v>
      </c>
      <c r="B420" s="62"/>
      <c r="C420" s="68" t="str">
        <f>IF(ISNA(VLOOKUP($B420,CPY!$B:$G,2,FALSE))=TRUE," ",VLOOKUP($B420,CPY!$B:$G,2,FALSE))</f>
        <v> </v>
      </c>
      <c r="D420" s="50" t="str">
        <f>IF(ISNA(VLOOKUP($B420,CPY!$B:$G,3,FALSE))=TRUE," ",VLOOKUP($B420,CPY!$B:$G,3,FALSE))</f>
        <v> </v>
      </c>
      <c r="E420" s="65" t="str">
        <f>IF(ISNA(VLOOKUP($B420,CPY!$B:$G,4,FALSE))=TRUE," ",VLOOKUP($B420,CPY!$B:$G,4,FALSE))</f>
        <v> </v>
      </c>
      <c r="F420" s="62"/>
      <c r="G420" s="75"/>
      <c r="H420" s="75"/>
      <c r="I420" s="62"/>
    </row>
    <row r="421" spans="1:9" x14ac:dyDescent="0.25">
      <c r="A421" s="62">
        <v>420</v>
      </c>
      <c r="B421" s="62"/>
      <c r="C421" s="68" t="str">
        <f>IF(ISNA(VLOOKUP($B421,CPY!$B:$G,2,FALSE))=TRUE," ",VLOOKUP($B421,CPY!$B:$G,2,FALSE))</f>
        <v> </v>
      </c>
      <c r="D421" s="50" t="str">
        <f>IF(ISNA(VLOOKUP($B421,CPY!$B:$G,3,FALSE))=TRUE," ",VLOOKUP($B421,CPY!$B:$G,3,FALSE))</f>
        <v> </v>
      </c>
      <c r="E421" s="65" t="str">
        <f>IF(ISNA(VLOOKUP($B421,CPY!$B:$G,4,FALSE))=TRUE," ",VLOOKUP($B421,CPY!$B:$G,4,FALSE))</f>
        <v> </v>
      </c>
      <c r="F421" s="62"/>
      <c r="G421" s="75"/>
      <c r="H421" s="75"/>
      <c r="I421" s="62"/>
    </row>
    <row r="422" spans="1:9" x14ac:dyDescent="0.25">
      <c r="A422" s="62">
        <v>421</v>
      </c>
      <c r="B422" s="62"/>
      <c r="C422" s="68" t="str">
        <f>IF(ISNA(VLOOKUP($B422,CPY!$B:$G,2,FALSE))=TRUE," ",VLOOKUP($B422,CPY!$B:$G,2,FALSE))</f>
        <v> </v>
      </c>
      <c r="D422" s="50" t="str">
        <f>IF(ISNA(VLOOKUP($B422,CPY!$B:$G,3,FALSE))=TRUE," ",VLOOKUP($B422,CPY!$B:$G,3,FALSE))</f>
        <v> </v>
      </c>
      <c r="E422" s="65" t="str">
        <f>IF(ISNA(VLOOKUP($B422,CPY!$B:$G,4,FALSE))=TRUE," ",VLOOKUP($B422,CPY!$B:$G,4,FALSE))</f>
        <v> </v>
      </c>
      <c r="F422" s="62"/>
      <c r="G422" s="75"/>
      <c r="H422" s="75"/>
      <c r="I422" s="62"/>
    </row>
    <row r="423" spans="1:9" x14ac:dyDescent="0.25">
      <c r="A423" s="62">
        <v>422</v>
      </c>
      <c r="B423" s="62"/>
      <c r="C423" s="68" t="str">
        <f>IF(ISNA(VLOOKUP($B423,CPY!$B:$G,2,FALSE))=TRUE," ",VLOOKUP($B423,CPY!$B:$G,2,FALSE))</f>
        <v> </v>
      </c>
      <c r="D423" s="50" t="str">
        <f>IF(ISNA(VLOOKUP($B423,CPY!$B:$G,3,FALSE))=TRUE," ",VLOOKUP($B423,CPY!$B:$G,3,FALSE))</f>
        <v> </v>
      </c>
      <c r="E423" s="65" t="str">
        <f>IF(ISNA(VLOOKUP($B423,CPY!$B:$G,4,FALSE))=TRUE," ",VLOOKUP($B423,CPY!$B:$G,4,FALSE))</f>
        <v> </v>
      </c>
      <c r="F423" s="62"/>
      <c r="G423" s="75"/>
      <c r="H423" s="75"/>
      <c r="I423" s="62"/>
    </row>
    <row r="424" spans="1:9" x14ac:dyDescent="0.25">
      <c r="A424" s="62">
        <v>423</v>
      </c>
      <c r="B424" s="62"/>
      <c r="C424" s="68" t="str">
        <f>IF(ISNA(VLOOKUP($B424,CPY!$B:$G,2,FALSE))=TRUE," ",VLOOKUP($B424,CPY!$B:$G,2,FALSE))</f>
        <v> </v>
      </c>
      <c r="D424" s="50" t="str">
        <f>IF(ISNA(VLOOKUP($B424,CPY!$B:$G,3,FALSE))=TRUE," ",VLOOKUP($B424,CPY!$B:$G,3,FALSE))</f>
        <v> </v>
      </c>
      <c r="E424" s="65" t="str">
        <f>IF(ISNA(VLOOKUP($B424,CPY!$B:$G,4,FALSE))=TRUE," ",VLOOKUP($B424,CPY!$B:$G,4,FALSE))</f>
        <v> </v>
      </c>
      <c r="F424" s="62"/>
      <c r="G424" s="75"/>
      <c r="H424" s="75"/>
      <c r="I424" s="62"/>
    </row>
    <row r="425" spans="1:9" x14ac:dyDescent="0.25">
      <c r="A425" s="62">
        <v>424</v>
      </c>
      <c r="B425" s="62"/>
      <c r="C425" s="68" t="str">
        <f>IF(ISNA(VLOOKUP($B425,CPY!$B:$G,2,FALSE))=TRUE," ",VLOOKUP($B425,CPY!$B:$G,2,FALSE))</f>
        <v> </v>
      </c>
      <c r="D425" s="50" t="str">
        <f>IF(ISNA(VLOOKUP($B425,CPY!$B:$G,3,FALSE))=TRUE," ",VLOOKUP($B425,CPY!$B:$G,3,FALSE))</f>
        <v> </v>
      </c>
      <c r="E425" s="65" t="str">
        <f>IF(ISNA(VLOOKUP($B425,CPY!$B:$G,4,FALSE))=TRUE," ",VLOOKUP($B425,CPY!$B:$G,4,FALSE))</f>
        <v> </v>
      </c>
      <c r="F425" s="62"/>
      <c r="G425" s="75"/>
      <c r="H425" s="75"/>
      <c r="I425" s="62"/>
    </row>
    <row r="426" spans="1:9" x14ac:dyDescent="0.25">
      <c r="A426" s="62">
        <v>425</v>
      </c>
      <c r="B426" s="62"/>
      <c r="C426" s="68" t="str">
        <f>IF(ISNA(VLOOKUP($B426,CPY!$B:$G,2,FALSE))=TRUE," ",VLOOKUP($B426,CPY!$B:$G,2,FALSE))</f>
        <v> </v>
      </c>
      <c r="D426" s="50" t="str">
        <f>IF(ISNA(VLOOKUP($B426,CPY!$B:$G,3,FALSE))=TRUE," ",VLOOKUP($B426,CPY!$B:$G,3,FALSE))</f>
        <v> </v>
      </c>
      <c r="E426" s="65" t="str">
        <f>IF(ISNA(VLOOKUP($B426,CPY!$B:$G,4,FALSE))=TRUE," ",VLOOKUP($B426,CPY!$B:$G,4,FALSE))</f>
        <v> </v>
      </c>
      <c r="F426" s="62"/>
      <c r="G426" s="75"/>
      <c r="H426" s="75"/>
      <c r="I426" s="62"/>
    </row>
    <row r="427" spans="1:9" x14ac:dyDescent="0.25">
      <c r="A427" s="62">
        <v>426</v>
      </c>
      <c r="B427" s="62"/>
      <c r="C427" s="68" t="str">
        <f>IF(ISNA(VLOOKUP($B427,CPY!$B:$G,2,FALSE))=TRUE," ",VLOOKUP($B427,CPY!$B:$G,2,FALSE))</f>
        <v> </v>
      </c>
      <c r="D427" s="50" t="str">
        <f>IF(ISNA(VLOOKUP($B427,CPY!$B:$G,3,FALSE))=TRUE," ",VLOOKUP($B427,CPY!$B:$G,3,FALSE))</f>
        <v> </v>
      </c>
      <c r="E427" s="65" t="str">
        <f>IF(ISNA(VLOOKUP($B427,CPY!$B:$G,4,FALSE))=TRUE," ",VLOOKUP($B427,CPY!$B:$G,4,FALSE))</f>
        <v> </v>
      </c>
      <c r="F427" s="62"/>
      <c r="G427" s="75"/>
      <c r="H427" s="75"/>
      <c r="I427" s="62"/>
    </row>
    <row r="428" spans="1:9" x14ac:dyDescent="0.25">
      <c r="A428" s="62">
        <v>427</v>
      </c>
      <c r="B428" s="62"/>
      <c r="C428" s="68" t="str">
        <f>IF(ISNA(VLOOKUP($B428,CPY!$B:$G,2,FALSE))=TRUE," ",VLOOKUP($B428,CPY!$B:$G,2,FALSE))</f>
        <v> </v>
      </c>
      <c r="D428" s="50" t="str">
        <f>IF(ISNA(VLOOKUP($B428,CPY!$B:$G,3,FALSE))=TRUE," ",VLOOKUP($B428,CPY!$B:$G,3,FALSE))</f>
        <v> </v>
      </c>
      <c r="E428" s="65" t="str">
        <f>IF(ISNA(VLOOKUP($B428,CPY!$B:$G,4,FALSE))=TRUE," ",VLOOKUP($B428,CPY!$B:$G,4,FALSE))</f>
        <v> </v>
      </c>
      <c r="F428" s="62"/>
      <c r="G428" s="75"/>
      <c r="H428" s="75"/>
      <c r="I428" s="62"/>
    </row>
    <row r="429" spans="1:9" x14ac:dyDescent="0.25">
      <c r="A429" s="62">
        <v>428</v>
      </c>
      <c r="B429" s="62"/>
      <c r="C429" s="68" t="str">
        <f>IF(ISNA(VLOOKUP($B429,CPY!$B:$G,2,FALSE))=TRUE," ",VLOOKUP($B429,CPY!$B:$G,2,FALSE))</f>
        <v> </v>
      </c>
      <c r="D429" s="50" t="str">
        <f>IF(ISNA(VLOOKUP($B429,CPY!$B:$G,3,FALSE))=TRUE," ",VLOOKUP($B429,CPY!$B:$G,3,FALSE))</f>
        <v> </v>
      </c>
      <c r="E429" s="65" t="str">
        <f>IF(ISNA(VLOOKUP($B429,CPY!$B:$G,4,FALSE))=TRUE," ",VLOOKUP($B429,CPY!$B:$G,4,FALSE))</f>
        <v> </v>
      </c>
      <c r="F429" s="62"/>
      <c r="G429" s="75"/>
      <c r="H429" s="75"/>
      <c r="I429" s="62"/>
    </row>
    <row r="430" spans="1:9" x14ac:dyDescent="0.25">
      <c r="A430" s="62">
        <v>429</v>
      </c>
      <c r="B430" s="62"/>
      <c r="C430" s="68" t="str">
        <f>IF(ISNA(VLOOKUP($B430,CPY!$B:$G,2,FALSE))=TRUE," ",VLOOKUP($B430,CPY!$B:$G,2,FALSE))</f>
        <v> </v>
      </c>
      <c r="D430" s="50" t="str">
        <f>IF(ISNA(VLOOKUP($B430,CPY!$B:$G,3,FALSE))=TRUE," ",VLOOKUP($B430,CPY!$B:$G,3,FALSE))</f>
        <v> </v>
      </c>
      <c r="E430" s="65" t="str">
        <f>IF(ISNA(VLOOKUP($B430,CPY!$B:$G,4,FALSE))=TRUE," ",VLOOKUP($B430,CPY!$B:$G,4,FALSE))</f>
        <v> </v>
      </c>
      <c r="F430" s="62"/>
      <c r="G430" s="75"/>
      <c r="H430" s="75"/>
      <c r="I430" s="62"/>
    </row>
    <row r="431" spans="1:9" x14ac:dyDescent="0.25">
      <c r="A431" s="62">
        <v>430</v>
      </c>
      <c r="B431" s="62"/>
      <c r="C431" s="68" t="str">
        <f>IF(ISNA(VLOOKUP($B431,CPY!$B:$G,2,FALSE))=TRUE," ",VLOOKUP($B431,CPY!$B:$G,2,FALSE))</f>
        <v> </v>
      </c>
      <c r="D431" s="50" t="str">
        <f>IF(ISNA(VLOOKUP($B431,CPY!$B:$G,3,FALSE))=TRUE," ",VLOOKUP($B431,CPY!$B:$G,3,FALSE))</f>
        <v> </v>
      </c>
      <c r="E431" s="65" t="str">
        <f>IF(ISNA(VLOOKUP($B431,CPY!$B:$G,4,FALSE))=TRUE," ",VLOOKUP($B431,CPY!$B:$G,4,FALSE))</f>
        <v> </v>
      </c>
      <c r="F431" s="62"/>
      <c r="G431" s="75"/>
      <c r="H431" s="75"/>
      <c r="I431" s="62"/>
    </row>
    <row r="432" spans="1:9" x14ac:dyDescent="0.25">
      <c r="A432" s="62">
        <v>431</v>
      </c>
      <c r="B432" s="62"/>
      <c r="C432" s="68" t="str">
        <f>IF(ISNA(VLOOKUP($B432,CPY!$B:$G,2,FALSE))=TRUE," ",VLOOKUP($B432,CPY!$B:$G,2,FALSE))</f>
        <v> </v>
      </c>
      <c r="D432" s="50" t="str">
        <f>IF(ISNA(VLOOKUP($B432,CPY!$B:$G,3,FALSE))=TRUE," ",VLOOKUP($B432,CPY!$B:$G,3,FALSE))</f>
        <v> </v>
      </c>
      <c r="E432" s="65" t="str">
        <f>IF(ISNA(VLOOKUP($B432,CPY!$B:$G,4,FALSE))=TRUE," ",VLOOKUP($B432,CPY!$B:$G,4,FALSE))</f>
        <v> </v>
      </c>
      <c r="F432" s="62"/>
      <c r="G432" s="75"/>
      <c r="H432" s="75"/>
      <c r="I432" s="62"/>
    </row>
    <row r="433" spans="1:9" x14ac:dyDescent="0.25">
      <c r="A433" s="62">
        <v>432</v>
      </c>
      <c r="B433" s="62"/>
      <c r="C433" s="68" t="str">
        <f>IF(ISNA(VLOOKUP($B433,CPY!$B:$G,2,FALSE))=TRUE," ",VLOOKUP($B433,CPY!$B:$G,2,FALSE))</f>
        <v> </v>
      </c>
      <c r="D433" s="50" t="str">
        <f>IF(ISNA(VLOOKUP($B433,CPY!$B:$G,3,FALSE))=TRUE," ",VLOOKUP($B433,CPY!$B:$G,3,FALSE))</f>
        <v> </v>
      </c>
      <c r="E433" s="65" t="str">
        <f>IF(ISNA(VLOOKUP($B433,CPY!$B:$G,4,FALSE))=TRUE," ",VLOOKUP($B433,CPY!$B:$G,4,FALSE))</f>
        <v> </v>
      </c>
      <c r="F433" s="62"/>
      <c r="G433" s="75"/>
      <c r="H433" s="75"/>
      <c r="I433" s="62"/>
    </row>
    <row r="434" spans="1:9" x14ac:dyDescent="0.25">
      <c r="A434" s="62">
        <v>433</v>
      </c>
      <c r="B434" s="62"/>
      <c r="C434" s="68" t="str">
        <f>IF(ISNA(VLOOKUP($B434,CPY!$B:$G,2,FALSE))=TRUE," ",VLOOKUP($B434,CPY!$B:$G,2,FALSE))</f>
        <v> </v>
      </c>
      <c r="D434" s="50" t="str">
        <f>IF(ISNA(VLOOKUP($B434,CPY!$B:$G,3,FALSE))=TRUE," ",VLOOKUP($B434,CPY!$B:$G,3,FALSE))</f>
        <v> </v>
      </c>
      <c r="E434" s="65" t="str">
        <f>IF(ISNA(VLOOKUP($B434,CPY!$B:$G,4,FALSE))=TRUE," ",VLOOKUP($B434,CPY!$B:$G,4,FALSE))</f>
        <v> </v>
      </c>
      <c r="F434" s="62"/>
      <c r="G434" s="75"/>
      <c r="H434" s="75"/>
      <c r="I434" s="62"/>
    </row>
    <row r="435" spans="1:9" x14ac:dyDescent="0.25">
      <c r="A435" s="62">
        <v>434</v>
      </c>
      <c r="B435" s="62"/>
      <c r="C435" s="68" t="str">
        <f>IF(ISNA(VLOOKUP($B435,CPY!$B:$G,2,FALSE))=TRUE," ",VLOOKUP($B435,CPY!$B:$G,2,FALSE))</f>
        <v> </v>
      </c>
      <c r="D435" s="50" t="str">
        <f>IF(ISNA(VLOOKUP($B435,CPY!$B:$G,3,FALSE))=TRUE," ",VLOOKUP($B435,CPY!$B:$G,3,FALSE))</f>
        <v> </v>
      </c>
      <c r="E435" s="65" t="str">
        <f>IF(ISNA(VLOOKUP($B435,CPY!$B:$G,4,FALSE))=TRUE," ",VLOOKUP($B435,CPY!$B:$G,4,FALSE))</f>
        <v> </v>
      </c>
      <c r="F435" s="62"/>
      <c r="G435" s="75"/>
      <c r="H435" s="75"/>
      <c r="I435" s="62"/>
    </row>
    <row r="436" spans="1:9" x14ac:dyDescent="0.25">
      <c r="A436" s="62">
        <v>435</v>
      </c>
      <c r="B436" s="62"/>
      <c r="C436" s="68" t="str">
        <f>IF(ISNA(VLOOKUP($B436,CPY!$B:$G,2,FALSE))=TRUE," ",VLOOKUP($B436,CPY!$B:$G,2,FALSE))</f>
        <v> </v>
      </c>
      <c r="D436" s="50" t="str">
        <f>IF(ISNA(VLOOKUP($B436,CPY!$B:$G,3,FALSE))=TRUE," ",VLOOKUP($B436,CPY!$B:$G,3,FALSE))</f>
        <v> </v>
      </c>
      <c r="E436" s="65" t="str">
        <f>IF(ISNA(VLOOKUP($B436,CPY!$B:$G,4,FALSE))=TRUE," ",VLOOKUP($B436,CPY!$B:$G,4,FALSE))</f>
        <v> </v>
      </c>
      <c r="F436" s="62"/>
      <c r="G436" s="75"/>
      <c r="H436" s="75"/>
      <c r="I436" s="62"/>
    </row>
    <row r="437" spans="1:9" x14ac:dyDescent="0.25">
      <c r="A437" s="62">
        <v>436</v>
      </c>
      <c r="B437" s="62"/>
      <c r="C437" s="68" t="str">
        <f>IF(ISNA(VLOOKUP($B437,CPY!$B:$G,2,FALSE))=TRUE," ",VLOOKUP($B437,CPY!$B:$G,2,FALSE))</f>
        <v> </v>
      </c>
      <c r="D437" s="50" t="str">
        <f>IF(ISNA(VLOOKUP($B437,CPY!$B:$G,3,FALSE))=TRUE," ",VLOOKUP($B437,CPY!$B:$G,3,FALSE))</f>
        <v> </v>
      </c>
      <c r="E437" s="65" t="str">
        <f>IF(ISNA(VLOOKUP($B437,CPY!$B:$G,4,FALSE))=TRUE," ",VLOOKUP($B437,CPY!$B:$G,4,FALSE))</f>
        <v> </v>
      </c>
      <c r="F437" s="62"/>
      <c r="G437" s="75"/>
      <c r="H437" s="75"/>
      <c r="I437" s="62"/>
    </row>
    <row r="438" spans="1:9" x14ac:dyDescent="0.25">
      <c r="A438" s="62">
        <v>437</v>
      </c>
      <c r="B438" s="62"/>
      <c r="C438" s="68" t="str">
        <f>IF(ISNA(VLOOKUP($B438,CPY!$B:$G,2,FALSE))=TRUE," ",VLOOKUP($B438,CPY!$B:$G,2,FALSE))</f>
        <v> </v>
      </c>
      <c r="D438" s="50" t="str">
        <f>IF(ISNA(VLOOKUP($B438,CPY!$B:$G,3,FALSE))=TRUE," ",VLOOKUP($B438,CPY!$B:$G,3,FALSE))</f>
        <v> </v>
      </c>
      <c r="E438" s="65" t="str">
        <f>IF(ISNA(VLOOKUP($B438,CPY!$B:$G,4,FALSE))=TRUE," ",VLOOKUP($B438,CPY!$B:$G,4,FALSE))</f>
        <v> </v>
      </c>
      <c r="F438" s="62"/>
      <c r="G438" s="75"/>
      <c r="H438" s="75"/>
      <c r="I438" s="62"/>
    </row>
    <row r="439" spans="1:9" x14ac:dyDescent="0.25">
      <c r="A439" s="62">
        <v>438</v>
      </c>
      <c r="B439" s="62"/>
      <c r="C439" s="68" t="str">
        <f>IF(ISNA(VLOOKUP($B439,CPY!$B:$G,2,FALSE))=TRUE," ",VLOOKUP($B439,CPY!$B:$G,2,FALSE))</f>
        <v> </v>
      </c>
      <c r="D439" s="50" t="str">
        <f>IF(ISNA(VLOOKUP($B439,CPY!$B:$G,3,FALSE))=TRUE," ",VLOOKUP($B439,CPY!$B:$G,3,FALSE))</f>
        <v> </v>
      </c>
      <c r="E439" s="65" t="str">
        <f>IF(ISNA(VLOOKUP($B439,CPY!$B:$G,4,FALSE))=TRUE," ",VLOOKUP($B439,CPY!$B:$G,4,FALSE))</f>
        <v> </v>
      </c>
      <c r="F439" s="62"/>
      <c r="G439" s="75"/>
      <c r="H439" s="75"/>
      <c r="I439" s="62"/>
    </row>
    <row r="440" spans="1:9" x14ac:dyDescent="0.25">
      <c r="A440" s="62">
        <v>439</v>
      </c>
      <c r="B440" s="62"/>
      <c r="C440" s="68" t="str">
        <f>IF(ISNA(VLOOKUP($B440,CPY!$B:$G,2,FALSE))=TRUE," ",VLOOKUP($B440,CPY!$B:$G,2,FALSE))</f>
        <v> </v>
      </c>
      <c r="D440" s="50" t="str">
        <f>IF(ISNA(VLOOKUP($B440,CPY!$B:$G,3,FALSE))=TRUE," ",VLOOKUP($B440,CPY!$B:$G,3,FALSE))</f>
        <v> </v>
      </c>
      <c r="E440" s="65" t="str">
        <f>IF(ISNA(VLOOKUP($B440,CPY!$B:$G,4,FALSE))=TRUE," ",VLOOKUP($B440,CPY!$B:$G,4,FALSE))</f>
        <v> </v>
      </c>
      <c r="F440" s="62"/>
      <c r="G440" s="75"/>
      <c r="H440" s="75"/>
      <c r="I440" s="62"/>
    </row>
    <row r="441" spans="1:9" x14ac:dyDescent="0.25">
      <c r="A441" s="62">
        <v>440</v>
      </c>
      <c r="B441" s="62"/>
      <c r="C441" s="68" t="str">
        <f>IF(ISNA(VLOOKUP($B441,CPY!$B:$G,2,FALSE))=TRUE," ",VLOOKUP($B441,CPY!$B:$G,2,FALSE))</f>
        <v> </v>
      </c>
      <c r="D441" s="50" t="str">
        <f>IF(ISNA(VLOOKUP($B441,CPY!$B:$G,3,FALSE))=TRUE," ",VLOOKUP($B441,CPY!$B:$G,3,FALSE))</f>
        <v> </v>
      </c>
      <c r="E441" s="65" t="str">
        <f>IF(ISNA(VLOOKUP($B441,CPY!$B:$G,4,FALSE))=TRUE," ",VLOOKUP($B441,CPY!$B:$G,4,FALSE))</f>
        <v> </v>
      </c>
      <c r="F441" s="62"/>
      <c r="G441" s="75"/>
      <c r="H441" s="75"/>
      <c r="I441" s="62"/>
    </row>
    <row r="442" spans="1:9" x14ac:dyDescent="0.25">
      <c r="A442" s="62">
        <v>441</v>
      </c>
      <c r="B442" s="62"/>
      <c r="C442" s="68" t="str">
        <f>IF(ISNA(VLOOKUP($B442,CPY!$B:$G,2,FALSE))=TRUE," ",VLOOKUP($B442,CPY!$B:$G,2,FALSE))</f>
        <v> </v>
      </c>
      <c r="D442" s="50" t="str">
        <f>IF(ISNA(VLOOKUP($B442,CPY!$B:$G,3,FALSE))=TRUE," ",VLOOKUP($B442,CPY!$B:$G,3,FALSE))</f>
        <v> </v>
      </c>
      <c r="E442" s="65" t="str">
        <f>IF(ISNA(VLOOKUP($B442,CPY!$B:$G,4,FALSE))=TRUE," ",VLOOKUP($B442,CPY!$B:$G,4,FALSE))</f>
        <v> </v>
      </c>
      <c r="F442" s="62"/>
      <c r="G442" s="75"/>
      <c r="H442" s="75"/>
      <c r="I442" s="62"/>
    </row>
    <row r="443" spans="1:9" x14ac:dyDescent="0.25">
      <c r="A443" s="62">
        <v>442</v>
      </c>
      <c r="B443" s="62"/>
      <c r="C443" s="68" t="str">
        <f>IF(ISNA(VLOOKUP($B443,CPY!$B:$G,2,FALSE))=TRUE," ",VLOOKUP($B443,CPY!$B:$G,2,FALSE))</f>
        <v> </v>
      </c>
      <c r="D443" s="50" t="str">
        <f>IF(ISNA(VLOOKUP($B443,CPY!$B:$G,3,FALSE))=TRUE," ",VLOOKUP($B443,CPY!$B:$G,3,FALSE))</f>
        <v> </v>
      </c>
      <c r="E443" s="65" t="str">
        <f>IF(ISNA(VLOOKUP($B443,CPY!$B:$G,4,FALSE))=TRUE," ",VLOOKUP($B443,CPY!$B:$G,4,FALSE))</f>
        <v> </v>
      </c>
      <c r="F443" s="62"/>
      <c r="G443" s="75"/>
      <c r="H443" s="75"/>
      <c r="I443" s="62"/>
    </row>
    <row r="444" spans="1:9" x14ac:dyDescent="0.25">
      <c r="A444" s="62">
        <v>443</v>
      </c>
      <c r="B444" s="62"/>
      <c r="C444" s="68" t="str">
        <f>IF(ISNA(VLOOKUP($B444,CPY!$B:$G,2,FALSE))=TRUE," ",VLOOKUP($B444,CPY!$B:$G,2,FALSE))</f>
        <v> </v>
      </c>
      <c r="D444" s="50" t="str">
        <f>IF(ISNA(VLOOKUP($B444,CPY!$B:$G,3,FALSE))=TRUE," ",VLOOKUP($B444,CPY!$B:$G,3,FALSE))</f>
        <v> </v>
      </c>
      <c r="E444" s="65" t="str">
        <f>IF(ISNA(VLOOKUP($B444,CPY!$B:$G,4,FALSE))=TRUE," ",VLOOKUP($B444,CPY!$B:$G,4,FALSE))</f>
        <v> </v>
      </c>
      <c r="F444" s="62"/>
      <c r="G444" s="75"/>
      <c r="H444" s="75"/>
      <c r="I444" s="62"/>
    </row>
    <row r="445" spans="1:9" x14ac:dyDescent="0.25">
      <c r="A445" s="62">
        <v>444</v>
      </c>
      <c r="B445" s="62"/>
      <c r="C445" s="68" t="str">
        <f>IF(ISNA(VLOOKUP($B445,CPY!$B:$G,2,FALSE))=TRUE," ",VLOOKUP($B445,CPY!$B:$G,2,FALSE))</f>
        <v> </v>
      </c>
      <c r="D445" s="50" t="str">
        <f>IF(ISNA(VLOOKUP($B445,CPY!$B:$G,3,FALSE))=TRUE," ",VLOOKUP($B445,CPY!$B:$G,3,FALSE))</f>
        <v> </v>
      </c>
      <c r="E445" s="65" t="str">
        <f>IF(ISNA(VLOOKUP($B445,CPY!$B:$G,4,FALSE))=TRUE," ",VLOOKUP($B445,CPY!$B:$G,4,FALSE))</f>
        <v> </v>
      </c>
      <c r="F445" s="62"/>
      <c r="G445" s="75"/>
      <c r="H445" s="75"/>
      <c r="I445" s="62"/>
    </row>
    <row r="446" spans="1:9" x14ac:dyDescent="0.25">
      <c r="A446" s="62">
        <v>445</v>
      </c>
      <c r="B446" s="62"/>
      <c r="C446" s="68" t="str">
        <f>IF(ISNA(VLOOKUP($B446,CPY!$B:$G,2,FALSE))=TRUE," ",VLOOKUP($B446,CPY!$B:$G,2,FALSE))</f>
        <v> </v>
      </c>
      <c r="D446" s="50" t="str">
        <f>IF(ISNA(VLOOKUP($B446,CPY!$B:$G,3,FALSE))=TRUE," ",VLOOKUP($B446,CPY!$B:$G,3,FALSE))</f>
        <v> </v>
      </c>
      <c r="E446" s="65" t="str">
        <f>IF(ISNA(VLOOKUP($B446,CPY!$B:$G,4,FALSE))=TRUE," ",VLOOKUP($B446,CPY!$B:$G,4,FALSE))</f>
        <v> </v>
      </c>
      <c r="F446" s="62"/>
      <c r="G446" s="75"/>
      <c r="H446" s="75"/>
      <c r="I446" s="62"/>
    </row>
    <row r="447" spans="1:9" x14ac:dyDescent="0.25">
      <c r="A447" s="62">
        <v>446</v>
      </c>
      <c r="B447" s="62"/>
      <c r="C447" s="68" t="str">
        <f>IF(ISNA(VLOOKUP($B447,CPY!$B:$G,2,FALSE))=TRUE," ",VLOOKUP($B447,CPY!$B:$G,2,FALSE))</f>
        <v> </v>
      </c>
      <c r="D447" s="50" t="str">
        <f>IF(ISNA(VLOOKUP($B447,CPY!$B:$G,3,FALSE))=TRUE," ",VLOOKUP($B447,CPY!$B:$G,3,FALSE))</f>
        <v> </v>
      </c>
      <c r="E447" s="65" t="str">
        <f>IF(ISNA(VLOOKUP($B447,CPY!$B:$G,4,FALSE))=TRUE," ",VLOOKUP($B447,CPY!$B:$G,4,FALSE))</f>
        <v> </v>
      </c>
      <c r="F447" s="62"/>
      <c r="G447" s="75"/>
      <c r="H447" s="75"/>
      <c r="I447" s="62"/>
    </row>
    <row r="448" spans="1:9" x14ac:dyDescent="0.25">
      <c r="A448" s="62">
        <v>447</v>
      </c>
      <c r="B448" s="62"/>
      <c r="C448" s="68" t="str">
        <f>IF(ISNA(VLOOKUP($B448,CPY!$B:$G,2,FALSE))=TRUE," ",VLOOKUP($B448,CPY!$B:$G,2,FALSE))</f>
        <v> </v>
      </c>
      <c r="D448" s="50" t="str">
        <f>IF(ISNA(VLOOKUP($B448,CPY!$B:$G,3,FALSE))=TRUE," ",VLOOKUP($B448,CPY!$B:$G,3,FALSE))</f>
        <v> </v>
      </c>
      <c r="E448" s="65" t="str">
        <f>IF(ISNA(VLOOKUP($B448,CPY!$B:$G,4,FALSE))=TRUE," ",VLOOKUP($B448,CPY!$B:$G,4,FALSE))</f>
        <v> </v>
      </c>
      <c r="F448" s="62"/>
      <c r="G448" s="75"/>
      <c r="H448" s="75"/>
      <c r="I448" s="62"/>
    </row>
    <row r="449" spans="1:9" x14ac:dyDescent="0.25">
      <c r="A449" s="62">
        <v>448</v>
      </c>
      <c r="B449" s="62"/>
      <c r="C449" s="68" t="str">
        <f>IF(ISNA(VLOOKUP($B449,CPY!$B:$G,2,FALSE))=TRUE," ",VLOOKUP($B449,CPY!$B:$G,2,FALSE))</f>
        <v> </v>
      </c>
      <c r="D449" s="50" t="str">
        <f>IF(ISNA(VLOOKUP($B449,CPY!$B:$G,3,FALSE))=TRUE," ",VLOOKUP($B449,CPY!$B:$G,3,FALSE))</f>
        <v> </v>
      </c>
      <c r="E449" s="65" t="str">
        <f>IF(ISNA(VLOOKUP($B449,CPY!$B:$G,4,FALSE))=TRUE," ",VLOOKUP($B449,CPY!$B:$G,4,FALSE))</f>
        <v> </v>
      </c>
      <c r="F449" s="62"/>
      <c r="G449" s="75"/>
      <c r="H449" s="75"/>
      <c r="I449" s="62"/>
    </row>
    <row r="450" spans="1:9" x14ac:dyDescent="0.25">
      <c r="A450" s="62">
        <v>449</v>
      </c>
      <c r="B450" s="62"/>
      <c r="C450" s="68" t="str">
        <f>IF(ISNA(VLOOKUP($B450,CPY!$B:$G,2,FALSE))=TRUE," ",VLOOKUP($B450,CPY!$B:$G,2,FALSE))</f>
        <v> </v>
      </c>
      <c r="D450" s="50" t="str">
        <f>IF(ISNA(VLOOKUP($B450,CPY!$B:$G,3,FALSE))=TRUE," ",VLOOKUP($B450,CPY!$B:$G,3,FALSE))</f>
        <v> </v>
      </c>
      <c r="E450" s="65" t="str">
        <f>IF(ISNA(VLOOKUP($B450,CPY!$B:$G,4,FALSE))=TRUE," ",VLOOKUP($B450,CPY!$B:$G,4,FALSE))</f>
        <v> </v>
      </c>
      <c r="F450" s="62"/>
      <c r="G450" s="75"/>
      <c r="H450" s="75"/>
      <c r="I450" s="62"/>
    </row>
    <row r="451" spans="1:9" x14ac:dyDescent="0.25">
      <c r="A451" s="62">
        <v>450</v>
      </c>
      <c r="B451" s="62"/>
      <c r="C451" s="68" t="str">
        <f>IF(ISNA(VLOOKUP($B451,CPY!$B:$G,2,FALSE))=TRUE," ",VLOOKUP($B451,CPY!$B:$G,2,FALSE))</f>
        <v> </v>
      </c>
      <c r="D451" s="50" t="str">
        <f>IF(ISNA(VLOOKUP($B451,CPY!$B:$G,3,FALSE))=TRUE," ",VLOOKUP($B451,CPY!$B:$G,3,FALSE))</f>
        <v> </v>
      </c>
      <c r="E451" s="65" t="str">
        <f>IF(ISNA(VLOOKUP($B451,CPY!$B:$G,4,FALSE))=TRUE," ",VLOOKUP($B451,CPY!$B:$G,4,FALSE))</f>
        <v> </v>
      </c>
      <c r="F451" s="62"/>
      <c r="G451" s="75"/>
      <c r="H451" s="75"/>
      <c r="I451" s="62"/>
    </row>
    <row r="452" spans="1:9" x14ac:dyDescent="0.25">
      <c r="A452" s="62">
        <v>451</v>
      </c>
      <c r="B452" s="62"/>
      <c r="C452" s="68" t="str">
        <f>IF(ISNA(VLOOKUP($B452,CPY!$B:$G,2,FALSE))=TRUE," ",VLOOKUP($B452,CPY!$B:$G,2,FALSE))</f>
        <v> </v>
      </c>
      <c r="D452" s="50" t="str">
        <f>IF(ISNA(VLOOKUP($B452,CPY!$B:$G,3,FALSE))=TRUE," ",VLOOKUP($B452,CPY!$B:$G,3,FALSE))</f>
        <v> </v>
      </c>
      <c r="E452" s="65" t="str">
        <f>IF(ISNA(VLOOKUP($B452,CPY!$B:$G,4,FALSE))=TRUE," ",VLOOKUP($B452,CPY!$B:$G,4,FALSE))</f>
        <v> </v>
      </c>
      <c r="F452" s="62"/>
      <c r="G452" s="75"/>
      <c r="H452" s="75"/>
      <c r="I452" s="62"/>
    </row>
    <row r="453" spans="1:9" x14ac:dyDescent="0.25">
      <c r="A453" s="62">
        <v>452</v>
      </c>
      <c r="B453" s="62"/>
      <c r="C453" s="68" t="str">
        <f>IF(ISNA(VLOOKUP($B453,CPY!$B:$G,2,FALSE))=TRUE," ",VLOOKUP($B453,CPY!$B:$G,2,FALSE))</f>
        <v> </v>
      </c>
      <c r="D453" s="50" t="str">
        <f>IF(ISNA(VLOOKUP($B453,CPY!$B:$G,3,FALSE))=TRUE," ",VLOOKUP($B453,CPY!$B:$G,3,FALSE))</f>
        <v> </v>
      </c>
      <c r="E453" s="65" t="str">
        <f>IF(ISNA(VLOOKUP($B453,CPY!$B:$G,4,FALSE))=TRUE," ",VLOOKUP($B453,CPY!$B:$G,4,FALSE))</f>
        <v> </v>
      </c>
      <c r="F453" s="62"/>
      <c r="G453" s="75"/>
      <c r="H453" s="75"/>
      <c r="I453" s="62"/>
    </row>
    <row r="454" spans="1:9" x14ac:dyDescent="0.25">
      <c r="A454" s="62">
        <v>453</v>
      </c>
      <c r="B454" s="62"/>
      <c r="C454" s="68" t="str">
        <f>IF(ISNA(VLOOKUP($B454,CPY!$B:$G,2,FALSE))=TRUE," ",VLOOKUP($B454,CPY!$B:$G,2,FALSE))</f>
        <v> </v>
      </c>
      <c r="D454" s="50" t="str">
        <f>IF(ISNA(VLOOKUP($B454,CPY!$B:$G,3,FALSE))=TRUE," ",VLOOKUP($B454,CPY!$B:$G,3,FALSE))</f>
        <v> </v>
      </c>
      <c r="E454" s="65" t="str">
        <f>IF(ISNA(VLOOKUP($B454,CPY!$B:$G,4,FALSE))=TRUE," ",VLOOKUP($B454,CPY!$B:$G,4,FALSE))</f>
        <v> </v>
      </c>
      <c r="F454" s="62"/>
      <c r="G454" s="75"/>
      <c r="H454" s="75"/>
      <c r="I454" s="62"/>
    </row>
    <row r="455" spans="1:9" x14ac:dyDescent="0.25">
      <c r="A455" s="62">
        <v>454</v>
      </c>
      <c r="B455" s="62"/>
      <c r="C455" s="68" t="str">
        <f>IF(ISNA(VLOOKUP($B455,CPY!$B:$G,2,FALSE))=TRUE," ",VLOOKUP($B455,CPY!$B:$G,2,FALSE))</f>
        <v> </v>
      </c>
      <c r="D455" s="50" t="str">
        <f>IF(ISNA(VLOOKUP($B455,CPY!$B:$G,3,FALSE))=TRUE," ",VLOOKUP($B455,CPY!$B:$G,3,FALSE))</f>
        <v> </v>
      </c>
      <c r="E455" s="65" t="str">
        <f>IF(ISNA(VLOOKUP($B455,CPY!$B:$G,4,FALSE))=TRUE," ",VLOOKUP($B455,CPY!$B:$G,4,FALSE))</f>
        <v> </v>
      </c>
      <c r="F455" s="62"/>
      <c r="G455" s="75"/>
      <c r="H455" s="75"/>
      <c r="I455" s="62"/>
    </row>
    <row r="456" spans="1:9" x14ac:dyDescent="0.25">
      <c r="A456" s="62">
        <v>455</v>
      </c>
      <c r="B456" s="62"/>
      <c r="C456" s="68" t="str">
        <f>IF(ISNA(VLOOKUP($B456,CPY!$B:$G,2,FALSE))=TRUE," ",VLOOKUP($B456,CPY!$B:$G,2,FALSE))</f>
        <v> </v>
      </c>
      <c r="D456" s="50" t="str">
        <f>IF(ISNA(VLOOKUP($B456,CPY!$B:$G,3,FALSE))=TRUE," ",VLOOKUP($B456,CPY!$B:$G,3,FALSE))</f>
        <v> </v>
      </c>
      <c r="E456" s="65" t="str">
        <f>IF(ISNA(VLOOKUP($B456,CPY!$B:$G,4,FALSE))=TRUE," ",VLOOKUP($B456,CPY!$B:$G,4,FALSE))</f>
        <v> </v>
      </c>
      <c r="F456" s="62"/>
      <c r="G456" s="75"/>
      <c r="H456" s="75"/>
      <c r="I456" s="62"/>
    </row>
    <row r="457" spans="1:9" x14ac:dyDescent="0.25">
      <c r="A457" s="62">
        <v>456</v>
      </c>
      <c r="B457" s="62"/>
      <c r="C457" s="68" t="str">
        <f>IF(ISNA(VLOOKUP($B457,CPY!$B:$G,2,FALSE))=TRUE," ",VLOOKUP($B457,CPY!$B:$G,2,FALSE))</f>
        <v> </v>
      </c>
      <c r="D457" s="50" t="str">
        <f>IF(ISNA(VLOOKUP($B457,CPY!$B:$G,3,FALSE))=TRUE," ",VLOOKUP($B457,CPY!$B:$G,3,FALSE))</f>
        <v> </v>
      </c>
      <c r="E457" s="65" t="str">
        <f>IF(ISNA(VLOOKUP($B457,CPY!$B:$G,4,FALSE))=TRUE," ",VLOOKUP($B457,CPY!$B:$G,4,FALSE))</f>
        <v> </v>
      </c>
      <c r="F457" s="62"/>
      <c r="G457" s="75"/>
      <c r="H457" s="75"/>
      <c r="I457" s="62"/>
    </row>
    <row r="458" spans="1:9" x14ac:dyDescent="0.25">
      <c r="A458" s="62">
        <v>457</v>
      </c>
      <c r="B458" s="62"/>
      <c r="C458" s="68" t="str">
        <f>IF(ISNA(VLOOKUP($B458,CPY!$B:$G,2,FALSE))=TRUE," ",VLOOKUP($B458,CPY!$B:$G,2,FALSE))</f>
        <v> </v>
      </c>
      <c r="D458" s="50" t="str">
        <f>IF(ISNA(VLOOKUP($B458,CPY!$B:$G,3,FALSE))=TRUE," ",VLOOKUP($B458,CPY!$B:$G,3,FALSE))</f>
        <v> </v>
      </c>
      <c r="E458" s="65" t="str">
        <f>IF(ISNA(VLOOKUP($B458,CPY!$B:$G,4,FALSE))=TRUE," ",VLOOKUP($B458,CPY!$B:$G,4,FALSE))</f>
        <v> </v>
      </c>
      <c r="F458" s="62"/>
      <c r="G458" s="75"/>
      <c r="H458" s="75"/>
      <c r="I458" s="62"/>
    </row>
    <row r="459" spans="1:9" x14ac:dyDescent="0.25">
      <c r="A459" s="62">
        <v>458</v>
      </c>
      <c r="B459" s="62"/>
      <c r="C459" s="68" t="str">
        <f>IF(ISNA(VLOOKUP($B459,CPY!$B:$G,2,FALSE))=TRUE," ",VLOOKUP($B459,CPY!$B:$G,2,FALSE))</f>
        <v> </v>
      </c>
      <c r="D459" s="50" t="str">
        <f>IF(ISNA(VLOOKUP($B459,CPY!$B:$G,3,FALSE))=TRUE," ",VLOOKUP($B459,CPY!$B:$G,3,FALSE))</f>
        <v> </v>
      </c>
      <c r="E459" s="65" t="str">
        <f>IF(ISNA(VLOOKUP($B459,CPY!$B:$G,4,FALSE))=TRUE," ",VLOOKUP($B459,CPY!$B:$G,4,FALSE))</f>
        <v> </v>
      </c>
      <c r="F459" s="62"/>
      <c r="G459" s="75"/>
      <c r="H459" s="75"/>
      <c r="I459" s="62"/>
    </row>
    <row r="460" spans="1:9" x14ac:dyDescent="0.25">
      <c r="A460" s="62">
        <v>459</v>
      </c>
      <c r="B460" s="62"/>
      <c r="C460" s="68" t="str">
        <f>IF(ISNA(VLOOKUP($B460,CPY!$B:$G,2,FALSE))=TRUE," ",VLOOKUP($B460,CPY!$B:$G,2,FALSE))</f>
        <v> </v>
      </c>
      <c r="D460" s="50" t="str">
        <f>IF(ISNA(VLOOKUP($B460,CPY!$B:$G,3,FALSE))=TRUE," ",VLOOKUP($B460,CPY!$B:$G,3,FALSE))</f>
        <v> </v>
      </c>
      <c r="E460" s="65" t="str">
        <f>IF(ISNA(VLOOKUP($B460,CPY!$B:$G,4,FALSE))=TRUE," ",VLOOKUP($B460,CPY!$B:$G,4,FALSE))</f>
        <v> </v>
      </c>
      <c r="F460" s="62"/>
      <c r="G460" s="75"/>
      <c r="H460" s="75"/>
      <c r="I460" s="62"/>
    </row>
    <row r="461" spans="1:9" x14ac:dyDescent="0.25">
      <c r="A461" s="62">
        <v>460</v>
      </c>
      <c r="B461" s="62"/>
      <c r="C461" s="68" t="str">
        <f>IF(ISNA(VLOOKUP($B461,CPY!$B:$G,2,FALSE))=TRUE," ",VLOOKUP($B461,CPY!$B:$G,2,FALSE))</f>
        <v> </v>
      </c>
      <c r="D461" s="50" t="str">
        <f>IF(ISNA(VLOOKUP($B461,CPY!$B:$G,3,FALSE))=TRUE," ",VLOOKUP($B461,CPY!$B:$G,3,FALSE))</f>
        <v> </v>
      </c>
      <c r="E461" s="65" t="str">
        <f>IF(ISNA(VLOOKUP($B461,CPY!$B:$G,4,FALSE))=TRUE," ",VLOOKUP($B461,CPY!$B:$G,4,FALSE))</f>
        <v> </v>
      </c>
      <c r="F461" s="62"/>
      <c r="G461" s="75"/>
      <c r="H461" s="75"/>
      <c r="I461" s="62"/>
    </row>
    <row r="462" spans="1:9" x14ac:dyDescent="0.25">
      <c r="A462" s="62">
        <v>461</v>
      </c>
      <c r="B462" s="62"/>
      <c r="C462" s="68" t="str">
        <f>IF(ISNA(VLOOKUP($B462,CPY!$B:$G,2,FALSE))=TRUE," ",VLOOKUP($B462,CPY!$B:$G,2,FALSE))</f>
        <v> </v>
      </c>
      <c r="D462" s="50" t="str">
        <f>IF(ISNA(VLOOKUP($B462,CPY!$B:$G,3,FALSE))=TRUE," ",VLOOKUP($B462,CPY!$B:$G,3,FALSE))</f>
        <v> </v>
      </c>
      <c r="E462" s="65" t="str">
        <f>IF(ISNA(VLOOKUP($B462,CPY!$B:$G,4,FALSE))=TRUE," ",VLOOKUP($B462,CPY!$B:$G,4,FALSE))</f>
        <v> </v>
      </c>
      <c r="F462" s="62"/>
      <c r="G462" s="75"/>
      <c r="H462" s="75"/>
      <c r="I462" s="62"/>
    </row>
    <row r="463" spans="1:9" x14ac:dyDescent="0.25">
      <c r="A463" s="62">
        <v>462</v>
      </c>
      <c r="B463" s="62"/>
      <c r="C463" s="68" t="str">
        <f>IF(ISNA(VLOOKUP($B463,CPY!$B:$G,2,FALSE))=TRUE," ",VLOOKUP($B463,CPY!$B:$G,2,FALSE))</f>
        <v> </v>
      </c>
      <c r="D463" s="50" t="str">
        <f>IF(ISNA(VLOOKUP($B463,CPY!$B:$G,3,FALSE))=TRUE," ",VLOOKUP($B463,CPY!$B:$G,3,FALSE))</f>
        <v> </v>
      </c>
      <c r="E463" s="65" t="str">
        <f>IF(ISNA(VLOOKUP($B463,CPY!$B:$G,4,FALSE))=TRUE," ",VLOOKUP($B463,CPY!$B:$G,4,FALSE))</f>
        <v> </v>
      </c>
      <c r="F463" s="62"/>
      <c r="G463" s="75"/>
      <c r="H463" s="75"/>
      <c r="I463" s="62"/>
    </row>
    <row r="464" spans="1:9" x14ac:dyDescent="0.25">
      <c r="A464" s="62">
        <v>463</v>
      </c>
      <c r="B464" s="62"/>
      <c r="C464" s="68" t="str">
        <f>IF(ISNA(VLOOKUP($B464,CPY!$B:$G,2,FALSE))=TRUE," ",VLOOKUP($B464,CPY!$B:$G,2,FALSE))</f>
        <v> </v>
      </c>
      <c r="D464" s="50" t="str">
        <f>IF(ISNA(VLOOKUP($B464,CPY!$B:$G,3,FALSE))=TRUE," ",VLOOKUP($B464,CPY!$B:$G,3,FALSE))</f>
        <v> </v>
      </c>
      <c r="E464" s="65" t="str">
        <f>IF(ISNA(VLOOKUP($B464,CPY!$B:$G,4,FALSE))=TRUE," ",VLOOKUP($B464,CPY!$B:$G,4,FALSE))</f>
        <v> </v>
      </c>
      <c r="F464" s="62"/>
      <c r="G464" s="75"/>
      <c r="H464" s="75"/>
      <c r="I464" s="62"/>
    </row>
    <row r="465" spans="1:9" x14ac:dyDescent="0.25">
      <c r="A465" s="62">
        <v>464</v>
      </c>
      <c r="B465" s="62"/>
      <c r="C465" s="68" t="str">
        <f>IF(ISNA(VLOOKUP($B465,CPY!$B:$G,2,FALSE))=TRUE," ",VLOOKUP($B465,CPY!$B:$G,2,FALSE))</f>
        <v> </v>
      </c>
      <c r="D465" s="50" t="str">
        <f>IF(ISNA(VLOOKUP($B465,CPY!$B:$G,3,FALSE))=TRUE," ",VLOOKUP($B465,CPY!$B:$G,3,FALSE))</f>
        <v> </v>
      </c>
      <c r="E465" s="65" t="str">
        <f>IF(ISNA(VLOOKUP($B465,CPY!$B:$G,4,FALSE))=TRUE," ",VLOOKUP($B465,CPY!$B:$G,4,FALSE))</f>
        <v> </v>
      </c>
      <c r="F465" s="62"/>
      <c r="G465" s="75"/>
      <c r="H465" s="75"/>
      <c r="I465" s="62"/>
    </row>
    <row r="466" spans="1:9" x14ac:dyDescent="0.25">
      <c r="A466" s="62">
        <v>465</v>
      </c>
      <c r="B466" s="62"/>
      <c r="C466" s="68" t="str">
        <f>IF(ISNA(VLOOKUP($B466,CPY!$B:$G,2,FALSE))=TRUE," ",VLOOKUP($B466,CPY!$B:$G,2,FALSE))</f>
        <v> </v>
      </c>
      <c r="D466" s="50" t="str">
        <f>IF(ISNA(VLOOKUP($B466,CPY!$B:$G,3,FALSE))=TRUE," ",VLOOKUP($B466,CPY!$B:$G,3,FALSE))</f>
        <v> </v>
      </c>
      <c r="E466" s="65" t="str">
        <f>IF(ISNA(VLOOKUP($B466,CPY!$B:$G,4,FALSE))=TRUE," ",VLOOKUP($B466,CPY!$B:$G,4,FALSE))</f>
        <v> </v>
      </c>
      <c r="F466" s="62"/>
      <c r="G466" s="75"/>
      <c r="H466" s="75"/>
      <c r="I466" s="62"/>
    </row>
    <row r="467" spans="1:9" x14ac:dyDescent="0.25">
      <c r="A467" s="62">
        <v>466</v>
      </c>
      <c r="B467" s="62"/>
      <c r="C467" s="68" t="str">
        <f>IF(ISNA(VLOOKUP($B467,CPY!$B:$G,2,FALSE))=TRUE," ",VLOOKUP($B467,CPY!$B:$G,2,FALSE))</f>
        <v> </v>
      </c>
      <c r="D467" s="50" t="str">
        <f>IF(ISNA(VLOOKUP($B467,CPY!$B:$G,3,FALSE))=TRUE," ",VLOOKUP($B467,CPY!$B:$G,3,FALSE))</f>
        <v> </v>
      </c>
      <c r="E467" s="65" t="str">
        <f>IF(ISNA(VLOOKUP($B467,CPY!$B:$G,4,FALSE))=TRUE," ",VLOOKUP($B467,CPY!$B:$G,4,FALSE))</f>
        <v> </v>
      </c>
      <c r="F467" s="62"/>
      <c r="G467" s="75"/>
      <c r="H467" s="75"/>
      <c r="I467" s="62"/>
    </row>
    <row r="468" spans="1:9" x14ac:dyDescent="0.25">
      <c r="A468" s="62">
        <v>467</v>
      </c>
      <c r="B468" s="62"/>
      <c r="C468" s="68" t="str">
        <f>IF(ISNA(VLOOKUP($B468,CPY!$B:$G,2,FALSE))=TRUE," ",VLOOKUP($B468,CPY!$B:$G,2,FALSE))</f>
        <v> </v>
      </c>
      <c r="D468" s="50" t="str">
        <f>IF(ISNA(VLOOKUP($B468,CPY!$B:$G,3,FALSE))=TRUE," ",VLOOKUP($B468,CPY!$B:$G,3,FALSE))</f>
        <v> </v>
      </c>
      <c r="E468" s="65" t="str">
        <f>IF(ISNA(VLOOKUP($B468,CPY!$B:$G,4,FALSE))=TRUE," ",VLOOKUP($B468,CPY!$B:$G,4,FALSE))</f>
        <v> </v>
      </c>
      <c r="F468" s="62"/>
      <c r="G468" s="75"/>
      <c r="H468" s="75"/>
      <c r="I468" s="62"/>
    </row>
    <row r="469" spans="1:9" x14ac:dyDescent="0.25">
      <c r="A469" s="62">
        <v>468</v>
      </c>
      <c r="B469" s="62"/>
      <c r="C469" s="68" t="str">
        <f>IF(ISNA(VLOOKUP($B469,CPY!$B:$G,2,FALSE))=TRUE," ",VLOOKUP($B469,CPY!$B:$G,2,FALSE))</f>
        <v> </v>
      </c>
      <c r="D469" s="50" t="str">
        <f>IF(ISNA(VLOOKUP($B469,CPY!$B:$G,3,FALSE))=TRUE," ",VLOOKUP($B469,CPY!$B:$G,3,FALSE))</f>
        <v> </v>
      </c>
      <c r="E469" s="65" t="str">
        <f>IF(ISNA(VLOOKUP($B469,CPY!$B:$G,4,FALSE))=TRUE," ",VLOOKUP($B469,CPY!$B:$G,4,FALSE))</f>
        <v> </v>
      </c>
      <c r="F469" s="62"/>
      <c r="G469" s="75"/>
      <c r="H469" s="75"/>
      <c r="I469" s="62"/>
    </row>
    <row r="470" spans="1:9" x14ac:dyDescent="0.25">
      <c r="A470" s="62">
        <v>469</v>
      </c>
      <c r="B470" s="62"/>
      <c r="C470" s="68" t="str">
        <f>IF(ISNA(VLOOKUP($B470,CPY!$B:$G,2,FALSE))=TRUE," ",VLOOKUP($B470,CPY!$B:$G,2,FALSE))</f>
        <v> </v>
      </c>
      <c r="D470" s="50" t="str">
        <f>IF(ISNA(VLOOKUP($B470,CPY!$B:$G,3,FALSE))=TRUE," ",VLOOKUP($B470,CPY!$B:$G,3,FALSE))</f>
        <v> </v>
      </c>
      <c r="E470" s="65" t="str">
        <f>IF(ISNA(VLOOKUP($B470,CPY!$B:$G,4,FALSE))=TRUE," ",VLOOKUP($B470,CPY!$B:$G,4,FALSE))</f>
        <v> </v>
      </c>
      <c r="F470" s="62"/>
      <c r="G470" s="75"/>
      <c r="H470" s="75"/>
      <c r="I470" s="62"/>
    </row>
    <row r="471" spans="1:9" x14ac:dyDescent="0.25">
      <c r="A471" s="62">
        <v>470</v>
      </c>
      <c r="B471" s="62"/>
      <c r="C471" s="68" t="str">
        <f>IF(ISNA(VLOOKUP($B471,CPY!$B:$G,2,FALSE))=TRUE," ",VLOOKUP($B471,CPY!$B:$G,2,FALSE))</f>
        <v> </v>
      </c>
      <c r="D471" s="50" t="str">
        <f>IF(ISNA(VLOOKUP($B471,CPY!$B:$G,3,FALSE))=TRUE," ",VLOOKUP($B471,CPY!$B:$G,3,FALSE))</f>
        <v> </v>
      </c>
      <c r="E471" s="65" t="str">
        <f>IF(ISNA(VLOOKUP($B471,CPY!$B:$G,4,FALSE))=TRUE," ",VLOOKUP($B471,CPY!$B:$G,4,FALSE))</f>
        <v> </v>
      </c>
      <c r="F471" s="62"/>
      <c r="G471" s="75"/>
      <c r="H471" s="75"/>
      <c r="I471" s="62"/>
    </row>
    <row r="472" spans="1:9" x14ac:dyDescent="0.25">
      <c r="A472" s="62">
        <v>471</v>
      </c>
      <c r="B472" s="62"/>
      <c r="C472" s="68" t="str">
        <f>IF(ISNA(VLOOKUP($B472,CPY!$B:$G,2,FALSE))=TRUE," ",VLOOKUP($B472,CPY!$B:$G,2,FALSE))</f>
        <v> </v>
      </c>
      <c r="D472" s="50" t="str">
        <f>IF(ISNA(VLOOKUP($B472,CPY!$B:$G,3,FALSE))=TRUE," ",VLOOKUP($B472,CPY!$B:$G,3,FALSE))</f>
        <v> </v>
      </c>
      <c r="E472" s="65" t="str">
        <f>IF(ISNA(VLOOKUP($B472,CPY!$B:$G,4,FALSE))=TRUE," ",VLOOKUP($B472,CPY!$B:$G,4,FALSE))</f>
        <v> </v>
      </c>
      <c r="F472" s="62"/>
      <c r="G472" s="75"/>
      <c r="H472" s="75"/>
      <c r="I472" s="62"/>
    </row>
    <row r="473" spans="1:9" x14ac:dyDescent="0.25">
      <c r="A473" s="62">
        <v>472</v>
      </c>
      <c r="B473" s="62"/>
      <c r="C473" s="68" t="str">
        <f>IF(ISNA(VLOOKUP($B473,CPY!$B:$G,2,FALSE))=TRUE," ",VLOOKUP($B473,CPY!$B:$G,2,FALSE))</f>
        <v> </v>
      </c>
      <c r="D473" s="50" t="str">
        <f>IF(ISNA(VLOOKUP($B473,CPY!$B:$G,3,FALSE))=TRUE," ",VLOOKUP($B473,CPY!$B:$G,3,FALSE))</f>
        <v> </v>
      </c>
      <c r="E473" s="65" t="str">
        <f>IF(ISNA(VLOOKUP($B473,CPY!$B:$G,4,FALSE))=TRUE," ",VLOOKUP($B473,CPY!$B:$G,4,FALSE))</f>
        <v> </v>
      </c>
      <c r="F473" s="62"/>
      <c r="G473" s="75"/>
      <c r="H473" s="75"/>
      <c r="I473" s="62"/>
    </row>
    <row r="474" spans="1:9" x14ac:dyDescent="0.25">
      <c r="A474" s="62">
        <v>473</v>
      </c>
      <c r="B474" s="62"/>
      <c r="C474" s="68" t="str">
        <f>IF(ISNA(VLOOKUP($B474,CPY!$B:$G,2,FALSE))=TRUE," ",VLOOKUP($B474,CPY!$B:$G,2,FALSE))</f>
        <v> </v>
      </c>
      <c r="D474" s="50" t="str">
        <f>IF(ISNA(VLOOKUP($B474,CPY!$B:$G,3,FALSE))=TRUE," ",VLOOKUP($B474,CPY!$B:$G,3,FALSE))</f>
        <v> </v>
      </c>
      <c r="E474" s="65" t="str">
        <f>IF(ISNA(VLOOKUP($B474,CPY!$B:$G,4,FALSE))=TRUE," ",VLOOKUP($B474,CPY!$B:$G,4,FALSE))</f>
        <v> </v>
      </c>
      <c r="F474" s="62"/>
      <c r="G474" s="75"/>
      <c r="H474" s="75"/>
      <c r="I474" s="62"/>
    </row>
    <row r="475" spans="1:9" x14ac:dyDescent="0.25">
      <c r="A475" s="62">
        <v>474</v>
      </c>
      <c r="B475" s="62"/>
      <c r="C475" s="68" t="str">
        <f>IF(ISNA(VLOOKUP($B475,CPY!$B:$G,2,FALSE))=TRUE," ",VLOOKUP($B475,CPY!$B:$G,2,FALSE))</f>
        <v> </v>
      </c>
      <c r="D475" s="50" t="str">
        <f>IF(ISNA(VLOOKUP($B475,CPY!$B:$G,3,FALSE))=TRUE," ",VLOOKUP($B475,CPY!$B:$G,3,FALSE))</f>
        <v> </v>
      </c>
      <c r="E475" s="65" t="str">
        <f>IF(ISNA(VLOOKUP($B475,CPY!$B:$G,4,FALSE))=TRUE," ",VLOOKUP($B475,CPY!$B:$G,4,FALSE))</f>
        <v> </v>
      </c>
      <c r="F475" s="62"/>
      <c r="G475" s="75"/>
      <c r="H475" s="75"/>
      <c r="I475" s="62"/>
    </row>
    <row r="476" spans="1:9" x14ac:dyDescent="0.25">
      <c r="A476" s="62">
        <v>475</v>
      </c>
      <c r="B476" s="62"/>
      <c r="C476" s="68" t="str">
        <f>IF(ISNA(VLOOKUP($B476,CPY!$B:$G,2,FALSE))=TRUE," ",VLOOKUP($B476,CPY!$B:$G,2,FALSE))</f>
        <v> </v>
      </c>
      <c r="D476" s="50" t="str">
        <f>IF(ISNA(VLOOKUP($B476,CPY!$B:$G,3,FALSE))=TRUE," ",VLOOKUP($B476,CPY!$B:$G,3,FALSE))</f>
        <v> </v>
      </c>
      <c r="E476" s="65" t="str">
        <f>IF(ISNA(VLOOKUP($B476,CPY!$B:$G,4,FALSE))=TRUE," ",VLOOKUP($B476,CPY!$B:$G,4,FALSE))</f>
        <v> </v>
      </c>
      <c r="F476" s="62"/>
      <c r="G476" s="75"/>
      <c r="H476" s="75"/>
      <c r="I476" s="62"/>
    </row>
    <row r="477" spans="1:9" x14ac:dyDescent="0.25">
      <c r="A477" s="62">
        <v>476</v>
      </c>
      <c r="B477" s="62"/>
      <c r="C477" s="68" t="str">
        <f>IF(ISNA(VLOOKUP($B477,CPY!$B:$G,2,FALSE))=TRUE," ",VLOOKUP($B477,CPY!$B:$G,2,FALSE))</f>
        <v> </v>
      </c>
      <c r="D477" s="50" t="str">
        <f>IF(ISNA(VLOOKUP($B477,CPY!$B:$G,3,FALSE))=TRUE," ",VLOOKUP($B477,CPY!$B:$G,3,FALSE))</f>
        <v> </v>
      </c>
      <c r="E477" s="65" t="str">
        <f>IF(ISNA(VLOOKUP($B477,CPY!$B:$G,4,FALSE))=TRUE," ",VLOOKUP($B477,CPY!$B:$G,4,FALSE))</f>
        <v> </v>
      </c>
      <c r="F477" s="62"/>
      <c r="G477" s="75"/>
      <c r="H477" s="75"/>
      <c r="I477" s="62"/>
    </row>
    <row r="478" spans="1:9" x14ac:dyDescent="0.25">
      <c r="A478" s="62">
        <v>477</v>
      </c>
      <c r="B478" s="62"/>
      <c r="C478" s="68" t="str">
        <f>IF(ISNA(VLOOKUP($B478,CPY!$B:$G,2,FALSE))=TRUE," ",VLOOKUP($B478,CPY!$B:$G,2,FALSE))</f>
        <v> </v>
      </c>
      <c r="D478" s="50" t="str">
        <f>IF(ISNA(VLOOKUP($B478,CPY!$B:$G,3,FALSE))=TRUE," ",VLOOKUP($B478,CPY!$B:$G,3,FALSE))</f>
        <v> </v>
      </c>
      <c r="E478" s="65" t="str">
        <f>IF(ISNA(VLOOKUP($B478,CPY!$B:$G,4,FALSE))=TRUE," ",VLOOKUP($B478,CPY!$B:$G,4,FALSE))</f>
        <v> </v>
      </c>
      <c r="F478" s="62"/>
      <c r="G478" s="75"/>
      <c r="H478" s="75"/>
      <c r="I478" s="62"/>
    </row>
    <row r="479" spans="1:9" x14ac:dyDescent="0.25">
      <c r="A479" s="62">
        <v>478</v>
      </c>
      <c r="B479" s="62"/>
      <c r="C479" s="68" t="str">
        <f>IF(ISNA(VLOOKUP($B479,CPY!$B:$G,2,FALSE))=TRUE," ",VLOOKUP($B479,CPY!$B:$G,2,FALSE))</f>
        <v> </v>
      </c>
      <c r="D479" s="50" t="str">
        <f>IF(ISNA(VLOOKUP($B479,CPY!$B:$G,3,FALSE))=TRUE," ",VLOOKUP($B479,CPY!$B:$G,3,FALSE))</f>
        <v> </v>
      </c>
      <c r="E479" s="65" t="str">
        <f>IF(ISNA(VLOOKUP($B479,CPY!$B:$G,4,FALSE))=TRUE," ",VLOOKUP($B479,CPY!$B:$G,4,FALSE))</f>
        <v> </v>
      </c>
      <c r="F479" s="62"/>
      <c r="G479" s="75"/>
      <c r="H479" s="75"/>
      <c r="I479" s="62"/>
    </row>
    <row r="480" spans="1:9" x14ac:dyDescent="0.25">
      <c r="A480" s="62">
        <v>479</v>
      </c>
      <c r="B480" s="62"/>
      <c r="C480" s="68" t="str">
        <f>IF(ISNA(VLOOKUP($B480,CPY!$B:$G,2,FALSE))=TRUE," ",VLOOKUP($B480,CPY!$B:$G,2,FALSE))</f>
        <v> </v>
      </c>
      <c r="D480" s="50" t="str">
        <f>IF(ISNA(VLOOKUP($B480,CPY!$B:$G,3,FALSE))=TRUE," ",VLOOKUP($B480,CPY!$B:$G,3,FALSE))</f>
        <v> </v>
      </c>
      <c r="E480" s="65" t="str">
        <f>IF(ISNA(VLOOKUP($B480,CPY!$B:$G,4,FALSE))=TRUE," ",VLOOKUP($B480,CPY!$B:$G,4,FALSE))</f>
        <v> </v>
      </c>
      <c r="F480" s="62"/>
      <c r="G480" s="75"/>
      <c r="H480" s="75"/>
      <c r="I480" s="62"/>
    </row>
    <row r="481" spans="1:9" x14ac:dyDescent="0.25">
      <c r="A481" s="62">
        <v>480</v>
      </c>
      <c r="B481" s="62"/>
      <c r="C481" s="68" t="str">
        <f>IF(ISNA(VLOOKUP($B481,CPY!$B:$G,2,FALSE))=TRUE," ",VLOOKUP($B481,CPY!$B:$G,2,FALSE))</f>
        <v> </v>
      </c>
      <c r="D481" s="50" t="str">
        <f>IF(ISNA(VLOOKUP($B481,CPY!$B:$G,3,FALSE))=TRUE," ",VLOOKUP($B481,CPY!$B:$G,3,FALSE))</f>
        <v> </v>
      </c>
      <c r="E481" s="65" t="str">
        <f>IF(ISNA(VLOOKUP($B481,CPY!$B:$G,4,FALSE))=TRUE," ",VLOOKUP($B481,CPY!$B:$G,4,FALSE))</f>
        <v> </v>
      </c>
      <c r="F481" s="62"/>
      <c r="G481" s="75"/>
      <c r="H481" s="75"/>
      <c r="I481" s="62"/>
    </row>
    <row r="482" spans="1:9" x14ac:dyDescent="0.25">
      <c r="A482" s="62">
        <v>481</v>
      </c>
      <c r="B482" s="62"/>
      <c r="C482" s="68" t="str">
        <f>IF(ISNA(VLOOKUP($B482,CPY!$B:$G,2,FALSE))=TRUE," ",VLOOKUP($B482,CPY!$B:$G,2,FALSE))</f>
        <v> </v>
      </c>
      <c r="D482" s="50" t="str">
        <f>IF(ISNA(VLOOKUP($B482,CPY!$B:$G,3,FALSE))=TRUE," ",VLOOKUP($B482,CPY!$B:$G,3,FALSE))</f>
        <v> </v>
      </c>
      <c r="E482" s="65" t="str">
        <f>IF(ISNA(VLOOKUP($B482,CPY!$B:$G,4,FALSE))=TRUE," ",VLOOKUP($B482,CPY!$B:$G,4,FALSE))</f>
        <v> </v>
      </c>
      <c r="F482" s="62"/>
      <c r="G482" s="75"/>
      <c r="H482" s="75"/>
      <c r="I482" s="62"/>
    </row>
    <row r="483" spans="1:9" x14ac:dyDescent="0.25">
      <c r="A483" s="62">
        <v>482</v>
      </c>
      <c r="B483" s="62"/>
      <c r="C483" s="68" t="str">
        <f>IF(ISNA(VLOOKUP($B483,CPY!$B:$G,2,FALSE))=TRUE," ",VLOOKUP($B483,CPY!$B:$G,2,FALSE))</f>
        <v> </v>
      </c>
      <c r="D483" s="50" t="str">
        <f>IF(ISNA(VLOOKUP($B483,CPY!$B:$G,3,FALSE))=TRUE," ",VLOOKUP($B483,CPY!$B:$G,3,FALSE))</f>
        <v> </v>
      </c>
      <c r="E483" s="65" t="str">
        <f>IF(ISNA(VLOOKUP($B483,CPY!$B:$G,4,FALSE))=TRUE," ",VLOOKUP($B483,CPY!$B:$G,4,FALSE))</f>
        <v> </v>
      </c>
      <c r="F483" s="62"/>
      <c r="G483" s="75"/>
      <c r="H483" s="75"/>
      <c r="I483" s="62"/>
    </row>
    <row r="484" spans="1:9" x14ac:dyDescent="0.25">
      <c r="A484" s="62">
        <v>483</v>
      </c>
      <c r="B484" s="62"/>
      <c r="C484" s="68" t="str">
        <f>IF(ISNA(VLOOKUP($B484,CPY!$B:$G,2,FALSE))=TRUE," ",VLOOKUP($B484,CPY!$B:$G,2,FALSE))</f>
        <v> </v>
      </c>
      <c r="D484" s="50" t="str">
        <f>IF(ISNA(VLOOKUP($B484,CPY!$B:$G,3,FALSE))=TRUE," ",VLOOKUP($B484,CPY!$B:$G,3,FALSE))</f>
        <v> </v>
      </c>
      <c r="E484" s="65" t="str">
        <f>IF(ISNA(VLOOKUP($B484,CPY!$B:$G,4,FALSE))=TRUE," ",VLOOKUP($B484,CPY!$B:$G,4,FALSE))</f>
        <v> </v>
      </c>
      <c r="F484" s="62"/>
      <c r="G484" s="75"/>
      <c r="H484" s="75"/>
      <c r="I484" s="62"/>
    </row>
    <row r="485" spans="1:9" x14ac:dyDescent="0.25">
      <c r="A485" s="62">
        <v>484</v>
      </c>
      <c r="B485" s="62"/>
      <c r="C485" s="68" t="str">
        <f>IF(ISNA(VLOOKUP($B485,CPY!$B:$G,2,FALSE))=TRUE," ",VLOOKUP($B485,CPY!$B:$G,2,FALSE))</f>
        <v> </v>
      </c>
      <c r="D485" s="50" t="str">
        <f>IF(ISNA(VLOOKUP($B485,CPY!$B:$G,3,FALSE))=TRUE," ",VLOOKUP($B485,CPY!$B:$G,3,FALSE))</f>
        <v> </v>
      </c>
      <c r="E485" s="65" t="str">
        <f>IF(ISNA(VLOOKUP($B485,CPY!$B:$G,4,FALSE))=TRUE," ",VLOOKUP($B485,CPY!$B:$G,4,FALSE))</f>
        <v> </v>
      </c>
      <c r="F485" s="62"/>
      <c r="G485" s="75"/>
      <c r="H485" s="75"/>
      <c r="I485" s="62"/>
    </row>
    <row r="486" spans="1:9" x14ac:dyDescent="0.25">
      <c r="A486" s="62">
        <v>485</v>
      </c>
      <c r="B486" s="62"/>
      <c r="C486" s="68" t="str">
        <f>IF(ISNA(VLOOKUP($B486,CPY!$B:$G,2,FALSE))=TRUE," ",VLOOKUP($B486,CPY!$B:$G,2,FALSE))</f>
        <v> </v>
      </c>
      <c r="D486" s="50" t="str">
        <f>IF(ISNA(VLOOKUP($B486,CPY!$B:$G,3,FALSE))=TRUE," ",VLOOKUP($B486,CPY!$B:$G,3,FALSE))</f>
        <v> </v>
      </c>
      <c r="E486" s="65" t="str">
        <f>IF(ISNA(VLOOKUP($B486,CPY!$B:$G,4,FALSE))=TRUE," ",VLOOKUP($B486,CPY!$B:$G,4,FALSE))</f>
        <v> </v>
      </c>
      <c r="F486" s="62"/>
      <c r="G486" s="75"/>
      <c r="H486" s="75"/>
      <c r="I486" s="62"/>
    </row>
    <row r="487" spans="1:9" x14ac:dyDescent="0.25">
      <c r="A487" s="62">
        <v>486</v>
      </c>
      <c r="B487" s="62"/>
      <c r="C487" s="68" t="str">
        <f>IF(ISNA(VLOOKUP($B487,CPY!$B:$G,2,FALSE))=TRUE," ",VLOOKUP($B487,CPY!$B:$G,2,FALSE))</f>
        <v> </v>
      </c>
      <c r="D487" s="50" t="str">
        <f>IF(ISNA(VLOOKUP($B487,CPY!$B:$G,3,FALSE))=TRUE," ",VLOOKUP($B487,CPY!$B:$G,3,FALSE))</f>
        <v> </v>
      </c>
      <c r="E487" s="65" t="str">
        <f>IF(ISNA(VLOOKUP($B487,CPY!$B:$G,4,FALSE))=TRUE," ",VLOOKUP($B487,CPY!$B:$G,4,FALSE))</f>
        <v> </v>
      </c>
      <c r="F487" s="62"/>
      <c r="G487" s="75"/>
      <c r="H487" s="75"/>
      <c r="I487" s="62"/>
    </row>
    <row r="488" spans="1:9" x14ac:dyDescent="0.25">
      <c r="A488" s="62">
        <v>487</v>
      </c>
      <c r="B488" s="62"/>
      <c r="C488" s="68" t="str">
        <f>IF(ISNA(VLOOKUP($B488,CPY!$B:$G,2,FALSE))=TRUE," ",VLOOKUP($B488,CPY!$B:$G,2,FALSE))</f>
        <v> </v>
      </c>
      <c r="D488" s="50" t="str">
        <f>IF(ISNA(VLOOKUP($B488,CPY!$B:$G,3,FALSE))=TRUE," ",VLOOKUP($B488,CPY!$B:$G,3,FALSE))</f>
        <v> </v>
      </c>
      <c r="E488" s="65" t="str">
        <f>IF(ISNA(VLOOKUP($B488,CPY!$B:$G,4,FALSE))=TRUE," ",VLOOKUP($B488,CPY!$B:$G,4,FALSE))</f>
        <v> </v>
      </c>
      <c r="F488" s="62"/>
      <c r="G488" s="75"/>
      <c r="H488" s="75"/>
      <c r="I488" s="62"/>
    </row>
    <row r="489" spans="1:9" x14ac:dyDescent="0.25">
      <c r="A489" s="62">
        <v>488</v>
      </c>
      <c r="B489" s="62"/>
      <c r="C489" s="68" t="str">
        <f>IF(ISNA(VLOOKUP($B489,CPY!$B:$G,2,FALSE))=TRUE," ",VLOOKUP($B489,CPY!$B:$G,2,FALSE))</f>
        <v> </v>
      </c>
      <c r="D489" s="50" t="str">
        <f>IF(ISNA(VLOOKUP($B489,CPY!$B:$G,3,FALSE))=TRUE," ",VLOOKUP($B489,CPY!$B:$G,3,FALSE))</f>
        <v> </v>
      </c>
      <c r="E489" s="65" t="str">
        <f>IF(ISNA(VLOOKUP($B489,CPY!$B:$G,4,FALSE))=TRUE," ",VLOOKUP($B489,CPY!$B:$G,4,FALSE))</f>
        <v> </v>
      </c>
      <c r="F489" s="62"/>
      <c r="G489" s="75"/>
      <c r="H489" s="75"/>
      <c r="I489" s="62"/>
    </row>
    <row r="490" spans="1:9" x14ac:dyDescent="0.25">
      <c r="A490" s="62">
        <v>489</v>
      </c>
      <c r="B490" s="62"/>
      <c r="C490" s="68" t="str">
        <f>IF(ISNA(VLOOKUP($B490,CPY!$B:$G,2,FALSE))=TRUE," ",VLOOKUP($B490,CPY!$B:$G,2,FALSE))</f>
        <v> </v>
      </c>
      <c r="D490" s="50" t="str">
        <f>IF(ISNA(VLOOKUP($B490,CPY!$B:$G,3,FALSE))=TRUE," ",VLOOKUP($B490,CPY!$B:$G,3,FALSE))</f>
        <v> </v>
      </c>
      <c r="E490" s="65" t="str">
        <f>IF(ISNA(VLOOKUP($B490,CPY!$B:$G,4,FALSE))=TRUE," ",VLOOKUP($B490,CPY!$B:$G,4,FALSE))</f>
        <v> </v>
      </c>
      <c r="F490" s="62"/>
      <c r="G490" s="75"/>
      <c r="H490" s="75"/>
      <c r="I490" s="62"/>
    </row>
    <row r="491" spans="1:9" x14ac:dyDescent="0.25">
      <c r="A491" s="62">
        <v>490</v>
      </c>
      <c r="B491" s="62"/>
      <c r="C491" s="68" t="str">
        <f>IF(ISNA(VLOOKUP($B491,CPY!$B:$G,2,FALSE))=TRUE," ",VLOOKUP($B491,CPY!$B:$G,2,FALSE))</f>
        <v> </v>
      </c>
      <c r="D491" s="50" t="str">
        <f>IF(ISNA(VLOOKUP($B491,CPY!$B:$G,3,FALSE))=TRUE," ",VLOOKUP($B491,CPY!$B:$G,3,FALSE))</f>
        <v> </v>
      </c>
      <c r="E491" s="65" t="str">
        <f>IF(ISNA(VLOOKUP($B491,CPY!$B:$G,4,FALSE))=TRUE," ",VLOOKUP($B491,CPY!$B:$G,4,FALSE))</f>
        <v> </v>
      </c>
      <c r="F491" s="62"/>
      <c r="G491" s="75"/>
      <c r="H491" s="75"/>
      <c r="I491" s="62"/>
    </row>
    <row r="492" spans="1:9" x14ac:dyDescent="0.25">
      <c r="A492" s="62">
        <v>491</v>
      </c>
      <c r="B492" s="62"/>
      <c r="C492" s="68" t="str">
        <f>IF(ISNA(VLOOKUP($B492,CPY!$B:$G,2,FALSE))=TRUE," ",VLOOKUP($B492,CPY!$B:$G,2,FALSE))</f>
        <v> </v>
      </c>
      <c r="D492" s="50" t="str">
        <f>IF(ISNA(VLOOKUP($B492,CPY!$B:$G,3,FALSE))=TRUE," ",VLOOKUP($B492,CPY!$B:$G,3,FALSE))</f>
        <v> </v>
      </c>
      <c r="E492" s="65" t="str">
        <f>IF(ISNA(VLOOKUP($B492,CPY!$B:$G,4,FALSE))=TRUE," ",VLOOKUP($B492,CPY!$B:$G,4,FALSE))</f>
        <v> </v>
      </c>
      <c r="F492" s="62"/>
      <c r="G492" s="75"/>
      <c r="H492" s="75"/>
      <c r="I492" s="62"/>
    </row>
    <row r="493" spans="1:9" x14ac:dyDescent="0.25">
      <c r="A493" s="62">
        <v>492</v>
      </c>
      <c r="B493" s="62"/>
      <c r="C493" s="68" t="str">
        <f>IF(ISNA(VLOOKUP($B493,CPY!$B:$G,2,FALSE))=TRUE," ",VLOOKUP($B493,CPY!$B:$G,2,FALSE))</f>
        <v> </v>
      </c>
      <c r="D493" s="50" t="str">
        <f>IF(ISNA(VLOOKUP($B493,CPY!$B:$G,3,FALSE))=TRUE," ",VLOOKUP($B493,CPY!$B:$G,3,FALSE))</f>
        <v> </v>
      </c>
      <c r="E493" s="65" t="str">
        <f>IF(ISNA(VLOOKUP($B493,CPY!$B:$G,4,FALSE))=TRUE," ",VLOOKUP($B493,CPY!$B:$G,4,FALSE))</f>
        <v> </v>
      </c>
      <c r="F493" s="62"/>
      <c r="G493" s="75"/>
      <c r="H493" s="75"/>
      <c r="I493" s="62"/>
    </row>
    <row r="494" spans="1:9" x14ac:dyDescent="0.25">
      <c r="A494" s="62">
        <v>493</v>
      </c>
      <c r="B494" s="62"/>
      <c r="C494" s="68" t="str">
        <f>IF(ISNA(VLOOKUP($B494,CPY!$B:$G,2,FALSE))=TRUE," ",VLOOKUP($B494,CPY!$B:$G,2,FALSE))</f>
        <v> </v>
      </c>
      <c r="D494" s="50" t="str">
        <f>IF(ISNA(VLOOKUP($B494,CPY!$B:$G,3,FALSE))=TRUE," ",VLOOKUP($B494,CPY!$B:$G,3,FALSE))</f>
        <v> </v>
      </c>
      <c r="E494" s="65" t="str">
        <f>IF(ISNA(VLOOKUP($B494,CPY!$B:$G,4,FALSE))=TRUE," ",VLOOKUP($B494,CPY!$B:$G,4,FALSE))</f>
        <v> </v>
      </c>
      <c r="F494" s="62"/>
      <c r="G494" s="75"/>
      <c r="H494" s="75"/>
      <c r="I494" s="62"/>
    </row>
    <row r="495" spans="1:9" x14ac:dyDescent="0.25">
      <c r="A495" s="62">
        <v>494</v>
      </c>
      <c r="B495" s="62"/>
      <c r="C495" s="68" t="str">
        <f>IF(ISNA(VLOOKUP($B495,CPY!$B:$G,2,FALSE))=TRUE," ",VLOOKUP($B495,CPY!$B:$G,2,FALSE))</f>
        <v> </v>
      </c>
      <c r="D495" s="50" t="str">
        <f>IF(ISNA(VLOOKUP($B495,CPY!$B:$G,3,FALSE))=TRUE," ",VLOOKUP($B495,CPY!$B:$G,3,FALSE))</f>
        <v> </v>
      </c>
      <c r="E495" s="65" t="str">
        <f>IF(ISNA(VLOOKUP($B495,CPY!$B:$G,4,FALSE))=TRUE," ",VLOOKUP($B495,CPY!$B:$G,4,FALSE))</f>
        <v> </v>
      </c>
      <c r="F495" s="62"/>
      <c r="G495" s="75"/>
      <c r="H495" s="75"/>
      <c r="I495" s="62"/>
    </row>
    <row r="496" spans="1:9" x14ac:dyDescent="0.25">
      <c r="A496" s="62">
        <v>495</v>
      </c>
      <c r="B496" s="62"/>
      <c r="C496" s="68" t="str">
        <f>IF(ISNA(VLOOKUP($B496,CPY!$B:$G,2,FALSE))=TRUE," ",VLOOKUP($B496,CPY!$B:$G,2,FALSE))</f>
        <v> </v>
      </c>
      <c r="D496" s="50" t="str">
        <f>IF(ISNA(VLOOKUP($B496,CPY!$B:$G,3,FALSE))=TRUE," ",VLOOKUP($B496,CPY!$B:$G,3,FALSE))</f>
        <v> </v>
      </c>
      <c r="E496" s="65" t="str">
        <f>IF(ISNA(VLOOKUP($B496,CPY!$B:$G,4,FALSE))=TRUE," ",VLOOKUP($B496,CPY!$B:$G,4,FALSE))</f>
        <v> </v>
      </c>
      <c r="F496" s="62"/>
      <c r="G496" s="75"/>
      <c r="H496" s="75"/>
      <c r="I496" s="62"/>
    </row>
    <row r="497" spans="1:9" x14ac:dyDescent="0.25">
      <c r="A497" s="62">
        <v>496</v>
      </c>
      <c r="B497" s="62"/>
      <c r="C497" s="68" t="str">
        <f>IF(ISNA(VLOOKUP($B497,CPY!$B:$G,2,FALSE))=TRUE," ",VLOOKUP($B497,CPY!$B:$G,2,FALSE))</f>
        <v> </v>
      </c>
      <c r="D497" s="50" t="str">
        <f>IF(ISNA(VLOOKUP($B497,CPY!$B:$G,3,FALSE))=TRUE," ",VLOOKUP($B497,CPY!$B:$G,3,FALSE))</f>
        <v> </v>
      </c>
      <c r="E497" s="65" t="str">
        <f>IF(ISNA(VLOOKUP($B497,CPY!$B:$G,4,FALSE))=TRUE," ",VLOOKUP($B497,CPY!$B:$G,4,FALSE))</f>
        <v> </v>
      </c>
      <c r="F497" s="62"/>
      <c r="G497" s="75"/>
      <c r="H497" s="75"/>
      <c r="I497" s="62"/>
    </row>
    <row r="498" spans="1:9" x14ac:dyDescent="0.25">
      <c r="A498" s="62">
        <v>497</v>
      </c>
      <c r="B498" s="62"/>
      <c r="C498" s="68" t="str">
        <f>IF(ISNA(VLOOKUP($B498,CPY!$B:$G,2,FALSE))=TRUE," ",VLOOKUP($B498,CPY!$B:$G,2,FALSE))</f>
        <v> </v>
      </c>
      <c r="D498" s="50" t="str">
        <f>IF(ISNA(VLOOKUP($B498,CPY!$B:$G,3,FALSE))=TRUE," ",VLOOKUP($B498,CPY!$B:$G,3,FALSE))</f>
        <v> </v>
      </c>
      <c r="E498" s="65" t="str">
        <f>IF(ISNA(VLOOKUP($B498,CPY!$B:$G,4,FALSE))=TRUE," ",VLOOKUP($B498,CPY!$B:$G,4,FALSE))</f>
        <v> </v>
      </c>
      <c r="F498" s="62"/>
      <c r="G498" s="75"/>
      <c r="H498" s="75"/>
      <c r="I498" s="62"/>
    </row>
    <row r="499" spans="1:9" x14ac:dyDescent="0.25">
      <c r="A499" s="62">
        <v>498</v>
      </c>
      <c r="B499" s="62"/>
      <c r="C499" s="68" t="str">
        <f>IF(ISNA(VLOOKUP($B499,CPY!$B:$G,2,FALSE))=TRUE," ",VLOOKUP($B499,CPY!$B:$G,2,FALSE))</f>
        <v> </v>
      </c>
      <c r="D499" s="50" t="str">
        <f>IF(ISNA(VLOOKUP($B499,CPY!$B:$G,3,FALSE))=TRUE," ",VLOOKUP($B499,CPY!$B:$G,3,FALSE))</f>
        <v> </v>
      </c>
      <c r="E499" s="65" t="str">
        <f>IF(ISNA(VLOOKUP($B499,CPY!$B:$G,4,FALSE))=TRUE," ",VLOOKUP($B499,CPY!$B:$G,4,FALSE))</f>
        <v> </v>
      </c>
      <c r="F499" s="62"/>
      <c r="G499" s="75"/>
      <c r="H499" s="75"/>
      <c r="I499" s="62"/>
    </row>
    <row r="500" spans="1:9" x14ac:dyDescent="0.25">
      <c r="A500" s="62">
        <v>499</v>
      </c>
      <c r="B500" s="62"/>
      <c r="C500" s="68" t="str">
        <f>IF(ISNA(VLOOKUP($B500,CPY!$B:$G,2,FALSE))=TRUE," ",VLOOKUP($B500,CPY!$B:$G,2,FALSE))</f>
        <v> </v>
      </c>
      <c r="D500" s="50" t="str">
        <f>IF(ISNA(VLOOKUP($B500,CPY!$B:$G,3,FALSE))=TRUE," ",VLOOKUP($B500,CPY!$B:$G,3,FALSE))</f>
        <v> </v>
      </c>
      <c r="E500" s="65" t="str">
        <f>IF(ISNA(VLOOKUP($B500,CPY!$B:$G,4,FALSE))=TRUE," ",VLOOKUP($B500,CPY!$B:$G,4,FALSE))</f>
        <v> </v>
      </c>
      <c r="F500" s="62"/>
      <c r="G500" s="75"/>
      <c r="H500" s="75"/>
      <c r="I500" s="62"/>
    </row>
  </sheetData>
  <sheetProtection sheet="1" autoFilter="0" algorithmName="SHA-512" hashValue="QthSSu690htJV8D+bfMEyXZZoOHwb9jqX2sa3ENZXoYPjwqUeblAFqkIsgGfLPze369BGyr2nElZugrWUAI44w==" saltValue="bQflrzIS5iMYJ6ctLgVYeQ==" spinCount="100000" objects="1" scenarios="1"/>
  <autoFilter ref="A1:K1"/>
  <conditionalFormatting sqref="B2:B4">
    <cfRule type="expression" dxfId="7" priority="5">
      <formula>AND($E2="DnD",$L2&gt;0)</formula>
    </cfRule>
    <cfRule type="expression" dxfId="8" priority="6">
      <formula>AND($E2="DnD",$AG2&gt;0)</formula>
    </cfRule>
    <cfRule type="expression" dxfId="9" priority="7">
      <formula>AND($E2="DnD",$AD2&gt;0)</formula>
    </cfRule>
    <cfRule type="expression" dxfId="10" priority="8">
      <formula>AND($E2="Support",$X2&gt;0)</formula>
    </cfRule>
  </conditionalFormatting>
  <dataValidations count="4">
    <dataValidation type="list" allowBlank="1" showInputMessage="1" showErrorMessage="1" sqref="F10:F500">
      <formula1>"6:30AM-03:30PM,1-9PM/2:30PM-11:30PM,11PM-7AM"</formula1>
    </dataValidation>
    <dataValidation type="list" allowBlank="1" showInputMessage="1" showErrorMessage="1" sqref="F2:F500">
      <formula1>"6:30AM-03:30PM,1-9PM/2:30PM-11:30PM,11PM-7AM"</formula1>
    </dataValidation>
    <dataValidation type="custom" showInputMessage="1" showErrorMessage="1" errorTitle="Date" error="Please fill the emp ID" sqref="G10:H500">
      <formula1>($B2&gt;0)</formula1>
    </dataValidation>
    <dataValidation type="custom" showInputMessage="1" showErrorMessage="1" errorTitle="Date" error="Please fill the emp ID" sqref="G2:H500">
      <formula1>($B2&gt;0)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CPY TOC</vt:lpstr>
      <vt:lpstr>Summary</vt:lpstr>
      <vt:lpstr>CPY</vt:lpstr>
      <vt:lpstr>Support_allowance_Entries</vt:lpstr>
      <vt:lpstr>Shift_allowance_Entries</vt:lpstr>
      <vt:lpstr>OOH Activities</vt:lpstr>
      <vt:lpstr>ON Call_Call Out Activities</vt:lpstr>
      <vt:lpstr>MD</vt:lpstr>
      <vt:lpstr>Guidelines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Sentheel Kumaran C</dc:creator>
  <cp:lastModifiedBy>Suneel Kumar Kuncham Varadarajulu</cp:lastModifiedBy>
  <dcterms:created xsi:type="dcterms:W3CDTF">2019-08-09T05:23:54Z</dcterms:created>
  <dcterms:modified xsi:type="dcterms:W3CDTF">2023-02-17T10:39:23Z</dcterms:modified>
</cp:coreProperties>
</file>